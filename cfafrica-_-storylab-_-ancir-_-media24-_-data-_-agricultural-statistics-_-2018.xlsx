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Intro (i-vii)" sheetId="1" r:id="rId3"/>
    <sheet state="visible" name="Land &amp; Pop. (1-6)" sheetId="2" r:id="rId4"/>
    <sheet state="visible" name="Field Crops (7-33)" sheetId="3" r:id="rId5"/>
    <sheet state="visible" name="Hort (34-57)" sheetId="4" r:id="rId6"/>
    <sheet state="visible" name="Animal (58-73)" sheetId="5" r:id="rId7"/>
    <sheet state="visible" name="Value (74-80)" sheetId="6" r:id="rId8"/>
    <sheet state="visible" name="Capital (81-83)" sheetId="7" r:id="rId9"/>
    <sheet state="visible" name="Trade (84-88)" sheetId="8" r:id="rId10"/>
    <sheet state="visible" name="Indices (89-101)" sheetId="9" r:id="rId11"/>
    <sheet state="visible" name="Consump. (102-103)" sheetId="10" r:id="rId12"/>
  </sheets>
  <definedNames>
    <definedName localSheetId="5" name="Z_F4AE1968_DA35_43D0_B456_FBD0ABC8A377_.wvu.PrintArea">'Value (74-80)'!$A$1:$R$420</definedName>
    <definedName localSheetId="2" name="Z_F4AE1968_DA35_43D0_B456_FBD0ABC8A377_.wvu.PrintArea">'Field Crops (7-33)'!$A$1:$S$2395</definedName>
  </definedNames>
  <calcPr/>
</workbook>
</file>

<file path=xl/sharedStrings.xml><?xml version="1.0" encoding="utf-8"?>
<sst xmlns="http://schemas.openxmlformats.org/spreadsheetml/2006/main" count="8362" uniqueCount="1895">
  <si>
    <r>
      <t>Table 1 – Population of South Africa by population group</t>
    </r>
    <r>
      <rPr>
        <rFont val="Arial"/>
        <color rgb="FF000000"/>
        <sz val="8.0"/>
        <vertAlign val="superscript"/>
      </rPr>
      <t>1</t>
    </r>
  </si>
  <si>
    <t>Year</t>
  </si>
  <si>
    <t>Total</t>
  </si>
  <si>
    <t>White</t>
  </si>
  <si>
    <t>Coloured</t>
  </si>
  <si>
    <t>Indian/Asian</t>
  </si>
  <si>
    <t>African</t>
  </si>
  <si>
    <t>Unspecified/</t>
  </si>
  <si>
    <t>Other</t>
  </si>
  <si>
    <t>1 000</t>
  </si>
  <si>
    <t>*</t>
  </si>
  <si>
    <t xml:space="preserve"> </t>
  </si>
  <si>
    <t>ABSTRACT</t>
  </si>
  <si>
    <t>OF</t>
  </si>
  <si>
    <t>Agricultural</t>
  </si>
  <si>
    <t>Statistics</t>
  </si>
  <si>
    <t>DEPARTMENT OF AGRICULTURE, FORESTRY AND FISHERIES</t>
  </si>
  <si>
    <t>Compiled by</t>
  </si>
  <si>
    <t>Directorate Statistics and Economic Analysis</t>
  </si>
  <si>
    <t>Private Bag X246</t>
  </si>
  <si>
    <t>PRETORIA 0001</t>
  </si>
  <si>
    <t>Published in the Republic of South Africa by</t>
  </si>
  <si>
    <t>Department of Agriculture, Forestry and Fisheries</t>
  </si>
  <si>
    <t>Hard copy obtainable from</t>
  </si>
  <si>
    <t>Resource Centre</t>
  </si>
  <si>
    <t>Directorate: Knowledge and Information Management</t>
  </si>
  <si>
    <t>Private Bag X144</t>
  </si>
  <si>
    <t>Tel. +27 12 319 7141</t>
  </si>
  <si>
    <t>E-mail: SheilaF@daff.gov.za</t>
  </si>
  <si>
    <r>
      <t xml:space="preserve">This edition of the Abstract of Agricultural Statistics contains South African agricultural statistics of major importance that were available up to December 2017. The "Abstract" contains meaningful information on, </t>
    </r>
    <r>
      <rPr>
        <i/>
        <sz val="10.0"/>
      </rPr>
      <t>inter alia</t>
    </r>
    <r>
      <rPr>
        <sz val="10.0"/>
      </rPr>
      <t xml:space="preserve">, field crops, horticulture, livestock, important indicators and the contribution of agriculture. The source of the information is the Directorate: Statistics and Economic Analysis of the Department of Agriculture, Forestry and Fisheries, except where otherwise indicated. Enquiries on the content can be directed to:  </t>
    </r>
    <r>
      <rPr>
        <b/>
        <sz val="10.0"/>
      </rPr>
      <t>The Directorate: Statistics and Economic Analysis – tel: 012 319 8040,  fax: 012 319 8031, email: KimM@daff.gov.za</t>
    </r>
  </si>
  <si>
    <t>Table 7 – Maize: area planted, production, producer prices, producer price index and gross value</t>
  </si>
  <si>
    <t>Production year</t>
  </si>
  <si>
    <t>All weights and measures are expressed in metric units. For your convenience, conversion factors are given on page iii.</t>
  </si>
  <si>
    <t>The data are also available electronically on request in pdf or "Microsoft Excel".</t>
  </si>
  <si>
    <t>This publication or any part thereof may be reproduced or used, provided that the Directorate Agricultural Statistics is acknowledged as the source of the basic data wherever you process, apply, utilise, publish or distribute the data; and also that you specify that the relevant application and analyses (where applicable) result from your own processing of the data.</t>
  </si>
  <si>
    <t>Area planted</t>
  </si>
  <si>
    <r>
      <t>2002</t>
    </r>
    <r>
      <rPr>
        <rFont val="Arial"/>
        <color rgb="FF000000"/>
        <sz val="8.0"/>
        <vertAlign val="superscript"/>
      </rPr>
      <t>2</t>
    </r>
  </si>
  <si>
    <r>
      <t>Total production</t>
    </r>
    <r>
      <rPr>
        <rFont val="Arial"/>
        <color rgb="FF000000"/>
        <sz val="8.0"/>
        <vertAlign val="superscript"/>
      </rPr>
      <t>1</t>
    </r>
  </si>
  <si>
    <r>
      <t>Gross value of production</t>
    </r>
    <r>
      <rPr>
        <rFont val="Arial"/>
        <color rgb="FF000000"/>
        <sz val="8.0"/>
        <vertAlign val="superscript"/>
      </rPr>
      <t>1</t>
    </r>
  </si>
  <si>
    <r>
      <t>Producer prices</t>
    </r>
    <r>
      <rPr>
        <rFont val="Arial"/>
        <color rgb="FF000000"/>
        <sz val="8.0"/>
        <vertAlign val="superscript"/>
      </rPr>
      <t>2</t>
    </r>
  </si>
  <si>
    <t>–</t>
  </si>
  <si>
    <r>
      <t>Price Index</t>
    </r>
    <r>
      <rPr>
        <rFont val="Arial"/>
        <color rgb="FF000000"/>
        <sz val="8.0"/>
        <vertAlign val="superscript"/>
      </rPr>
      <t>3</t>
    </r>
  </si>
  <si>
    <t>Marketing year: May to April</t>
  </si>
  <si>
    <t>Gross</t>
  </si>
  <si>
    <t>Net</t>
  </si>
  <si>
    <t>i</t>
  </si>
  <si>
    <t>ABBREVIATIONS</t>
  </si>
  <si>
    <t>Yellow</t>
  </si>
  <si>
    <t>1 000 ha</t>
  </si>
  <si>
    <t>1 000 t</t>
  </si>
  <si>
    <t>R1 000</t>
  </si>
  <si>
    <t>c</t>
  </si>
  <si>
    <t>R/ton</t>
  </si>
  <si>
    <t>cent</t>
  </si>
  <si>
    <t>2010 = 100</t>
  </si>
  <si>
    <t>2013</t>
  </si>
  <si>
    <t>1980/81</t>
  </si>
  <si>
    <t>2014</t>
  </si>
  <si>
    <t>2015</t>
  </si>
  <si>
    <t>2016</t>
  </si>
  <si>
    <t>2017</t>
  </si>
  <si>
    <t>c.i.f.</t>
  </si>
  <si>
    <t>cost, insurance, freight</t>
  </si>
  <si>
    <t>f.a.e.</t>
  </si>
  <si>
    <t>free alongside elevator</t>
  </si>
  <si>
    <t>f.o.r.</t>
  </si>
  <si>
    <t>free on rail</t>
  </si>
  <si>
    <t>ha</t>
  </si>
  <si>
    <t>hectare</t>
  </si>
  <si>
    <t>h.p.</t>
  </si>
  <si>
    <t>horse power</t>
  </si>
  <si>
    <t>kg</t>
  </si>
  <si>
    <t>kilogramme</t>
  </si>
  <si>
    <t>ℓ</t>
  </si>
  <si>
    <t>litre</t>
  </si>
  <si>
    <t>NAMC</t>
  </si>
  <si>
    <t>National Agricultural Marketing Council</t>
  </si>
  <si>
    <t>R</t>
  </si>
  <si>
    <t>Rand</t>
  </si>
  <si>
    <t>RSA</t>
  </si>
  <si>
    <t>Republic of South Africa</t>
  </si>
  <si>
    <t>1981/82</t>
  </si>
  <si>
    <t>SAGIS</t>
  </si>
  <si>
    <t>South African Grain Information Service</t>
  </si>
  <si>
    <t>S&amp;DEC</t>
  </si>
  <si>
    <t>Supply and Demand Estimates Committee</t>
  </si>
  <si>
    <t>1982/83</t>
  </si>
  <si>
    <t>1983/84</t>
  </si>
  <si>
    <t>SAMIC</t>
  </si>
  <si>
    <t>South African Meat Industry Company</t>
  </si>
  <si>
    <t>1984/85</t>
  </si>
  <si>
    <t>SAWIS</t>
  </si>
  <si>
    <t>SA Wine Industry Information and Systems</t>
  </si>
  <si>
    <t>1985/86</t>
  </si>
  <si>
    <t>t</t>
  </si>
  <si>
    <t>metric ton</t>
  </si>
  <si>
    <t>TBVC states</t>
  </si>
  <si>
    <t>1986/87</t>
  </si>
  <si>
    <t>Source: Mid-year estimates by Statistics South Africa, News release P0302</t>
  </si>
  <si>
    <t>Transkei, Bophuthatswana, Venda, Ciskei</t>
  </si>
  <si>
    <t>statistics not available</t>
  </si>
  <si>
    <t>1987/88</t>
  </si>
  <si>
    <t>nil or negligible</t>
  </si>
  <si>
    <t>1988/89</t>
  </si>
  <si>
    <t>1989/90</t>
  </si>
  <si>
    <r>
      <rPr>
        <rFont val="Arial"/>
        <color rgb="FF000000"/>
        <sz val="7.0"/>
        <vertAlign val="superscript"/>
      </rPr>
      <t>1</t>
    </r>
    <r>
      <rPr>
        <rFont val="Times New Roman"/>
        <color rgb="FF000000"/>
        <sz val="7.0"/>
      </rPr>
      <t>  </t>
    </r>
    <r>
      <rPr>
        <rFont val="Arial"/>
        <color rgb="FF000000"/>
        <sz val="7.0"/>
      </rPr>
      <t xml:space="preserve">The </t>
    </r>
    <r>
      <rPr>
        <rFont val="Arial"/>
        <i/>
        <color rgb="FF000000"/>
        <sz val="7.0"/>
      </rPr>
      <t>de facto</t>
    </r>
    <r>
      <rPr>
        <rFont val="Arial"/>
        <color rgb="FF000000"/>
        <sz val="7.0"/>
      </rPr>
      <t xml:space="preserve"> population of former Transkei has been excluded as from 1977, Bophuthatswana as</t>
    </r>
  </si>
  <si>
    <t>#</t>
  </si>
  <si>
    <t xml:space="preserve">    from 1978, Venda as from 1980 and Ciskei as from 1982 and has again been included as from 1991</t>
  </si>
  <si>
    <t>1990/91</t>
  </si>
  <si>
    <r>
      <rPr>
        <rFont val="Arial"/>
        <color rgb="FF000000"/>
        <sz val="7.0"/>
        <vertAlign val="superscript"/>
      </rPr>
      <t>2</t>
    </r>
    <r>
      <rPr>
        <rFont val="Times New Roman"/>
        <color rgb="FF000000"/>
        <sz val="7.0"/>
      </rPr>
      <t xml:space="preserve">  </t>
    </r>
    <r>
      <rPr>
        <rFont val="Arial"/>
        <color rgb="FF000000"/>
        <sz val="7.0"/>
      </rPr>
      <t>Without taking into account additional deaths as a result of HIV/AIDS</t>
    </r>
  </si>
  <si>
    <t>not applicable</t>
  </si>
  <si>
    <t>1991/92</t>
  </si>
  <si>
    <t>1992/93</t>
  </si>
  <si>
    <t>1993/94</t>
  </si>
  <si>
    <t>1994/95</t>
  </si>
  <si>
    <t>1995/96</t>
  </si>
  <si>
    <t>ii</t>
  </si>
  <si>
    <t>1996/97</t>
  </si>
  <si>
    <t>Census figures:</t>
  </si>
  <si>
    <t>CONVERSION FACTORS</t>
  </si>
  <si>
    <r>
      <t>1.</t>
    </r>
    <r>
      <rPr>
        <rFont val="Times New Roman"/>
        <b/>
        <sz val="7.0"/>
      </rPr>
      <t xml:space="preserve">      </t>
    </r>
    <r>
      <rPr>
        <rFont val="Arial"/>
        <b/>
        <sz val="10.0"/>
      </rPr>
      <t>Length</t>
    </r>
  </si>
  <si>
    <t>1997/98</t>
  </si>
  <si>
    <t>1998/99</t>
  </si>
  <si>
    <t>1999/00</t>
  </si>
  <si>
    <t>1 cm</t>
  </si>
  <si>
    <t>2000/01</t>
  </si>
  <si>
    <t>06 May 1970</t>
  </si>
  <si>
    <t>2001/02</t>
  </si>
  <si>
    <t>2002/03</t>
  </si>
  <si>
    <t>2003/04</t>
  </si>
  <si>
    <t>2004/05</t>
  </si>
  <si>
    <t>2005/06</t>
  </si>
  <si>
    <t>0,3937 in</t>
  </si>
  <si>
    <t>2006/07</t>
  </si>
  <si>
    <t>2007/08</t>
  </si>
  <si>
    <t>2008/09</t>
  </si>
  <si>
    <t>06 May 1980</t>
  </si>
  <si>
    <t>1 metre (m)</t>
  </si>
  <si>
    <t>2009/10</t>
  </si>
  <si>
    <t>2010/11</t>
  </si>
  <si>
    <t>05 March 1985</t>
  </si>
  <si>
    <t>100 cm</t>
  </si>
  <si>
    <t>1,0936 yds</t>
  </si>
  <si>
    <t>2011/12</t>
  </si>
  <si>
    <t>07 March 1991</t>
  </si>
  <si>
    <t>1 kilometre (km)</t>
  </si>
  <si>
    <t>(excluding TBVC states)</t>
  </si>
  <si>
    <t>1 000 m</t>
  </si>
  <si>
    <t>0,6214 mile</t>
  </si>
  <si>
    <t>2012/13</t>
  </si>
  <si>
    <t>1 inch</t>
  </si>
  <si>
    <t>2013/14</t>
  </si>
  <si>
    <t>2,5400 cm</t>
  </si>
  <si>
    <t>2014/15</t>
  </si>
  <si>
    <t>1 yard</t>
  </si>
  <si>
    <t>2015/16</t>
  </si>
  <si>
    <t>36 inches</t>
  </si>
  <si>
    <t>0,9144 m</t>
  </si>
  <si>
    <t>10 October 1996</t>
  </si>
  <si>
    <t>1 mile</t>
  </si>
  <si>
    <t>2016/17</t>
  </si>
  <si>
    <t>10 October 2001</t>
  </si>
  <si>
    <t>2017/18</t>
  </si>
  <si>
    <t>1 760 yards</t>
  </si>
  <si>
    <r>
      <t>2017/18</t>
    </r>
    <r>
      <rPr>
        <rFont val="Arial"/>
        <color rgb="FF000000"/>
        <sz val="8.0"/>
        <vertAlign val="superscript"/>
      </rPr>
      <t>4</t>
    </r>
  </si>
  <si>
    <t>10 October 2011</t>
  </si>
  <si>
    <t>1,6093 km</t>
  </si>
  <si>
    <r>
      <t>2.</t>
    </r>
    <r>
      <rPr>
        <rFont val="Times New Roman"/>
        <b/>
        <sz val="7.0"/>
      </rPr>
      <t xml:space="preserve">      </t>
    </r>
    <r>
      <rPr>
        <rFont val="Arial"/>
        <b/>
        <sz val="10.0"/>
      </rPr>
      <t>Area</t>
    </r>
  </si>
  <si>
    <r>
      <t>1 sq metre (m</t>
    </r>
    <r>
      <rPr>
        <rFont val="Arial"/>
        <sz val="10.0"/>
        <vertAlign val="superscript"/>
      </rPr>
      <t>2</t>
    </r>
    <r>
      <rPr>
        <rFont val="Arial"/>
        <sz val="10.0"/>
      </rPr>
      <t>)</t>
    </r>
  </si>
  <si>
    <r>
      <t>10 000 cm</t>
    </r>
    <r>
      <rPr>
        <rFont val="Arial"/>
        <sz val="10.0"/>
        <vertAlign val="superscript"/>
      </rPr>
      <t>2</t>
    </r>
  </si>
  <si>
    <t>1,1960 sq yards</t>
  </si>
  <si>
    <t>1 hectare (ha)</t>
  </si>
  <si>
    <r>
      <t>10 000 m</t>
    </r>
    <r>
      <rPr>
        <rFont val="Arial"/>
        <sz val="10.0"/>
        <vertAlign val="superscript"/>
      </rPr>
      <t>2</t>
    </r>
  </si>
  <si>
    <t>2,4711 acres</t>
  </si>
  <si>
    <r>
      <t>1 sq km (km</t>
    </r>
    <r>
      <rPr>
        <rFont val="Arial"/>
        <sz val="10.0"/>
        <vertAlign val="superscript"/>
      </rPr>
      <t>2</t>
    </r>
    <r>
      <rPr>
        <rFont val="Arial"/>
        <sz val="10.0"/>
      </rPr>
      <t>)</t>
    </r>
  </si>
  <si>
    <r>
      <t>100 hectares</t>
    </r>
    <r>
      <rPr>
        <rFont val="Arial"/>
        <sz val="10.0"/>
        <vertAlign val="superscript"/>
      </rPr>
      <t>2</t>
    </r>
  </si>
  <si>
    <t>0,3861 sq miles</t>
  </si>
  <si>
    <t>1 sq yard</t>
  </si>
  <si>
    <t>9 sq feet</t>
  </si>
  <si>
    <r>
      <t>0,8361 m</t>
    </r>
    <r>
      <rPr>
        <rFont val="Arial"/>
        <sz val="10.0"/>
        <vertAlign val="superscript"/>
      </rPr>
      <t>2</t>
    </r>
  </si>
  <si>
    <t>1 acre</t>
  </si>
  <si>
    <t>4 840 sq yards</t>
  </si>
  <si>
    <r>
      <t>4 046,9 m</t>
    </r>
    <r>
      <rPr>
        <rFont val="Arial"/>
        <sz val="10.0"/>
        <vertAlign val="superscript"/>
      </rPr>
      <t>2</t>
    </r>
  </si>
  <si>
    <r>
      <t>3.</t>
    </r>
    <r>
      <rPr>
        <rFont val="Times New Roman"/>
        <b/>
        <sz val="7.0"/>
      </rPr>
      <t xml:space="preserve">      </t>
    </r>
    <r>
      <rPr>
        <rFont val="Arial"/>
        <b/>
        <sz val="10.0"/>
      </rPr>
      <t>Capacity</t>
    </r>
  </si>
  <si>
    <r>
      <t>1 cu dm (dm</t>
    </r>
    <r>
      <rPr>
        <rFont val="Arial"/>
        <sz val="10.0"/>
        <vertAlign val="superscript"/>
      </rPr>
      <t>3</t>
    </r>
    <r>
      <rPr>
        <rFont val="Arial"/>
        <sz val="10.0"/>
      </rPr>
      <t>)</t>
    </r>
  </si>
  <si>
    <t>2018/19</t>
  </si>
  <si>
    <r>
      <t>1 000 cm</t>
    </r>
    <r>
      <rPr>
        <rFont val="Arial"/>
        <sz val="10.0"/>
        <vertAlign val="superscript"/>
      </rPr>
      <t>3</t>
    </r>
  </si>
  <si>
    <t>0,0353 cu ft</t>
  </si>
  <si>
    <r>
      <rPr>
        <rFont val="Arial"/>
        <color rgb="FF000000"/>
        <sz val="7.0"/>
        <vertAlign val="superscript"/>
      </rPr>
      <t>1</t>
    </r>
    <r>
      <rPr>
        <rFont val="Times New Roman"/>
        <color rgb="FF000000"/>
        <sz val="7.0"/>
      </rPr>
      <t>   </t>
    </r>
    <r>
      <rPr>
        <rFont val="Arial"/>
        <color rgb="FF000000"/>
        <sz val="7.0"/>
      </rPr>
      <t>Including retentions and hybrid seed. Former TBVC states and self-governing territories are included</t>
    </r>
  </si>
  <si>
    <r>
      <t>1 cu metre (m</t>
    </r>
    <r>
      <rPr>
        <rFont val="Arial"/>
        <sz val="10.0"/>
        <vertAlign val="superscript"/>
      </rPr>
      <t>3</t>
    </r>
    <r>
      <rPr>
        <rFont val="Arial"/>
        <sz val="10.0"/>
      </rPr>
      <t>)</t>
    </r>
  </si>
  <si>
    <r>
      <t>1 000 dm</t>
    </r>
    <r>
      <rPr>
        <rFont val="Arial"/>
        <sz val="10.0"/>
        <vertAlign val="superscript"/>
      </rPr>
      <t>3</t>
    </r>
  </si>
  <si>
    <r>
      <rPr>
        <rFont val="Arial"/>
        <color rgb="FF000000"/>
        <sz val="7.0"/>
        <vertAlign val="superscript"/>
      </rPr>
      <t>2</t>
    </r>
    <r>
      <rPr>
        <rFont val="Times New Roman"/>
        <color rgb="FF000000"/>
        <sz val="7.0"/>
      </rPr>
      <t xml:space="preserve">   </t>
    </r>
    <r>
      <rPr>
        <rFont val="Arial"/>
        <color rgb="FF000000"/>
        <sz val="7.0"/>
      </rPr>
      <t>From 1997/98 marketing year, estimated average price. Including supplementation</t>
    </r>
  </si>
  <si>
    <t>1,3080 cu yds</t>
  </si>
  <si>
    <t>1 litre</t>
  </si>
  <si>
    <t>Table 2 – Estimated population by population group, per province – 2011</t>
  </si>
  <si>
    <r>
      <t>1 dm</t>
    </r>
    <r>
      <rPr>
        <rFont val="Arial"/>
        <sz val="10.0"/>
        <vertAlign val="superscript"/>
      </rPr>
      <t>3</t>
    </r>
  </si>
  <si>
    <t>0,2200 gallon</t>
  </si>
  <si>
    <r>
      <rPr>
        <rFont val="Arial"/>
        <color rgb="FF000000"/>
        <sz val="7.0"/>
        <vertAlign val="superscript"/>
      </rPr>
      <t>3</t>
    </r>
    <r>
      <rPr>
        <rFont val="Times New Roman"/>
        <color rgb="FF000000"/>
        <sz val="7.0"/>
      </rPr>
      <t>   </t>
    </r>
    <r>
      <rPr>
        <rFont val="Arial"/>
        <color rgb="FF000000"/>
        <sz val="7.0"/>
      </rPr>
      <t>Index figures are for calendar years, e.g. marketing year 2010/11 = 2010</t>
    </r>
  </si>
  <si>
    <t>1 cu yard</t>
  </si>
  <si>
    <t>27 cu feet</t>
  </si>
  <si>
    <r>
      <rPr>
        <rFont val="Arial"/>
        <color rgb="FF000000"/>
        <sz val="7.0"/>
        <vertAlign val="superscript"/>
      </rPr>
      <t>4</t>
    </r>
    <r>
      <rPr>
        <rFont val="Arial"/>
        <color rgb="FF000000"/>
        <sz val="7.0"/>
      </rPr>
      <t xml:space="preserve">  Preliminary</t>
    </r>
  </si>
  <si>
    <r>
      <t>0,7646 m</t>
    </r>
    <r>
      <rPr>
        <rFont val="Arial"/>
        <sz val="10.0"/>
        <vertAlign val="superscript"/>
      </rPr>
      <t>3</t>
    </r>
  </si>
  <si>
    <t>Province</t>
  </si>
  <si>
    <t>1 pint</t>
  </si>
  <si>
    <t>4 gills</t>
  </si>
  <si>
    <t>0,5683 litres</t>
  </si>
  <si>
    <t>1 gallon</t>
  </si>
  <si>
    <t>8 pints</t>
  </si>
  <si>
    <t>4,5461 litres</t>
  </si>
  <si>
    <t>Population group</t>
  </si>
  <si>
    <r>
      <t>4.</t>
    </r>
    <r>
      <rPr>
        <rFont val="Times New Roman"/>
        <b/>
        <sz val="7.0"/>
      </rPr>
      <t xml:space="preserve">      </t>
    </r>
    <r>
      <rPr>
        <rFont val="Arial"/>
        <b/>
        <sz val="10.0"/>
      </rPr>
      <t>Weight</t>
    </r>
  </si>
  <si>
    <t>1 gramme (g)</t>
  </si>
  <si>
    <t>1 000 mg</t>
  </si>
  <si>
    <t>0,0353 oz</t>
  </si>
  <si>
    <t>Estimated total population</t>
  </si>
  <si>
    <t>1 kg</t>
  </si>
  <si>
    <t>1 000 g</t>
  </si>
  <si>
    <t>2,2046 lb</t>
  </si>
  <si>
    <t>1 ton (t)</t>
  </si>
  <si>
    <t>1 000 kg</t>
  </si>
  <si>
    <t>0,9842 ton</t>
  </si>
  <si>
    <t>1 ounce</t>
  </si>
  <si>
    <t>437,5 grains</t>
  </si>
  <si>
    <t>28,350 g</t>
  </si>
  <si>
    <t>Unspeci-fied/Other</t>
  </si>
  <si>
    <t>1 pound</t>
  </si>
  <si>
    <t>16 ounces</t>
  </si>
  <si>
    <t>0,4536 kg</t>
  </si>
  <si>
    <t>1 ton</t>
  </si>
  <si>
    <t>Indian/ Asian</t>
  </si>
  <si>
    <t>Black</t>
  </si>
  <si>
    <t>2 240 pounds</t>
  </si>
  <si>
    <t>1,0161 kg</t>
  </si>
  <si>
    <t>To convert</t>
  </si>
  <si>
    <t>Multiply by</t>
  </si>
  <si>
    <t>Western Cape</t>
  </si>
  <si>
    <t>Metres to yards</t>
  </si>
  <si>
    <t>Table 8 – Maize: deliveries, selling prices, consumption, exports and average export realisation</t>
  </si>
  <si>
    <t>Deliveries</t>
  </si>
  <si>
    <r>
      <t>Selling prices</t>
    </r>
    <r>
      <rPr>
        <rFont val="Arial"/>
        <color rgb="FF000000"/>
        <sz val="8.0"/>
        <vertAlign val="superscript"/>
      </rPr>
      <t>1</t>
    </r>
  </si>
  <si>
    <t>Eastern Cape</t>
  </si>
  <si>
    <r>
      <t>Commercial consumption</t>
    </r>
    <r>
      <rPr>
        <rFont val="Arial"/>
        <color rgb="FF000000"/>
        <sz val="8.0"/>
        <vertAlign val="superscript"/>
      </rPr>
      <t>2</t>
    </r>
  </si>
  <si>
    <t>Metres to feet</t>
  </si>
  <si>
    <t>Exports</t>
  </si>
  <si>
    <t>Hectares to acres</t>
  </si>
  <si>
    <t>Small quantities</t>
  </si>
  <si>
    <t>Large quantities</t>
  </si>
  <si>
    <t>Northern Cape</t>
  </si>
  <si>
    <t>Processed for human consumption</t>
  </si>
  <si>
    <t>Free State</t>
  </si>
  <si>
    <r>
      <t>Quantity</t>
    </r>
    <r>
      <rPr>
        <rFont val="Arial"/>
        <color rgb="FF000000"/>
        <sz val="8.0"/>
        <vertAlign val="superscript"/>
      </rPr>
      <t>3</t>
    </r>
  </si>
  <si>
    <t>Average f.a.e. prices</t>
  </si>
  <si>
    <t>KwaZulu-Natal</t>
  </si>
  <si>
    <t>North West</t>
  </si>
  <si>
    <t>Square metres to square feet</t>
  </si>
  <si>
    <t>10,76</t>
  </si>
  <si>
    <t>Gauteng</t>
  </si>
  <si>
    <t>Centimetres to inches</t>
  </si>
  <si>
    <t>Mpumalanga</t>
  </si>
  <si>
    <t>0,3937</t>
  </si>
  <si>
    <t>Kilometers to miles</t>
  </si>
  <si>
    <t>0,6214</t>
  </si>
  <si>
    <t>Ounces to grammes</t>
  </si>
  <si>
    <t>Limpopo</t>
  </si>
  <si>
    <t>1970/71</t>
  </si>
  <si>
    <t>28,35</t>
  </si>
  <si>
    <t>Kilogrammes to pounds</t>
  </si>
  <si>
    <t>1971/72</t>
  </si>
  <si>
    <t>1972/73</t>
  </si>
  <si>
    <t>1973/74</t>
  </si>
  <si>
    <t>1974/75</t>
  </si>
  <si>
    <t>1975/76</t>
  </si>
  <si>
    <t>1976/77</t>
  </si>
  <si>
    <t>iii</t>
  </si>
  <si>
    <t>1977/78</t>
  </si>
  <si>
    <t>1978/79</t>
  </si>
  <si>
    <t>1979/80</t>
  </si>
  <si>
    <t xml:space="preserve">CONTENTS                                                    </t>
  </si>
  <si>
    <t>Total RSA</t>
  </si>
  <si>
    <t>Table</t>
  </si>
  <si>
    <t>Population and land utilisation</t>
  </si>
  <si>
    <t>Page</t>
  </si>
  <si>
    <t>Source: Statistics SA</t>
  </si>
  <si>
    <t xml:space="preserve">Population of South Africa by population group                                                                                                                    </t>
  </si>
  <si>
    <t>Table 2.1 – Mid-year population estimates by province</t>
  </si>
  <si>
    <t xml:space="preserve">Estimated population by population group, per province – 2011                                                                                                                                 </t>
  </si>
  <si>
    <t>2.1</t>
  </si>
  <si>
    <t>Mid-year population estimates by province</t>
  </si>
  <si>
    <t xml:space="preserve">Economically active population for 1985, 1991, 1996 and 2001                                                                                </t>
  </si>
  <si>
    <t xml:space="preserve">Number of farm employees and domestic workers on farms                                                                                         </t>
  </si>
  <si>
    <t>4.1</t>
  </si>
  <si>
    <t>Employment in agriculture, hunting, forestry and fishing, and total employment</t>
  </si>
  <si>
    <t>Land utilisation in South Africa – 1991</t>
  </si>
  <si>
    <t xml:space="preserve">Number of farming units and land utilisation by dominant branches of agriculture per province  </t>
  </si>
  <si>
    <t>in the RSA</t>
  </si>
  <si>
    <t>Field crops</t>
  </si>
  <si>
    <t>Maize: area planted, production, producer prices, producer price index and gross value</t>
  </si>
  <si>
    <t>Maize: deliveries, selling prices, consumption, exports and average export realisation</t>
  </si>
  <si>
    <t>Maize: production per province</t>
  </si>
  <si>
    <t>Wheat: area planted, production, producer prices, producer price index and gross value</t>
  </si>
  <si>
    <t>Wheat: deliveries, selling prices, consumption and exports</t>
  </si>
  <si>
    <t>Wheat: production per province</t>
  </si>
  <si>
    <t>Grain sorghum: area planted, floor and producer prices, producer price index and gross value</t>
  </si>
  <si>
    <t>Grain sorghum: deliveries, consumption, exports and average export realisation</t>
  </si>
  <si>
    <t>Groundnuts: area planted, production, producer prices, producer price index and gross value</t>
  </si>
  <si>
    <t>Groundnuts: sales by producers, local sales and exports</t>
  </si>
  <si>
    <t>Sunflower seed: area planted, production, producer prices, producer price index and gross value</t>
  </si>
  <si>
    <t>Sunflower seed: sales by producers, local sales and exports</t>
  </si>
  <si>
    <t>Soya beans: area planted, production, producer prices, producer price index and gross value</t>
  </si>
  <si>
    <t>Soya beans: deliveries by producers, processing and exports</t>
  </si>
  <si>
    <t xml:space="preserve">Oats: area planted, production, producer prices and price index, gross value, deliveries and </t>
  </si>
  <si>
    <t>quantity processed</t>
  </si>
  <si>
    <t xml:space="preserve">Barley: area planted, production, producer prices and price index, gross value, deliveries and </t>
  </si>
  <si>
    <t>Canola: area planted, production, producer prices and price index, gross value, deliveries and quantity processed</t>
  </si>
  <si>
    <t>Dry beans: area planted, production and producer prices</t>
  </si>
  <si>
    <t>Dry beans: gross value, price index, marketing, consumption, imports and exports</t>
  </si>
  <si>
    <t>Cowpeas, dry peas and lentils: production and gross value</t>
  </si>
  <si>
    <t xml:space="preserve">Sugar cane: area planted, production, producer prices, producer price index and gross value, </t>
  </si>
  <si>
    <t>and production and exports of sugar</t>
  </si>
  <si>
    <t>Chicory: area planted, production, producer prices, gross value, selling prices and consumption</t>
  </si>
  <si>
    <t>Cotton: area planted, production, producer price, price index and gross value</t>
  </si>
  <si>
    <t>Wattle bark: production, producer price, gross value and exports</t>
  </si>
  <si>
    <t xml:space="preserve">Lucerne and other hay: area planted to lucerne; producer price of lucerne hay; and production </t>
  </si>
  <si>
    <t xml:space="preserve">and gross values of hay and lucerne seed  </t>
  </si>
  <si>
    <t>Tobacco: area planted and production of leaf tobacco</t>
  </si>
  <si>
    <t>Tobacco: production, average producer price, gross value, price index and selling prices</t>
  </si>
  <si>
    <r>
      <t>2018/19</t>
    </r>
    <r>
      <rPr>
        <rFont val="Arial"/>
        <color rgb="FF000000"/>
        <sz val="8.0"/>
        <vertAlign val="superscript"/>
      </rPr>
      <t>5</t>
    </r>
  </si>
  <si>
    <t>Source:</t>
  </si>
  <si>
    <t>Maize Board until April 1997</t>
  </si>
  <si>
    <t>NAMC: S&amp;DEC</t>
  </si>
  <si>
    <r>
      <rPr>
        <rFont val="Arial"/>
        <color rgb="FF000000"/>
        <sz val="7.0"/>
        <vertAlign val="superscript"/>
      </rPr>
      <t>1</t>
    </r>
    <r>
      <rPr>
        <rFont val="Times New Roman"/>
        <color rgb="FF000000"/>
        <sz val="7.0"/>
      </rPr>
      <t xml:space="preserve">   </t>
    </r>
    <r>
      <rPr>
        <rFont val="Arial"/>
        <color rgb="FF000000"/>
        <sz val="7.0"/>
        <u/>
      </rPr>
      <t>Small quantities</t>
    </r>
    <r>
      <rPr>
        <rFont val="Arial"/>
        <color rgb="FF000000"/>
        <sz val="7.0"/>
      </rPr>
      <t>: 1 ton and more, but less than 38 tons</t>
    </r>
  </si>
  <si>
    <r>
      <t xml:space="preserve">        </t>
    </r>
    <r>
      <rPr>
        <rFont val="Arial"/>
        <color rgb="FF000000"/>
        <sz val="7.0"/>
        <u/>
      </rPr>
      <t xml:space="preserve"> Large quantities</t>
    </r>
    <r>
      <rPr>
        <rFont val="Arial"/>
        <color rgb="FF000000"/>
        <sz val="7.0"/>
      </rPr>
      <t>: 190 tons and more</t>
    </r>
  </si>
  <si>
    <t xml:space="preserve">     Prior to 1982/83: 1 ton and more, but less than 36 tons</t>
  </si>
  <si>
    <t xml:space="preserve">         Prior to 1982/83: 216 tons and more</t>
  </si>
  <si>
    <t xml:space="preserve">     Prior to 1979/80: 1 ton and more, but less than 5 tons</t>
  </si>
  <si>
    <t xml:space="preserve">         Prior to 1979/80: 380 tons and more</t>
  </si>
  <si>
    <t xml:space="preserve">     Prior to 1971/72: 1 ton and more, but less than 2 tons</t>
  </si>
  <si>
    <t xml:space="preserve">         Prior to 1971/72: 453 tons and more</t>
  </si>
  <si>
    <r>
      <rPr>
        <rFont val="Arial"/>
        <color rgb="FF000000"/>
        <sz val="7.0"/>
        <vertAlign val="superscript"/>
      </rPr>
      <t>2</t>
    </r>
    <r>
      <rPr>
        <rFont val="Arial"/>
        <color rgb="FF000000"/>
        <sz val="7.0"/>
      </rPr>
      <t xml:space="preserve">   Commercial, excluding gristing</t>
    </r>
  </si>
  <si>
    <r>
      <rPr>
        <rFont val="Arial"/>
        <color rgb="FF000000"/>
        <sz val="7.0"/>
        <vertAlign val="superscript"/>
      </rPr>
      <t>3</t>
    </r>
    <r>
      <rPr>
        <rFont val="Times New Roman"/>
        <color rgb="FF000000"/>
        <sz val="7.0"/>
      </rPr>
      <t>   </t>
    </r>
    <r>
      <rPr>
        <rFont val="Arial"/>
        <color rgb="FF000000"/>
        <sz val="7.0"/>
      </rPr>
      <t>Maize and maize products, including sales to adjacent countries</t>
    </r>
  </si>
  <si>
    <r>
      <rPr>
        <rFont val="Arial"/>
        <color rgb="FF000000"/>
        <sz val="7.0"/>
        <vertAlign val="superscript"/>
      </rPr>
      <t>4</t>
    </r>
    <r>
      <rPr>
        <rFont val="Times New Roman"/>
        <color rgb="FF000000"/>
        <sz val="7.0"/>
      </rPr>
      <t xml:space="preserve">   </t>
    </r>
    <r>
      <rPr>
        <rFont val="Arial"/>
        <color rgb="FF000000"/>
        <sz val="7.0"/>
      </rPr>
      <t>As from 01/01/1984, the price was increased to R200,50</t>
    </r>
  </si>
  <si>
    <r>
      <rPr>
        <rFont val="Arial"/>
        <color rgb="FF000000"/>
        <sz val="7.0"/>
        <vertAlign val="superscript"/>
      </rPr>
      <t>5</t>
    </r>
    <r>
      <rPr>
        <rFont val="Times New Roman"/>
        <color rgb="FF000000"/>
        <sz val="7.0"/>
      </rPr>
      <t xml:space="preserve">   </t>
    </r>
    <r>
      <rPr>
        <rFont val="Arial"/>
        <color rgb="FF000000"/>
        <sz val="7.0"/>
      </rPr>
      <t>As from 01/01/1984, the price was increased to R200,30</t>
    </r>
  </si>
  <si>
    <r>
      <rPr>
        <rFont val="Arial"/>
        <color rgb="FF000000"/>
        <sz val="7.0"/>
        <vertAlign val="superscript"/>
      </rPr>
      <t>6</t>
    </r>
    <r>
      <rPr>
        <rFont val="Times New Roman"/>
        <color rgb="FF000000"/>
        <sz val="7.0"/>
      </rPr>
      <t>   </t>
    </r>
    <r>
      <rPr>
        <rFont val="Arial"/>
        <color rgb="FF000000"/>
        <sz val="7.0"/>
      </rPr>
      <t>As from 01/01/1984, the price was increased to R187,05</t>
    </r>
  </si>
  <si>
    <r>
      <rPr>
        <rFont val="Arial"/>
        <color rgb="FF000000"/>
        <sz val="7.0"/>
        <vertAlign val="superscript"/>
      </rPr>
      <t>7</t>
    </r>
    <r>
      <rPr>
        <rFont val="Times New Roman"/>
        <color rgb="FF000000"/>
        <sz val="7.0"/>
      </rPr>
      <t xml:space="preserve">   </t>
    </r>
    <r>
      <rPr>
        <rFont val="Arial"/>
        <color rgb="FF000000"/>
        <sz val="7.0"/>
      </rPr>
      <t>Weighted average price</t>
    </r>
  </si>
  <si>
    <r>
      <rPr>
        <rFont val="Arial"/>
        <color rgb="FF000000"/>
        <sz val="7.0"/>
        <vertAlign val="superscript"/>
      </rPr>
      <t>8</t>
    </r>
    <r>
      <rPr>
        <rFont val="Times New Roman"/>
        <color rgb="FF000000"/>
        <sz val="7.0"/>
      </rPr>
      <t xml:space="preserve">   </t>
    </r>
    <r>
      <rPr>
        <rFont val="Arial"/>
        <color rgb="FF000000"/>
        <sz val="7.0"/>
      </rPr>
      <t>Preliminary</t>
    </r>
  </si>
  <si>
    <r>
      <rPr>
        <rFont val="Arial"/>
        <color rgb="FF000000"/>
        <sz val="7.0"/>
        <vertAlign val="superscript"/>
      </rPr>
      <t>8</t>
    </r>
    <r>
      <rPr>
        <rFont val="Times New Roman"/>
        <color rgb="FF000000"/>
        <sz val="7.0"/>
      </rPr>
      <t xml:space="preserve">   </t>
    </r>
    <r>
      <rPr>
        <rFont val="Arial"/>
        <color rgb="FF000000"/>
        <sz val="7.0"/>
      </rPr>
      <t>Preliminary</t>
    </r>
  </si>
  <si>
    <r>
      <t>Table 9 – Maize: production per province</t>
    </r>
    <r>
      <rPr>
        <rFont val="Arial"/>
        <color rgb="FF000000"/>
        <sz val="8.0"/>
        <vertAlign val="superscript"/>
      </rPr>
      <t>1</t>
    </r>
  </si>
  <si>
    <r>
      <t>Production</t>
    </r>
    <r>
      <rPr>
        <rFont val="Arial"/>
        <color rgb="FF000000"/>
        <sz val="8.0"/>
        <vertAlign val="superscript"/>
      </rPr>
      <t>2</t>
    </r>
  </si>
  <si>
    <t>Cape</t>
  </si>
  <si>
    <t>Natal</t>
  </si>
  <si>
    <t>Transvaal</t>
  </si>
  <si>
    <r>
      <t>Production</t>
    </r>
    <r>
      <rPr>
        <rFont val="Arial"/>
        <color rgb="FF000000"/>
        <sz val="8.0"/>
        <vertAlign val="superscript"/>
      </rPr>
      <t>2, 3</t>
    </r>
  </si>
  <si>
    <t xml:space="preserve">Western </t>
  </si>
  <si>
    <t xml:space="preserve">Eastern </t>
  </si>
  <si>
    <t xml:space="preserve">Northern </t>
  </si>
  <si>
    <t xml:space="preserve">Free </t>
  </si>
  <si>
    <t xml:space="preserve">KwaZulu- </t>
  </si>
  <si>
    <t>Mpuma-</t>
  </si>
  <si>
    <t xml:space="preserve">North </t>
  </si>
  <si>
    <t>State</t>
  </si>
  <si>
    <t>langa</t>
  </si>
  <si>
    <t>West</t>
  </si>
  <si>
    <t>iv</t>
  </si>
  <si>
    <t>Horticulture</t>
  </si>
  <si>
    <t xml:space="preserve">Apples: production, sales on markets, exports, purchases for processing, prices realised, </t>
  </si>
  <si>
    <t>gross value and total value of production</t>
  </si>
  <si>
    <t xml:space="preserve">Apricots: production, sales on markets, exports, purchases for processing, prices realised, </t>
  </si>
  <si>
    <t xml:space="preserve">Grapes: production, sales on markets, exports, purchases for processing, prices realised, </t>
  </si>
  <si>
    <t xml:space="preserve">Pears: production, sales on markets, exports, purchases for processing, prices realised, </t>
  </si>
  <si>
    <t xml:space="preserve">Peaches: production, sales on markets, exports, purchases for processing, prices realised, </t>
  </si>
  <si>
    <t xml:space="preserve">Plums: production, sales on markets, exports, purchases for processing, prices realised, </t>
  </si>
  <si>
    <t>grossvalue and total value of production</t>
  </si>
  <si>
    <t>Prunes, cherries and quinces: production and gross value</t>
  </si>
  <si>
    <t xml:space="preserve">Figs: production, sales on markets, exports, purchases for processing, prices realised, gross </t>
  </si>
  <si>
    <t>value and total value of production</t>
  </si>
  <si>
    <t>Strawberries and other berries: production, gross value, sales on markets and purchases for</t>
  </si>
  <si>
    <t>processing</t>
  </si>
  <si>
    <t>Watermelons, melons and other summer fruit: production, gross value, sales on markets</t>
  </si>
  <si>
    <t>Dried fruit: production</t>
  </si>
  <si>
    <t>Wine: production and average prices</t>
  </si>
  <si>
    <t>Avocados and bananas: production, gross value, sales on markets and exports</t>
  </si>
  <si>
    <t>Granadillas and litchis: production, gross value, sales on markets and purchases for processing</t>
  </si>
  <si>
    <t>Guavas and loquats: production, gross value, sales on markets and purchases for processing</t>
  </si>
  <si>
    <t>Mangoes and papayas: production, gross value, sales on markets</t>
  </si>
  <si>
    <t>Pineapples: production, gross value, sales on markets, purchases for processing and exports</t>
  </si>
  <si>
    <t>Oranges: production, gross value, sales on markets, exports and purchases for processing</t>
  </si>
  <si>
    <t>Lemons: production, gross value, sales on markets, exports and purchases for processing</t>
  </si>
  <si>
    <t>Grapefruit: production, gross value, sales on markets, exports and purchases for processing</t>
  </si>
  <si>
    <t>Naartjes: production, gross value, sales on markets and exports</t>
  </si>
  <si>
    <t>Production of vegetables</t>
  </si>
  <si>
    <t>Quantity of important vegetables sold on the major fresh produce markets</t>
  </si>
  <si>
    <t>Average price of important vegetables sold on the major fresh produce markets</t>
  </si>
  <si>
    <t>Livestock</t>
  </si>
  <si>
    <t>Cattle numbers, numbers slaughtered and average price of beef</t>
  </si>
  <si>
    <t>Cattle: composition of the herd in RSA</t>
  </si>
  <si>
    <t>Production and consumption of beef and veal</t>
  </si>
  <si>
    <t>Production of cattle hides and calf skins</t>
  </si>
  <si>
    <t>Pig numbers, number slaughtered and average price, production and consumption of pork</t>
  </si>
  <si>
    <t>Sheep and goat numbers: breed composition RSA</t>
  </si>
  <si>
    <t>Sheep, lambs and goats: slaughterings at abattoirs, auction prices on the hook, production and</t>
  </si>
  <si>
    <t>consumption</t>
  </si>
  <si>
    <t>Wool sales at auctions and mohair production</t>
  </si>
  <si>
    <t>Value of wool sales at auctions and average auction prices</t>
  </si>
  <si>
    <t>Production of sheep and goat skins and karakul pelts</t>
  </si>
  <si>
    <r>
      <t>Table 3 – Economically active population for 1985</t>
    </r>
    <r>
      <rPr>
        <rFont val="Calibri"/>
        <color rgb="FF000000"/>
        <sz val="8.0"/>
        <vertAlign val="superscript"/>
      </rPr>
      <t>1</t>
    </r>
    <r>
      <rPr>
        <rFont val="Arial"/>
        <color rgb="FF000000"/>
        <sz val="8.0"/>
      </rPr>
      <t>, 1991</t>
    </r>
    <r>
      <rPr>
        <rFont val="Arial"/>
        <color rgb="FF000000"/>
        <sz val="8.0"/>
        <vertAlign val="superscript"/>
      </rPr>
      <t>1</t>
    </r>
    <r>
      <rPr>
        <rFont val="Arial"/>
        <color rgb="FF000000"/>
        <sz val="8.0"/>
      </rPr>
      <t>, 1996</t>
    </r>
    <r>
      <rPr>
        <rFont val="Calibri"/>
        <color rgb="FF000000"/>
        <sz val="8.0"/>
        <vertAlign val="superscript"/>
      </rPr>
      <t>2</t>
    </r>
    <r>
      <rPr>
        <rFont val="Arial"/>
        <color rgb="FF000000"/>
        <sz val="9.0"/>
        <vertAlign val="superscript"/>
      </rPr>
      <t xml:space="preserve">, </t>
    </r>
    <r>
      <rPr>
        <rFont val="Calibri"/>
        <color rgb="FF000000"/>
        <sz val="8.0"/>
        <vertAlign val="superscript"/>
      </rPr>
      <t>3</t>
    </r>
    <r>
      <rPr>
        <rFont val="Arial"/>
        <color rgb="FF000000"/>
        <sz val="9.0"/>
        <vertAlign val="superscript"/>
      </rPr>
      <t xml:space="preserve">, </t>
    </r>
    <r>
      <rPr>
        <rFont val="Calibri"/>
        <color rgb="FF000000"/>
        <sz val="8.0"/>
        <vertAlign val="superscript"/>
      </rPr>
      <t>4</t>
    </r>
    <r>
      <rPr>
        <rFont val="Arial"/>
        <color rgb="FF000000"/>
        <sz val="8.0"/>
      </rPr>
      <t xml:space="preserve"> and 2001</t>
    </r>
    <r>
      <rPr>
        <rFont val="Arial"/>
        <color rgb="FF000000"/>
        <sz val="8.0"/>
        <vertAlign val="superscript"/>
      </rPr>
      <t>2, 3, 4</t>
    </r>
  </si>
  <si>
    <r>
      <t>Economic Sector</t>
    </r>
    <r>
      <rPr>
        <rFont val="Arial"/>
        <color rgb="FF000000"/>
        <sz val="8.0"/>
        <vertAlign val="superscript"/>
      </rPr>
      <t>5</t>
    </r>
  </si>
  <si>
    <t>Census Year</t>
  </si>
  <si>
    <t>v</t>
  </si>
  <si>
    <t>Livestock (continued)</t>
  </si>
  <si>
    <t>Livestock numbers and livestock losses – commercial producers</t>
  </si>
  <si>
    <t>Meat and eggs: production of white meat and eggs, and consumption of white and red meat</t>
  </si>
  <si>
    <t xml:space="preserve">Agriculture, hunting, </t>
  </si>
  <si>
    <t>and eggs</t>
  </si>
  <si>
    <t>Utilisation of milk production</t>
  </si>
  <si>
    <t>Production of dairy products</t>
  </si>
  <si>
    <r>
      <t>2017/18</t>
    </r>
    <r>
      <rPr>
        <rFont val="Arial"/>
        <color rgb="FF000000"/>
        <sz val="8.0"/>
        <vertAlign val="superscript"/>
      </rPr>
      <t>4</t>
    </r>
  </si>
  <si>
    <t>Prices of fresh milk and eggs</t>
  </si>
  <si>
    <t>Consumption of dairy products</t>
  </si>
  <si>
    <t>Value of production, income and expenditure of the farm sector</t>
  </si>
  <si>
    <t>forestry and fishing</t>
  </si>
  <si>
    <t>Value of certain intermediate production goods purchased</t>
  </si>
  <si>
    <t>Gross and net farm income and gross value added by the agricultural sector</t>
  </si>
  <si>
    <t>Annual gross value added by industry at current prices</t>
  </si>
  <si>
    <t>Percentage contribution to gross value added by industry at current prices</t>
  </si>
  <si>
    <r>
      <rPr>
        <rFont val="Arial"/>
        <color rgb="FF000000"/>
        <sz val="7.0"/>
        <vertAlign val="superscript"/>
      </rPr>
      <t>1</t>
    </r>
    <r>
      <rPr>
        <rFont val="Arial"/>
        <color rgb="FF000000"/>
        <sz val="7.0"/>
      </rPr>
      <t>   Excluding hybrid seed</t>
    </r>
  </si>
  <si>
    <t>Gross value of agricultural production</t>
  </si>
  <si>
    <t>Gross value of individual products</t>
  </si>
  <si>
    <r>
      <rPr>
        <rFont val="Arial"/>
        <color rgb="FF000000"/>
        <sz val="7.0"/>
        <vertAlign val="superscript"/>
      </rPr>
      <t>2</t>
    </r>
    <r>
      <rPr>
        <rFont val="Arial"/>
        <color rgb="FF000000"/>
        <sz val="7.0"/>
      </rPr>
      <t>   Commercial production in the RSA</t>
    </r>
  </si>
  <si>
    <t>Mining and quarrying</t>
  </si>
  <si>
    <t>Gross value of certain major vegetables</t>
  </si>
  <si>
    <r>
      <rPr>
        <rFont val="Arial"/>
        <color rgb="FF000000"/>
        <sz val="7.0"/>
        <vertAlign val="superscript"/>
      </rPr>
      <t>3</t>
    </r>
    <r>
      <rPr>
        <rFont val="Arial"/>
        <color rgb="FF000000"/>
        <sz val="7.0"/>
      </rPr>
      <t xml:space="preserve">   Source: From 1990/91, Crop Estimates Committee</t>
    </r>
  </si>
  <si>
    <t>Capital formation, farm assets and liabilities</t>
  </si>
  <si>
    <r>
      <rPr>
        <rFont val="Arial"/>
        <color rgb="FF000000"/>
        <sz val="7.0"/>
        <vertAlign val="superscript"/>
      </rPr>
      <t>4</t>
    </r>
    <r>
      <rPr>
        <rFont val="Arial"/>
        <color rgb="FF000000"/>
        <sz val="7.0"/>
      </rPr>
      <t>   Preliminary</t>
    </r>
  </si>
  <si>
    <t>Gross capital formation in agriculture</t>
  </si>
  <si>
    <t>Value of capital assets on commercial farms</t>
  </si>
  <si>
    <t>Total farming debt</t>
  </si>
  <si>
    <t>International Trade</t>
  </si>
  <si>
    <t>Value of imports and exports – total and for agriculture</t>
  </si>
  <si>
    <t>Manufacturing</t>
  </si>
  <si>
    <t>Value of the Southern African Customs Union (SACU) exports of agricultural products</t>
  </si>
  <si>
    <t>Value of the Southern African Customs Union (SACU) exports of agricultural products by country</t>
  </si>
  <si>
    <t>of destination</t>
  </si>
  <si>
    <t>Value of the Southern African Customs Union (SACU) imports of agricultural products</t>
  </si>
  <si>
    <t xml:space="preserve">Value of the Southern African Customs Union (SACU) imports of agricultural products by country </t>
  </si>
  <si>
    <t>of origin</t>
  </si>
  <si>
    <t>Electricity, gas and</t>
  </si>
  <si>
    <t>Table 10 – Wheat: area planted, production, producer prices, producer price index and gross value</t>
  </si>
  <si>
    <t>Indices</t>
  </si>
  <si>
    <r>
      <t>Area planted</t>
    </r>
    <r>
      <rPr>
        <rFont val="Arial"/>
        <color rgb="FF000000"/>
        <sz val="8.0"/>
        <vertAlign val="superscript"/>
      </rPr>
      <t>1</t>
    </r>
  </si>
  <si>
    <t>water supply</t>
  </si>
  <si>
    <t>Indices of the volume of agricultural production (split-years)</t>
  </si>
  <si>
    <r>
      <t>Total produc-tion</t>
    </r>
    <r>
      <rPr>
        <rFont val="Arial"/>
        <color rgb="FF000000"/>
        <sz val="8.0"/>
        <vertAlign val="superscript"/>
      </rPr>
      <t>2</t>
    </r>
  </si>
  <si>
    <t>Indices of the volume of agricultural production (calendar years)</t>
  </si>
  <si>
    <r>
      <t>Gross value of production</t>
    </r>
    <r>
      <rPr>
        <rFont val="Arial"/>
        <color rgb="FF000000"/>
        <sz val="8.0"/>
        <vertAlign val="superscript"/>
      </rPr>
      <t>2</t>
    </r>
  </si>
  <si>
    <r>
      <t>Producer prices</t>
    </r>
    <r>
      <rPr>
        <rFont val="Arial"/>
        <color rgb="FF000000"/>
        <sz val="8.0"/>
        <vertAlign val="superscript"/>
      </rPr>
      <t>3</t>
    </r>
  </si>
  <si>
    <t>Indices of producer prices of agricultural products</t>
  </si>
  <si>
    <t>Indices of producer prices of field crops</t>
  </si>
  <si>
    <r>
      <t>Price index</t>
    </r>
    <r>
      <rPr>
        <rFont val="Arial"/>
        <color rgb="FF000000"/>
        <sz val="8.0"/>
        <vertAlign val="superscript"/>
      </rPr>
      <t>6</t>
    </r>
  </si>
  <si>
    <t>Marketing year: Oct. to Sep.</t>
  </si>
  <si>
    <t>Indices of producer prices of horticultural products</t>
  </si>
  <si>
    <t>Indices of producer prices of vegetables</t>
  </si>
  <si>
    <r>
      <t>BS1</t>
    </r>
    <r>
      <rPr>
        <rFont val="Arial"/>
        <color rgb="FF000000"/>
        <sz val="8.0"/>
        <vertAlign val="superscript"/>
      </rPr>
      <t>4</t>
    </r>
  </si>
  <si>
    <t>Construction</t>
  </si>
  <si>
    <t>Indices of producer prices of animal products</t>
  </si>
  <si>
    <r>
      <t>BL1</t>
    </r>
    <r>
      <rPr>
        <rFont val="Arial"/>
        <color rgb="FF000000"/>
        <sz val="8.0"/>
        <vertAlign val="superscript"/>
      </rPr>
      <t>5</t>
    </r>
  </si>
  <si>
    <t>Indices of producer prices of certain livestock products</t>
  </si>
  <si>
    <t>Basic</t>
  </si>
  <si>
    <t>Indices of consumer prices</t>
  </si>
  <si>
    <t>Price indices of farming requisites</t>
  </si>
  <si>
    <t>Price indices of machinery and implements</t>
  </si>
  <si>
    <t>Price indices of intermediate goods and services</t>
  </si>
  <si>
    <t xml:space="preserve">Weighted annual interest rates and interest rate index with respect to the Land Bank, </t>
  </si>
  <si>
    <t>co-operatives and commercial banks</t>
  </si>
  <si>
    <t xml:space="preserve">Wholesale and retail </t>
  </si>
  <si>
    <t>Miscellaneous</t>
  </si>
  <si>
    <t xml:space="preserve">trade and catering </t>
  </si>
  <si>
    <t>Private consumption expenditure on food</t>
  </si>
  <si>
    <t>and accomodation</t>
  </si>
  <si>
    <t>Per capita consumption of various agricultural products</t>
  </si>
  <si>
    <t>vii</t>
  </si>
  <si>
    <t xml:space="preserve">Transport, storage </t>
  </si>
  <si>
    <t>and communication</t>
  </si>
  <si>
    <t xml:space="preserve">Finance, insurance, real </t>
  </si>
  <si>
    <t>estate and business</t>
  </si>
  <si>
    <t xml:space="preserve">Community, social and </t>
  </si>
  <si>
    <t>personal services</t>
  </si>
  <si>
    <t xml:space="preserve"> 2007/08</t>
  </si>
  <si>
    <t>2011</t>
  </si>
  <si>
    <r>
      <t>Private households</t>
    </r>
    <r>
      <rPr>
        <rFont val="Arial"/>
        <color rgb="FF000000"/>
        <sz val="8.0"/>
        <vertAlign val="superscript"/>
      </rPr>
      <t>6</t>
    </r>
  </si>
  <si>
    <t>2012</t>
  </si>
  <si>
    <r>
      <t>2017</t>
    </r>
    <r>
      <rPr>
        <rFont val="Arial"/>
        <color rgb="FF000000"/>
        <sz val="8.0"/>
        <vertAlign val="superscript"/>
      </rPr>
      <t>9</t>
    </r>
  </si>
  <si>
    <t>Unspecified</t>
  </si>
  <si>
    <r>
      <rPr>
        <rFont val="Arial"/>
        <color rgb="FF000000"/>
        <sz val="7.0"/>
        <vertAlign val="superscript"/>
      </rPr>
      <t>1</t>
    </r>
    <r>
      <rPr>
        <rFont val="Arial"/>
        <color rgb="FF000000"/>
        <sz val="7.0"/>
      </rPr>
      <t xml:space="preserve">   Commercial</t>
    </r>
  </si>
  <si>
    <t xml:space="preserve">Economically active </t>
  </si>
  <si>
    <r>
      <rPr>
        <rFont val="Arial"/>
        <color rgb="FF000000"/>
        <sz val="7.0"/>
        <vertAlign val="superscript"/>
      </rPr>
      <t>2</t>
    </r>
    <r>
      <rPr>
        <rFont val="Times New Roman"/>
        <color rgb="FF000000"/>
        <sz val="7.0"/>
      </rPr>
      <t xml:space="preserve">   </t>
    </r>
    <r>
      <rPr>
        <rFont val="Arial"/>
        <color rgb="FF000000"/>
        <sz val="7.0"/>
      </rPr>
      <t>Former TBVC states and self-governing territories are included</t>
    </r>
  </si>
  <si>
    <r>
      <rPr>
        <rFont val="Arial"/>
        <color rgb="FF000000"/>
        <sz val="7.0"/>
        <vertAlign val="superscript"/>
      </rPr>
      <t>3</t>
    </r>
    <r>
      <rPr>
        <rFont val="Times New Roman"/>
        <color rgb="FF000000"/>
        <sz val="7.0"/>
      </rPr>
      <t xml:space="preserve">   </t>
    </r>
    <r>
      <rPr>
        <rFont val="Arial"/>
        <color rgb="FF000000"/>
        <sz val="7.0"/>
      </rPr>
      <t>Delivered in bulk. Until 1986 delivered in bags, prices of bags excluded</t>
    </r>
  </si>
  <si>
    <t>population</t>
  </si>
  <si>
    <r>
      <rPr>
        <rFont val="Arial"/>
        <color rgb="FF000000"/>
        <sz val="7.0"/>
        <vertAlign val="superscript"/>
      </rPr>
      <t>4</t>
    </r>
    <r>
      <rPr>
        <rFont val="Times New Roman"/>
        <color rgb="FF000000"/>
        <sz val="7.0"/>
      </rPr>
      <t xml:space="preserve">   </t>
    </r>
    <r>
      <rPr>
        <rFont val="Arial"/>
        <color rgb="FF000000"/>
        <sz val="7.0"/>
      </rPr>
      <t>From 1997/98, weighted average price</t>
    </r>
  </si>
  <si>
    <t xml:space="preserve">     Prior to 1991/92, A1</t>
  </si>
  <si>
    <r>
      <rPr>
        <rFont val="Arial"/>
        <color rgb="FF000000"/>
        <sz val="7.0"/>
        <vertAlign val="superscript"/>
      </rPr>
      <t>5</t>
    </r>
    <r>
      <rPr>
        <rFont val="Times New Roman"/>
        <color rgb="FF000000"/>
        <sz val="7.0"/>
      </rPr>
      <t>   </t>
    </r>
    <r>
      <rPr>
        <rFont val="Arial"/>
        <color rgb="FF000000"/>
        <sz val="7.0"/>
      </rPr>
      <t>From 1997/98, estimated average price</t>
    </r>
  </si>
  <si>
    <t xml:space="preserve">     Prior to 1991/92, B1</t>
  </si>
  <si>
    <r>
      <rPr>
        <rFont val="Arial"/>
        <color rgb="FF000000"/>
        <sz val="7.0"/>
        <vertAlign val="superscript"/>
      </rPr>
      <t>6</t>
    </r>
    <r>
      <rPr>
        <rFont val="Times New Roman"/>
        <color rgb="FF000000"/>
        <sz val="7.0"/>
      </rPr>
      <t xml:space="preserve">   </t>
    </r>
    <r>
      <rPr>
        <rFont val="Arial"/>
        <color rgb="FF000000"/>
        <sz val="7.0"/>
      </rPr>
      <t>Index figures are for split years</t>
    </r>
  </si>
  <si>
    <r>
      <rPr>
        <rFont val="Arial"/>
        <color rgb="FF000000"/>
        <sz val="7.0"/>
        <vertAlign val="superscript"/>
      </rPr>
      <t>7</t>
    </r>
    <r>
      <rPr>
        <rFont val="Times New Roman"/>
        <color rgb="FF000000"/>
        <sz val="7.0"/>
      </rPr>
      <t xml:space="preserve">   </t>
    </r>
    <r>
      <rPr>
        <rFont val="Arial"/>
        <color rgb="FF000000"/>
        <sz val="7.0"/>
      </rPr>
      <t>Prices for “remaining” area. Prices for southern area are R784,58 for BS1 and R759,18 for BL1</t>
    </r>
  </si>
  <si>
    <r>
      <rPr>
        <rFont val="Arial"/>
        <color rgb="FF000000"/>
        <sz val="7.0"/>
        <vertAlign val="superscript"/>
      </rPr>
      <t>8</t>
    </r>
    <r>
      <rPr>
        <rFont val="Times New Roman"/>
        <color rgb="FF000000"/>
        <sz val="7.0"/>
      </rPr>
      <t xml:space="preserve">   </t>
    </r>
    <r>
      <rPr>
        <rFont val="Arial"/>
        <color rgb="FF000000"/>
        <sz val="7.0"/>
      </rPr>
      <t>Prices for “remaining” area.  Prices for southern area are R894,26 for BS1 and R865,28 for BL1</t>
    </r>
  </si>
  <si>
    <r>
      <rPr>
        <rFont val="Arial"/>
        <color rgb="FF000000"/>
        <sz val="7.0"/>
        <vertAlign val="superscript"/>
      </rPr>
      <t>9</t>
    </r>
    <r>
      <rPr>
        <rFont val="Times New Roman"/>
        <color rgb="FF000000"/>
        <sz val="7.0"/>
      </rPr>
      <t>   </t>
    </r>
    <r>
      <rPr>
        <rFont val="Arial"/>
        <color rgb="FF000000"/>
        <sz val="7.0"/>
      </rPr>
      <t>Preliminary</t>
    </r>
  </si>
  <si>
    <t>Table 34 – Apples: production, sales on markets, exports, purchases for processing, prices realised, gross values and total value of production</t>
  </si>
  <si>
    <t>Year: October to September</t>
  </si>
  <si>
    <t>Not economically active</t>
  </si>
  <si>
    <t>Total production</t>
  </si>
  <si>
    <r>
      <t>Sales on markets</t>
    </r>
    <r>
      <rPr>
        <rFont val="Arial"/>
        <color rgb="FF000000"/>
        <sz val="8.0"/>
        <vertAlign val="superscript"/>
      </rPr>
      <t>1</t>
    </r>
  </si>
  <si>
    <t>Purchases for processing</t>
  </si>
  <si>
    <t>Dried</t>
  </si>
  <si>
    <t>Gross value</t>
  </si>
  <si>
    <t>Total value of production</t>
  </si>
  <si>
    <t>Volume</t>
  </si>
  <si>
    <t>Average price</t>
  </si>
  <si>
    <t>Net realisation</t>
  </si>
  <si>
    <t>Fresh volume</t>
  </si>
  <si>
    <t>Apples, dried</t>
  </si>
  <si>
    <t>Apples, fresh</t>
  </si>
  <si>
    <t>Tons</t>
  </si>
  <si>
    <t>Total population</t>
  </si>
  <si>
    <t>Table 11 – Wheat: deliveries, selling prices, consumption and exports</t>
  </si>
  <si>
    <t>Selling prices</t>
  </si>
  <si>
    <t>Consumption</t>
  </si>
  <si>
    <r>
      <t>BSS</t>
    </r>
    <r>
      <rPr>
        <rFont val="Arial"/>
        <color rgb="FF000000"/>
        <sz val="8.0"/>
        <vertAlign val="superscript"/>
      </rPr>
      <t>1</t>
    </r>
  </si>
  <si>
    <r>
      <t>BS1</t>
    </r>
    <r>
      <rPr>
        <rFont val="Arial"/>
        <color rgb="FF000000"/>
        <sz val="8.0"/>
        <vertAlign val="superscript"/>
      </rPr>
      <t>2</t>
    </r>
  </si>
  <si>
    <r>
      <t>BL1</t>
    </r>
    <r>
      <rPr>
        <rFont val="Arial"/>
        <color rgb="FF000000"/>
        <sz val="8.0"/>
        <vertAlign val="superscript"/>
      </rPr>
      <t>3</t>
    </r>
  </si>
  <si>
    <t>C1</t>
  </si>
  <si>
    <t>Gross human</t>
  </si>
  <si>
    <t>Source: Statistics SA – Population Censuses and 1999 October Household Survey</t>
  </si>
  <si>
    <r>
      <rPr>
        <rFont val="Arial"/>
        <color rgb="FF000000"/>
        <sz val="7.0"/>
        <vertAlign val="superscript"/>
      </rPr>
      <t>1</t>
    </r>
    <r>
      <rPr>
        <rFont val="Arial"/>
        <color rgb="FF000000"/>
        <sz val="7.0"/>
      </rPr>
      <t xml:space="preserve">   1985 and 1991 figures exclude Transkei, Bophuthatswana, Venda and Ciskei</t>
    </r>
  </si>
  <si>
    <r>
      <rPr>
        <rFont val="Arial"/>
        <color rgb="FF000000"/>
        <sz val="7.0"/>
        <vertAlign val="superscript"/>
      </rPr>
      <t>2</t>
    </r>
    <r>
      <rPr>
        <rFont val="Arial"/>
        <color rgb="FF000000"/>
        <sz val="7.0"/>
      </rPr>
      <t xml:space="preserve">   1996 and 2001 include the former TBVC states</t>
    </r>
  </si>
  <si>
    <r>
      <rPr>
        <rFont val="Arial"/>
        <color rgb="FF000000"/>
        <sz val="7.0"/>
        <vertAlign val="superscript"/>
      </rPr>
      <t>3</t>
    </r>
    <r>
      <rPr>
        <rFont val="Times New Roman"/>
        <color rgb="FF000000"/>
        <sz val="7.0"/>
      </rPr>
      <t xml:space="preserve">    </t>
    </r>
    <r>
      <rPr>
        <rFont val="Arial"/>
        <color rgb="FF000000"/>
        <sz val="7.0"/>
      </rPr>
      <t>Except for the total population, the 1996 and 2001 figures apply to the age group 15 to 65 only</t>
    </r>
  </si>
  <si>
    <r>
      <rPr>
        <rFont val="Arial"/>
        <color rgb="FF000000"/>
        <sz val="7.0"/>
        <vertAlign val="superscript"/>
      </rPr>
      <t>4</t>
    </r>
    <r>
      <rPr>
        <rFont val="Arial"/>
        <color rgb="FF000000"/>
        <sz val="7.0"/>
      </rPr>
      <t xml:space="preserve">   1996 amd 2001figures per economic sector exclude the unemployed</t>
    </r>
  </si>
  <si>
    <r>
      <rPr>
        <rFont val="Arial"/>
        <color rgb="FF000000"/>
        <sz val="7.0"/>
        <vertAlign val="superscript"/>
      </rPr>
      <t>5</t>
    </r>
    <r>
      <rPr>
        <rFont val="Arial"/>
        <color rgb="FF000000"/>
        <sz val="7.0"/>
      </rPr>
      <t xml:space="preserve">   The figures per economic sector for 1996 and 2001 are for employed people</t>
    </r>
  </si>
  <si>
    <r>
      <rPr>
        <rFont val="Arial"/>
        <color rgb="FF000000"/>
        <sz val="7.0"/>
        <vertAlign val="superscript"/>
      </rPr>
      <t>6</t>
    </r>
    <r>
      <rPr>
        <rFont val="Arial"/>
        <color rgb="FF000000"/>
        <sz val="7.0"/>
      </rPr>
      <t xml:space="preserve">   Up to 1991, included in "Community, social and personal services"</t>
    </r>
  </si>
  <si>
    <t>Table 4 – Number of farm employees and domestic workers on farms</t>
  </si>
  <si>
    <t>Date</t>
  </si>
  <si>
    <t>Coloured and Asian</t>
  </si>
  <si>
    <t>Aug. 1975</t>
  </si>
  <si>
    <t>Aug. 1976</t>
  </si>
  <si>
    <t>Aug. 1977</t>
  </si>
  <si>
    <t>Aug. 1978</t>
  </si>
  <si>
    <t>Aug. 1979</t>
  </si>
  <si>
    <t>Aug. 1980</t>
  </si>
  <si>
    <t>Aug. 1981</t>
  </si>
  <si>
    <t>Aug. 1983</t>
  </si>
  <si>
    <t>Aug. 1985</t>
  </si>
  <si>
    <t>Aug. 1986</t>
  </si>
  <si>
    <t>Aug. 1987</t>
  </si>
  <si>
    <t>Aug. 1988</t>
  </si>
  <si>
    <t>Feb. 1990</t>
  </si>
  <si>
    <t>Feb. 1991</t>
  </si>
  <si>
    <r>
      <t>2017/18</t>
    </r>
    <r>
      <rPr>
        <rFont val="Arial"/>
        <color rgb="FF000000"/>
        <sz val="8.0"/>
        <vertAlign val="superscript"/>
      </rPr>
      <t>4</t>
    </r>
  </si>
  <si>
    <t>Feb. 1992</t>
  </si>
  <si>
    <t>Feb. 1993</t>
  </si>
  <si>
    <t xml:space="preserve">2006/07 </t>
  </si>
  <si>
    <t>Feb. 1994</t>
  </si>
  <si>
    <t xml:space="preserve">2007/08 </t>
  </si>
  <si>
    <t>Source: SAGIS</t>
  </si>
  <si>
    <t xml:space="preserve">             Wheat Board until 1997</t>
  </si>
  <si>
    <t>Feb. 1995</t>
  </si>
  <si>
    <t xml:space="preserve">2008/09 </t>
  </si>
  <si>
    <r>
      <rPr>
        <rFont val="Times New Roman"/>
        <color rgb="FF000000"/>
        <sz val="7.0"/>
        <vertAlign val="superscript"/>
      </rPr>
      <t>1</t>
    </r>
    <r>
      <rPr>
        <rFont val="Times New Roman"/>
        <color rgb="FF000000"/>
        <sz val="7.0"/>
      </rPr>
      <t xml:space="preserve">     </t>
    </r>
    <r>
      <rPr>
        <rFont val="Arial"/>
        <color rgb="FF000000"/>
        <sz val="7.0"/>
      </rPr>
      <t>Prior to 1991/92, A super</t>
    </r>
  </si>
  <si>
    <t>Feb. 1996</t>
  </si>
  <si>
    <r>
      <rPr>
        <rFont val="Arial"/>
        <color rgb="FF000000"/>
        <sz val="7.0"/>
        <vertAlign val="superscript"/>
      </rPr>
      <t>2</t>
    </r>
    <r>
      <rPr>
        <rFont val="Times New Roman"/>
        <color rgb="FF000000"/>
        <sz val="7.0"/>
      </rPr>
      <t xml:space="preserve">     </t>
    </r>
    <r>
      <rPr>
        <rFont val="Arial"/>
        <color rgb="FF000000"/>
        <sz val="7.0"/>
      </rPr>
      <t>Prior to 1991/92, A1</t>
    </r>
  </si>
  <si>
    <r>
      <rPr>
        <rFont val="Arial"/>
        <color rgb="FF000000"/>
        <sz val="7.0"/>
        <vertAlign val="superscript"/>
      </rPr>
      <t>3</t>
    </r>
    <r>
      <rPr>
        <rFont val="Times New Roman"/>
        <color rgb="FF000000"/>
        <sz val="7.0"/>
      </rPr>
      <t xml:space="preserve">     </t>
    </r>
    <r>
      <rPr>
        <rFont val="Arial"/>
        <color rgb="FF000000"/>
        <sz val="7.0"/>
      </rPr>
      <t>Prior to 1991/92, B1</t>
    </r>
  </si>
  <si>
    <r>
      <rPr>
        <rFont val="Arial"/>
        <color rgb="FF000000"/>
        <sz val="7.0"/>
        <vertAlign val="superscript"/>
      </rPr>
      <t>4</t>
    </r>
    <r>
      <rPr>
        <rFont val="Times New Roman"/>
        <color rgb="FF000000"/>
        <sz val="7.0"/>
      </rPr>
      <t xml:space="preserve">     </t>
    </r>
    <r>
      <rPr>
        <rFont val="Arial"/>
        <color rgb="FF000000"/>
        <sz val="7.0"/>
      </rPr>
      <t>Preliminary</t>
    </r>
  </si>
  <si>
    <t>Feb. 2007</t>
  </si>
  <si>
    <t>Source: Statistics SA: Agricultural Censuses and Surveys</t>
  </si>
  <si>
    <t>Table 4.1 – Employment in the agric, hunting, forestry and fishing industry</t>
  </si>
  <si>
    <r>
      <t>2016/17</t>
    </r>
    <r>
      <rPr>
        <rFont val="Arial"/>
        <color rgb="FF000000"/>
        <sz val="8.0"/>
        <vertAlign val="superscript"/>
      </rPr>
      <t>2</t>
    </r>
  </si>
  <si>
    <t>Number of workers</t>
  </si>
  <si>
    <t>Table 12 – Wheat: production per province</t>
  </si>
  <si>
    <t>Sep. '07</t>
  </si>
  <si>
    <r>
      <t>Production</t>
    </r>
    <r>
      <rPr>
        <rFont val="Arial"/>
        <color rgb="FF000000"/>
        <sz val="8.0"/>
        <vertAlign val="superscript"/>
      </rPr>
      <t>1</t>
    </r>
  </si>
  <si>
    <t>Sep. '08</t>
  </si>
  <si>
    <t>Sep. '09</t>
  </si>
  <si>
    <t>Sep. '10</t>
  </si>
  <si>
    <t>Sep. '11</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</si>
  <si>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</si>
  <si>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Sep. '12</t>
  </si>
  <si>
    <t>Sep. '13</t>
  </si>
  <si>
    <t>Sep. '14</t>
  </si>
  <si>
    <t>Sep. '15</t>
  </si>
  <si>
    <t xml:space="preserve">     From 1989/90, sales on the 15 national fresh produce markets </t>
  </si>
  <si>
    <t xml:space="preserve">     From 1994/95, sales on the 15 major fresh produce markets</t>
  </si>
  <si>
    <t>Sep. '16</t>
  </si>
  <si>
    <t>Oct-Dec. '17</t>
  </si>
  <si>
    <t xml:space="preserve">     From 1996/97, sales on the 16 major fresh produce markets</t>
  </si>
  <si>
    <t xml:space="preserve">     From 2001/02, sales on the 17 major fresh produce markets </t>
  </si>
  <si>
    <t xml:space="preserve">     From 2003/04, sales on the 19  major fresh produce markets</t>
  </si>
  <si>
    <t>Workers in agriculture,  hunting, forestry and fishing</t>
  </si>
  <si>
    <t xml:space="preserve">     From 2004/05, sales on the 20 major fresh produce markets </t>
  </si>
  <si>
    <t xml:space="preserve">     From 2010/11, sales on the 19 major fresh produce markets</t>
  </si>
  <si>
    <r>
      <rPr>
        <rFont val="Arial"/>
        <color rgb="FF000000"/>
        <sz val="7.0"/>
        <vertAlign val="superscript"/>
      </rPr>
      <t>2</t>
    </r>
    <r>
      <rPr>
        <rFont val="Times New Roman"/>
        <color rgb="FF000000"/>
        <sz val="7.0"/>
      </rPr>
      <t xml:space="preserve">   </t>
    </r>
    <r>
      <rPr>
        <rFont val="Arial"/>
        <color rgb="FF000000"/>
        <sz val="7.0"/>
      </rPr>
      <t>Preliminary</t>
    </r>
  </si>
  <si>
    <t>Table 35 – Apricots: production, sales on markets, exports, purchases for processing, prices realised, gross value and total value of production</t>
  </si>
  <si>
    <r>
      <t>Sales on markets</t>
    </r>
    <r>
      <rPr>
        <rFont val="Arial"/>
        <color rgb="FF000000"/>
        <sz val="8.0"/>
        <vertAlign val="superscript"/>
      </rPr>
      <t>1</t>
    </r>
  </si>
  <si>
    <r>
      <t>Skilled agriculture</t>
    </r>
    <r>
      <rPr>
        <rFont val="Arial"/>
        <sz val="8.0"/>
        <vertAlign val="superscript"/>
      </rPr>
      <t>1</t>
    </r>
  </si>
  <si>
    <r>
      <t>Dried</t>
    </r>
    <r>
      <rPr>
        <rFont val="Arial"/>
        <color rgb="FF000000"/>
        <sz val="8.0"/>
        <vertAlign val="superscript"/>
      </rPr>
      <t>2</t>
    </r>
  </si>
  <si>
    <r>
      <t>Total employment</t>
    </r>
    <r>
      <rPr>
        <rFont val="Arial"/>
        <sz val="8.0"/>
        <vertAlign val="superscript"/>
      </rPr>
      <t>2</t>
    </r>
  </si>
  <si>
    <t>Apricots, dried</t>
  </si>
  <si>
    <t>Apricots, fresh</t>
  </si>
  <si>
    <t>13 645</t>
  </si>
  <si>
    <t>Source: Statistics SA -Quarterly Labour Force Surveys</t>
  </si>
  <si>
    <r>
      <rPr>
        <rFont val="Arial"/>
        <sz val="7.0"/>
        <vertAlign val="superscript"/>
      </rPr>
      <t>1</t>
    </r>
    <r>
      <rPr>
        <rFont val="Arial"/>
        <sz val="7.0"/>
      </rPr>
      <t xml:space="preserve">   Skilled labour figures are included in the number of workers in agriculture, hunting, forestry and fishing</t>
    </r>
  </si>
  <si>
    <r>
      <rPr>
        <rFont val="Arial"/>
        <sz val="7.0"/>
        <vertAlign val="superscript"/>
      </rPr>
      <t>2</t>
    </r>
    <r>
      <rPr>
        <rFont val="Arial"/>
        <sz val="7.0"/>
      </rPr>
      <t xml:space="preserve">   Total employment refers to all employment in all sectors</t>
    </r>
  </si>
  <si>
    <r>
      <t>Production</t>
    </r>
    <r>
      <rPr>
        <rFont val="Arial"/>
        <color rgb="FF000000"/>
        <sz val="8.0"/>
        <vertAlign val="superscript"/>
      </rPr>
      <t>1</t>
    </r>
  </si>
  <si>
    <t>KwaZulu-</t>
  </si>
  <si>
    <t>Table 5 – Land utilisation in South Africa, 19911</t>
  </si>
  <si>
    <r>
      <t>Total area</t>
    </r>
    <r>
      <rPr>
        <rFont val="Arial"/>
        <sz val="8.0"/>
        <vertAlign val="superscript"/>
      </rPr>
      <t>2</t>
    </r>
  </si>
  <si>
    <r>
      <t>Farmland</t>
    </r>
    <r>
      <rPr>
        <rFont val="Arial"/>
        <sz val="8.0"/>
        <vertAlign val="superscript"/>
      </rPr>
      <t>3</t>
    </r>
  </si>
  <si>
    <t>Farmland as % of total area</t>
  </si>
  <si>
    <t>Potentially arable land</t>
  </si>
  <si>
    <t>Potentially arable land as % of total area</t>
  </si>
  <si>
    <t>Arable land utilised</t>
  </si>
  <si>
    <t>Grazing land</t>
  </si>
  <si>
    <t>Grazing land as % of total area</t>
  </si>
  <si>
    <t>Nature conservation</t>
  </si>
  <si>
    <t>Nature conservation as % of total area</t>
  </si>
  <si>
    <t>Forestry</t>
  </si>
  <si>
    <t>Forestry as % of total area</t>
  </si>
  <si>
    <r>
      <t>Other</t>
    </r>
    <r>
      <rPr>
        <rFont val="Arial"/>
        <color rgb="FF000000"/>
        <sz val="8.0"/>
        <vertAlign val="superscript"/>
      </rPr>
      <t>4</t>
    </r>
  </si>
  <si>
    <t>Other land as % of total area</t>
  </si>
  <si>
    <t>%</t>
  </si>
  <si>
    <t>Ha</t>
  </si>
  <si>
    <t>Total agriculture in SA</t>
  </si>
  <si>
    <r>
      <t>2016</t>
    </r>
    <r>
      <rPr>
        <rFont val="Arial"/>
        <color rgb="FF000000"/>
        <sz val="8.0"/>
        <vertAlign val="superscript"/>
      </rPr>
      <t>2</t>
    </r>
  </si>
  <si>
    <r>
      <t>2017</t>
    </r>
    <r>
      <rPr>
        <rFont val="Arial"/>
        <color rgb="FF000000"/>
        <sz val="8.0"/>
        <vertAlign val="superscript"/>
      </rPr>
      <t>2</t>
    </r>
  </si>
  <si>
    <t>Source: From 1990, Crop Estimates Committee</t>
  </si>
  <si>
    <r>
      <rPr>
        <rFont val="Arial"/>
        <color rgb="FF000000"/>
        <sz val="7.0"/>
        <vertAlign val="superscript"/>
      </rPr>
      <t>1</t>
    </r>
    <r>
      <rPr>
        <rFont val="Times New Roman"/>
        <color rgb="FF000000"/>
        <sz val="7.0"/>
      </rPr>
      <t xml:space="preserve">     </t>
    </r>
    <r>
      <rPr>
        <rFont val="Arial"/>
        <color rgb="FF000000"/>
        <sz val="7.0"/>
      </rPr>
      <t>Commercial</t>
    </r>
  </si>
  <si>
    <r>
      <rPr>
        <rFont val="Arial"/>
        <color rgb="FF000000"/>
        <sz val="7.0"/>
        <vertAlign val="superscript"/>
      </rPr>
      <t>2</t>
    </r>
    <r>
      <rPr>
        <rFont val="Times New Roman"/>
        <color rgb="FF000000"/>
        <sz val="7.0"/>
      </rPr>
      <t xml:space="preserve">     </t>
    </r>
    <r>
      <rPr>
        <rFont val="Arial"/>
        <color rgb="FF000000"/>
        <sz val="7.0"/>
      </rPr>
      <t>Preliminary</t>
    </r>
  </si>
  <si>
    <r>
      <t>2016/17</t>
    </r>
    <r>
      <rPr>
        <rFont val="Arial"/>
        <color rgb="FF000000"/>
        <sz val="8.0"/>
        <vertAlign val="superscript"/>
      </rPr>
      <t>3</t>
    </r>
  </si>
  <si>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</si>
  <si>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 xml:space="preserve">     For 2003/04, sales on the 19  major fresh produce markets</t>
  </si>
  <si>
    <t>Table 13 – Grain sorghum: area planted, production,  producer prices, producer price index and gross value</t>
  </si>
  <si>
    <r>
      <rPr>
        <rFont val="Arial"/>
        <color rgb="FF000000"/>
        <sz val="7.0"/>
        <vertAlign val="superscript"/>
      </rPr>
      <t>2</t>
    </r>
    <r>
      <rPr>
        <rFont val="Times New Roman"/>
        <color rgb="FF000000"/>
        <sz val="7.0"/>
      </rPr>
      <t>   </t>
    </r>
    <r>
      <rPr>
        <rFont val="Arial"/>
        <color rgb="FF000000"/>
        <sz val="7.0"/>
      </rPr>
      <t>Mebos is included</t>
    </r>
  </si>
  <si>
    <r>
      <t>Area planted</t>
    </r>
    <r>
      <rPr>
        <rFont val="Arial"/>
        <color rgb="FF000000"/>
        <sz val="8.0"/>
        <vertAlign val="superscript"/>
      </rPr>
      <t>1</t>
    </r>
  </si>
  <si>
    <r>
      <t>Total      production</t>
    </r>
    <r>
      <rPr>
        <rFont val="Arial"/>
        <color rgb="FF000000"/>
        <sz val="8.0"/>
        <vertAlign val="superscript"/>
      </rPr>
      <t>2</t>
    </r>
  </si>
  <si>
    <t>Gross value of production</t>
  </si>
  <si>
    <t>Average net producer price3</t>
  </si>
  <si>
    <r>
      <rPr>
        <rFont val="Arial"/>
        <color rgb="FF000000"/>
        <sz val="7.0"/>
        <vertAlign val="superscript"/>
      </rPr>
      <t>3</t>
    </r>
    <r>
      <rPr>
        <rFont val="Times New Roman"/>
        <color rgb="FF000000"/>
        <sz val="7.0"/>
      </rPr>
      <t>   </t>
    </r>
    <r>
      <rPr>
        <rFont val="Arial"/>
        <color rgb="FF000000"/>
        <sz val="7.0"/>
      </rPr>
      <t>Preliminary</t>
    </r>
  </si>
  <si>
    <r>
      <t>Price index</t>
    </r>
    <r>
      <rPr>
        <rFont val="Arial"/>
        <color rgb="FF000000"/>
        <sz val="8.0"/>
        <vertAlign val="superscript"/>
      </rPr>
      <t>4</t>
    </r>
  </si>
  <si>
    <t>Marketing year:  March to February</t>
  </si>
  <si>
    <t>Table 36 – Grapes: production, sales on markets, exports, purchases for processing, prices realised, gross values and total value of production</t>
  </si>
  <si>
    <t>2010=100</t>
  </si>
  <si>
    <r>
      <t>Sales on markets</t>
    </r>
    <r>
      <rPr>
        <rFont val="Arial"/>
        <color rgb="FF000000"/>
        <sz val="8.0"/>
        <vertAlign val="superscript"/>
      </rPr>
      <t>1</t>
    </r>
  </si>
  <si>
    <t>Pressed</t>
  </si>
  <si>
    <r>
      <t>1996</t>
    </r>
    <r>
      <rPr>
        <rFont val="Arial"/>
        <color rgb="FF000000"/>
        <sz val="8.0"/>
        <vertAlign val="superscript"/>
      </rPr>
      <t>5</t>
    </r>
  </si>
  <si>
    <t>Grapes, pressed</t>
  </si>
  <si>
    <t>Grapes, dried</t>
  </si>
  <si>
    <t>Table grapes</t>
  </si>
  <si>
    <r>
      <t>1997</t>
    </r>
    <r>
      <rPr>
        <rFont val="Arial"/>
        <color rgb="FF000000"/>
        <sz val="8.0"/>
        <vertAlign val="superscript"/>
      </rPr>
      <t>5</t>
    </r>
  </si>
  <si>
    <t xml:space="preserve">1999/00 </t>
  </si>
  <si>
    <t>Northern Province</t>
  </si>
  <si>
    <t>2 638,36</t>
  </si>
  <si>
    <r>
      <t>2017/18</t>
    </r>
    <r>
      <rPr>
        <rFont val="Arial"/>
        <color rgb="FF000000"/>
        <sz val="8.0"/>
        <vertAlign val="superscript"/>
      </rPr>
      <t>6</t>
    </r>
  </si>
  <si>
    <t>Developing Agriculture in former homelands</t>
  </si>
  <si>
    <r>
      <t>Production</t>
    </r>
    <r>
      <rPr>
        <rFont val="Arial"/>
        <color rgb="FF000000"/>
        <sz val="8.0"/>
        <vertAlign val="superscript"/>
      </rPr>
      <t>1</t>
    </r>
  </si>
  <si>
    <r>
      <t>2016/17</t>
    </r>
    <r>
      <rPr>
        <rFont val="Arial"/>
        <color rgb="FF000000"/>
        <sz val="8.0"/>
        <vertAlign val="superscript"/>
      </rPr>
      <t>2</t>
    </r>
  </si>
  <si>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</si>
  <si>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 xml:space="preserve">    From 1989/90, sales on the 15 national fresh produce markets </t>
  </si>
  <si>
    <t xml:space="preserve">    From 1994/95, sales on the 15 major fresh produce markets</t>
  </si>
  <si>
    <t xml:space="preserve">    From 1996/97, sales on the 16 major fresh produce markets</t>
  </si>
  <si>
    <t xml:space="preserve">    From 2001/02, sales on the 17 major fresh produce markets </t>
  </si>
  <si>
    <t xml:space="preserve">    From 2003/04, sales on the 19  major fresh produce markets</t>
  </si>
  <si>
    <t xml:space="preserve">    From 2004/05, sales on the 20 major fresh produce markets </t>
  </si>
  <si>
    <t>North-West</t>
  </si>
  <si>
    <t xml:space="preserve">    From 2010/11, sales on the 19 major fresh produce markets</t>
  </si>
  <si>
    <r>
      <rPr>
        <rFont val="Arial"/>
        <color rgb="FF000000"/>
        <sz val="7.0"/>
        <vertAlign val="superscript"/>
      </rPr>
      <t>2</t>
    </r>
    <r>
      <rPr>
        <rFont val="Arial"/>
        <color rgb="FF000000"/>
        <sz val="7.0"/>
      </rPr>
      <t xml:space="preserve">  Preliminary</t>
    </r>
  </si>
  <si>
    <t>Table 37 – Pears: production, sales on markets, exports, purchases for processing, prices realised, gross values and total value of production</t>
  </si>
  <si>
    <t>Commercial Agriculture</t>
  </si>
  <si>
    <r>
      <t>Sales on markets</t>
    </r>
    <r>
      <rPr>
        <rFont val="Arial"/>
        <color rgb="FF000000"/>
        <sz val="8.0"/>
        <vertAlign val="superscript"/>
      </rPr>
      <t>1</t>
    </r>
  </si>
  <si>
    <r>
      <t>2017/18</t>
    </r>
    <r>
      <rPr>
        <rFont val="Arial"/>
        <color rgb="FF000000"/>
        <sz val="8.0"/>
        <vertAlign val="superscript"/>
      </rPr>
      <t>6</t>
    </r>
  </si>
  <si>
    <r>
      <rPr>
        <rFont val="Arial"/>
        <color rgb="FF000000"/>
        <sz val="7.0"/>
        <vertAlign val="superscript"/>
      </rPr>
      <t>1</t>
    </r>
    <r>
      <rPr>
        <rFont val="Arial"/>
        <color rgb="FF000000"/>
        <sz val="7.0"/>
      </rPr>
      <t>    Commercial</t>
    </r>
  </si>
  <si>
    <r>
      <rPr>
        <rFont val="Arial"/>
        <color rgb="FF000000"/>
        <sz val="7.0"/>
        <vertAlign val="superscript"/>
      </rPr>
      <t>2</t>
    </r>
    <r>
      <rPr>
        <rFont val="Arial"/>
        <color rgb="FF000000"/>
        <sz val="7.0"/>
      </rPr>
      <t>    Former TBVC states and self-governing territories are included</t>
    </r>
  </si>
  <si>
    <t>Pears, dried</t>
  </si>
  <si>
    <t>Pears, fresh</t>
  </si>
  <si>
    <r>
      <rPr>
        <rFont val="Times New Roman"/>
        <color rgb="FF000000"/>
        <sz val="7.0"/>
        <vertAlign val="superscript"/>
      </rPr>
      <t>3</t>
    </r>
    <r>
      <rPr>
        <rFont val="Times New Roman"/>
        <color rgb="FF000000"/>
        <sz val="7.0"/>
      </rPr>
      <t xml:space="preserve">    </t>
    </r>
    <r>
      <rPr>
        <rFont val="Arial"/>
        <color rgb="FF000000"/>
        <sz val="7.0"/>
      </rPr>
      <t>Including supplementary payment</t>
    </r>
  </si>
  <si>
    <r>
      <rPr>
        <rFont val="Times New Roman"/>
        <color rgb="FF000000"/>
        <sz val="7.0"/>
        <vertAlign val="superscript"/>
      </rPr>
      <t>4 </t>
    </r>
    <r>
      <rPr>
        <rFont val="Times New Roman"/>
        <color rgb="FF000000"/>
        <sz val="7.0"/>
      </rPr>
      <t xml:space="preserve">   </t>
    </r>
    <r>
      <rPr>
        <rFont val="Arial"/>
        <color rgb="FF000000"/>
        <sz val="7.0"/>
      </rPr>
      <t>Index figures are for calendar years</t>
    </r>
  </si>
  <si>
    <r>
      <rPr>
        <rFont val="Times New Roman"/>
        <color rgb="FF000000"/>
        <sz val="7.0"/>
        <vertAlign val="superscript"/>
      </rPr>
      <t>5</t>
    </r>
    <r>
      <rPr>
        <rFont val="Times New Roman"/>
        <color rgb="FF000000"/>
        <sz val="7.0"/>
      </rPr>
      <t xml:space="preserve">    </t>
    </r>
    <r>
      <rPr>
        <rFont val="Arial"/>
        <color rgb="FF000000"/>
        <sz val="7.0"/>
      </rPr>
      <t>Marketing system: Surplus removal system with voluntary pools from 1994 to 1997</t>
    </r>
  </si>
  <si>
    <r>
      <rPr>
        <rFont val="Arial"/>
        <color rgb="FF000000"/>
        <sz val="7.0"/>
        <vertAlign val="superscript"/>
      </rPr>
      <t>6</t>
    </r>
    <r>
      <rPr>
        <rFont val="Times New Roman"/>
        <color rgb="FF000000"/>
        <sz val="7.0"/>
      </rPr>
      <t xml:space="preserve">    </t>
    </r>
    <r>
      <rPr>
        <rFont val="Arial"/>
        <color rgb="FF000000"/>
        <sz val="7.0"/>
      </rPr>
      <t>Preliminary</t>
    </r>
  </si>
  <si>
    <t>Table 14 – Grain sorghum: deliveries, consumption, exports and average export realisation</t>
  </si>
  <si>
    <t>Marketing year: March to February</t>
  </si>
  <si>
    <t>Delivered to the Board</t>
  </si>
  <si>
    <r>
      <t>Producer deliveries</t>
    </r>
    <r>
      <rPr>
        <rFont val="Arial"/>
        <color rgb="FF000000"/>
        <sz val="8.0"/>
        <vertAlign val="superscript"/>
      </rPr>
      <t>1</t>
    </r>
  </si>
  <si>
    <t xml:space="preserve">Total </t>
  </si>
  <si>
    <t>SA pro-cessed for human purposes</t>
  </si>
  <si>
    <t>SA pro-cessed for animal feed</t>
  </si>
  <si>
    <t>Average f.a.e. price</t>
  </si>
  <si>
    <t>Source:  Development Bank of Southern Africa</t>
  </si>
  <si>
    <r>
      <rPr>
        <rFont val="Arial"/>
        <color rgb="FF000000"/>
        <sz val="7.0"/>
        <vertAlign val="superscript"/>
      </rPr>
      <t>1</t>
    </r>
    <r>
      <rPr>
        <rFont val="Times New Roman"/>
        <color rgb="FF000000"/>
        <sz val="7.0"/>
      </rPr>
      <t xml:space="preserve">       </t>
    </r>
    <r>
      <rPr>
        <rFont val="Arial"/>
        <color rgb="FF000000"/>
        <sz val="7.0"/>
      </rPr>
      <t>Farmland plus nature conservation land plus forestry land plus other</t>
    </r>
  </si>
  <si>
    <r>
      <rPr>
        <rFont val="Arial"/>
        <color rgb="FF000000"/>
        <sz val="7.0"/>
        <vertAlign val="superscript"/>
      </rPr>
      <t>2</t>
    </r>
    <r>
      <rPr>
        <rFont val="Times New Roman"/>
        <color rgb="FF000000"/>
        <sz val="7.0"/>
      </rPr>
      <t xml:space="preserve">       </t>
    </r>
    <r>
      <rPr>
        <rFont val="Arial"/>
        <color rgb="FF000000"/>
        <sz val="7.0"/>
      </rPr>
      <t>Potential arable land plus grazing land</t>
    </r>
  </si>
  <si>
    <r>
      <rPr>
        <rFont val="Arial"/>
        <color rgb="FF000000"/>
        <sz val="7.0"/>
        <vertAlign val="superscript"/>
      </rPr>
      <t>3</t>
    </r>
    <r>
      <rPr>
        <rFont val="Times New Roman"/>
        <color rgb="FF000000"/>
        <sz val="7.0"/>
      </rPr>
      <t xml:space="preserve">       </t>
    </r>
    <r>
      <rPr>
        <rFont val="Arial"/>
        <color rgb="FF000000"/>
        <sz val="7.0"/>
      </rPr>
      <t>Land-use other than agriculture, nature conservation and forestry</t>
    </r>
  </si>
  <si>
    <t>Table 6 – Number of farming units and land utilisation by dominant branches of agriculture1 per province in the RSA2</t>
  </si>
  <si>
    <r>
      <t>Land-use patterns</t>
    </r>
    <r>
      <rPr>
        <rFont val="Arial"/>
        <color rgb="FF000000"/>
        <sz val="8.0"/>
        <vertAlign val="superscript"/>
      </rPr>
      <t>1</t>
    </r>
  </si>
  <si>
    <t>Western</t>
  </si>
  <si>
    <t>Northern</t>
  </si>
  <si>
    <r>
      <t>2018/19</t>
    </r>
    <r>
      <rPr>
        <rFont val="Arial"/>
        <color rgb="FF000000"/>
        <sz val="8.0"/>
        <vertAlign val="superscript"/>
      </rPr>
      <t>3</t>
    </r>
  </si>
  <si>
    <t>2007:</t>
  </si>
  <si>
    <t xml:space="preserve">Before 1997, Sorghum Board </t>
  </si>
  <si>
    <r>
      <rPr>
        <rFont val="Arial"/>
        <color rgb="FF000000"/>
        <sz val="7.0"/>
        <vertAlign val="superscript"/>
      </rPr>
      <t>1</t>
    </r>
    <r>
      <rPr>
        <rFont val="Times New Roman"/>
        <color rgb="FF000000"/>
        <sz val="7.0"/>
      </rPr>
      <t xml:space="preserve">   </t>
    </r>
    <r>
      <rPr>
        <rFont val="Arial"/>
        <color rgb="FF000000"/>
        <sz val="7.0"/>
      </rPr>
      <t>Until 1996, "Sold to the trade by producers"</t>
    </r>
  </si>
  <si>
    <r>
      <rPr>
        <rFont val="Times New Roman"/>
        <color rgb="FF000000"/>
        <sz val="7.0"/>
        <vertAlign val="superscript"/>
      </rPr>
      <t>2</t>
    </r>
    <r>
      <rPr>
        <rFont val="Times New Roman"/>
        <color rgb="FF000000"/>
        <sz val="7.0"/>
      </rPr>
      <t>   </t>
    </r>
    <r>
      <rPr>
        <rFont val="Arial"/>
        <color rgb="FF000000"/>
        <sz val="7.0"/>
      </rPr>
      <t>Preliminary</t>
    </r>
  </si>
  <si>
    <t>Total commercial farming units</t>
  </si>
  <si>
    <t>Number</t>
  </si>
  <si>
    <t xml:space="preserve">Table 15 – Groundnuts: area planted, production, producer prices, producer price index and gross value </t>
  </si>
  <si>
    <r>
      <t>2016/17</t>
    </r>
    <r>
      <rPr>
        <rFont val="Arial"/>
        <color rgb="FF000000"/>
        <sz val="8.0"/>
        <vertAlign val="superscript"/>
      </rPr>
      <t>2</t>
    </r>
  </si>
  <si>
    <r>
      <t>Area planted</t>
    </r>
    <r>
      <rPr>
        <rFont val="Arial"/>
        <color rgb="FF000000"/>
        <sz val="8.0"/>
        <vertAlign val="superscript"/>
      </rPr>
      <t>1</t>
    </r>
  </si>
  <si>
    <r>
      <t>Total   production</t>
    </r>
    <r>
      <rPr>
        <rFont val="Arial"/>
        <color rgb="FF000000"/>
        <sz val="8.0"/>
        <vertAlign val="superscript"/>
      </rPr>
      <t>2</t>
    </r>
  </si>
  <si>
    <t>Producer prices</t>
  </si>
  <si>
    <r>
      <t>Price index</t>
    </r>
    <r>
      <rPr>
        <rFont val="Arial"/>
        <color rgb="FF000000"/>
        <sz val="8.0"/>
        <vertAlign val="superscript"/>
      </rPr>
      <t>4</t>
    </r>
  </si>
  <si>
    <r>
      <t>Advance price</t>
    </r>
    <r>
      <rPr>
        <rFont val="Arial"/>
        <color rgb="FF000000"/>
        <sz val="8.0"/>
        <vertAlign val="superscript"/>
      </rPr>
      <t>3</t>
    </r>
  </si>
  <si>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</si>
  <si>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2002:</t>
  </si>
  <si>
    <r>
      <rPr>
        <rFont val="Arial"/>
        <color rgb="FF000000"/>
        <sz val="7.0"/>
        <vertAlign val="superscript"/>
      </rPr>
      <t>2</t>
    </r>
    <r>
      <rPr>
        <rFont val="Arial"/>
        <color rgb="FF000000"/>
        <sz val="7.0"/>
      </rPr>
      <t xml:space="preserve">  Preliminary</t>
    </r>
  </si>
  <si>
    <t>Table 38 – Peaches: production, sales on markets, exports, purchases for processing, prices realised, gross values and total value of production</t>
  </si>
  <si>
    <r>
      <t>Sales on markets</t>
    </r>
    <r>
      <rPr>
        <rFont val="Arial"/>
        <color rgb="FF000000"/>
        <sz val="8.0"/>
        <vertAlign val="superscript"/>
      </rPr>
      <t>1</t>
    </r>
  </si>
  <si>
    <t>1996:</t>
  </si>
  <si>
    <t>Peaches, dried</t>
  </si>
  <si>
    <t>Peaches, fresh</t>
  </si>
  <si>
    <t>Hectares</t>
  </si>
  <si>
    <t>1993:</t>
  </si>
  <si>
    <t>136,5</t>
  </si>
  <si>
    <t>140,6</t>
  </si>
  <si>
    <t>147,2</t>
  </si>
  <si>
    <r>
      <t>2017/18</t>
    </r>
    <r>
      <rPr>
        <rFont val="Arial"/>
        <color rgb="FF000000"/>
        <sz val="8.0"/>
        <vertAlign val="superscript"/>
      </rPr>
      <t>5</t>
    </r>
  </si>
  <si>
    <t>-</t>
  </si>
  <si>
    <t>Animal production</t>
  </si>
  <si>
    <r>
      <t>Production</t>
    </r>
    <r>
      <rPr>
        <rFont val="Arial"/>
        <color rgb="FF000000"/>
        <sz val="8.0"/>
        <vertAlign val="superscript"/>
      </rPr>
      <t>1</t>
    </r>
  </si>
  <si>
    <t>Mixed farming</t>
  </si>
  <si>
    <r>
      <t>Small-scale farmers in former homelands</t>
    </r>
    <r>
      <rPr>
        <rFont val="Arial"/>
        <b/>
        <color rgb="FF000000"/>
        <sz val="8.0"/>
        <vertAlign val="superscript"/>
      </rPr>
      <t xml:space="preserve">3 </t>
    </r>
    <r>
      <rPr>
        <rFont val="Arial"/>
        <b/>
        <color rgb="FF000000"/>
        <sz val="8.0"/>
      </rPr>
      <t xml:space="preserve"> </t>
    </r>
  </si>
  <si>
    <r>
      <t>Irrigation</t>
    </r>
    <r>
      <rPr>
        <rFont val="Arial"/>
        <b/>
        <color rgb="FF000000"/>
        <sz val="8.0"/>
        <vertAlign val="superscript"/>
      </rPr>
      <t>3</t>
    </r>
    <r>
      <rPr>
        <rFont val="Arial"/>
        <color rgb="FF000000"/>
        <sz val="8.0"/>
      </rPr>
      <t xml:space="preserve"> – hectares </t>
    </r>
  </si>
  <si>
    <t>Crops &amp; orchards</t>
  </si>
  <si>
    <t xml:space="preserve">Source: Statistics SA - Census of Agriculture 1993, 2002 and 2007, and agricultural survey 1996, </t>
  </si>
  <si>
    <t>20 464,04</t>
  </si>
  <si>
    <t>3 132,92</t>
  </si>
  <si>
    <r>
      <rPr>
        <rFont val="Arial"/>
        <color rgb="FF000000"/>
        <sz val="7.0"/>
        <vertAlign val="superscript"/>
      </rPr>
      <t>1</t>
    </r>
    <r>
      <rPr>
        <rFont val="Times New Roman"/>
        <color rgb="FF000000"/>
        <sz val="7.0"/>
      </rPr>
      <t xml:space="preserve">   </t>
    </r>
    <r>
      <rPr>
        <rFont val="Arial"/>
        <color rgb="FF000000"/>
        <sz val="7.0"/>
      </rPr>
      <t xml:space="preserve">Dominant branches of farming:  A farming unit of which the gross income from a shown product is more than half of its gross income, is included with that </t>
    </r>
  </si>
  <si>
    <t xml:space="preserve">    product, otherwise the farming unit is included against “mixed farming”.  Farming units that showed dominance in specific products were combined to form totals </t>
  </si>
  <si>
    <t>25 444,11</t>
  </si>
  <si>
    <t>3 687,03</t>
  </si>
  <si>
    <r>
      <t>2016/17</t>
    </r>
    <r>
      <rPr>
        <rFont val="Arial"/>
        <color rgb="FF000000"/>
        <sz val="8.0"/>
        <vertAlign val="superscript"/>
      </rPr>
      <t>2</t>
    </r>
  </si>
  <si>
    <t>24 400,68</t>
  </si>
  <si>
    <t>3 122,61</t>
  </si>
  <si>
    <t xml:space="preserve">    for field crop products, horticultural products and animals and animal products</t>
  </si>
  <si>
    <r>
      <rPr>
        <rFont val="Arial"/>
        <color rgb="FF000000"/>
        <sz val="7.0"/>
        <vertAlign val="superscript"/>
      </rPr>
      <t>2</t>
    </r>
    <r>
      <rPr>
        <rFont val="Times New Roman"/>
        <color rgb="FF000000"/>
        <sz val="7.0"/>
      </rPr>
      <t xml:space="preserve">   </t>
    </r>
    <r>
      <rPr>
        <rFont val="Arial"/>
        <color rgb="FF000000"/>
        <sz val="7.0"/>
      </rPr>
      <t>Excluding former TBVC states and self-governing territories</t>
    </r>
  </si>
  <si>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</si>
  <si>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r>
      <rPr>
        <rFont val="Arial"/>
        <color rgb="FF000000"/>
        <sz val="7.0"/>
        <vertAlign val="superscript"/>
      </rPr>
      <t>3</t>
    </r>
    <r>
      <rPr>
        <rFont val="Arial"/>
        <color rgb="FF000000"/>
        <sz val="7.0"/>
      </rPr>
      <t xml:space="preserve">   Development Bank of Southern Africa, 1991</t>
    </r>
  </si>
  <si>
    <r>
      <t>2017/18</t>
    </r>
    <r>
      <rPr>
        <rFont val="Arial"/>
        <color rgb="FF000000"/>
        <sz val="8.0"/>
        <vertAlign val="superscript"/>
      </rPr>
      <t>5</t>
    </r>
  </si>
  <si>
    <r>
      <rPr>
        <rFont val="Arial"/>
        <color rgb="FF000000"/>
        <sz val="7.0"/>
        <vertAlign val="superscript"/>
      </rPr>
      <t>2</t>
    </r>
    <r>
      <rPr>
        <rFont val="Arial"/>
        <color rgb="FF000000"/>
        <sz val="7.0"/>
      </rPr>
      <t xml:space="preserve">  Preliminary</t>
    </r>
  </si>
  <si>
    <t>Table 39 – Plums: production, sales on markets, exports, purchases for processing, prices realised, gross values and total value of production</t>
  </si>
  <si>
    <r>
      <rPr>
        <rFont val="Arial"/>
        <color rgb="FF000000"/>
        <sz val="7.0"/>
        <vertAlign val="superscript"/>
      </rPr>
      <t>1</t>
    </r>
    <r>
      <rPr>
        <rFont val="Times New Roman"/>
        <color rgb="FF000000"/>
        <sz val="7.0"/>
      </rPr>
      <t>   </t>
    </r>
    <r>
      <rPr>
        <rFont val="Arial"/>
        <color rgb="FF000000"/>
        <sz val="7.0"/>
      </rPr>
      <t>Commercial</t>
    </r>
  </si>
  <si>
    <r>
      <t>Sales on markets</t>
    </r>
    <r>
      <rPr>
        <rFont val="Arial"/>
        <color rgb="FF000000"/>
        <sz val="8.0"/>
        <vertAlign val="superscript"/>
      </rPr>
      <t>1</t>
    </r>
  </si>
  <si>
    <r>
      <rPr>
        <rFont val="Arial"/>
        <color rgb="FF000000"/>
        <sz val="7.0"/>
        <vertAlign val="superscript"/>
      </rPr>
      <t>2</t>
    </r>
    <r>
      <rPr>
        <rFont val="Arial"/>
        <color rgb="FF000000"/>
        <sz val="7.0"/>
      </rPr>
      <t xml:space="preserve">   Former TBVC states and self-governing territories are included</t>
    </r>
  </si>
  <si>
    <r>
      <rPr>
        <rFont val="Arial"/>
        <color rgb="FF000000"/>
        <sz val="7.0"/>
        <vertAlign val="superscript"/>
      </rPr>
      <t>3</t>
    </r>
    <r>
      <rPr>
        <rFont val="Times New Roman"/>
        <color rgb="FF000000"/>
        <sz val="7.0"/>
      </rPr>
      <t xml:space="preserve">   </t>
    </r>
    <r>
      <rPr>
        <rFont val="Arial"/>
        <color rgb="FF000000"/>
        <sz val="7.0"/>
      </rPr>
      <t>From 1994/95 marketing year, estimated average price</t>
    </r>
  </si>
  <si>
    <t xml:space="preserve">   Advance price for crushed nuts. Prior to 1981/82, grade S2</t>
  </si>
  <si>
    <r>
      <rPr>
        <rFont val="Times New Roman"/>
        <color rgb="FF000000"/>
        <sz val="7.0"/>
        <vertAlign val="superscript"/>
      </rPr>
      <t>4</t>
    </r>
    <r>
      <rPr>
        <rFont val="Times New Roman"/>
        <color rgb="FF000000"/>
        <sz val="7.0"/>
      </rPr>
      <t xml:space="preserve">   </t>
    </r>
    <r>
      <rPr>
        <rFont val="Arial"/>
        <color rgb="FF000000"/>
        <sz val="7.0"/>
      </rPr>
      <t>Index figures are for calendar years, e.g. marketing year 2010/11 = 2010</t>
    </r>
  </si>
  <si>
    <r>
      <rPr>
        <rFont val="Times New Roman"/>
        <color rgb="FF000000"/>
        <sz val="7.0"/>
        <vertAlign val="superscript"/>
      </rPr>
      <t>5</t>
    </r>
    <r>
      <rPr>
        <rFont val="Times New Roman"/>
        <color rgb="FF000000"/>
        <sz val="7.0"/>
      </rPr>
      <t xml:space="preserve">   </t>
    </r>
    <r>
      <rPr>
        <rFont val="Arial"/>
        <color rgb="FF000000"/>
        <sz val="7.0"/>
      </rPr>
      <t>Preliminary</t>
    </r>
  </si>
  <si>
    <t>Plums, dried</t>
  </si>
  <si>
    <t>Plums, fresh</t>
  </si>
  <si>
    <t>Table 16 – Groundnuts: sales by producers, local sales and exports</t>
  </si>
  <si>
    <t>S A Deliveries</t>
  </si>
  <si>
    <t>SA processed</t>
  </si>
  <si>
    <t>Oil and oilcake</t>
  </si>
  <si>
    <t>Peanut butter and direct edible market</t>
  </si>
  <si>
    <r>
      <t>Seed and unshelled</t>
    </r>
    <r>
      <rPr>
        <rFont val="Arial"/>
        <color rgb="FF000000"/>
        <sz val="8.0"/>
        <vertAlign val="superscript"/>
      </rPr>
      <t>1</t>
    </r>
  </si>
  <si>
    <t>Edible groundnuts</t>
  </si>
  <si>
    <t>59 313</t>
  </si>
  <si>
    <t>2 500</t>
  </si>
  <si>
    <t>57 100</t>
  </si>
  <si>
    <t>2 900</t>
  </si>
  <si>
    <t>62 500</t>
  </si>
  <si>
    <t>2 400</t>
  </si>
  <si>
    <r>
      <t>2017/18</t>
    </r>
    <r>
      <rPr>
        <rFont val="Arial"/>
        <color rgb="FF000000"/>
        <sz val="8.0"/>
        <vertAlign val="superscript"/>
      </rPr>
      <t>4</t>
    </r>
  </si>
  <si>
    <r>
      <rPr>
        <rFont val="Arial"/>
        <color rgb="FF000000"/>
        <sz val="7.0"/>
        <vertAlign val="superscript"/>
      </rPr>
      <t>1</t>
    </r>
    <r>
      <rPr>
        <rFont val="Times New Roman"/>
        <color rgb="FF000000"/>
        <sz val="7.0"/>
      </rPr>
      <t>   </t>
    </r>
    <r>
      <rPr>
        <rFont val="Arial"/>
        <color rgb="FF000000"/>
        <sz val="7.0"/>
      </rPr>
      <t>Unshelled (pods) not included prior to 1986/87</t>
    </r>
  </si>
  <si>
    <r>
      <rPr>
        <rFont val="Arial"/>
        <color rgb="FF000000"/>
        <sz val="7.0"/>
        <vertAlign val="superscript"/>
      </rPr>
      <t>2</t>
    </r>
    <r>
      <rPr>
        <rFont val="Times New Roman"/>
        <color rgb="FF000000"/>
        <sz val="7.0"/>
      </rPr>
      <t xml:space="preserve">   </t>
    </r>
    <r>
      <rPr>
        <rFont val="Arial"/>
        <color rgb="FF000000"/>
        <sz val="7.0"/>
      </rPr>
      <t>Excluding sales by the private sector</t>
    </r>
  </si>
  <si>
    <r>
      <rPr>
        <rFont val="Arial"/>
        <color rgb="FF000000"/>
        <sz val="7.0"/>
        <vertAlign val="superscript"/>
      </rPr>
      <t>3</t>
    </r>
    <r>
      <rPr>
        <rFont val="Times New Roman"/>
        <color rgb="FF000000"/>
        <sz val="7.0"/>
      </rPr>
      <t xml:space="preserve">   </t>
    </r>
    <r>
      <rPr>
        <rFont val="Arial"/>
        <color rgb="FF000000"/>
        <sz val="7.0"/>
      </rPr>
      <t>Excluding sales by the Oilseeds Board</t>
    </r>
  </si>
  <si>
    <r>
      <rPr>
        <rFont val="Arial"/>
        <color rgb="FF000000"/>
        <sz val="7.0"/>
        <vertAlign val="superscript"/>
      </rPr>
      <t>4</t>
    </r>
    <r>
      <rPr>
        <rFont val="Times New Roman"/>
        <color rgb="FF000000"/>
        <sz val="7.0"/>
      </rPr>
      <t xml:space="preserve">   </t>
    </r>
    <r>
      <rPr>
        <rFont val="Arial"/>
        <color rgb="FF000000"/>
        <sz val="7.0"/>
      </rPr>
      <t>Preliminary</t>
    </r>
  </si>
  <si>
    <t>13 866,63</t>
  </si>
  <si>
    <t>318,68</t>
  </si>
  <si>
    <t>18 847,86</t>
  </si>
  <si>
    <t>623,76</t>
  </si>
  <si>
    <r>
      <t>2016/17</t>
    </r>
    <r>
      <rPr>
        <rFont val="Arial"/>
        <color rgb="FF000000"/>
        <sz val="8.0"/>
        <vertAlign val="superscript"/>
      </rPr>
      <t>2</t>
    </r>
  </si>
  <si>
    <t>16 438,18</t>
  </si>
  <si>
    <t>499,90</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</si>
  <si>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</si>
  <si>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Table 17 – Sunflower seed: area planted, production, producer prices, producer price index and gross value</t>
  </si>
  <si>
    <r>
      <rPr>
        <rFont val="Arial"/>
        <color rgb="FF000000"/>
        <sz val="7.0"/>
        <vertAlign val="superscript"/>
      </rPr>
      <t>2</t>
    </r>
    <r>
      <rPr>
        <rFont val="Arial"/>
        <color rgb="FF000000"/>
        <sz val="7.0"/>
      </rPr>
      <t xml:space="preserve">  Preliminary</t>
    </r>
  </si>
  <si>
    <r>
      <t>Area planted</t>
    </r>
    <r>
      <rPr>
        <rFont val="Arial"/>
        <color rgb="FF000000"/>
        <sz val="8.0"/>
        <vertAlign val="superscript"/>
      </rPr>
      <t>1</t>
    </r>
  </si>
  <si>
    <r>
      <t>Total    production</t>
    </r>
    <r>
      <rPr>
        <rFont val="Arial"/>
        <color rgb="FF000000"/>
        <sz val="8.0"/>
        <vertAlign val="superscript"/>
      </rPr>
      <t>2</t>
    </r>
  </si>
  <si>
    <r>
      <t>Advance price</t>
    </r>
    <r>
      <rPr>
        <rFont val="Arial"/>
        <color rgb="FF000000"/>
        <sz val="8.0"/>
        <vertAlign val="superscript"/>
      </rPr>
      <t>3</t>
    </r>
  </si>
  <si>
    <t>Table 40 – Prunes, cherries and quinces: production and gross values</t>
  </si>
  <si>
    <r>
      <t>Price Index</t>
    </r>
    <r>
      <rPr>
        <rFont val="Arial"/>
        <color rgb="FF000000"/>
        <sz val="8.0"/>
        <vertAlign val="superscript"/>
      </rPr>
      <t>4</t>
    </r>
  </si>
  <si>
    <t>Prunes</t>
  </si>
  <si>
    <t>Cherries</t>
  </si>
  <si>
    <t>Quinces</t>
  </si>
  <si>
    <t>Prunes, dried</t>
  </si>
  <si>
    <t>Prunes, fresh</t>
  </si>
  <si>
    <r>
      <t>2017/18</t>
    </r>
    <r>
      <rPr>
        <rFont val="Arial"/>
        <color rgb="FF000000"/>
        <sz val="8.0"/>
        <vertAlign val="superscript"/>
      </rPr>
      <t>5</t>
    </r>
  </si>
  <si>
    <t>2018</t>
  </si>
  <si>
    <r>
      <t>Production</t>
    </r>
    <r>
      <rPr>
        <rFont val="Arial"/>
        <color rgb="FF000000"/>
        <sz val="8.0"/>
        <vertAlign val="superscript"/>
      </rPr>
      <t>1</t>
    </r>
  </si>
  <si>
    <t>Eastern</t>
  </si>
  <si>
    <r>
      <t>2017/18</t>
    </r>
    <r>
      <rPr>
        <rFont val="Arial"/>
        <color rgb="FF000000"/>
        <sz val="8.0"/>
        <vertAlign val="superscript"/>
      </rPr>
      <t>5</t>
    </r>
  </si>
  <si>
    <r>
      <t>2016/17</t>
    </r>
    <r>
      <rPr>
        <rFont val="Arial"/>
        <color rgb="FF000000"/>
        <sz val="8.0"/>
        <vertAlign val="superscript"/>
      </rPr>
      <t>1</t>
    </r>
  </si>
  <si>
    <r>
      <rPr>
        <rFont val="Arial"/>
        <color rgb="FF000000"/>
        <sz val="7.0"/>
        <vertAlign val="superscript"/>
      </rPr>
      <t>1</t>
    </r>
    <r>
      <rPr>
        <rFont val="Arial"/>
        <color rgb="FF000000"/>
        <sz val="7.0"/>
      </rPr>
      <t xml:space="preserve">   Preliminary</t>
    </r>
  </si>
  <si>
    <r>
      <rPr>
        <rFont val="Arial"/>
        <color rgb="FF000000"/>
        <sz val="7.0"/>
        <vertAlign val="superscript"/>
      </rPr>
      <t>1</t>
    </r>
    <r>
      <rPr>
        <rFont val="Times New Roman"/>
        <color rgb="FF000000"/>
        <sz val="7.0"/>
      </rPr>
      <t xml:space="preserve">   </t>
    </r>
    <r>
      <rPr>
        <rFont val="Arial"/>
        <color rgb="FF000000"/>
        <sz val="7.0"/>
      </rPr>
      <t>Commercial</t>
    </r>
  </si>
  <si>
    <r>
      <rPr>
        <rFont val="Arial"/>
        <color rgb="FF000000"/>
        <sz val="7.0"/>
        <vertAlign val="superscript"/>
      </rPr>
      <t>2</t>
    </r>
    <r>
      <rPr>
        <rFont val="Arial"/>
        <color rgb="FF000000"/>
        <sz val="7.0"/>
      </rPr>
      <t xml:space="preserve">   Former TBVC states and self-governing territories are included</t>
    </r>
  </si>
  <si>
    <r>
      <rPr>
        <rFont val="Times New Roman"/>
        <color rgb="FF000000"/>
        <sz val="7.0"/>
        <vertAlign val="superscript"/>
      </rPr>
      <t>3</t>
    </r>
    <r>
      <rPr>
        <rFont val="Times New Roman"/>
        <color rgb="FF000000"/>
        <sz val="7.0"/>
      </rPr>
      <t xml:space="preserve">   </t>
    </r>
    <r>
      <rPr>
        <rFont val="Arial"/>
        <color rgb="FF000000"/>
        <sz val="7.0"/>
      </rPr>
      <t>From 1994/95 marketing year, estimated average price</t>
    </r>
  </si>
  <si>
    <r>
      <rPr>
        <rFont val="Times New Roman"/>
        <color rgb="FF000000"/>
        <sz val="7.0"/>
        <vertAlign val="superscript"/>
      </rPr>
      <t>4</t>
    </r>
    <r>
      <rPr>
        <rFont val="Times New Roman"/>
        <color rgb="FF000000"/>
        <sz val="7.0"/>
      </rPr>
      <t xml:space="preserve">   </t>
    </r>
    <r>
      <rPr>
        <rFont val="Arial"/>
        <color rgb="FF000000"/>
        <sz val="7.0"/>
      </rPr>
      <t>Index figures are for calendar years</t>
    </r>
  </si>
  <si>
    <r>
      <rPr>
        <rFont val="Times New Roman"/>
        <color rgb="FF000000"/>
        <sz val="7.0"/>
        <vertAlign val="superscript"/>
      </rPr>
      <t>5</t>
    </r>
    <r>
      <rPr>
        <rFont val="Times New Roman"/>
        <color rgb="FF000000"/>
        <sz val="7.0"/>
      </rPr>
      <t>   </t>
    </r>
    <r>
      <rPr>
        <rFont val="Arial"/>
        <color rgb="FF000000"/>
        <sz val="7.0"/>
      </rPr>
      <t>Preliminary</t>
    </r>
  </si>
  <si>
    <t>Table 18 - Sunflower seed: sales by producers, local sales and exports</t>
  </si>
  <si>
    <t>Marketing year: March to February¹</t>
  </si>
  <si>
    <t>Table 41 – Figs: production, sales on markets, purchases for processing, prices realised, gross values and total value of production</t>
  </si>
  <si>
    <t>Producer deliveries</t>
  </si>
  <si>
    <r>
      <t>Sales on markets</t>
    </r>
    <r>
      <rPr>
        <rFont val="Arial"/>
        <color rgb="FF000000"/>
        <sz val="8.0"/>
        <vertAlign val="superscript"/>
      </rPr>
      <t>1</t>
    </r>
  </si>
  <si>
    <t>Seed and feed</t>
  </si>
  <si>
    <r>
      <t>Other</t>
    </r>
    <r>
      <rPr>
        <rFont val="Arial"/>
        <color rgb="FF000000"/>
        <sz val="8.0"/>
        <vertAlign val="superscript"/>
      </rPr>
      <t>2</t>
    </r>
  </si>
  <si>
    <t>Figs, dried</t>
  </si>
  <si>
    <t>Figs, fresh</t>
  </si>
  <si>
    <r>
      <t>2018/19</t>
    </r>
    <r>
      <rPr>
        <rFont val="Arial"/>
        <color rgb="FF000000"/>
        <sz val="8.0"/>
        <vertAlign val="superscript"/>
      </rPr>
      <t>5</t>
    </r>
  </si>
  <si>
    <r>
      <rPr>
        <rFont val="Arial"/>
        <color rgb="FF000000"/>
        <sz val="7.0"/>
        <vertAlign val="superscript"/>
      </rPr>
      <t>1</t>
    </r>
    <r>
      <rPr>
        <rFont val="Arial"/>
        <color rgb="FF000000"/>
        <sz val="7.0"/>
      </rPr>
      <t xml:space="preserve">   Before 2014/15, marketing year January to December; before 1998, May to April </t>
    </r>
  </si>
  <si>
    <r>
      <rPr>
        <rFont val="Arial"/>
        <color rgb="FF000000"/>
        <sz val="7.0"/>
        <vertAlign val="superscript"/>
      </rPr>
      <t>2</t>
    </r>
    <r>
      <rPr>
        <rFont val="Arial"/>
        <color rgb="FF000000"/>
        <sz val="7.0"/>
      </rPr>
      <t xml:space="preserve">   Human consumption, withdrawn by producers and released to end-consumers </t>
    </r>
  </si>
  <si>
    <r>
      <rPr>
        <rFont val="Arial"/>
        <color rgb="FF000000"/>
        <sz val="7.0"/>
        <vertAlign val="superscript"/>
      </rPr>
      <t>3</t>
    </r>
    <r>
      <rPr>
        <rFont val="Arial"/>
        <color rgb="FF000000"/>
        <sz val="7.0"/>
      </rPr>
      <t>   Excluding sales by the private sector</t>
    </r>
  </si>
  <si>
    <r>
      <rPr>
        <rFont val="Arial"/>
        <color rgb="FF000000"/>
        <sz val="7.0"/>
        <vertAlign val="superscript"/>
      </rPr>
      <t xml:space="preserve">4  </t>
    </r>
    <r>
      <rPr>
        <rFont val="Arial"/>
        <color rgb="FF000000"/>
        <sz val="7.0"/>
      </rPr>
      <t xml:space="preserve"> Excluding sales by the Oilseeds Board</t>
    </r>
  </si>
  <si>
    <r>
      <rPr>
        <rFont val="Arial"/>
        <color rgb="FF000000"/>
        <sz val="7.0"/>
        <vertAlign val="superscript"/>
      </rPr>
      <t>5</t>
    </r>
    <r>
      <rPr>
        <rFont val="Arial"/>
        <color rgb="FF000000"/>
        <sz val="7.0"/>
      </rPr>
      <t xml:space="preserve">   Preliminary</t>
    </r>
  </si>
  <si>
    <t>Table 19 – Soya beans: area planted, production, producer prices, producer price index and gross value</t>
  </si>
  <si>
    <r>
      <t>2016/17</t>
    </r>
    <r>
      <rPr>
        <rFont val="Arial"/>
        <color rgb="FF000000"/>
        <sz val="8.0"/>
        <vertAlign val="superscript"/>
      </rPr>
      <t>2</t>
    </r>
  </si>
  <si>
    <r>
      <t>Area planted</t>
    </r>
    <r>
      <rPr>
        <rFont val="Arial"/>
        <color rgb="FF000000"/>
        <sz val="8.0"/>
        <vertAlign val="superscript"/>
      </rPr>
      <t>1</t>
    </r>
  </si>
  <si>
    <r>
      <t>Total pro-duction</t>
    </r>
    <r>
      <rPr>
        <rFont val="Arial"/>
        <color rgb="FF000000"/>
        <sz val="8.0"/>
        <vertAlign val="superscript"/>
      </rPr>
      <t>2</t>
    </r>
  </si>
  <si>
    <r>
      <t>Producer prices</t>
    </r>
    <r>
      <rPr>
        <rFont val="Arial"/>
        <color rgb="FF000000"/>
        <sz val="8.0"/>
        <vertAlign val="superscript"/>
      </rPr>
      <t>3</t>
    </r>
  </si>
  <si>
    <r>
      <t>Price Index</t>
    </r>
    <r>
      <rPr>
        <rFont val="Arial"/>
        <color rgb="FF000000"/>
        <sz val="8.0"/>
        <vertAlign val="superscript"/>
      </rPr>
      <t>4</t>
    </r>
  </si>
  <si>
    <t>Advance price</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</si>
  <si>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</si>
  <si>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51,1</t>
  </si>
  <si>
    <t>85,3</t>
  </si>
  <si>
    <r>
      <rPr>
        <rFont val="Arial"/>
        <color rgb="FF000000"/>
        <sz val="7.0"/>
        <vertAlign val="superscript"/>
      </rPr>
      <t>2</t>
    </r>
    <r>
      <rPr>
        <rFont val="Arial"/>
        <color rgb="FF000000"/>
        <sz val="7.0"/>
      </rPr>
      <t xml:space="preserve">  Preliminary</t>
    </r>
  </si>
  <si>
    <t>90,6</t>
  </si>
  <si>
    <t>Table 42 – Strawberries and other berries: production, gross value, sales on markets and purchases for processing</t>
  </si>
  <si>
    <t>117,4</t>
  </si>
  <si>
    <t>Year: October-September</t>
  </si>
  <si>
    <t>128,5</t>
  </si>
  <si>
    <t>Strawberries</t>
  </si>
  <si>
    <t>117.7</t>
  </si>
  <si>
    <t>160,6</t>
  </si>
  <si>
    <r>
      <t>Other berries</t>
    </r>
    <r>
      <rPr>
        <rFont val="Arial"/>
        <color rgb="FF000000"/>
        <sz val="8.0"/>
        <vertAlign val="superscript"/>
      </rPr>
      <t>2</t>
    </r>
  </si>
  <si>
    <t>180.8</t>
  </si>
  <si>
    <t>196.3</t>
  </si>
  <si>
    <t>184.8</t>
  </si>
  <si>
    <r>
      <t>Sales on markets</t>
    </r>
    <r>
      <rPr>
        <rFont val="Arial"/>
        <color rgb="FF000000"/>
        <sz val="8.0"/>
        <vertAlign val="superscript"/>
      </rPr>
      <t>1</t>
    </r>
  </si>
  <si>
    <t>223.6</t>
  </si>
  <si>
    <t>Total Production</t>
  </si>
  <si>
    <t>177.3</t>
  </si>
  <si>
    <r>
      <t>2017/18</t>
    </r>
    <r>
      <rPr>
        <rFont val="Arial"/>
        <color rgb="FF000000"/>
        <sz val="8.0"/>
        <vertAlign val="superscript"/>
      </rPr>
      <t>5</t>
    </r>
  </si>
  <si>
    <r>
      <t>Production</t>
    </r>
    <r>
      <rPr>
        <rFont val="Arial"/>
        <color rgb="FF000000"/>
        <sz val="8.0"/>
        <vertAlign val="superscript"/>
      </rPr>
      <t>1</t>
    </r>
  </si>
  <si>
    <t>10,4</t>
  </si>
  <si>
    <t>7,8</t>
  </si>
  <si>
    <t>27,4</t>
  </si>
  <si>
    <t>9,2</t>
  </si>
  <si>
    <t>34,4</t>
  </si>
  <si>
    <t>10,7</t>
  </si>
  <si>
    <t>25,0</t>
  </si>
  <si>
    <t>4,2</t>
  </si>
  <si>
    <t>22,5</t>
  </si>
  <si>
    <t>5,5</t>
  </si>
  <si>
    <t>44,0</t>
  </si>
  <si>
    <t>12,5</t>
  </si>
  <si>
    <t>50,4</t>
  </si>
  <si>
    <t>20,4</t>
  </si>
  <si>
    <t>58,8</t>
  </si>
  <si>
    <t>21,7</t>
  </si>
  <si>
    <t>50,6</t>
  </si>
  <si>
    <t>28,5</t>
  </si>
  <si>
    <t>53,5</t>
  </si>
  <si>
    <t>34,0</t>
  </si>
  <si>
    <t>66,0</t>
  </si>
  <si>
    <t>47,4</t>
  </si>
  <si>
    <t>72,0</t>
  </si>
  <si>
    <t>69,0</t>
  </si>
  <si>
    <t>38,4</t>
  </si>
  <si>
    <t>29,7</t>
  </si>
  <si>
    <t>71,1</t>
  </si>
  <si>
    <r>
      <t>2017/18</t>
    </r>
    <r>
      <rPr>
        <rFont val="Arial"/>
        <color rgb="FF000000"/>
        <sz val="8.0"/>
        <vertAlign val="superscript"/>
      </rPr>
      <t>5</t>
    </r>
  </si>
  <si>
    <t>55,0</t>
  </si>
  <si>
    <t>60,0</t>
  </si>
  <si>
    <r>
      <rPr>
        <rFont val="Arial"/>
        <color rgb="FF000000"/>
        <sz val="7.0"/>
        <vertAlign val="superscript"/>
      </rPr>
      <t>1</t>
    </r>
    <r>
      <rPr>
        <rFont val="Times New Roman"/>
        <color rgb="FF000000"/>
        <sz val="7.0"/>
      </rPr>
      <t xml:space="preserve">    </t>
    </r>
    <r>
      <rPr>
        <rFont val="Arial"/>
        <color rgb="FF000000"/>
        <sz val="7.0"/>
      </rPr>
      <t>Commercial</t>
    </r>
  </si>
  <si>
    <r>
      <rPr>
        <rFont val="Arial"/>
        <color rgb="FF000000"/>
        <sz val="7.0"/>
        <vertAlign val="superscript"/>
      </rPr>
      <t>2</t>
    </r>
    <r>
      <rPr>
        <rFont val="Arial"/>
        <color rgb="FF000000"/>
        <sz val="7.0"/>
      </rPr>
      <t xml:space="preserve">    Former TBVC states and self-governing territories are included</t>
    </r>
  </si>
  <si>
    <r>
      <rPr>
        <rFont val="Arial"/>
        <color rgb="FF000000"/>
        <sz val="7.0"/>
        <vertAlign val="superscript"/>
      </rPr>
      <t>3</t>
    </r>
    <r>
      <rPr>
        <rFont val="Times New Roman"/>
        <color rgb="FF000000"/>
        <sz val="7.0"/>
      </rPr>
      <t xml:space="preserve">    </t>
    </r>
    <r>
      <rPr>
        <rFont val="Arial"/>
        <color rgb="FF000000"/>
        <sz val="7.0"/>
      </rPr>
      <t>Estimated average price</t>
    </r>
  </si>
  <si>
    <t xml:space="preserve">      From 1992/93 to 1993/94, prices for grade SB</t>
  </si>
  <si>
    <t xml:space="preserve">      From 1991/92, bulk prices</t>
  </si>
  <si>
    <t xml:space="preserve">      Until 1990/91, prices for grade SB2, delivered in bags</t>
  </si>
  <si>
    <r>
      <t>2016/17</t>
    </r>
    <r>
      <rPr>
        <rFont val="Arial"/>
        <color rgb="FF000000"/>
        <sz val="8.0"/>
        <vertAlign val="superscript"/>
      </rPr>
      <t>3</t>
    </r>
  </si>
  <si>
    <r>
      <rPr>
        <rFont val="Arial"/>
        <color rgb="FF000000"/>
        <sz val="7.0"/>
        <vertAlign val="superscript"/>
      </rPr>
      <t>4</t>
    </r>
    <r>
      <rPr>
        <rFont val="Times New Roman"/>
        <color rgb="FF000000"/>
        <sz val="7.0"/>
      </rPr>
      <t xml:space="preserve">  </t>
    </r>
    <r>
      <rPr>
        <rFont val="Arial"/>
        <color rgb="FF000000"/>
        <sz val="7.0"/>
      </rPr>
      <t xml:space="preserve"> Index figures are for calendar years</t>
    </r>
  </si>
  <si>
    <r>
      <rPr>
        <rFont val="Arial"/>
        <color rgb="FF000000"/>
        <sz val="7.0"/>
        <vertAlign val="superscript"/>
      </rPr>
      <t>5</t>
    </r>
    <r>
      <rPr>
        <rFont val="Arial"/>
        <color rgb="FF000000"/>
        <sz val="7.0"/>
      </rPr>
      <t xml:space="preserve">   Preliminary</t>
    </r>
  </si>
  <si>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</si>
  <si>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r>
      <rPr>
        <rFont val="Arial"/>
        <sz val="7.0"/>
        <vertAlign val="superscript"/>
      </rPr>
      <t>2</t>
    </r>
    <r>
      <rPr>
        <rFont val="Arial"/>
        <sz val="7.0"/>
      </rPr>
      <t>   Including gooseberries, loganberries, blackberries, youngberries, booysenberries and raspberries</t>
    </r>
  </si>
  <si>
    <r>
      <rPr>
        <rFont val="Arial"/>
        <color rgb="FF000000"/>
        <sz val="7.0"/>
        <vertAlign val="superscript"/>
      </rPr>
      <t>3</t>
    </r>
    <r>
      <rPr>
        <rFont val="Times New Roman"/>
        <color rgb="FF000000"/>
        <sz val="7.0"/>
      </rPr>
      <t>   </t>
    </r>
    <r>
      <rPr>
        <rFont val="Arial"/>
        <color rgb="FF000000"/>
        <sz val="7.0"/>
      </rPr>
      <t>Preliminary</t>
    </r>
  </si>
  <si>
    <t>Table 20 – Soya beans: deliveries by producers, processing and exports</t>
  </si>
  <si>
    <t>Table 43 – Watermelons, melons and other summer fruit: production, gross value and sales on markets</t>
  </si>
  <si>
    <t>Full-fat</t>
  </si>
  <si>
    <t>Human con-sumption</t>
  </si>
  <si>
    <t>Watermelons and melons</t>
  </si>
  <si>
    <r>
      <t>Other summer fruit</t>
    </r>
    <r>
      <rPr>
        <rFont val="Arial"/>
        <color rgb="FF000000"/>
        <sz val="8.0"/>
        <vertAlign val="superscript"/>
      </rPr>
      <t>2</t>
    </r>
  </si>
  <si>
    <r>
      <t>Sales on markets</t>
    </r>
    <r>
      <rPr>
        <rFont val="Arial"/>
        <color rgb="FF000000"/>
        <sz val="8.0"/>
        <vertAlign val="superscript"/>
      </rPr>
      <t>1</t>
    </r>
  </si>
  <si>
    <t>Watermelons</t>
  </si>
  <si>
    <t>Musk melons</t>
  </si>
  <si>
    <t>Sweet melons</t>
  </si>
  <si>
    <t>12 213²</t>
  </si>
  <si>
    <t>6 475²</t>
  </si>
  <si>
    <t>23 206²</t>
  </si>
  <si>
    <t>159²</t>
  </si>
  <si>
    <t>42 053²</t>
  </si>
  <si>
    <t>³</t>
  </si>
  <si>
    <r>
      <t>2018/19</t>
    </r>
    <r>
      <rPr>
        <rFont val="Arial"/>
        <color rgb="FF000000"/>
        <sz val="8.0"/>
        <vertAlign val="superscript"/>
      </rPr>
      <t>4</t>
    </r>
  </si>
  <si>
    <r>
      <rPr>
        <rFont val="Arial"/>
        <color rgb="FF000000"/>
        <sz val="7.0"/>
        <vertAlign val="superscript"/>
      </rPr>
      <t>1</t>
    </r>
    <r>
      <rPr>
        <rFont val="Times New Roman"/>
        <color rgb="FF000000"/>
        <sz val="7.0"/>
      </rPr>
      <t>  </t>
    </r>
    <r>
      <rPr>
        <rFont val="Arial"/>
        <color rgb="FF000000"/>
        <sz val="7.0"/>
      </rPr>
      <t>Before 2014/15, marketing year January to December; before 1998, May to April</t>
    </r>
  </si>
  <si>
    <r>
      <rPr>
        <rFont val="Arial"/>
        <color rgb="FF000000"/>
        <sz val="7.0"/>
        <vertAlign val="superscript"/>
      </rPr>
      <t>2</t>
    </r>
    <r>
      <rPr>
        <rFont val="Arial"/>
        <color rgb="FF000000"/>
        <sz val="7.0"/>
      </rPr>
      <t xml:space="preserve">  Excluding sales by the private sector </t>
    </r>
  </si>
  <si>
    <r>
      <rPr>
        <rFont val="Arial"/>
        <color rgb="FF000000"/>
        <sz val="7.0"/>
        <vertAlign val="superscript"/>
      </rPr>
      <t>3</t>
    </r>
    <r>
      <rPr>
        <rFont val="Arial"/>
        <color rgb="FF000000"/>
        <sz val="7.0"/>
      </rPr>
      <t xml:space="preserve">  From 1995, full-fat soya is included in either human or feed consumption, based on the intended usage declared </t>
    </r>
  </si>
  <si>
    <r>
      <rPr>
        <rFont val="Arial"/>
        <color rgb="FF000000"/>
        <sz val="7.0"/>
        <vertAlign val="superscript"/>
      </rPr>
      <t>4</t>
    </r>
    <r>
      <rPr>
        <rFont val="Arial"/>
        <color rgb="FF000000"/>
        <sz val="7.0"/>
      </rPr>
      <t xml:space="preserve"> Preliminary</t>
    </r>
  </si>
  <si>
    <r>
      <t>2016/17</t>
    </r>
    <r>
      <rPr>
        <rFont val="Arial"/>
        <color rgb="FF000000"/>
        <sz val="8.0"/>
        <vertAlign val="superscript"/>
      </rPr>
      <t>3</t>
    </r>
  </si>
  <si>
    <r>
      <rPr>
        <rFont val="Arial"/>
        <color rgb="FF000000"/>
        <sz val="7.0"/>
        <vertAlign val="superscript"/>
      </rPr>
      <t>1</t>
    </r>
    <r>
      <rPr>
        <rFont val="Times New Roman"/>
        <color rgb="FF000000"/>
        <sz val="7.0"/>
      </rPr>
      <t>   </t>
    </r>
    <r>
      <rPr>
        <rFont val="Arial"/>
        <color rgb="FF000000"/>
        <sz val="7.0"/>
      </rPr>
      <t>Until 1988/89, sales on the 14 national fresh produce markets</t>
    </r>
  </si>
  <si>
    <r>
      <rPr>
        <rFont val="Arial"/>
        <color rgb="FF000000"/>
        <sz val="7.0"/>
        <vertAlign val="superscript"/>
      </rPr>
      <t>2</t>
    </r>
    <r>
      <rPr>
        <rFont val="Times New Roman"/>
        <color rgb="FF000000"/>
        <sz val="7.0"/>
      </rPr>
      <t xml:space="preserve">   </t>
    </r>
    <r>
      <rPr>
        <rFont val="Arial"/>
        <color rgb="FF000000"/>
        <sz val="7.0"/>
      </rPr>
      <t>Includes persimmons, pomegranates, mulberries, medlars, sour figs, prickly pears, custard apples and jackfruit</t>
    </r>
  </si>
  <si>
    <r>
      <rPr>
        <rFont val="Arial"/>
        <color rgb="FF000000"/>
        <sz val="7.0"/>
        <vertAlign val="superscript"/>
      </rPr>
      <t>3</t>
    </r>
    <r>
      <rPr>
        <rFont val="Times New Roman"/>
        <color rgb="FF000000"/>
        <sz val="7.0"/>
      </rPr>
      <t xml:space="preserve">   </t>
    </r>
    <r>
      <rPr>
        <rFont val="Arial"/>
        <color rgb="FF000000"/>
        <sz val="7.0"/>
      </rPr>
      <t>Preliminary</t>
    </r>
  </si>
  <si>
    <t>Table 21 - Oats: area planted, production, producer prices and price index, gross value, deliveries and quantity processed</t>
  </si>
  <si>
    <t>Table 44 – Dried fruit: production and average producer prices</t>
  </si>
  <si>
    <r>
      <t>Area   planted</t>
    </r>
    <r>
      <rPr>
        <rFont val="Arial"/>
        <color rgb="FF000000"/>
        <sz val="8.0"/>
        <vertAlign val="superscript"/>
      </rPr>
      <t>1</t>
    </r>
  </si>
  <si>
    <t>Year:  January to December</t>
  </si>
  <si>
    <r>
      <t>Production</t>
    </r>
    <r>
      <rPr>
        <rFont val="Arial"/>
        <color rgb="FF000000"/>
        <sz val="8.0"/>
        <vertAlign val="superscript"/>
      </rPr>
      <t>1</t>
    </r>
  </si>
  <si>
    <t>Production</t>
  </si>
  <si>
    <r>
      <t>Producer prices</t>
    </r>
    <r>
      <rPr>
        <rFont val="Arial"/>
        <color rgb="FF000000"/>
        <sz val="8.0"/>
        <vertAlign val="superscript"/>
      </rPr>
      <t>2</t>
    </r>
  </si>
  <si>
    <t>Tree fruit</t>
  </si>
  <si>
    <t>Vine fruit</t>
  </si>
  <si>
    <t>Raisins</t>
  </si>
  <si>
    <t>Unbleached sultanas</t>
  </si>
  <si>
    <r>
      <t>Price index</t>
    </r>
    <r>
      <rPr>
        <rFont val="Arial"/>
        <color rgb="FF000000"/>
        <sz val="8.0"/>
        <vertAlign val="superscript"/>
      </rPr>
      <t>3</t>
    </r>
  </si>
  <si>
    <t>c/kg</t>
  </si>
  <si>
    <r>
      <t>Deliveries</t>
    </r>
    <r>
      <rPr>
        <rFont val="Arial"/>
        <sz val="8.0"/>
        <vertAlign val="superscript"/>
      </rPr>
      <t>4,</t>
    </r>
    <r>
      <rPr>
        <rFont val="Arial"/>
        <color rgb="FF000000"/>
        <sz val="8.0"/>
        <vertAlign val="superscript"/>
      </rPr>
      <t>5</t>
    </r>
  </si>
  <si>
    <r>
      <t>Processed</t>
    </r>
    <r>
      <rPr>
        <rFont val="Arial"/>
        <color rgb="FF000000"/>
        <sz val="8.0"/>
        <vertAlign val="superscript"/>
      </rPr>
      <t>5</t>
    </r>
  </si>
  <si>
    <t>Marketing year: Oct. to Sep.</t>
  </si>
  <si>
    <t>Table 58 – Cattle: numbers, numbers slaughtered and average price of beef</t>
  </si>
  <si>
    <t>Year: July to June</t>
  </si>
  <si>
    <t xml:space="preserve">Cattle numbers </t>
  </si>
  <si>
    <r>
      <t>Numbers slaughtered</t>
    </r>
    <r>
      <rPr>
        <rFont val="Arial"/>
        <color rgb="FF000000"/>
        <sz val="8.0"/>
        <vertAlign val="superscript"/>
      </rPr>
      <t>1</t>
    </r>
  </si>
  <si>
    <r>
      <t>Average  price</t>
    </r>
    <r>
      <rPr>
        <rFont val="Arial"/>
        <color rgb="FF000000"/>
        <sz val="8.0"/>
        <vertAlign val="superscript"/>
      </rPr>
      <t>2, 3</t>
    </r>
  </si>
  <si>
    <t>(31 August)</t>
  </si>
  <si>
    <t>Cattle</t>
  </si>
  <si>
    <t>Calves</t>
  </si>
  <si>
    <t>Million</t>
  </si>
  <si>
    <t>132 846</t>
  </si>
  <si>
    <t xml:space="preserve">66 900 </t>
  </si>
  <si>
    <t>56 750</t>
  </si>
  <si>
    <t>51 739</t>
  </si>
  <si>
    <r>
      <t>2017</t>
    </r>
    <r>
      <rPr>
        <rFont val="Arial"/>
        <color rgb="FF000000"/>
        <sz val="8.0"/>
        <vertAlign val="superscript"/>
      </rPr>
      <t>6</t>
    </r>
  </si>
  <si>
    <r>
      <rPr>
        <rFont val="Arial"/>
        <color rgb="FF000000"/>
        <sz val="7.0"/>
        <vertAlign val="superscript"/>
      </rPr>
      <t>1</t>
    </r>
    <r>
      <rPr>
        <rFont val="Times New Roman"/>
        <color rgb="FF000000"/>
        <sz val="7.0"/>
      </rPr>
      <t xml:space="preserve">   </t>
    </r>
    <r>
      <rPr>
        <rFont val="Arial"/>
        <color rgb="FF000000"/>
        <sz val="7.0"/>
      </rPr>
      <t>Before 1998, includes plantings for feed and marketing purposes.  From 1998, includes oats used as kernel for human and animal consumption</t>
    </r>
  </si>
  <si>
    <r>
      <rPr>
        <rFont val="Arial"/>
        <color rgb="FF000000"/>
        <sz val="7.0"/>
        <vertAlign val="superscript"/>
      </rPr>
      <t>2</t>
    </r>
    <r>
      <rPr>
        <rFont val="Arial"/>
        <color rgb="FF000000"/>
        <sz val="7.0"/>
      </rPr>
      <t>   Estimated average price</t>
    </r>
  </si>
  <si>
    <t xml:space="preserve">    From 1980/81 to 1996/97, price for grade 1 in bags, excluding price of bags</t>
  </si>
  <si>
    <r>
      <rPr>
        <rFont val="Arial"/>
        <color rgb="FF000000"/>
        <sz val="7.0"/>
        <vertAlign val="superscript"/>
      </rPr>
      <t>3</t>
    </r>
    <r>
      <rPr>
        <rFont val="Arial"/>
        <color rgb="FF000000"/>
        <sz val="7.0"/>
      </rPr>
      <t>   Index figures are for split years</t>
    </r>
  </si>
  <si>
    <r>
      <rPr>
        <rFont val="Arial"/>
        <color rgb="FF000000"/>
        <sz val="7.0"/>
        <vertAlign val="superscript"/>
      </rPr>
      <t>4</t>
    </r>
    <r>
      <rPr>
        <rFont val="Times New Roman"/>
        <color rgb="FF000000"/>
        <sz val="7.0"/>
      </rPr>
      <t>  </t>
    </r>
    <r>
      <rPr>
        <rFont val="Arial"/>
        <color rgb="FF000000"/>
        <sz val="7.0"/>
      </rPr>
      <t xml:space="preserve"> Prior to 1997, receipts by Wheat Board</t>
    </r>
    <r>
      <rPr>
        <rFont val="Times New Roman"/>
        <color rgb="FF000000"/>
        <sz val="7.0"/>
      </rPr>
      <t xml:space="preserve"> </t>
    </r>
  </si>
  <si>
    <r>
      <rPr>
        <rFont val="Arial"/>
        <color rgb="FF000000"/>
        <sz val="7.0"/>
        <vertAlign val="superscript"/>
      </rPr>
      <t>5</t>
    </r>
    <r>
      <rPr>
        <rFont val="Times New Roman"/>
        <color rgb="FF000000"/>
        <sz val="7.0"/>
      </rPr>
      <t>  </t>
    </r>
    <r>
      <rPr>
        <rFont val="Arial"/>
        <color rgb="FF000000"/>
        <sz val="7.0"/>
      </rPr>
      <t xml:space="preserve"> Source: SAGIS;Up to 1996, Wheat Board</t>
    </r>
  </si>
  <si>
    <r>
      <rPr>
        <rFont val="Arial"/>
        <color rgb="FF000000"/>
        <sz val="7.0"/>
        <vertAlign val="superscript"/>
      </rPr>
      <t>6</t>
    </r>
    <r>
      <rPr>
        <rFont val="Arial"/>
        <color rgb="FF000000"/>
        <sz val="7.0"/>
      </rPr>
      <t xml:space="preserve">   Preliminary</t>
    </r>
  </si>
  <si>
    <r>
      <t>2016/17</t>
    </r>
    <r>
      <rPr>
        <rFont val="Arial"/>
        <color rgb="FF000000"/>
        <sz val="8.0"/>
        <vertAlign val="superscript"/>
      </rPr>
      <t>1</t>
    </r>
  </si>
  <si>
    <t xml:space="preserve">Source: </t>
  </si>
  <si>
    <t>From 1998/99, Dried Fruit Technical Services</t>
  </si>
  <si>
    <t>Until 1997/98, Dried Fruit Board</t>
  </si>
  <si>
    <r>
      <rPr>
        <rFont val="Times New Roman"/>
        <color rgb="FF000000"/>
        <sz val="7.0"/>
        <vertAlign val="superscript"/>
      </rPr>
      <t>1</t>
    </r>
    <r>
      <rPr>
        <rFont val="Times New Roman"/>
        <color rgb="FF000000"/>
        <sz val="7.0"/>
      </rPr>
      <t xml:space="preserve">   </t>
    </r>
    <r>
      <rPr>
        <rFont val="Arial"/>
        <color rgb="FF000000"/>
        <sz val="7.0"/>
      </rPr>
      <t>Preliminary</t>
    </r>
  </si>
  <si>
    <t>Table 22 – Barley: area planted, production, producer prices and price index, gross value, deliveries and quantity processed</t>
  </si>
  <si>
    <t>Table 45 – Wine: production and average prices</t>
  </si>
  <si>
    <t xml:space="preserve">Area </t>
  </si>
  <si>
    <t>Wine produced</t>
  </si>
  <si>
    <t>Average prices of wine sold in bulk</t>
  </si>
  <si>
    <r>
      <t>Production</t>
    </r>
    <r>
      <rPr>
        <rFont val="Arial"/>
        <color rgb="FF000000"/>
        <sz val="8.0"/>
        <vertAlign val="superscript"/>
      </rPr>
      <t>1</t>
    </r>
  </si>
  <si>
    <t>Good wine</t>
  </si>
  <si>
    <r>
      <t>Producer prices</t>
    </r>
    <r>
      <rPr>
        <rFont val="Arial"/>
        <color rgb="FF000000"/>
        <sz val="8.0"/>
        <vertAlign val="superscript"/>
      </rPr>
      <t>3</t>
    </r>
  </si>
  <si>
    <t>Rebate wine</t>
  </si>
  <si>
    <t>Distilling wine</t>
  </si>
  <si>
    <r>
      <t>Price index</t>
    </r>
    <r>
      <rPr>
        <rFont val="Arial"/>
        <color rgb="FF000000"/>
        <sz val="8.0"/>
        <vertAlign val="superscript"/>
      </rPr>
      <t>4</t>
    </r>
  </si>
  <si>
    <r>
      <t>Juice for concentrate</t>
    </r>
    <r>
      <rPr>
        <rFont val="Arial"/>
        <color rgb="FF000000"/>
        <sz val="8.0"/>
        <vertAlign val="superscript"/>
      </rPr>
      <t xml:space="preserve"> </t>
    </r>
  </si>
  <si>
    <t xml:space="preserve">Total wine crop </t>
  </si>
  <si>
    <r>
      <t>Deliveries</t>
    </r>
    <r>
      <rPr>
        <rFont val="Arial"/>
        <color rgb="FF000000"/>
        <sz val="8.0"/>
        <vertAlign val="superscript"/>
      </rPr>
      <t>5, 6</t>
    </r>
  </si>
  <si>
    <t xml:space="preserve">Distilling wine </t>
  </si>
  <si>
    <t>Gross litres</t>
  </si>
  <si>
    <r>
      <t>Processed</t>
    </r>
    <r>
      <rPr>
        <rFont val="Arial"/>
        <color rgb="FF000000"/>
        <sz val="8.0"/>
        <vertAlign val="superscript"/>
      </rPr>
      <t>6</t>
    </r>
  </si>
  <si>
    <t>c/ℓ</t>
  </si>
  <si>
    <r>
      <t>planted</t>
    </r>
    <r>
      <rPr>
        <rFont val="Arial"/>
        <color rgb="FF000000"/>
        <sz val="8.0"/>
        <vertAlign val="superscript"/>
      </rPr>
      <t>1, 2</t>
    </r>
  </si>
  <si>
    <t>c/ℓ @ 10% alc./vol.</t>
  </si>
  <si>
    <r>
      <rPr>
        <rFont val="Arial"/>
        <color rgb="FF000000"/>
        <sz val="7.0"/>
        <vertAlign val="superscript"/>
      </rPr>
      <t>1</t>
    </r>
    <r>
      <rPr>
        <rFont val="Times New Roman"/>
        <color rgb="FF000000"/>
        <sz val="7.0"/>
      </rPr>
      <t xml:space="preserve">   </t>
    </r>
    <r>
      <rPr>
        <rFont val="Arial"/>
        <color rgb="FF000000"/>
        <sz val="7.0"/>
      </rPr>
      <t>Number of cattle and calves slaughtered for commercial markets and for own consumption</t>
    </r>
  </si>
  <si>
    <r>
      <rPr>
        <rFont val="Arial"/>
        <color rgb="FF000000"/>
        <sz val="7.0"/>
        <vertAlign val="superscript"/>
      </rPr>
      <t>2</t>
    </r>
    <r>
      <rPr>
        <rFont val="Arial"/>
        <color rgb="FF000000"/>
        <sz val="7.0"/>
      </rPr>
      <t xml:space="preserve">   Purchase price of chilled carcasses, including the fifth quarter</t>
    </r>
  </si>
  <si>
    <t xml:space="preserve">    Up to 2003/04, average auction price on the hook at certain auction markets</t>
  </si>
  <si>
    <r>
      <rPr>
        <rFont val="Arial"/>
        <color rgb="FF000000"/>
        <sz val="7.0"/>
        <vertAlign val="superscript"/>
      </rPr>
      <t>3</t>
    </r>
    <r>
      <rPr>
        <rFont val="Arial"/>
        <color rgb="FF000000"/>
        <sz val="7.0"/>
      </rPr>
      <t xml:space="preserve">  Source: From 2003/04, Red Meat Abattoir Association</t>
    </r>
  </si>
  <si>
    <t xml:space="preserve">                  Up to 2002/03, the South African Meat Industry company (SAMIC)</t>
  </si>
  <si>
    <t xml:space="preserve">                  Up to 1996/97, the former Meat Board</t>
  </si>
  <si>
    <r>
      <t>2017</t>
    </r>
    <r>
      <rPr>
        <rFont val="Arial"/>
        <color rgb="FF000000"/>
        <sz val="8.0"/>
        <vertAlign val="superscript"/>
      </rPr>
      <t>7</t>
    </r>
  </si>
  <si>
    <r>
      <t>Production per province</t>
    </r>
    <r>
      <rPr>
        <rFont val="Arial"/>
        <color rgb="FF000000"/>
        <sz val="8.0"/>
        <vertAlign val="superscript"/>
      </rPr>
      <t>1</t>
    </r>
  </si>
  <si>
    <r>
      <t>Table 59 – Cattle: composition of the herd in the RSA</t>
    </r>
    <r>
      <rPr>
        <rFont val="Arial"/>
        <color rgb="FF000000"/>
        <sz val="8.0"/>
        <vertAlign val="superscript"/>
      </rPr>
      <t>1</t>
    </r>
  </si>
  <si>
    <t>Bulls</t>
  </si>
  <si>
    <t>Cows over 2 years</t>
  </si>
  <si>
    <t>Heifers 1 to 2 years</t>
  </si>
  <si>
    <t>Young oxen</t>
  </si>
  <si>
    <t>Oxen</t>
  </si>
  <si>
    <t>Dairy</t>
  </si>
  <si>
    <t>_</t>
  </si>
  <si>
    <r>
      <t>2017</t>
    </r>
    <r>
      <rPr>
        <rFont val="Arial"/>
        <color rgb="FF000000"/>
        <sz val="8.0"/>
        <vertAlign val="superscript"/>
      </rPr>
      <t>7</t>
    </r>
  </si>
  <si>
    <r>
      <t>2017</t>
    </r>
    <r>
      <rPr>
        <rFont val="Arial"/>
        <color rgb="FF000000"/>
        <sz val="8.0"/>
        <vertAlign val="superscript"/>
      </rPr>
      <t>1</t>
    </r>
  </si>
  <si>
    <r>
      <rPr>
        <rFont val="Arial"/>
        <color rgb="FF000000"/>
        <sz val="7.0"/>
        <vertAlign val="superscript"/>
      </rPr>
      <t>1</t>
    </r>
    <r>
      <rPr>
        <rFont val="Times New Roman"/>
        <color rgb="FF000000"/>
        <sz val="7.0"/>
      </rPr>
      <t>    </t>
    </r>
    <r>
      <rPr>
        <rFont val="Arial"/>
        <color rgb="FF000000"/>
        <sz val="7.0"/>
      </rPr>
      <t>Commercial</t>
    </r>
  </si>
  <si>
    <r>
      <rPr>
        <rFont val="Arial"/>
        <color rgb="FF000000"/>
        <sz val="7.0"/>
        <vertAlign val="superscript"/>
      </rPr>
      <t>2</t>
    </r>
    <r>
      <rPr>
        <rFont val="Times New Roman"/>
        <color rgb="FF000000"/>
        <sz val="7.0"/>
      </rPr>
      <t xml:space="preserve">    </t>
    </r>
    <r>
      <rPr>
        <rFont val="Arial"/>
        <color rgb="FF000000"/>
        <sz val="7.0"/>
      </rPr>
      <t>Includes plantings for feed and marketing purposes</t>
    </r>
  </si>
  <si>
    <r>
      <rPr>
        <rFont val="Arial"/>
        <color rgb="FF000000"/>
        <sz val="7.0"/>
        <vertAlign val="superscript"/>
      </rPr>
      <t>3</t>
    </r>
    <r>
      <rPr>
        <rFont val="Times New Roman"/>
        <color rgb="FF000000"/>
        <sz val="7.0"/>
      </rPr>
      <t xml:space="preserve">    </t>
    </r>
    <r>
      <rPr>
        <rFont val="Arial"/>
        <color rgb="FF000000"/>
        <sz val="7.0"/>
      </rPr>
      <t>Estimated average price</t>
    </r>
  </si>
  <si>
    <t>Source:  SA Wine Industry Information and Systems (SAWIS)</t>
  </si>
  <si>
    <t xml:space="preserve">       From 1986/87 to 1996/97, price for grade M1 in bags, excluding price of bags</t>
  </si>
  <si>
    <t xml:space="preserve">       Up to 1985/86, price for grade B1 in bags, excluding price of bags</t>
  </si>
  <si>
    <r>
      <rPr>
        <rFont val="Arial"/>
        <color rgb="FF000000"/>
        <sz val="7.0"/>
        <vertAlign val="superscript"/>
      </rPr>
      <t>1</t>
    </r>
    <r>
      <rPr>
        <rFont val="Arial"/>
        <color rgb="FF000000"/>
        <sz val="7.0"/>
      </rPr>
      <t xml:space="preserve">  Preliminary</t>
    </r>
  </si>
  <si>
    <r>
      <rPr>
        <rFont val="Arial"/>
        <color rgb="FF000000"/>
        <sz val="7.0"/>
        <vertAlign val="superscript"/>
      </rPr>
      <t>4</t>
    </r>
    <r>
      <rPr>
        <rFont val="Times New Roman"/>
        <color rgb="FF000000"/>
        <sz val="7.0"/>
      </rPr>
      <t xml:space="preserve">    </t>
    </r>
    <r>
      <rPr>
        <rFont val="Arial"/>
        <color rgb="FF000000"/>
        <sz val="7.0"/>
      </rPr>
      <t>Index figures are for split years</t>
    </r>
  </si>
  <si>
    <r>
      <rPr>
        <rFont val="Arial"/>
        <color rgb="FF000000"/>
        <sz val="7.0"/>
        <vertAlign val="superscript"/>
      </rPr>
      <t>5</t>
    </r>
    <r>
      <rPr>
        <rFont val="Times New Roman"/>
        <color rgb="FF000000"/>
        <sz val="7.0"/>
      </rPr>
      <t xml:space="preserve">    </t>
    </r>
    <r>
      <rPr>
        <rFont val="Arial"/>
        <color rgb="FF000000"/>
        <sz val="7.0"/>
      </rPr>
      <t>Prior to 1999/2000, receipts by Wheat Board</t>
    </r>
  </si>
  <si>
    <t>Table 46 – Avocados and bananas: production, gross value, sales on markets and exports</t>
  </si>
  <si>
    <r>
      <rPr>
        <rFont val="Arial"/>
        <color rgb="FF000000"/>
        <sz val="7.0"/>
        <vertAlign val="superscript"/>
      </rPr>
      <t>6</t>
    </r>
    <r>
      <rPr>
        <rFont val="Times New Roman"/>
        <color rgb="FF000000"/>
        <sz val="7.0"/>
      </rPr>
      <t xml:space="preserve">    </t>
    </r>
    <r>
      <rPr>
        <rFont val="Arial"/>
        <color rgb="FF000000"/>
        <sz val="7.0"/>
      </rPr>
      <t>Source: SAGIS</t>
    </r>
  </si>
  <si>
    <t xml:space="preserve">                   Up to 1996, Wheat Board</t>
  </si>
  <si>
    <t>Avocados</t>
  </si>
  <si>
    <r>
      <rPr>
        <rFont val="Arial"/>
        <color rgb="FF000000"/>
        <sz val="7.0"/>
        <vertAlign val="superscript"/>
      </rPr>
      <t>7</t>
    </r>
    <r>
      <rPr>
        <rFont val="Arial"/>
        <color rgb="FF000000"/>
        <sz val="7.0"/>
      </rPr>
      <t>    Preliminary</t>
    </r>
  </si>
  <si>
    <t>Bananas</t>
  </si>
  <si>
    <r>
      <t>Sales on markets</t>
    </r>
    <r>
      <rPr>
        <rFont val="Arial"/>
        <color rgb="FF000000"/>
        <sz val="8.0"/>
        <vertAlign val="superscript"/>
      </rPr>
      <t>1</t>
    </r>
  </si>
  <si>
    <r>
      <t>Sales on markets</t>
    </r>
    <r>
      <rPr>
        <rFont val="Arial"/>
        <color rgb="FF000000"/>
        <sz val="8.0"/>
        <vertAlign val="superscript"/>
      </rPr>
      <t>1</t>
    </r>
  </si>
  <si>
    <t>Table 23 – Canola: area planted, production, producer prices and price index, gross value, deliveries and quantity processed</t>
  </si>
  <si>
    <r>
      <t>Area planted</t>
    </r>
    <r>
      <rPr>
        <rFont val="Arial"/>
        <color rgb="FF000000"/>
        <sz val="8.0"/>
        <vertAlign val="superscript"/>
      </rPr>
      <t>1</t>
    </r>
  </si>
  <si>
    <r>
      <t>Production</t>
    </r>
    <r>
      <rPr>
        <rFont val="Arial"/>
        <color rgb="FF000000"/>
        <sz val="8.0"/>
        <vertAlign val="superscript"/>
      </rPr>
      <t>1</t>
    </r>
  </si>
  <si>
    <r>
      <t>Producer price</t>
    </r>
    <r>
      <rPr>
        <rFont val="Arial"/>
        <color rgb="FF000000"/>
        <sz val="8.0"/>
        <vertAlign val="superscript"/>
      </rPr>
      <t>2</t>
    </r>
  </si>
  <si>
    <r>
      <t>Price Index</t>
    </r>
    <r>
      <rPr>
        <rFont val="Arial"/>
        <color rgb="FF000000"/>
        <sz val="8.0"/>
        <vertAlign val="superscript"/>
      </rPr>
      <t>3</t>
    </r>
  </si>
  <si>
    <r>
      <t>Deliveries</t>
    </r>
    <r>
      <rPr>
        <rFont val="Arial"/>
        <color rgb="FF000000"/>
        <sz val="8.0"/>
        <vertAlign val="superscript"/>
      </rPr>
      <t>4</t>
    </r>
  </si>
  <si>
    <r>
      <t>Processed</t>
    </r>
    <r>
      <rPr>
        <rFont val="Arial"/>
        <color rgb="FF000000"/>
        <sz val="8.0"/>
        <vertAlign val="superscript"/>
      </rPr>
      <t>4</t>
    </r>
  </si>
  <si>
    <r>
      <t>2017</t>
    </r>
    <r>
      <rPr>
        <rFont val="Arial"/>
        <color rgb="FF000000"/>
        <sz val="8.0"/>
        <vertAlign val="superscript"/>
      </rPr>
      <t>5</t>
    </r>
  </si>
  <si>
    <t>16 464,97</t>
  </si>
  <si>
    <r>
      <rPr>
        <rFont val="Arial"/>
        <color rgb="FF000000"/>
        <sz val="7.0"/>
        <vertAlign val="superscript"/>
      </rPr>
      <t>1</t>
    </r>
    <r>
      <rPr>
        <rFont val="Times New Roman"/>
        <color rgb="FF000000"/>
        <sz val="7.0"/>
      </rPr>
      <t xml:space="preserve">  </t>
    </r>
    <r>
      <rPr>
        <rFont val="Arial"/>
        <color rgb="FF000000"/>
        <sz val="7.0"/>
      </rPr>
      <t>Commercial livestock numbers as at the end of August</t>
    </r>
  </si>
  <si>
    <r>
      <t>2016/17</t>
    </r>
    <r>
      <rPr>
        <rFont val="Arial"/>
        <color rgb="FF000000"/>
        <sz val="8.0"/>
        <vertAlign val="superscript"/>
      </rPr>
      <t>2</t>
    </r>
  </si>
  <si>
    <t>17 050,06</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</si>
  <si>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</si>
  <si>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r>
      <rPr>
        <rFont val="Arial"/>
        <color rgb="FF000000"/>
        <sz val="7.0"/>
        <vertAlign val="superscript"/>
      </rPr>
      <t>1</t>
    </r>
    <r>
      <rPr>
        <rFont val="Arial"/>
        <color rgb="FF000000"/>
        <sz val="7.0"/>
      </rPr>
      <t xml:space="preserve">   Commercial</t>
    </r>
  </si>
  <si>
    <t>Table 60 – Production and consumption of beef and veal</t>
  </si>
  <si>
    <r>
      <rPr>
        <rFont val="Arial"/>
        <color rgb="FF000000"/>
        <sz val="7.0"/>
        <vertAlign val="superscript"/>
      </rPr>
      <t>2</t>
    </r>
    <r>
      <rPr>
        <rFont val="Arial"/>
        <color rgb="FF000000"/>
        <sz val="7.0"/>
      </rPr>
      <t xml:space="preserve">   Estimated average price</t>
    </r>
  </si>
  <si>
    <r>
      <rPr>
        <rFont val="Arial"/>
        <color rgb="FF000000"/>
        <sz val="7.0"/>
        <vertAlign val="superscript"/>
      </rPr>
      <t>3</t>
    </r>
    <r>
      <rPr>
        <rFont val="Arial"/>
        <color rgb="FF000000"/>
        <sz val="7.0"/>
      </rPr>
      <t xml:space="preserve">   Index figures are for split years, e. g. production year 2005 = 2005/06</t>
    </r>
  </si>
  <si>
    <t>Total production RSA origin</t>
  </si>
  <si>
    <r>
      <rPr>
        <rFont val="Arial"/>
        <color rgb="FF000000"/>
        <sz val="7.0"/>
        <vertAlign val="superscript"/>
      </rPr>
      <t>4</t>
    </r>
    <r>
      <rPr>
        <rFont val="Arial"/>
        <color rgb="FF000000"/>
        <sz val="7.0"/>
      </rPr>
      <t xml:space="preserve">   Source: SAGIS</t>
    </r>
  </si>
  <si>
    <t>Imports</t>
  </si>
  <si>
    <r>
      <rPr>
        <rFont val="Arial"/>
        <color rgb="FF000000"/>
        <sz val="7.0"/>
        <vertAlign val="superscript"/>
      </rPr>
      <t>5</t>
    </r>
    <r>
      <rPr>
        <rFont val="Arial"/>
        <color rgb="FF000000"/>
        <sz val="7.0"/>
      </rPr>
      <t xml:space="preserve">   Preliminary</t>
    </r>
  </si>
  <si>
    <r>
      <rPr>
        <rFont val="Arial"/>
        <color rgb="FF000000"/>
        <sz val="7.0"/>
        <vertAlign val="superscript"/>
      </rPr>
      <t>2</t>
    </r>
    <r>
      <rPr>
        <rFont val="Arial"/>
        <color rgb="FF000000"/>
        <sz val="7.0"/>
      </rPr>
      <t xml:space="preserve">  Preliminary</t>
    </r>
  </si>
  <si>
    <t>Per capita</t>
  </si>
  <si>
    <t>Table 47 – Granadillas and litchis: production, gross value, sales on markets and purchases for processing</t>
  </si>
  <si>
    <t>Granadillas</t>
  </si>
  <si>
    <t>Litchis</t>
  </si>
  <si>
    <r>
      <t>Sales on markets</t>
    </r>
    <r>
      <rPr>
        <rFont val="Arial"/>
        <color rgb="FF000000"/>
        <sz val="8.0"/>
        <vertAlign val="superscript"/>
      </rPr>
      <t>1</t>
    </r>
  </si>
  <si>
    <r>
      <t>Sales on markets</t>
    </r>
    <r>
      <rPr>
        <rFont val="Arial"/>
        <color rgb="FF000000"/>
        <sz val="8.0"/>
        <vertAlign val="superscript"/>
      </rPr>
      <t>1</t>
    </r>
  </si>
  <si>
    <t>Table 24 – Dry beans: area planted, production and producer prices</t>
  </si>
  <si>
    <r>
      <t>Area planted</t>
    </r>
    <r>
      <rPr>
        <rFont val="Arial"/>
        <color rgb="FF000000"/>
        <sz val="8.0"/>
        <vertAlign val="superscript"/>
      </rPr>
      <t>1</t>
    </r>
  </si>
  <si>
    <r>
      <t>Total pro-duction</t>
    </r>
    <r>
      <rPr>
        <rFont val="Arial"/>
        <color rgb="FF000000"/>
        <sz val="8.0"/>
        <vertAlign val="superscript"/>
      </rPr>
      <t>2</t>
    </r>
  </si>
  <si>
    <r>
      <t>Producer prices</t>
    </r>
    <r>
      <rPr>
        <rFont val="Arial"/>
        <color rgb="FF000000"/>
        <sz val="8.0"/>
        <vertAlign val="superscript"/>
      </rPr>
      <t>3</t>
    </r>
  </si>
  <si>
    <t>Marketing year: January to December</t>
  </si>
  <si>
    <t>Large white kidney beans</t>
  </si>
  <si>
    <t>Small white beans</t>
  </si>
  <si>
    <t>Sugar beans</t>
  </si>
  <si>
    <r>
      <t>Haricot beans</t>
    </r>
    <r>
      <rPr>
        <rFont val="Arial"/>
        <color rgb="FF000000"/>
        <sz val="8.0"/>
        <vertAlign val="superscript"/>
      </rPr>
      <t>4</t>
    </r>
  </si>
  <si>
    <r>
      <t>2016/17</t>
    </r>
    <r>
      <rPr>
        <rFont val="Arial"/>
        <color rgb="FF000000"/>
        <sz val="8.0"/>
        <vertAlign val="superscript"/>
      </rPr>
      <t>2</t>
    </r>
  </si>
  <si>
    <t>Brown</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</si>
  <si>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</si>
  <si>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r>
      <rPr>
        <rFont val="Arial"/>
        <color rgb="FF000000"/>
        <sz val="7.0"/>
        <vertAlign val="superscript"/>
      </rPr>
      <t>2</t>
    </r>
    <r>
      <rPr>
        <rFont val="Arial"/>
        <color rgb="FF000000"/>
        <sz val="7.0"/>
      </rPr>
      <t xml:space="preserve">  Preliminary</t>
    </r>
  </si>
  <si>
    <t>Table 48 – Guavas and loquats: production, gross value, sales on markets and purchases for processing</t>
  </si>
  <si>
    <t>Table 61 – Production of cattle hides and calf skins</t>
  </si>
  <si>
    <r>
      <t>Guavas</t>
    </r>
    <r>
      <rPr>
        <rFont val="Arial"/>
        <color rgb="FF000000"/>
        <sz val="8.0"/>
        <vertAlign val="superscript"/>
      </rPr>
      <t>1</t>
    </r>
  </si>
  <si>
    <r>
      <t>Cattle hides</t>
    </r>
    <r>
      <rPr>
        <rFont val="Arial"/>
        <color rgb="FF000000"/>
        <sz val="8.0"/>
        <vertAlign val="superscript"/>
      </rPr>
      <t>1</t>
    </r>
  </si>
  <si>
    <t>Loquats</t>
  </si>
  <si>
    <r>
      <t>Calf skins</t>
    </r>
    <r>
      <rPr>
        <rFont val="Arial"/>
        <color rgb="FF000000"/>
        <sz val="8.0"/>
        <vertAlign val="superscript"/>
      </rPr>
      <t>1</t>
    </r>
  </si>
  <si>
    <t>Hides and skins</t>
  </si>
  <si>
    <t>Untreated</t>
  </si>
  <si>
    <r>
      <t>Sales on markets</t>
    </r>
    <r>
      <rPr>
        <rFont val="Arial"/>
        <color rgb="FF000000"/>
        <sz val="8.0"/>
        <vertAlign val="superscript"/>
      </rPr>
      <t>2</t>
    </r>
  </si>
  <si>
    <t>Wet salted</t>
  </si>
  <si>
    <t>Dry salted</t>
  </si>
  <si>
    <t>Sun dried</t>
  </si>
  <si>
    <t>Exported</t>
  </si>
  <si>
    <t>Processed locally</t>
  </si>
  <si>
    <r>
      <t>Exported</t>
    </r>
    <r>
      <rPr>
        <rFont val="Arial"/>
        <color rgb="FF000000"/>
        <sz val="8.0"/>
        <vertAlign val="superscript"/>
      </rPr>
      <t>2</t>
    </r>
  </si>
  <si>
    <r>
      <t>2017/18</t>
    </r>
    <r>
      <rPr>
        <rFont val="Arial"/>
        <color rgb="FF000000"/>
        <sz val="8.0"/>
        <vertAlign val="superscript"/>
      </rPr>
      <t>5</t>
    </r>
  </si>
  <si>
    <r>
      <t>Production</t>
    </r>
    <r>
      <rPr>
        <rFont val="Arial"/>
        <color rgb="FF000000"/>
        <sz val="8.0"/>
        <vertAlign val="superscript"/>
      </rPr>
      <t>1</t>
    </r>
  </si>
  <si>
    <r>
      <t>2016/17</t>
    </r>
    <r>
      <rPr>
        <rFont val="Arial"/>
        <color rgb="FF000000"/>
        <sz val="8.0"/>
        <vertAlign val="superscript"/>
      </rPr>
      <t>3</t>
    </r>
  </si>
  <si>
    <r>
      <rPr>
        <rFont val="Arial"/>
        <color rgb="FF000000"/>
        <sz val="7.0"/>
        <vertAlign val="superscript"/>
      </rPr>
      <t>1</t>
    </r>
    <r>
      <rPr>
        <rFont val="Times New Roman"/>
        <color rgb="FF000000"/>
        <sz val="7.0"/>
      </rPr>
      <t>   </t>
    </r>
    <r>
      <rPr>
        <rFont val="Arial"/>
        <color rgb="FF000000"/>
        <sz val="7.0"/>
      </rPr>
      <t>Guavadilla included from 1980/81</t>
    </r>
  </si>
  <si>
    <r>
      <rPr>
        <rFont val="Arial"/>
        <color rgb="FF000000"/>
        <sz val="7.0"/>
        <vertAlign val="superscript"/>
      </rPr>
      <t>2</t>
    </r>
    <r>
      <rPr>
        <rFont val="Times New Roman"/>
        <color rgb="FF000000"/>
        <sz val="7.0"/>
      </rPr>
      <t xml:space="preserve">   </t>
    </r>
    <r>
      <rPr>
        <rFont val="Arial"/>
        <color rgb="FF000000"/>
        <sz val="7.0"/>
      </rPr>
      <t>Until 1988/89, sales on the 14 national fresh produce markets</t>
    </r>
  </si>
  <si>
    <r>
      <rPr>
        <rFont val="Arial"/>
        <color rgb="FF000000"/>
        <sz val="7.0"/>
        <vertAlign val="superscript"/>
      </rPr>
      <t>1</t>
    </r>
    <r>
      <rPr>
        <rFont val="Times New Roman"/>
        <color rgb="FF000000"/>
        <sz val="7.0"/>
      </rPr>
      <t>   </t>
    </r>
    <r>
      <rPr>
        <rFont val="Arial"/>
        <color rgb="FF000000"/>
        <sz val="7.0"/>
      </rPr>
      <t>Source: SAMIC</t>
    </r>
  </si>
  <si>
    <r>
      <rPr>
        <rFont val="Arial"/>
        <color rgb="FF000000"/>
        <sz val="7.0"/>
        <vertAlign val="superscript"/>
      </rPr>
      <t>2</t>
    </r>
    <r>
      <rPr>
        <rFont val="Times New Roman"/>
        <color rgb="FF000000"/>
        <sz val="7.0"/>
      </rPr>
      <t>   </t>
    </r>
    <r>
      <rPr>
        <rFont val="Arial"/>
        <color rgb="FF000000"/>
        <sz val="7.0"/>
      </rPr>
      <t>Source: Customs and Excise from 1988.  (1980/81 = 1980, etc.)</t>
    </r>
  </si>
  <si>
    <t>2009/09</t>
  </si>
  <si>
    <r>
      <rPr>
        <rFont val="Arial"/>
        <color rgb="FF000000"/>
        <sz val="7.0"/>
        <vertAlign val="superscript"/>
      </rPr>
      <t>3</t>
    </r>
    <r>
      <rPr>
        <rFont val="Times New Roman"/>
        <color rgb="FF000000"/>
        <sz val="7.0"/>
      </rPr>
      <t>  </t>
    </r>
    <r>
      <rPr>
        <rFont val="Arial"/>
        <color rgb="FF000000"/>
        <sz val="7.0"/>
      </rPr>
      <t>Preliminary</t>
    </r>
  </si>
  <si>
    <t>Table 62 – Pig numbers, number slaughtered and average price, production and consumption of pork</t>
  </si>
  <si>
    <t>Pig numbers (31 August)</t>
  </si>
  <si>
    <r>
      <t>Number slaugh-tered</t>
    </r>
    <r>
      <rPr>
        <rFont val="Arial"/>
        <color rgb="FF000000"/>
        <sz val="8.0"/>
        <vertAlign val="superscript"/>
      </rPr>
      <t>1</t>
    </r>
  </si>
  <si>
    <r>
      <t>Average price</t>
    </r>
    <r>
      <rPr>
        <rFont val="Arial"/>
        <color rgb="FF000000"/>
        <sz val="8.0"/>
        <vertAlign val="superscript"/>
      </rPr>
      <t>2, 3</t>
    </r>
  </si>
  <si>
    <t>Table 49 – Mangoes and papayas: production, gross value and sales on markets</t>
  </si>
  <si>
    <r>
      <t>2017/18</t>
    </r>
    <r>
      <rPr>
        <rFont val="Arial"/>
        <color rgb="FF000000"/>
        <sz val="8.0"/>
        <vertAlign val="superscript"/>
      </rPr>
      <t>5</t>
    </r>
  </si>
  <si>
    <t>Mangoes</t>
  </si>
  <si>
    <t>Papayas</t>
  </si>
  <si>
    <r>
      <rPr>
        <rFont val="Arial"/>
        <color rgb="FF000000"/>
        <sz val="7.0"/>
        <vertAlign val="superscript"/>
      </rPr>
      <t>1</t>
    </r>
    <r>
      <rPr>
        <rFont val="Times New Roman"/>
        <color rgb="FF000000"/>
        <sz val="7.0"/>
      </rPr>
      <t>    </t>
    </r>
    <r>
      <rPr>
        <rFont val="Arial"/>
        <color rgb="FF000000"/>
        <sz val="7.0"/>
      </rPr>
      <t>Commercial</t>
    </r>
  </si>
  <si>
    <r>
      <rPr>
        <rFont val="Arial"/>
        <color rgb="FF000000"/>
        <sz val="7.0"/>
        <vertAlign val="superscript"/>
      </rPr>
      <t>2</t>
    </r>
    <r>
      <rPr>
        <rFont val="Arial"/>
        <color rgb="FF000000"/>
        <sz val="7.0"/>
      </rPr>
      <t>    Former TBVC states and self-governing territories are included</t>
    </r>
  </si>
  <si>
    <r>
      <rPr>
        <rFont val="Arial"/>
        <color rgb="FF000000"/>
        <sz val="7.0"/>
        <vertAlign val="superscript"/>
      </rPr>
      <t>3</t>
    </r>
    <r>
      <rPr>
        <rFont val="Times New Roman"/>
        <color rgb="FF000000"/>
        <sz val="7.0"/>
      </rPr>
      <t xml:space="preserve">    </t>
    </r>
    <r>
      <rPr>
        <rFont val="Arial"/>
        <color rgb="FF000000"/>
        <sz val="7.0"/>
      </rPr>
      <t>From 1977/78 to 1999/2000, R per 70 kg bag. From 2000/01,  R per ton</t>
    </r>
  </si>
  <si>
    <r>
      <t>Sales on markets</t>
    </r>
    <r>
      <rPr>
        <rFont val="Arial"/>
        <color rgb="FF000000"/>
        <sz val="8.0"/>
        <vertAlign val="superscript"/>
      </rPr>
      <t>1</t>
    </r>
  </si>
  <si>
    <r>
      <rPr>
        <rFont val="Arial"/>
        <color rgb="FF000000"/>
        <sz val="7.0"/>
        <vertAlign val="superscript"/>
      </rPr>
      <t>4</t>
    </r>
    <r>
      <rPr>
        <rFont val="Times New Roman"/>
        <color rgb="FF000000"/>
        <sz val="7.0"/>
      </rPr>
      <t xml:space="preserve">    </t>
    </r>
    <r>
      <rPr>
        <rFont val="Arial"/>
        <color rgb="FF000000"/>
        <sz val="7.0"/>
      </rPr>
      <t>From 1995, price of other beans</t>
    </r>
  </si>
  <si>
    <r>
      <rPr>
        <rFont val="Arial"/>
        <color rgb="FF000000"/>
        <sz val="8.0"/>
        <vertAlign val="superscript"/>
      </rPr>
      <t>5</t>
    </r>
    <r>
      <rPr>
        <rFont val="Arial"/>
        <color rgb="FF000000"/>
        <sz val="8.0"/>
      </rPr>
      <t xml:space="preserve">    Estimate</t>
    </r>
  </si>
  <si>
    <r>
      <t>Sales on markets</t>
    </r>
    <r>
      <rPr>
        <rFont val="Arial"/>
        <color rgb="FF000000"/>
        <sz val="8.0"/>
        <vertAlign val="superscript"/>
      </rPr>
      <t>1</t>
    </r>
  </si>
  <si>
    <t>Table 25 – Dry beans: gross value, price index, marketing, consumption, imports and exports</t>
  </si>
  <si>
    <r>
      <t>Price index</t>
    </r>
    <r>
      <rPr>
        <rFont val="Arial"/>
        <color rgb="FF000000"/>
        <sz val="8.0"/>
        <vertAlign val="superscript"/>
      </rPr>
      <t>1</t>
    </r>
  </si>
  <si>
    <t>Marketed by producers</t>
  </si>
  <si>
    <t>Consump-tion</t>
  </si>
  <si>
    <r>
      <t>Imports</t>
    </r>
    <r>
      <rPr>
        <rFont val="Arial"/>
        <color rgb="FF000000"/>
        <sz val="8.0"/>
        <vertAlign val="superscript"/>
      </rPr>
      <t>2</t>
    </r>
  </si>
  <si>
    <t>Marketing year: Jan. to Dec.</t>
  </si>
  <si>
    <t>Source: Dry Bean Producers' Organisation</t>
  </si>
  <si>
    <r>
      <rPr>
        <rFont val="Arial"/>
        <color rgb="FF000000"/>
        <sz val="7.0"/>
        <vertAlign val="superscript"/>
      </rPr>
      <t>1</t>
    </r>
    <r>
      <rPr>
        <rFont val="Times New Roman"/>
        <color rgb="FF000000"/>
        <sz val="7.0"/>
      </rPr>
      <t>   P</t>
    </r>
    <r>
      <rPr>
        <rFont val="Arial"/>
        <color rgb="FF000000"/>
        <sz val="7.0"/>
      </rPr>
      <t>igs slaughtered for commercial markets and for own consumption</t>
    </r>
  </si>
  <si>
    <r>
      <rPr>
        <rFont val="Arial"/>
        <color rgb="FF000000"/>
        <sz val="7.0"/>
        <vertAlign val="superscript"/>
      </rPr>
      <t>1</t>
    </r>
    <r>
      <rPr>
        <rFont val="Times New Roman"/>
        <color rgb="FF000000"/>
        <sz val="7.0"/>
      </rPr>
      <t xml:space="preserve">   </t>
    </r>
    <r>
      <rPr>
        <rFont val="Arial"/>
        <color rgb="FF000000"/>
        <sz val="7.0"/>
      </rPr>
      <t>Index figures are for calendar years</t>
    </r>
  </si>
  <si>
    <r>
      <rPr>
        <rFont val="Arial"/>
        <color rgb="FF000000"/>
        <sz val="7.0"/>
        <vertAlign val="superscript"/>
      </rPr>
      <t>2</t>
    </r>
    <r>
      <rPr>
        <rFont val="Arial"/>
        <color rgb="FF000000"/>
        <sz val="7.0"/>
      </rPr>
      <t xml:space="preserve">   Purchase price of chilled carcasses</t>
    </r>
  </si>
  <si>
    <r>
      <rPr>
        <rFont val="Arial"/>
        <color rgb="FF000000"/>
        <sz val="7.0"/>
        <vertAlign val="superscript"/>
      </rPr>
      <t>2</t>
    </r>
    <r>
      <rPr>
        <rFont val="Times New Roman"/>
        <color rgb="FF000000"/>
        <sz val="7.0"/>
      </rPr>
      <t xml:space="preserve">   </t>
    </r>
    <r>
      <rPr>
        <rFont val="Arial"/>
        <color rgb="FF000000"/>
        <sz val="7.0"/>
      </rPr>
      <t>Includes imports from adjacent countries</t>
    </r>
  </si>
  <si>
    <t xml:space="preserve">     Up to 2003/04, average auction price on the hook at certain auction markets</t>
  </si>
  <si>
    <r>
      <t>2016/17</t>
    </r>
    <r>
      <rPr>
        <rFont val="Arial"/>
        <color rgb="FF000000"/>
        <sz val="8.0"/>
        <vertAlign val="superscript"/>
      </rPr>
      <t>2</t>
    </r>
  </si>
  <si>
    <r>
      <rPr>
        <rFont val="Arial"/>
        <color rgb="FF000000"/>
        <sz val="7.0"/>
        <vertAlign val="superscript"/>
      </rPr>
      <t>3</t>
    </r>
    <r>
      <rPr>
        <rFont val="Arial"/>
        <color rgb="FF000000"/>
        <sz val="7.0"/>
      </rPr>
      <t xml:space="preserve">   Source: From 2003/04, the Red Meat Abattoir Association</t>
    </r>
  </si>
  <si>
    <t xml:space="preserve">                   Up to 2002/03, the South African Meat Industry company (SAMIC)</t>
  </si>
  <si>
    <t xml:space="preserve">                   Up to 1996/97, the former Meat Board</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</si>
  <si>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</si>
  <si>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t>Table 63 – Sheep and goat numbers: breed composition in the RSA</t>
  </si>
  <si>
    <r>
      <rPr>
        <rFont val="Arial"/>
        <color rgb="FF000000"/>
        <sz val="7.0"/>
        <vertAlign val="superscript"/>
      </rPr>
      <t>2</t>
    </r>
    <r>
      <rPr>
        <rFont val="Arial"/>
        <color rgb="FF000000"/>
        <sz val="7.0"/>
      </rPr>
      <t xml:space="preserve">  Preliminary</t>
    </r>
  </si>
  <si>
    <t>31 August</t>
  </si>
  <si>
    <r>
      <t>Sheep</t>
    </r>
    <r>
      <rPr>
        <rFont val="Arial"/>
        <color rgb="FF000000"/>
        <sz val="8.0"/>
        <vertAlign val="superscript"/>
      </rPr>
      <t>1</t>
    </r>
  </si>
  <si>
    <r>
      <t>Goats</t>
    </r>
    <r>
      <rPr>
        <rFont val="Arial"/>
        <color rgb="FF000000"/>
        <sz val="8.0"/>
        <vertAlign val="superscript"/>
      </rPr>
      <t>1</t>
    </r>
  </si>
  <si>
    <t>Merino</t>
  </si>
  <si>
    <t>Karakul</t>
  </si>
  <si>
    <t>Other woolled sheep</t>
  </si>
  <si>
    <t>Non-woolled sheep</t>
  </si>
  <si>
    <t>Angora goats</t>
  </si>
  <si>
    <t>Other goats</t>
  </si>
  <si>
    <t>Table 50 – Pineapples: production, gross value, sales on markets, purchases for processing and exports</t>
  </si>
  <si>
    <t>Table 26 – Cowpeas, dry peas and lentils: production and gross value</t>
  </si>
  <si>
    <t>Pineapples</t>
  </si>
  <si>
    <r>
      <t>Cowpeas</t>
    </r>
    <r>
      <rPr>
        <rFont val="Arial"/>
        <color rgb="FF000000"/>
        <sz val="8.0"/>
        <vertAlign val="superscript"/>
      </rPr>
      <t>1</t>
    </r>
  </si>
  <si>
    <t>Dry peas</t>
  </si>
  <si>
    <t>Lentils</t>
  </si>
  <si>
    <r>
      <t>Sales on markets</t>
    </r>
    <r>
      <rPr>
        <rFont val="Arial"/>
        <color rgb="FF000000"/>
        <sz val="8.0"/>
        <vertAlign val="superscript"/>
      </rPr>
      <t>1</t>
    </r>
  </si>
  <si>
    <t>Producer price</t>
  </si>
  <si>
    <r>
      <t>Production</t>
    </r>
    <r>
      <rPr>
        <rFont val="Arial"/>
        <color rgb="FF000000"/>
        <sz val="8.0"/>
        <vertAlign val="superscript"/>
      </rPr>
      <t>2</t>
    </r>
  </si>
  <si>
    <r>
      <t>Gross value</t>
    </r>
    <r>
      <rPr>
        <rFont val="Arial"/>
        <color rgb="FF000000"/>
        <sz val="8.0"/>
        <vertAlign val="superscript"/>
      </rPr>
      <t>3</t>
    </r>
  </si>
  <si>
    <r>
      <t>Production</t>
    </r>
    <r>
      <rPr>
        <rFont val="Arial"/>
        <color rgb="FF000000"/>
        <sz val="8.0"/>
        <vertAlign val="superscript"/>
      </rPr>
      <t>4</t>
    </r>
  </si>
  <si>
    <r>
      <t>Gross value</t>
    </r>
    <r>
      <rPr>
        <rFont val="Arial"/>
        <color rgb="FF000000"/>
        <sz val="8.0"/>
        <vertAlign val="superscript"/>
      </rPr>
      <t>3</t>
    </r>
  </si>
  <si>
    <t>2 298,25</t>
  </si>
  <si>
    <t>15 845,30</t>
  </si>
  <si>
    <r>
      <t>2016/17</t>
    </r>
    <r>
      <rPr>
        <rFont val="Arial"/>
        <color rgb="FF000000"/>
        <sz val="8.0"/>
        <vertAlign val="superscript"/>
      </rPr>
      <t>2</t>
    </r>
  </si>
  <si>
    <t>1 951,54</t>
  </si>
  <si>
    <t>14 551,14</t>
  </si>
  <si>
    <r>
      <rPr>
        <rFont val="Arial"/>
        <color rgb="FF000000"/>
        <sz val="7.0"/>
        <vertAlign val="superscript"/>
      </rPr>
      <t>1</t>
    </r>
    <r>
      <rPr>
        <rFont val="Times New Roman"/>
        <color rgb="FF000000"/>
        <sz val="7.0"/>
      </rPr>
      <t xml:space="preserve">  </t>
    </r>
    <r>
      <rPr>
        <rFont val="Arial"/>
        <color rgb="FF000000"/>
        <sz val="7.0"/>
      </rPr>
      <t>Until 1988/89, sales on the 14 national fresh produce markets</t>
    </r>
  </si>
  <si>
    <r>
      <rPr>
        <rFont val="Arial"/>
        <color rgb="FF000000"/>
        <sz val="7.0"/>
        <vertAlign val="superscript"/>
      </rPr>
      <t>1</t>
    </r>
    <r>
      <rPr>
        <rFont val="Arial"/>
        <color rgb="FF000000"/>
        <sz val="7.0"/>
      </rPr>
      <t>  From 2000, information no longer available</t>
    </r>
  </si>
  <si>
    <r>
      <rPr>
        <rFont val="Arial"/>
        <color rgb="FF000000"/>
        <sz val="7.0"/>
        <vertAlign val="superscript"/>
      </rPr>
      <t>2</t>
    </r>
    <r>
      <rPr>
        <rFont val="Arial"/>
        <color rgb="FF000000"/>
        <sz val="7.0"/>
      </rPr>
      <t xml:space="preserve">  Preliminary</t>
    </r>
  </si>
  <si>
    <r>
      <rPr>
        <rFont val="Arial"/>
        <color rgb="FF000000"/>
        <sz val="7.0"/>
        <vertAlign val="superscript"/>
      </rPr>
      <t>2</t>
    </r>
    <r>
      <rPr>
        <rFont val="Arial"/>
        <color rgb="FF000000"/>
        <sz val="7.0"/>
      </rPr>
      <t>  From 2008, information no longer available</t>
    </r>
  </si>
  <si>
    <r>
      <rPr>
        <rFont val="Arial"/>
        <color rgb="FF000000"/>
        <sz val="7.0"/>
        <vertAlign val="superscript"/>
      </rPr>
      <t>3</t>
    </r>
    <r>
      <rPr>
        <rFont val="Arial"/>
        <color rgb="FF000000"/>
        <sz val="7.0"/>
      </rPr>
      <t>  From 2012, information no longer available</t>
    </r>
  </si>
  <si>
    <r>
      <rPr>
        <rFont val="Arial"/>
        <color rgb="FF000000"/>
        <sz val="7.0"/>
        <vertAlign val="superscript"/>
      </rPr>
      <t>4</t>
    </r>
    <r>
      <rPr>
        <rFont val="Arial"/>
        <color rgb="FF000000"/>
        <sz val="7.0"/>
      </rPr>
      <t>  From 2007, information no longer available</t>
    </r>
  </si>
  <si>
    <t>Table 51 – Oranges: production, gross value, sales on markets, exports and purchases for processing</t>
  </si>
  <si>
    <r>
      <t>Year: February to January</t>
    </r>
    <r>
      <rPr>
        <rFont val="Arial"/>
        <color rgb="FF000000"/>
        <sz val="8.0"/>
        <vertAlign val="superscript"/>
      </rPr>
      <t>1</t>
    </r>
  </si>
  <si>
    <r>
      <rPr>
        <rFont val="Arial"/>
        <color rgb="FF000000"/>
        <sz val="7.0"/>
        <vertAlign val="superscript"/>
      </rPr>
      <t>1</t>
    </r>
    <r>
      <rPr>
        <rFont val="Times New Roman"/>
        <color rgb="FF000000"/>
        <sz val="7.0"/>
      </rPr>
      <t xml:space="preserve">   </t>
    </r>
    <r>
      <rPr>
        <rFont val="Arial"/>
        <color rgb="FF000000"/>
        <sz val="7.0"/>
      </rPr>
      <t>Commercial numbers in the RSA</t>
    </r>
  </si>
  <si>
    <r>
      <t>Sales on markets</t>
    </r>
    <r>
      <rPr>
        <rFont val="Arial"/>
        <color rgb="FF000000"/>
        <sz val="8.0"/>
        <vertAlign val="superscript"/>
      </rPr>
      <t>2</t>
    </r>
  </si>
  <si>
    <t>Table 27 – Sugar cane: area planted, production, producer prices, producer price index and gross value, and production and exports of sugar</t>
  </si>
  <si>
    <t>Production year: May to April</t>
  </si>
  <si>
    <r>
      <t>Area planted</t>
    </r>
    <r>
      <rPr>
        <rFont val="Arial"/>
        <color rgb="FF000000"/>
        <sz val="8.0"/>
        <vertAlign val="superscript"/>
      </rPr>
      <t>1</t>
    </r>
  </si>
  <si>
    <t>Table 64 – Sheep, lambs and goats: slaughterings at abattoirs, auction prices on the hook, production and consumption</t>
  </si>
  <si>
    <r>
      <t>Producer price</t>
    </r>
    <r>
      <rPr>
        <rFont val="Arial"/>
        <color rgb="FF000000"/>
        <sz val="8.0"/>
        <vertAlign val="superscript"/>
      </rPr>
      <t>1</t>
    </r>
  </si>
  <si>
    <r>
      <t>Price index</t>
    </r>
    <r>
      <rPr>
        <rFont val="Arial"/>
        <color rgb="FF000000"/>
        <sz val="8.0"/>
        <vertAlign val="superscript"/>
      </rPr>
      <t>2</t>
    </r>
  </si>
  <si>
    <r>
      <t>Numbers slaughtered</t>
    </r>
    <r>
      <rPr>
        <rFont val="Arial"/>
        <color rgb="FF000000"/>
        <sz val="8.0"/>
        <vertAlign val="superscript"/>
      </rPr>
      <t>1</t>
    </r>
  </si>
  <si>
    <r>
      <t>Average price paid to feedlots or farmers</t>
    </r>
    <r>
      <rPr>
        <rFont val="Arial"/>
        <color rgb="FF000000"/>
        <sz val="8.0"/>
        <vertAlign val="superscript"/>
      </rPr>
      <t>2, 3</t>
    </r>
  </si>
  <si>
    <r>
      <t>Production of sugar</t>
    </r>
    <r>
      <rPr>
        <rFont val="Arial"/>
        <color rgb="FF000000"/>
        <sz val="8.0"/>
        <vertAlign val="superscript"/>
      </rPr>
      <t>1</t>
    </r>
  </si>
  <si>
    <t>Total Production, RSA origin</t>
  </si>
  <si>
    <r>
      <t>Sugar exports</t>
    </r>
    <r>
      <rPr>
        <rFont val="Arial"/>
        <color rgb="FF000000"/>
        <sz val="8.0"/>
        <vertAlign val="superscript"/>
      </rPr>
      <t>3</t>
    </r>
  </si>
  <si>
    <t>Meat imports</t>
  </si>
  <si>
    <t>Calendar year</t>
  </si>
  <si>
    <t>Quantity</t>
  </si>
  <si>
    <t>Value</t>
  </si>
  <si>
    <t>Auction markets</t>
  </si>
  <si>
    <t>Non-auction markets</t>
  </si>
  <si>
    <t>R million</t>
  </si>
  <si>
    <r>
      <t>1993/94</t>
    </r>
    <r>
      <rPr>
        <rFont val="Arial"/>
        <color rgb="FF000000"/>
        <sz val="8.0"/>
        <vertAlign val="superscript"/>
      </rPr>
      <t>2)</t>
    </r>
  </si>
  <si>
    <r>
      <t>2017/18</t>
    </r>
    <r>
      <rPr>
        <rFont val="Arial"/>
        <color rgb="FF000000"/>
        <sz val="8.0"/>
        <vertAlign val="superscript"/>
      </rPr>
      <t>3</t>
    </r>
  </si>
  <si>
    <r>
      <rPr>
        <rFont val="Arial"/>
        <color rgb="FF000000"/>
        <sz val="7.0"/>
        <vertAlign val="superscript"/>
      </rPr>
      <t>1</t>
    </r>
    <r>
      <rPr>
        <rFont val="Arial"/>
        <color rgb="FF000000"/>
        <sz val="7.0"/>
      </rPr>
      <t>   Marketing year</t>
    </r>
  </si>
  <si>
    <r>
      <rPr>
        <rFont val="Arial"/>
        <color rgb="FF000000"/>
        <sz val="7.0"/>
        <vertAlign val="superscript"/>
      </rPr>
      <t>2</t>
    </r>
    <r>
      <rPr>
        <rFont val="Times New Roman"/>
        <color rgb="FF000000"/>
        <sz val="7.0"/>
      </rPr>
      <t>   </t>
    </r>
    <r>
      <rPr>
        <rFont val="Arial"/>
        <color rgb="FF000000"/>
        <sz val="7.0"/>
      </rPr>
      <t>Until 1988/89, sales on the 14 national fresh produce markets</t>
    </r>
  </si>
  <si>
    <r>
      <t>2017/18</t>
    </r>
    <r>
      <rPr>
        <rFont val="Arial"/>
        <color rgb="FF000000"/>
        <sz val="8.0"/>
        <vertAlign val="superscript"/>
      </rPr>
      <t>4</t>
    </r>
  </si>
  <si>
    <r>
      <rPr>
        <rFont val="Arial"/>
        <color rgb="FF000000"/>
        <sz val="7.0"/>
        <vertAlign val="superscript"/>
      </rPr>
      <t>3</t>
    </r>
    <r>
      <rPr>
        <rFont val="Times New Roman"/>
        <color rgb="FF000000"/>
        <sz val="7.0"/>
      </rPr>
      <t>   </t>
    </r>
    <r>
      <rPr>
        <rFont val="Arial"/>
        <color rgb="FF000000"/>
        <sz val="7.0"/>
      </rPr>
      <t>Preliminary</t>
    </r>
  </si>
  <si>
    <r>
      <rPr>
        <rFont val="Arial"/>
        <color rgb="FF000000"/>
        <sz val="7.0"/>
        <vertAlign val="superscript"/>
      </rPr>
      <t>1</t>
    </r>
    <r>
      <rPr>
        <rFont val="Times New Roman"/>
        <color rgb="FF000000"/>
        <sz val="7.0"/>
      </rPr>
      <t xml:space="preserve">   </t>
    </r>
    <r>
      <rPr>
        <rFont val="Arial"/>
        <color rgb="FF000000"/>
        <sz val="7.0"/>
      </rPr>
      <t>Source: Canegrowers</t>
    </r>
  </si>
  <si>
    <r>
      <rPr>
        <rFont val="Arial"/>
        <color rgb="FF000000"/>
        <sz val="7.0"/>
        <vertAlign val="superscript"/>
      </rPr>
      <t>2</t>
    </r>
    <r>
      <rPr>
        <rFont val="Times New Roman"/>
        <color rgb="FF000000"/>
        <sz val="7.0"/>
      </rPr>
      <t xml:space="preserve">   </t>
    </r>
    <r>
      <rPr>
        <rFont val="Arial"/>
        <color rgb="FF000000"/>
        <sz val="7.0"/>
      </rPr>
      <t>Index figures are for calendar years, e.g. 2010/11 = 2010</t>
    </r>
  </si>
  <si>
    <r>
      <rPr>
        <rFont val="Arial"/>
        <color rgb="FF000000"/>
        <sz val="7.0"/>
        <vertAlign val="superscript"/>
      </rPr>
      <t>3</t>
    </r>
    <r>
      <rPr>
        <rFont val="Times New Roman"/>
        <color rgb="FF000000"/>
        <sz val="7.0"/>
      </rPr>
      <t>   </t>
    </r>
    <r>
      <rPr>
        <rFont val="Arial"/>
        <color rgb="FF000000"/>
        <sz val="7.0"/>
      </rPr>
      <t>Source: Customs and Excise</t>
    </r>
  </si>
  <si>
    <t>Table 52 – Lemons and limes: production, gross value, sales on markets, exports and purchases for processing</t>
  </si>
  <si>
    <r>
      <t>Year February to January</t>
    </r>
    <r>
      <rPr>
        <rFont val="Arial"/>
        <color rgb="FF000000"/>
        <sz val="8.0"/>
        <vertAlign val="superscript"/>
      </rPr>
      <t>1</t>
    </r>
  </si>
  <si>
    <r>
      <rPr>
        <rFont val="Arial"/>
        <color rgb="FF000000"/>
        <sz val="7.0"/>
        <vertAlign val="superscript"/>
      </rPr>
      <t>4</t>
    </r>
    <r>
      <rPr>
        <rFont val="Times New Roman"/>
        <color rgb="FF000000"/>
        <sz val="7.0"/>
      </rPr>
      <t xml:space="preserve">   </t>
    </r>
    <r>
      <rPr>
        <rFont val="Arial"/>
        <color rgb="FF000000"/>
        <sz val="7.0"/>
      </rPr>
      <t>Preliminary</t>
    </r>
  </si>
  <si>
    <r>
      <t>Sales on markets</t>
    </r>
    <r>
      <rPr>
        <rFont val="Arial"/>
        <color rgb="FF000000"/>
        <sz val="8.0"/>
        <vertAlign val="superscript"/>
      </rPr>
      <t>2</t>
    </r>
  </si>
  <si>
    <r>
      <rPr>
        <rFont val="Arial"/>
        <color rgb="FF000000"/>
        <sz val="7.0"/>
        <vertAlign val="superscript"/>
      </rPr>
      <t>1</t>
    </r>
    <r>
      <rPr>
        <rFont val="Arial"/>
        <color rgb="FF000000"/>
        <sz val="7.0"/>
      </rPr>
      <t xml:space="preserve">   Slaughtered for commercial market and for own consumption</t>
    </r>
  </si>
  <si>
    <r>
      <rPr>
        <rFont val="Arial"/>
        <color rgb="FF000000"/>
        <sz val="7.0"/>
        <vertAlign val="superscript"/>
      </rPr>
      <t>2</t>
    </r>
    <r>
      <rPr>
        <rFont val="Arial"/>
        <color rgb="FF000000"/>
        <sz val="7.0"/>
      </rPr>
      <t xml:space="preserve">    Purchase price of chilled carcasses, including the fifth quarter</t>
    </r>
  </si>
  <si>
    <t xml:space="preserve">     Up to 2003/04, average auction price of mutton on the hook at certain auction markets</t>
  </si>
  <si>
    <r>
      <rPr>
        <rFont val="Arial"/>
        <color rgb="FF000000"/>
        <sz val="7.0"/>
        <vertAlign val="superscript"/>
      </rPr>
      <t>3</t>
    </r>
    <r>
      <rPr>
        <rFont val="Arial"/>
        <color rgb="FF000000"/>
        <sz val="7.0"/>
      </rPr>
      <t xml:space="preserve">   Source: From 2003/04, the Red Meat Abattoir Association</t>
    </r>
  </si>
  <si>
    <t xml:space="preserve">                   Until 2002/03, the South African Meat Industry company (SAMIC)</t>
  </si>
  <si>
    <t xml:space="preserve">                   Until 1996/97, the former Meat Board</t>
  </si>
  <si>
    <t>Table 28 – Chicory: area planted, production, producer price, gross value, selling prices and consumption</t>
  </si>
  <si>
    <t>Production year: October to September</t>
  </si>
  <si>
    <t>Production of dried chicory root</t>
  </si>
  <si>
    <t>Producer price of undried root</t>
  </si>
  <si>
    <r>
      <t>Gross value</t>
    </r>
    <r>
      <rPr>
        <rFont val="Arial"/>
        <color rgb="FF000000"/>
        <sz val="8.0"/>
        <vertAlign val="superscript"/>
      </rPr>
      <t>1</t>
    </r>
  </si>
  <si>
    <t>Dried root</t>
  </si>
  <si>
    <t>Marketing year: October to September</t>
  </si>
  <si>
    <t>Table 65 – Wool sales at auctions and mohair production</t>
  </si>
  <si>
    <t>Production season:</t>
  </si>
  <si>
    <t>Gr I</t>
  </si>
  <si>
    <t>Gr II</t>
  </si>
  <si>
    <r>
      <t>Wool sales</t>
    </r>
    <r>
      <rPr>
        <rFont val="Arial"/>
        <color rgb="FF000000"/>
        <sz val="8.0"/>
        <vertAlign val="superscript"/>
      </rPr>
      <t>1</t>
    </r>
  </si>
  <si>
    <t>c/50 kg</t>
  </si>
  <si>
    <r>
      <t>Year:</t>
    </r>
    <r>
      <rPr>
        <rFont val="Arial"/>
        <color rgb="FF000000"/>
        <sz val="8.0"/>
        <vertAlign val="superscript"/>
      </rPr>
      <t xml:space="preserve"> </t>
    </r>
    <r>
      <rPr>
        <rFont val="Arial"/>
        <color rgb="FF000000"/>
        <sz val="8.0"/>
      </rPr>
      <t xml:space="preserve">January to December </t>
    </r>
    <r>
      <rPr>
        <rFont val="Arial"/>
        <color rgb="FF000000"/>
        <sz val="8.0"/>
        <vertAlign val="superscript"/>
      </rPr>
      <t xml:space="preserve">               </t>
    </r>
  </si>
  <si>
    <r>
      <t>Mohair production</t>
    </r>
    <r>
      <rPr>
        <rFont val="Arial"/>
        <color rgb="FF000000"/>
        <sz val="8.0"/>
        <vertAlign val="superscript"/>
      </rPr>
      <t>4</t>
    </r>
  </si>
  <si>
    <r>
      <t>Merino</t>
    </r>
    <r>
      <rPr>
        <rFont val="Arial"/>
        <color rgb="FF000000"/>
        <sz val="8.0"/>
        <vertAlign val="superscript"/>
      </rPr>
      <t>2</t>
    </r>
  </si>
  <si>
    <r>
      <t>Other wool</t>
    </r>
    <r>
      <rPr>
        <rFont val="Arial"/>
        <color rgb="FF000000"/>
        <sz val="8.0"/>
        <vertAlign val="superscript"/>
      </rPr>
      <t>3</t>
    </r>
  </si>
  <si>
    <t xml:space="preserve">July to June          </t>
  </si>
  <si>
    <t>1976</t>
  </si>
  <si>
    <t>1 309 166</t>
  </si>
  <si>
    <r>
      <t>2017/18</t>
    </r>
    <r>
      <rPr>
        <rFont val="Arial"/>
        <color rgb="FF000000"/>
        <sz val="8.0"/>
        <vertAlign val="superscript"/>
      </rPr>
      <t>3</t>
    </r>
  </si>
  <si>
    <r>
      <rPr>
        <rFont val="Arial"/>
        <color rgb="FF000000"/>
        <sz val="7.0"/>
        <vertAlign val="superscript"/>
      </rPr>
      <t>1</t>
    </r>
    <r>
      <rPr>
        <rFont val="Arial"/>
        <color rgb="FF000000"/>
        <sz val="7.0"/>
      </rPr>
      <t>   Marketing year</t>
    </r>
  </si>
  <si>
    <r>
      <rPr>
        <rFont val="Arial"/>
        <color rgb="FF000000"/>
        <sz val="7.0"/>
        <vertAlign val="superscript"/>
      </rPr>
      <t>2</t>
    </r>
    <r>
      <rPr>
        <rFont val="Times New Roman"/>
        <color rgb="FF000000"/>
        <sz val="7.0"/>
      </rPr>
      <t>   </t>
    </r>
    <r>
      <rPr>
        <rFont val="Arial"/>
        <color rgb="FF000000"/>
        <sz val="7.0"/>
      </rPr>
      <t>Until 1988/89, sales on the 14 national fresh produce markets</t>
    </r>
  </si>
  <si>
    <t xml:space="preserve">    From2003/04, sales on the 19  major fresh produce markets</t>
  </si>
  <si>
    <r>
      <rPr>
        <rFont val="Arial"/>
        <color rgb="FF000000"/>
        <sz val="7.0"/>
        <vertAlign val="superscript"/>
      </rPr>
      <t>3</t>
    </r>
    <r>
      <rPr>
        <rFont val="Times New Roman"/>
        <color rgb="FF000000"/>
        <sz val="7.0"/>
      </rPr>
      <t>   </t>
    </r>
    <r>
      <rPr>
        <rFont val="Arial"/>
        <color rgb="FF000000"/>
        <sz val="7.0"/>
      </rPr>
      <t>Preliminary</t>
    </r>
  </si>
  <si>
    <t>Table 53 – Grapefruit: production, gross value, sales on markets, exports and purchases for processing</t>
  </si>
  <si>
    <r>
      <t>Year February to January</t>
    </r>
    <r>
      <rPr>
        <rFont val="Arial"/>
        <color rgb="FF000000"/>
        <sz val="8.0"/>
        <vertAlign val="superscript"/>
      </rPr>
      <t>1</t>
    </r>
  </si>
  <si>
    <r>
      <t>Sales on markets</t>
    </r>
    <r>
      <rPr>
        <rFont val="Arial"/>
        <color rgb="FF000000"/>
        <sz val="8.0"/>
        <vertAlign val="superscript"/>
      </rPr>
      <t>2</t>
    </r>
  </si>
  <si>
    <r>
      <t>2016/17</t>
    </r>
    <r>
      <rPr>
        <rFont val="Arial"/>
        <color rgb="FF000000"/>
        <sz val="8.0"/>
        <vertAlign val="superscript"/>
      </rPr>
      <t>2</t>
    </r>
  </si>
  <si>
    <r>
      <rPr>
        <rFont val="Arial"/>
        <color rgb="FF000000"/>
        <sz val="7.0"/>
        <vertAlign val="superscript"/>
      </rPr>
      <t>1</t>
    </r>
    <r>
      <rPr>
        <rFont val="Times New Roman"/>
        <color rgb="FF000000"/>
        <sz val="7.0"/>
      </rPr>
      <t xml:space="preserve">   </t>
    </r>
    <r>
      <rPr>
        <rFont val="Arial"/>
        <color rgb="FF000000"/>
        <sz val="7.0"/>
      </rPr>
      <t>Source:</t>
    </r>
  </si>
  <si>
    <t>Chicory SA Ltd.</t>
  </si>
  <si>
    <t>Until 1992/93, Chicory Board</t>
  </si>
  <si>
    <r>
      <rPr>
        <rFont val="Arial"/>
        <color rgb="FF000000"/>
        <sz val="7.0"/>
        <vertAlign val="superscript"/>
      </rPr>
      <t>2</t>
    </r>
    <r>
      <rPr>
        <rFont val="Arial"/>
        <color rgb="FF000000"/>
        <sz val="7.0"/>
      </rPr>
      <t xml:space="preserve">   Preliminary</t>
    </r>
  </si>
  <si>
    <t>Table 29 – Cotton: area planted, production, producer price, price index and gross value</t>
  </si>
  <si>
    <t>Production year: April to March</t>
  </si>
  <si>
    <r>
      <t>Area planted</t>
    </r>
    <r>
      <rPr>
        <rFont val="Arial"/>
        <color rgb="FF000000"/>
        <sz val="8.0"/>
        <vertAlign val="superscript"/>
      </rPr>
      <t>1</t>
    </r>
  </si>
  <si>
    <t>31,4</t>
  </si>
  <si>
    <t>17,5</t>
  </si>
  <si>
    <t>48,9</t>
  </si>
  <si>
    <t>Average producer price of seed-cotton</t>
  </si>
  <si>
    <t>32,3</t>
  </si>
  <si>
    <r>
      <t>Price index</t>
    </r>
    <r>
      <rPr>
        <rFont val="Arial"/>
        <color rgb="FF000000"/>
        <sz val="8.0"/>
        <vertAlign val="superscript"/>
      </rPr>
      <t>3</t>
    </r>
  </si>
  <si>
    <t>19,3</t>
  </si>
  <si>
    <t>51,6</t>
  </si>
  <si>
    <r>
      <t>Gross value</t>
    </r>
    <r>
      <rPr>
        <rFont val="Arial"/>
        <color rgb="FF000000"/>
        <sz val="8.0"/>
        <vertAlign val="superscript"/>
      </rPr>
      <t>4</t>
    </r>
  </si>
  <si>
    <t>Marketing year: April to March</t>
  </si>
  <si>
    <t>6 091,53</t>
  </si>
  <si>
    <r>
      <t>Lint</t>
    </r>
    <r>
      <rPr>
        <rFont val="Arial"/>
        <color rgb="FF000000"/>
        <sz val="8.0"/>
        <vertAlign val="superscript"/>
      </rPr>
      <t>2</t>
    </r>
  </si>
  <si>
    <t>Seed</t>
  </si>
  <si>
    <t>Seed-cotton</t>
  </si>
  <si>
    <t>7 838,05</t>
  </si>
  <si>
    <r>
      <t>2017/18</t>
    </r>
    <r>
      <rPr>
        <rFont val="Arial"/>
        <color rgb="FF000000"/>
        <sz val="8.0"/>
        <vertAlign val="superscript"/>
      </rPr>
      <t>3</t>
    </r>
  </si>
  <si>
    <t>7 752,01</t>
  </si>
  <si>
    <r>
      <rPr>
        <rFont val="Arial"/>
        <color rgb="FF000000"/>
        <sz val="7.0"/>
        <vertAlign val="superscript"/>
      </rPr>
      <t>1</t>
    </r>
    <r>
      <rPr>
        <rFont val="Arial"/>
        <color rgb="FF000000"/>
        <sz val="7.0"/>
      </rPr>
      <t>   Marketing year</t>
    </r>
  </si>
  <si>
    <r>
      <rPr>
        <rFont val="Arial"/>
        <color rgb="FF000000"/>
        <sz val="7.0"/>
        <vertAlign val="superscript"/>
      </rPr>
      <t>1</t>
    </r>
    <r>
      <rPr>
        <rFont val="Arial"/>
        <color rgb="FF000000"/>
        <sz val="7.0"/>
      </rPr>
      <t xml:space="preserve"> </t>
    </r>
    <r>
      <rPr>
        <rFont val="Times New Roman"/>
        <color rgb="FF000000"/>
        <sz val="7.0"/>
      </rPr>
      <t xml:space="preserve">  </t>
    </r>
    <r>
      <rPr>
        <rFont val="Arial"/>
        <color rgb="FF000000"/>
        <sz val="7.0"/>
      </rPr>
      <t>Source:</t>
    </r>
  </si>
  <si>
    <t>Cape Wools SA</t>
  </si>
  <si>
    <r>
      <rPr>
        <rFont val="Arial"/>
        <color rgb="FF000000"/>
        <sz val="7.0"/>
        <vertAlign val="superscript"/>
      </rPr>
      <t>2</t>
    </r>
    <r>
      <rPr>
        <rFont val="Times New Roman"/>
        <color rgb="FF000000"/>
        <sz val="7.0"/>
      </rPr>
      <t>   </t>
    </r>
    <r>
      <rPr>
        <rFont val="Arial"/>
        <color rgb="FF000000"/>
        <sz val="7.0"/>
      </rPr>
      <t>Until 1988/89, sales on the 14 national fresh produce markets</t>
    </r>
  </si>
  <si>
    <t>From 1975/76 to 1995/96, SA Wool Board</t>
  </si>
  <si>
    <t xml:space="preserve">     Greasy basis</t>
  </si>
  <si>
    <r>
      <rPr>
        <rFont val="Arial"/>
        <color rgb="FF000000"/>
        <sz val="7.0"/>
        <vertAlign val="superscript"/>
      </rPr>
      <t>2</t>
    </r>
    <r>
      <rPr>
        <rFont val="Times New Roman"/>
        <color rgb="FF000000"/>
        <sz val="7.0"/>
      </rPr>
      <t xml:space="preserve">   </t>
    </r>
    <r>
      <rPr>
        <rFont val="Arial"/>
        <color rgb="FF000000"/>
        <sz val="7.0"/>
      </rPr>
      <t>Merino and dead wool</t>
    </r>
  </si>
  <si>
    <r>
      <rPr>
        <rFont val="Arial"/>
        <color rgb="FF000000"/>
        <sz val="7.0"/>
        <vertAlign val="superscript"/>
      </rPr>
      <t>3</t>
    </r>
    <r>
      <rPr>
        <rFont val="Times New Roman"/>
        <color rgb="FF000000"/>
        <sz val="7.0"/>
      </rPr>
      <t xml:space="preserve">   </t>
    </r>
    <r>
      <rPr>
        <rFont val="Arial"/>
        <color rgb="FF000000"/>
        <sz val="7.0"/>
      </rPr>
      <t>Other white wool, Coarse and Coloured, and Karakul wool</t>
    </r>
  </si>
  <si>
    <r>
      <rPr>
        <rFont val="Arial"/>
        <color rgb="FF000000"/>
        <sz val="7.0"/>
        <vertAlign val="superscript"/>
      </rPr>
      <t>4</t>
    </r>
    <r>
      <rPr>
        <rFont val="Times New Roman"/>
        <color rgb="FF000000"/>
        <sz val="7.0"/>
      </rPr>
      <t xml:space="preserve">   </t>
    </r>
    <r>
      <rPr>
        <rFont val="Arial"/>
        <color rgb="FF000000"/>
        <sz val="7.0"/>
      </rPr>
      <t>Source: Mohair South Africa Ltd.</t>
    </r>
  </si>
  <si>
    <r>
      <rPr>
        <rFont val="Arial"/>
        <color rgb="FF000000"/>
        <sz val="7.0"/>
        <vertAlign val="superscript"/>
      </rPr>
      <t>3</t>
    </r>
    <r>
      <rPr>
        <rFont val="Times New Roman"/>
        <color rgb="FF000000"/>
        <sz val="7.0"/>
      </rPr>
      <t>   </t>
    </r>
    <r>
      <rPr>
        <rFont val="Arial"/>
        <color rgb="FF000000"/>
        <sz val="7.0"/>
      </rPr>
      <t>Preliminary</t>
    </r>
  </si>
  <si>
    <t>Table 54 – Naartjes: production, gross value, sales on markets and exports</t>
  </si>
  <si>
    <t>Year February to January</t>
  </si>
  <si>
    <r>
      <t>Sales on markets</t>
    </r>
    <r>
      <rPr>
        <rFont val="Arial"/>
        <color rgb="FF000000"/>
        <sz val="8.0"/>
        <vertAlign val="superscript"/>
      </rPr>
      <t>1</t>
    </r>
  </si>
  <si>
    <r>
      <t>Exports</t>
    </r>
    <r>
      <rPr>
        <rFont val="Arial"/>
        <color rgb="FF000000"/>
        <sz val="8.0"/>
        <vertAlign val="superscript"/>
      </rPr>
      <t>2</t>
    </r>
  </si>
  <si>
    <t>Table 66 – Value of wool sales at auctions and average auction prices</t>
  </si>
  <si>
    <t xml:space="preserve">Production season:     </t>
  </si>
  <si>
    <t>Wool realisation values</t>
  </si>
  <si>
    <t>Average auction prices</t>
  </si>
  <si>
    <r>
      <t>Merino</t>
    </r>
    <r>
      <rPr>
        <rFont val="Arial"/>
        <color rgb="FF000000"/>
        <sz val="8.0"/>
        <vertAlign val="superscript"/>
      </rPr>
      <t>1</t>
    </r>
  </si>
  <si>
    <r>
      <t>Other</t>
    </r>
    <r>
      <rPr>
        <rFont val="Arial"/>
        <color rgb="FF000000"/>
        <sz val="8.0"/>
        <vertAlign val="superscript"/>
      </rPr>
      <t>2</t>
    </r>
  </si>
  <si>
    <r>
      <t>Merino</t>
    </r>
    <r>
      <rPr>
        <rFont val="Arial"/>
        <color rgb="FF000000"/>
        <sz val="8.0"/>
        <vertAlign val="superscript"/>
      </rPr>
      <t>1</t>
    </r>
  </si>
  <si>
    <r>
      <t>Other</t>
    </r>
    <r>
      <rPr>
        <rFont val="Arial"/>
        <color rgb="FF000000"/>
        <sz val="8.0"/>
        <vertAlign val="superscript"/>
      </rPr>
      <t>2</t>
    </r>
  </si>
  <si>
    <t xml:space="preserve">July to June              </t>
  </si>
  <si>
    <t>R/kg</t>
  </si>
  <si>
    <r>
      <t>2016/17</t>
    </r>
    <r>
      <rPr>
        <rFont val="Arial"/>
        <color rgb="FF000000"/>
        <sz val="8.0"/>
        <vertAlign val="superscript"/>
      </rPr>
      <t>5</t>
    </r>
  </si>
  <si>
    <r>
      <rPr>
        <rFont val="Arial"/>
        <color rgb="FF000000"/>
        <sz val="7.0"/>
        <vertAlign val="superscript"/>
      </rPr>
      <t>1</t>
    </r>
    <r>
      <rPr>
        <rFont val="Times New Roman"/>
        <color rgb="FF000000"/>
        <sz val="7.0"/>
      </rPr>
      <t xml:space="preserve">   </t>
    </r>
    <r>
      <rPr>
        <rFont val="Arial"/>
        <color rgb="FF000000"/>
        <sz val="7.0"/>
      </rPr>
      <t>Hectares for the RSA only</t>
    </r>
  </si>
  <si>
    <r>
      <rPr>
        <rFont val="Arial"/>
        <color rgb="FF000000"/>
        <sz val="7.0"/>
        <vertAlign val="superscript"/>
      </rPr>
      <t>2</t>
    </r>
    <r>
      <rPr>
        <rFont val="Times New Roman"/>
        <color rgb="FF000000"/>
        <sz val="7.0"/>
      </rPr>
      <t xml:space="preserve">   </t>
    </r>
    <r>
      <rPr>
        <rFont val="Arial"/>
        <color rgb="FF000000"/>
        <sz val="7.0"/>
      </rPr>
      <t>Lint production by RSA ginners from RSA, Namibia, Zimbabwe and Botswana seed-cotton</t>
    </r>
  </si>
  <si>
    <r>
      <rPr>
        <rFont val="Arial"/>
        <color rgb="FF000000"/>
        <sz val="7.0"/>
        <vertAlign val="superscript"/>
      </rPr>
      <t>3</t>
    </r>
    <r>
      <rPr>
        <rFont val="Times New Roman"/>
        <color rgb="FF000000"/>
        <sz val="7.0"/>
      </rPr>
      <t xml:space="preserve">   </t>
    </r>
    <r>
      <rPr>
        <rFont val="Arial"/>
        <color rgb="FF000000"/>
        <sz val="7.0"/>
      </rPr>
      <t>Index figures are for calendar years, e.g. marketing year 2010/11 = 2010</t>
    </r>
  </si>
  <si>
    <r>
      <rPr>
        <rFont val="Arial"/>
        <color rgb="FF000000"/>
        <sz val="7.0"/>
        <vertAlign val="superscript"/>
      </rPr>
      <t>4</t>
    </r>
    <r>
      <rPr>
        <rFont val="Times New Roman"/>
        <color rgb="FF000000"/>
        <sz val="7.0"/>
      </rPr>
      <t xml:space="preserve">   </t>
    </r>
    <r>
      <rPr>
        <rFont val="Arial"/>
        <color rgb="FF000000"/>
        <sz val="7.0"/>
      </rPr>
      <t>Gross value of RSA-produced cotton only</t>
    </r>
  </si>
  <si>
    <r>
      <rPr>
        <rFont val="Arial"/>
        <color rgb="FF000000"/>
        <sz val="7.0"/>
        <vertAlign val="superscript"/>
      </rPr>
      <t>5</t>
    </r>
    <r>
      <rPr>
        <rFont val="Times New Roman"/>
        <color rgb="FF000000"/>
        <sz val="7.0"/>
      </rPr>
      <t xml:space="preserve">   </t>
    </r>
    <r>
      <rPr>
        <rFont val="Arial"/>
        <color rgb="FF000000"/>
        <sz val="7.0"/>
      </rPr>
      <t>Preliminary</t>
    </r>
  </si>
  <si>
    <r>
      <t>2017/18</t>
    </r>
    <r>
      <rPr>
        <rFont val="Arial"/>
        <color rgb="FF000000"/>
        <sz val="8.0"/>
        <vertAlign val="superscript"/>
      </rPr>
      <t>3</t>
    </r>
  </si>
  <si>
    <r>
      <rPr>
        <rFont val="Arial"/>
        <color rgb="FF000000"/>
        <sz val="7.0"/>
        <vertAlign val="superscript"/>
      </rPr>
      <t>1</t>
    </r>
    <r>
      <rPr>
        <rFont val="Times New Roman"/>
        <color rgb="FF000000"/>
        <sz val="7.0"/>
      </rPr>
      <t>   </t>
    </r>
    <r>
      <rPr>
        <rFont val="Arial"/>
        <color rgb="FF000000"/>
        <sz val="7.0"/>
      </rPr>
      <t>Until 1988/89, sales on the 14 national fresh produce markets</t>
    </r>
  </si>
  <si>
    <t>Table 30 – Wattle bark: production, producer prices, gross value and exports</t>
  </si>
  <si>
    <r>
      <t>Production</t>
    </r>
    <r>
      <rPr>
        <rFont val="Arial"/>
        <color rgb="FF000000"/>
        <sz val="8.0"/>
        <vertAlign val="superscript"/>
      </rPr>
      <t>1</t>
    </r>
  </si>
  <si>
    <r>
      <t>Producer price</t>
    </r>
    <r>
      <rPr>
        <rFont val="Arial"/>
        <color rgb="FF000000"/>
        <sz val="8.0"/>
        <vertAlign val="superscript"/>
      </rPr>
      <t>2</t>
    </r>
  </si>
  <si>
    <r>
      <t>Exports</t>
    </r>
    <r>
      <rPr>
        <rFont val="Arial"/>
        <color rgb="FF000000"/>
        <sz val="8.0"/>
        <vertAlign val="superscript"/>
      </rPr>
      <t>1</t>
    </r>
  </si>
  <si>
    <r>
      <rPr>
        <rFont val="Arial"/>
        <color rgb="FF000000"/>
        <sz val="7.0"/>
        <vertAlign val="superscript"/>
      </rPr>
      <t>2</t>
    </r>
    <r>
      <rPr>
        <rFont val="Times New Roman"/>
        <color rgb="FF000000"/>
        <sz val="7.0"/>
      </rPr>
      <t xml:space="preserve">   </t>
    </r>
    <r>
      <rPr>
        <rFont val="Arial"/>
        <color rgb="FF000000"/>
        <sz val="7.0"/>
      </rPr>
      <t>Source: Customs and Excise</t>
    </r>
  </si>
  <si>
    <r>
      <rPr>
        <rFont val="Arial"/>
        <color rgb="FF000000"/>
        <sz val="7.0"/>
        <vertAlign val="superscript"/>
      </rPr>
      <t>3</t>
    </r>
    <r>
      <rPr>
        <rFont val="Times New Roman"/>
        <color rgb="FF000000"/>
        <sz val="7.0"/>
      </rPr>
      <t xml:space="preserve">   </t>
    </r>
    <r>
      <rPr>
        <rFont val="Arial"/>
        <color rgb="FF000000"/>
        <sz val="7.0"/>
      </rPr>
      <t>Preliminary</t>
    </r>
  </si>
  <si>
    <t>Bark extract</t>
  </si>
  <si>
    <t>Table 55 – Vegetables: production</t>
  </si>
  <si>
    <t>Year July to June</t>
  </si>
  <si>
    <t>Potatoes</t>
  </si>
  <si>
    <t>Tomatoes</t>
  </si>
  <si>
    <t>Pumpkins</t>
  </si>
  <si>
    <r>
      <t>Green mealies</t>
    </r>
    <r>
      <rPr>
        <rFont val="Arial"/>
        <color rgb="FF000000"/>
        <sz val="8.0"/>
        <vertAlign val="superscript"/>
      </rPr>
      <t>1</t>
    </r>
  </si>
  <si>
    <t>Onions</t>
  </si>
  <si>
    <t>Sweet potatoes</t>
  </si>
  <si>
    <t>Green peas</t>
  </si>
  <si>
    <t>Beetroot</t>
  </si>
  <si>
    <t>Cauliflower</t>
  </si>
  <si>
    <t>Cabbage and red cabbage</t>
  </si>
  <si>
    <t>Carrots</t>
  </si>
  <si>
    <t>Green beans</t>
  </si>
  <si>
    <t>2 736 102,1</t>
  </si>
  <si>
    <t>1 013 206,2</t>
  </si>
  <si>
    <t>3 749 308,3</t>
  </si>
  <si>
    <t>87,57</t>
  </si>
  <si>
    <t>58,92</t>
  </si>
  <si>
    <t>3 034 218,5</t>
  </si>
  <si>
    <t>1 176 894,7</t>
  </si>
  <si>
    <t>4 211 113,2</t>
  </si>
  <si>
    <t>93,8</t>
  </si>
  <si>
    <t>61,00</t>
  </si>
  <si>
    <t xml:space="preserve">Cape Wools SA </t>
  </si>
  <si>
    <t xml:space="preserve">  Greasy basis</t>
  </si>
  <si>
    <r>
      <rPr>
        <rFont val="Arial"/>
        <color rgb="FF000000"/>
        <sz val="7.0"/>
        <vertAlign val="superscript"/>
      </rPr>
      <t>1</t>
    </r>
    <r>
      <rPr>
        <rFont val="Arial"/>
        <color rgb="FF000000"/>
        <sz val="7.0"/>
      </rPr>
      <t xml:space="preserve">   Merino and dead wool</t>
    </r>
  </si>
  <si>
    <r>
      <rPr>
        <rFont val="Arial"/>
        <color rgb="FF000000"/>
        <sz val="7.0"/>
        <vertAlign val="superscript"/>
      </rPr>
      <t>2</t>
    </r>
    <r>
      <rPr>
        <rFont val="Arial"/>
        <color rgb="FF000000"/>
        <sz val="7.0"/>
      </rPr>
      <t xml:space="preserve">   Other white wool, Coarse and coloured, and karakul wool</t>
    </r>
  </si>
  <si>
    <t>Table 67 – Production of sheep and goat skins and karakul pelts</t>
  </si>
  <si>
    <r>
      <t>Sheep skins</t>
    </r>
    <r>
      <rPr>
        <rFont val="Arial"/>
        <color rgb="FF000000"/>
        <sz val="8.0"/>
        <vertAlign val="superscript"/>
      </rPr>
      <t>1</t>
    </r>
  </si>
  <si>
    <r>
      <t>Goat skins</t>
    </r>
    <r>
      <rPr>
        <rFont val="Arial"/>
        <color rgb="FF000000"/>
        <sz val="8.0"/>
        <vertAlign val="superscript"/>
      </rPr>
      <t>1</t>
    </r>
  </si>
  <si>
    <r>
      <t>Karakul pelts</t>
    </r>
    <r>
      <rPr>
        <rFont val="Arial"/>
        <color rgb="FF000000"/>
        <sz val="8.0"/>
        <vertAlign val="superscript"/>
      </rPr>
      <t>2</t>
    </r>
  </si>
  <si>
    <r>
      <rPr>
        <rFont val="Arial"/>
        <color rgb="FF000000"/>
        <sz val="8.0"/>
        <vertAlign val="superscript"/>
      </rPr>
      <t>1</t>
    </r>
    <r>
      <rPr>
        <rFont val="Times New Roman"/>
        <color rgb="FF000000"/>
        <sz val="8.0"/>
      </rPr>
      <t>  </t>
    </r>
    <r>
      <rPr>
        <rFont val="Arial"/>
        <color rgb="FF000000"/>
        <sz val="8.0"/>
      </rPr>
      <t>Source: Wattle bark industry</t>
    </r>
  </si>
  <si>
    <t>Wool skins</t>
  </si>
  <si>
    <r>
      <rPr>
        <rFont val="Arial"/>
        <color rgb="FF000000"/>
        <sz val="8.0"/>
        <vertAlign val="superscript"/>
      </rPr>
      <t>2</t>
    </r>
    <r>
      <rPr>
        <rFont val="Times New Roman"/>
        <color rgb="FF000000"/>
        <sz val="8.0"/>
      </rPr>
      <t>  </t>
    </r>
    <r>
      <rPr>
        <rFont val="Arial"/>
        <color rgb="FF000000"/>
        <sz val="8.0"/>
      </rPr>
      <t>Average payment to producers, September to August</t>
    </r>
  </si>
  <si>
    <t>Hair skins</t>
  </si>
  <si>
    <t>Angora</t>
  </si>
  <si>
    <r>
      <t>2016/17</t>
    </r>
    <r>
      <rPr>
        <rFont val="Arial"/>
        <color rgb="FF000000"/>
        <sz val="8.0"/>
        <vertAlign val="superscript"/>
      </rPr>
      <t>2</t>
    </r>
  </si>
  <si>
    <r>
      <rPr>
        <rFont val="Arial"/>
        <color rgb="FF000000"/>
        <sz val="7.0"/>
        <vertAlign val="superscript"/>
      </rPr>
      <t>1</t>
    </r>
    <r>
      <rPr>
        <rFont val="Arial"/>
        <color rgb="FF000000"/>
        <sz val="7.0"/>
      </rPr>
      <t xml:space="preserve"> </t>
    </r>
    <r>
      <rPr>
        <rFont val="Times New Roman"/>
        <color rgb="FF000000"/>
        <sz val="7.0"/>
      </rPr>
      <t>  </t>
    </r>
    <r>
      <rPr>
        <rFont val="Arial"/>
        <color rgb="FF000000"/>
        <sz val="7.0"/>
      </rPr>
      <t>Sweetcorn included</t>
    </r>
  </si>
  <si>
    <r>
      <rPr>
        <rFont val="Arial"/>
        <color rgb="FF000000"/>
        <sz val="7.0"/>
        <vertAlign val="superscript"/>
      </rPr>
      <t>2</t>
    </r>
    <r>
      <rPr>
        <rFont val="Times New Roman"/>
        <color rgb="FF000000"/>
        <sz val="7.0"/>
      </rPr>
      <t>   </t>
    </r>
    <r>
      <rPr>
        <rFont val="Arial"/>
        <color rgb="FF000000"/>
        <sz val="7.0"/>
      </rPr>
      <t>Preliminary</t>
    </r>
  </si>
  <si>
    <t xml:space="preserve">Table 31 – Lucerne and other hay: area planted to lucerne; producer price of lucerne hay; and production and gross values of hay and lucerne seed  </t>
  </si>
  <si>
    <t>Lucerne</t>
  </si>
  <si>
    <r>
      <t>Table 56 – Quantity of important vegetables sold on the major fresh produce markets</t>
    </r>
    <r>
      <rPr>
        <rFont val="Arial"/>
        <color rgb="FF000000"/>
        <sz val="8.0"/>
        <vertAlign val="superscript"/>
      </rPr>
      <t>1</t>
    </r>
  </si>
  <si>
    <t>Teff</t>
  </si>
  <si>
    <t>Other hay</t>
  </si>
  <si>
    <t>Product</t>
  </si>
  <si>
    <r>
      <t>Area under lucerne</t>
    </r>
    <r>
      <rPr>
        <rFont val="Arial"/>
        <color rgb="FF000000"/>
        <sz val="8.0"/>
        <vertAlign val="superscript"/>
      </rPr>
      <t>1</t>
    </r>
  </si>
  <si>
    <t>Seed produced</t>
  </si>
  <si>
    <t>Gross value of seed</t>
  </si>
  <si>
    <t>Hay pro-duced</t>
  </si>
  <si>
    <t>Producer price of hay</t>
  </si>
  <si>
    <t>Gross value of hay</t>
  </si>
  <si>
    <t>Hay produced</t>
  </si>
  <si>
    <r>
      <t>2017</t>
    </r>
    <r>
      <rPr>
        <rFont val="Arial"/>
        <color rgb="FF000000"/>
        <sz val="8.0"/>
        <vertAlign val="superscript"/>
      </rPr>
      <t>2</t>
    </r>
  </si>
  <si>
    <t>Cabbages</t>
  </si>
  <si>
    <t>Gem squashes</t>
  </si>
  <si>
    <r>
      <rPr>
        <rFont val="Arial"/>
        <color rgb="FF000000"/>
        <sz val="7.0"/>
        <vertAlign val="superscript"/>
      </rPr>
      <t>1</t>
    </r>
    <r>
      <rPr>
        <rFont val="Times New Roman"/>
        <color rgb="FF000000"/>
        <sz val="7.0"/>
      </rPr>
      <t xml:space="preserve">   </t>
    </r>
    <r>
      <rPr>
        <rFont val="Arial"/>
        <color rgb="FF000000"/>
        <sz val="7.0"/>
      </rPr>
      <t>Source: SAMIC</t>
    </r>
  </si>
  <si>
    <r>
      <rPr>
        <rFont val="Arial"/>
        <color rgb="FF000000"/>
        <sz val="7.0"/>
        <vertAlign val="superscript"/>
      </rPr>
      <t>2</t>
    </r>
    <r>
      <rPr>
        <rFont val="Times New Roman"/>
        <color rgb="FF000000"/>
        <sz val="7.0"/>
      </rPr>
      <t>   </t>
    </r>
    <r>
      <rPr>
        <rFont val="Arial"/>
        <color rgb="FF000000"/>
        <sz val="7.0"/>
      </rPr>
      <t>Source: Karakul Board of Namibia. Sales on the Kopenhagen market, Frankfurt market plus locally processed</t>
    </r>
  </si>
  <si>
    <t>Hubbard squashes</t>
  </si>
  <si>
    <t>1 784,60</t>
  </si>
  <si>
    <r>
      <t>2016/17</t>
    </r>
    <r>
      <rPr>
        <rFont val="Arial"/>
        <color rgb="FF000000"/>
        <sz val="8.0"/>
        <vertAlign val="superscript"/>
      </rPr>
      <t>2</t>
    </r>
  </si>
  <si>
    <t>1 951,67</t>
  </si>
  <si>
    <t>Cucumbers</t>
  </si>
  <si>
    <r>
      <rPr>
        <rFont val="Arial"/>
        <color rgb="FF000000"/>
        <sz val="7.0"/>
        <vertAlign val="superscript"/>
      </rPr>
      <t>1</t>
    </r>
    <r>
      <rPr>
        <rFont val="Times New Roman"/>
        <color rgb="FF000000"/>
        <sz val="7.0"/>
      </rPr>
      <t>   </t>
    </r>
    <r>
      <rPr>
        <rFont val="Arial"/>
        <color rgb="FF000000"/>
        <sz val="7.0"/>
      </rPr>
      <t>Source: Statistics SA - Agricultural censuses</t>
    </r>
  </si>
  <si>
    <t>Lettuce</t>
  </si>
  <si>
    <r>
      <rPr>
        <rFont val="Arial"/>
        <color rgb="FF000000"/>
        <sz val="7.0"/>
        <vertAlign val="superscript"/>
      </rPr>
      <t>2</t>
    </r>
    <r>
      <rPr>
        <rFont val="Arial"/>
        <color rgb="FF000000"/>
        <sz val="7.0"/>
      </rPr>
      <t xml:space="preserve">   Preliminary</t>
    </r>
  </si>
  <si>
    <t>Table 68 – Livestock numbers and livestock losses: commercial producers</t>
  </si>
  <si>
    <t>Green mealies and sweet-</t>
  </si>
  <si>
    <t>Kind</t>
  </si>
  <si>
    <t>corn</t>
  </si>
  <si>
    <r>
      <t>2002</t>
    </r>
    <r>
      <rPr>
        <rFont val="Arial"/>
        <color rgb="FF000000"/>
        <sz val="8.0"/>
        <vertAlign val="superscript"/>
      </rPr>
      <t>1</t>
    </r>
  </si>
  <si>
    <t>Marrows</t>
  </si>
  <si>
    <r>
      <t>2007</t>
    </r>
    <r>
      <rPr>
        <rFont val="Arial"/>
        <color rgb="FF000000"/>
        <sz val="8.0"/>
        <vertAlign val="superscript"/>
      </rPr>
      <t>2</t>
    </r>
  </si>
  <si>
    <t>Turnips</t>
  </si>
  <si>
    <t>Butternut squashes</t>
  </si>
  <si>
    <t>Numbers (1 000)</t>
  </si>
  <si>
    <t>Table 32 – Tobacco: area planted to and production of leaf tobacco</t>
  </si>
  <si>
    <t>Production year:  August to July</t>
  </si>
  <si>
    <r>
      <t>Area planted</t>
    </r>
    <r>
      <rPr>
        <rFont val="Arial"/>
        <color rgb="FF000000"/>
        <sz val="8.0"/>
        <vertAlign val="superscript"/>
      </rPr>
      <t>1</t>
    </r>
  </si>
  <si>
    <r>
      <t>Production</t>
    </r>
    <r>
      <rPr>
        <rFont val="Arial"/>
        <color rgb="FF000000"/>
        <sz val="8.0"/>
        <vertAlign val="superscript"/>
      </rPr>
      <t>2</t>
    </r>
  </si>
  <si>
    <t>Sheep</t>
  </si>
  <si>
    <t>Goats</t>
  </si>
  <si>
    <t>Flue-cured</t>
  </si>
  <si>
    <t>Air-cured</t>
  </si>
  <si>
    <t>Burley</t>
  </si>
  <si>
    <t>Pigs</t>
  </si>
  <si>
    <t>Oriental</t>
  </si>
  <si>
    <r>
      <t>Horses</t>
    </r>
    <r>
      <rPr>
        <rFont val="Arial"/>
        <color rgb="FF000000"/>
        <sz val="8.0"/>
        <vertAlign val="superscript"/>
      </rPr>
      <t>3</t>
    </r>
  </si>
  <si>
    <r>
      <t>Light</t>
    </r>
    <r>
      <rPr>
        <rFont val="Arial"/>
        <color rgb="FF000000"/>
        <sz val="8.0"/>
        <vertAlign val="superscript"/>
      </rPr>
      <t>3</t>
    </r>
  </si>
  <si>
    <r>
      <t>Dark</t>
    </r>
    <r>
      <rPr>
        <rFont val="Arial"/>
        <color rgb="FF000000"/>
        <sz val="8.0"/>
        <vertAlign val="superscript"/>
      </rPr>
      <t>3</t>
    </r>
  </si>
  <si>
    <r>
      <t>Mules</t>
    </r>
    <r>
      <rPr>
        <rFont val="Arial"/>
        <color rgb="FF000000"/>
        <sz val="8.0"/>
        <vertAlign val="superscript"/>
      </rPr>
      <t>3</t>
    </r>
  </si>
  <si>
    <r>
      <t>Donkeys</t>
    </r>
    <r>
      <rPr>
        <rFont val="Arial"/>
        <color rgb="FF000000"/>
        <sz val="8.0"/>
        <vertAlign val="superscript"/>
      </rPr>
      <t>3</t>
    </r>
  </si>
  <si>
    <t>Ostriches</t>
  </si>
  <si>
    <t>Poultry</t>
  </si>
  <si>
    <r>
      <t>Large stock units</t>
    </r>
    <r>
      <rPr>
        <rFont val="Arial"/>
        <color rgb="FF000000"/>
        <sz val="8.0"/>
        <vertAlign val="superscript"/>
      </rPr>
      <t>4</t>
    </r>
  </si>
  <si>
    <r>
      <rPr>
        <rFont val="Arial"/>
        <color rgb="FF000000"/>
        <sz val="7.0"/>
        <vertAlign val="superscript"/>
      </rPr>
      <t>1</t>
    </r>
    <r>
      <rPr>
        <rFont val="Arial"/>
        <color rgb="FF000000"/>
        <sz val="7.0"/>
      </rPr>
      <t xml:space="preserve">   For 2000, sales on the 16 major fresh produce markets</t>
    </r>
  </si>
  <si>
    <t xml:space="preserve">    From 2001, sales on the 17 major fresh produce markets</t>
  </si>
  <si>
    <t xml:space="preserve">    From 2004, sales on the 19 major fresh produce markets</t>
  </si>
  <si>
    <t xml:space="preserve">    From 2005, sales on the 20 major fresh produce markets</t>
  </si>
  <si>
    <t xml:space="preserve">    From 2010, sales on the 19 major fresh produce markets</t>
  </si>
  <si>
    <r>
      <rPr>
        <rFont val="Arial"/>
        <color rgb="FF000000"/>
        <sz val="7.0"/>
        <vertAlign val="superscript"/>
      </rPr>
      <t>2</t>
    </r>
    <r>
      <rPr>
        <rFont val="Arial"/>
        <color rgb="FF000000"/>
        <sz val="7.0"/>
      </rPr>
      <t>   Preliminary</t>
    </r>
  </si>
  <si>
    <t>Losses</t>
  </si>
  <si>
    <r>
      <t>Table 57 – Average prices of important vegetables sold on the major fresh produce markets</t>
    </r>
    <r>
      <rPr>
        <rFont val="Arial"/>
        <color rgb="FF000000"/>
        <sz val="8.0"/>
        <vertAlign val="superscript"/>
      </rPr>
      <t>1</t>
    </r>
  </si>
  <si>
    <t>Cattle (1 000)</t>
  </si>
  <si>
    <r>
      <t>2017</t>
    </r>
    <r>
      <rPr>
        <rFont val="Arial"/>
        <color rgb="FF000000"/>
        <sz val="8.0"/>
        <vertAlign val="superscript"/>
      </rPr>
      <t>2</t>
    </r>
  </si>
  <si>
    <t>Cattle (percentage)</t>
  </si>
  <si>
    <t>Source: Agricultural censuses and 1996 survey by Statistics SA</t>
  </si>
  <si>
    <r>
      <rPr>
        <rFont val="Arial"/>
        <color rgb="FF000000"/>
        <sz val="7.0"/>
        <vertAlign val="superscript"/>
      </rPr>
      <t>1</t>
    </r>
    <r>
      <rPr>
        <rFont val="Arial"/>
        <color rgb="FF000000"/>
        <sz val="7.0"/>
      </rPr>
      <t xml:space="preserve">    Numbers kept by only those producers who responded—figures not extrapolated</t>
    </r>
  </si>
  <si>
    <r>
      <rPr>
        <rFont val="Arial"/>
        <color rgb="FF000000"/>
        <sz val="7.0"/>
        <vertAlign val="superscript"/>
      </rPr>
      <t>2</t>
    </r>
    <r>
      <rPr>
        <rFont val="Arial"/>
        <color rgb="FF000000"/>
        <sz val="7.0"/>
      </rPr>
      <t>    Numbersof non-responding units were imputed</t>
    </r>
  </si>
  <si>
    <r>
      <rPr>
        <rFont val="Arial"/>
        <color rgb="FF000000"/>
        <sz val="7.0"/>
        <vertAlign val="superscript"/>
      </rPr>
      <t>3</t>
    </r>
    <r>
      <rPr>
        <rFont val="Times New Roman"/>
        <color rgb="FF000000"/>
        <sz val="7.0"/>
      </rPr>
      <t>  </t>
    </r>
    <r>
      <rPr>
        <rFont val="Arial"/>
        <color rgb="FF000000"/>
        <sz val="7.0"/>
      </rPr>
      <t xml:space="preserve"> The number for horses, mules and donkeys is 40 for the survey-year 1996 </t>
    </r>
  </si>
  <si>
    <r>
      <rPr>
        <rFont val="Arial"/>
        <color rgb="FF000000"/>
        <sz val="8.0"/>
        <vertAlign val="superscript"/>
      </rPr>
      <t>4</t>
    </r>
    <r>
      <rPr>
        <rFont val="Arial"/>
        <color rgb="FF000000"/>
        <sz val="8.0"/>
      </rPr>
      <t xml:space="preserve">  One large stock unit = one head of cattle, horse, mule or donkey; seven sheep; seven goats;five pigs; five ostriches; 100 poultry</t>
    </r>
  </si>
  <si>
    <t>TABLE 69</t>
  </si>
  <si>
    <t>Meat and eggs: production of white meat and eggs, and consumption of white and red meat and eggs</t>
  </si>
  <si>
    <t>Production of white meat</t>
  </si>
  <si>
    <t>Nett human consumption of white meat</t>
  </si>
  <si>
    <t>Nett human consumption of red meat</t>
  </si>
  <si>
    <t>Production of eggs</t>
  </si>
  <si>
    <t>Human consumption of eggs</t>
  </si>
  <si>
    <t>kg/year</t>
  </si>
  <si>
    <t>All vegetables</t>
  </si>
  <si>
    <r>
      <rPr>
        <rFont val="Arial"/>
        <color rgb="FF000000"/>
        <sz val="7.0"/>
        <vertAlign val="superscript"/>
      </rPr>
      <t>1</t>
    </r>
    <r>
      <rPr>
        <rFont val="Arial"/>
        <color rgb="FF000000"/>
        <sz val="7.0"/>
      </rPr>
      <t xml:space="preserve">   From 2000, sales on the 16 major fresh produce markets</t>
    </r>
  </si>
  <si>
    <r>
      <rPr>
        <rFont val="Arial"/>
        <color rgb="FF000000"/>
        <sz val="7.0"/>
        <vertAlign val="superscript"/>
      </rPr>
      <t>2</t>
    </r>
    <r>
      <rPr>
        <rFont val="Arial"/>
        <color rgb="FF000000"/>
        <sz val="7.0"/>
      </rPr>
      <t>  Preliminary</t>
    </r>
  </si>
  <si>
    <r>
      <t>2016/17</t>
    </r>
    <r>
      <rPr>
        <rFont val="Arial"/>
        <color rgb="FF000000"/>
        <sz val="8.0"/>
        <vertAlign val="superscript"/>
      </rPr>
      <t>4</t>
    </r>
  </si>
  <si>
    <r>
      <rPr>
        <rFont val="Arial"/>
        <color rgb="FF000000"/>
        <sz val="7.0"/>
        <vertAlign val="superscript"/>
      </rPr>
      <t>1</t>
    </r>
    <r>
      <rPr>
        <rFont val="Times New Roman"/>
        <color rgb="FF000000"/>
        <sz val="7.0"/>
      </rPr>
      <t xml:space="preserve">   </t>
    </r>
    <r>
      <rPr>
        <rFont val="Arial"/>
        <color rgb="FF000000"/>
        <sz val="7.0"/>
      </rPr>
      <t>Source: Tobacco RSA and Tobacco Institute of Southern Africa</t>
    </r>
  </si>
  <si>
    <t xml:space="preserve">                      Up to 1999/2000,  agricultural censuses, and estimates by the former Tobacco Exchange</t>
  </si>
  <si>
    <t>26,53</t>
  </si>
  <si>
    <r>
      <rPr>
        <rFont val="Arial"/>
        <color rgb="FF000000"/>
        <sz val="7.0"/>
        <vertAlign val="superscript"/>
      </rPr>
      <t>2</t>
    </r>
    <r>
      <rPr>
        <rFont val="Times New Roman"/>
        <color rgb="FF000000"/>
        <sz val="7.0"/>
      </rPr>
      <t xml:space="preserve">   </t>
    </r>
    <r>
      <rPr>
        <rFont val="Arial"/>
        <color rgb="FF000000"/>
        <sz val="7.0"/>
      </rPr>
      <t>Source: Tobacco RSA and Tobacco Institute of South Africa</t>
    </r>
  </si>
  <si>
    <t xml:space="preserve">                      Up to 1999/2000, former Tobacco Exchange, and tobacco cooperatives</t>
  </si>
  <si>
    <r>
      <rPr>
        <rFont val="Arial"/>
        <color rgb="FF000000"/>
        <sz val="7.0"/>
        <vertAlign val="superscript"/>
      </rPr>
      <t>3</t>
    </r>
    <r>
      <rPr>
        <rFont val="Times New Roman"/>
        <color rgb="FF000000"/>
        <sz val="7.0"/>
      </rPr>
      <t xml:space="preserve">   </t>
    </r>
    <r>
      <rPr>
        <rFont val="Arial"/>
        <color rgb="FF000000"/>
        <sz val="7.0"/>
      </rPr>
      <t>From 1992/93, no distinction is made between light and dark tobacco</t>
    </r>
  </si>
  <si>
    <t>40,04</t>
  </si>
  <si>
    <t>27,76</t>
  </si>
  <si>
    <r>
      <rPr>
        <rFont val="Arial"/>
        <color rgb="FF000000"/>
        <sz val="7.0"/>
        <vertAlign val="superscript"/>
      </rPr>
      <t>4</t>
    </r>
    <r>
      <rPr>
        <rFont val="Arial"/>
        <color rgb="FF000000"/>
        <sz val="7.0"/>
      </rPr>
      <t xml:space="preserve">   Preliminary</t>
    </r>
  </si>
  <si>
    <r>
      <t>2016/17</t>
    </r>
    <r>
      <rPr>
        <rFont val="Arial"/>
        <color rgb="FF000000"/>
        <sz val="8.0"/>
        <vertAlign val="superscript"/>
      </rPr>
      <t>1</t>
    </r>
  </si>
  <si>
    <t>38,76</t>
  </si>
  <si>
    <t>26,34</t>
  </si>
  <si>
    <t>7,28</t>
  </si>
  <si>
    <r>
      <rPr>
        <rFont val="Arial"/>
        <color rgb="FF000000"/>
        <sz val="7.0"/>
        <vertAlign val="superscript"/>
      </rPr>
      <t>1</t>
    </r>
    <r>
      <rPr>
        <rFont val="Arial"/>
        <color rgb="FF000000"/>
        <sz val="7.0"/>
      </rPr>
      <t xml:space="preserve">   Preliminary</t>
    </r>
  </si>
  <si>
    <t>Table 70 – Milk: utilisation of production</t>
  </si>
  <si>
    <r>
      <t>Year: January to December</t>
    </r>
    <r>
      <rPr>
        <rFont val="Arial"/>
        <color rgb="FF000000"/>
        <sz val="8.0"/>
        <vertAlign val="superscript"/>
      </rPr>
      <t>1</t>
    </r>
  </si>
  <si>
    <r>
      <t>Concentrated products</t>
    </r>
    <r>
      <rPr>
        <rFont val="Arial"/>
        <color rgb="FF000000"/>
        <sz val="8.0"/>
        <vertAlign val="superscript"/>
      </rPr>
      <t>2, 3, 4</t>
    </r>
  </si>
  <si>
    <r>
      <t>Other dairy products</t>
    </r>
    <r>
      <rPr>
        <rFont val="Arial"/>
        <color rgb="FF000000"/>
        <sz val="8.0"/>
        <vertAlign val="superscript"/>
      </rPr>
      <t>5</t>
    </r>
  </si>
  <si>
    <r>
      <t>Cheese</t>
    </r>
    <r>
      <rPr>
        <rFont val="Arial"/>
        <color rgb="FF000000"/>
        <sz val="8.0"/>
        <vertAlign val="superscript"/>
      </rPr>
      <t>6</t>
    </r>
  </si>
  <si>
    <t>Condensed milk and milk powder</t>
  </si>
  <si>
    <r>
      <t>1 000 t</t>
    </r>
    <r>
      <rPr>
        <rFont val="Arial"/>
        <color rgb="FF000000"/>
        <sz val="8.0"/>
        <vertAlign val="superscript"/>
      </rPr>
      <t>7</t>
    </r>
  </si>
  <si>
    <t>Table 33 – Tobacco: production, average producer price, gross value, price index and selling prices</t>
  </si>
  <si>
    <t>Average producer price</t>
  </si>
  <si>
    <r>
      <t>Price index</t>
    </r>
    <r>
      <rPr>
        <rFont val="Arial"/>
        <color rgb="FF000000"/>
        <sz val="8.0"/>
        <vertAlign val="superscript"/>
      </rPr>
      <t>1</t>
    </r>
  </si>
  <si>
    <r>
      <t>Selling prices of leaf tobacco</t>
    </r>
    <r>
      <rPr>
        <rFont val="Arial"/>
        <color rgb="FF000000"/>
        <sz val="8.0"/>
        <vertAlign val="superscript"/>
      </rPr>
      <t>2</t>
    </r>
  </si>
  <si>
    <r>
      <t>Light</t>
    </r>
    <r>
      <rPr>
        <rFont val="Arial"/>
        <color rgb="FF000000"/>
        <sz val="8.0"/>
        <vertAlign val="superscript"/>
      </rPr>
      <t>3</t>
    </r>
  </si>
  <si>
    <r>
      <t>Dark</t>
    </r>
    <r>
      <rPr>
        <rFont val="Arial"/>
        <color rgb="FF000000"/>
        <sz val="8.0"/>
        <vertAlign val="superscript"/>
      </rPr>
      <t>3</t>
    </r>
  </si>
  <si>
    <t>Table 74 – Value of certain intermediate production goods purchased</t>
  </si>
  <si>
    <t>Packing material</t>
  </si>
  <si>
    <t>Fuel</t>
  </si>
  <si>
    <t>Fertilisers</t>
  </si>
  <si>
    <t>Farm feeds</t>
  </si>
  <si>
    <t>Animal health and crop protection</t>
  </si>
  <si>
    <t>All intermediate goods and services purchased</t>
  </si>
  <si>
    <r>
      <t>2016/17</t>
    </r>
    <r>
      <rPr>
        <rFont val="Arial"/>
        <color rgb="FF000000"/>
        <sz val="8.0"/>
        <vertAlign val="superscript"/>
      </rPr>
      <t>4</t>
    </r>
  </si>
  <si>
    <r>
      <rPr>
        <rFont val="Arial"/>
        <color rgb="FF000000"/>
        <sz val="7.0"/>
        <vertAlign val="superscript"/>
      </rPr>
      <t>1</t>
    </r>
    <r>
      <rPr>
        <rFont val="Times New Roman"/>
        <color rgb="FF000000"/>
        <sz val="7.0"/>
      </rPr>
      <t>   </t>
    </r>
    <r>
      <rPr>
        <rFont val="Arial"/>
        <color rgb="FF000000"/>
        <sz val="7.0"/>
      </rPr>
      <t>Index figures are for split years = marketing years</t>
    </r>
  </si>
  <si>
    <r>
      <rPr>
        <rFont val="Arial"/>
        <color rgb="FF000000"/>
        <sz val="7.0"/>
        <vertAlign val="superscript"/>
      </rPr>
      <t>2</t>
    </r>
    <r>
      <rPr>
        <rFont val="Times New Roman"/>
        <color rgb="FF000000"/>
        <sz val="7.0"/>
      </rPr>
      <t>   </t>
    </r>
    <r>
      <rPr>
        <rFont val="Arial"/>
        <color rgb="FF000000"/>
        <sz val="7.0"/>
      </rPr>
      <t>Selling prices by cooperatives, as furnished by the former Tobacco Exchange</t>
    </r>
  </si>
  <si>
    <r>
      <rPr>
        <rFont val="Arial"/>
        <color rgb="FF000000"/>
        <sz val="7.0"/>
        <vertAlign val="superscript"/>
      </rPr>
      <t>3</t>
    </r>
    <r>
      <rPr>
        <rFont val="Times New Roman"/>
        <color rgb="FF000000"/>
        <sz val="7.0"/>
      </rPr>
      <t xml:space="preserve">   </t>
    </r>
    <r>
      <rPr>
        <rFont val="Arial"/>
        <color rgb="FF000000"/>
        <sz val="7.0"/>
      </rPr>
      <t>From 1992/93 no distinction is made between light and dark tobacco</t>
    </r>
  </si>
  <si>
    <r>
      <rPr>
        <rFont val="Arial"/>
        <color rgb="FF000000"/>
        <sz val="7.0"/>
        <vertAlign val="superscript"/>
      </rPr>
      <t>4</t>
    </r>
    <r>
      <rPr>
        <rFont val="Times New Roman"/>
        <color rgb="FF000000"/>
        <sz val="7.0"/>
      </rPr>
      <t xml:space="preserve">   </t>
    </r>
    <r>
      <rPr>
        <rFont val="Arial"/>
        <color rgb="FF000000"/>
        <sz val="7.0"/>
      </rPr>
      <t>Preliminary</t>
    </r>
  </si>
  <si>
    <t>2006</t>
  </si>
  <si>
    <t>2007</t>
  </si>
  <si>
    <t>2008</t>
  </si>
  <si>
    <t>2009</t>
  </si>
  <si>
    <t>2010</t>
  </si>
  <si>
    <t>Table 75 – Gross and net farm income of the agricultural sector</t>
  </si>
  <si>
    <r>
      <t>Gross income</t>
    </r>
    <r>
      <rPr>
        <rFont val="Arial"/>
        <color rgb="FF000000"/>
        <sz val="8.0"/>
        <vertAlign val="superscript"/>
      </rPr>
      <t>1</t>
    </r>
  </si>
  <si>
    <t>Expenditure on intermediate goods and services</t>
  </si>
  <si>
    <t>Own con-struction</t>
  </si>
  <si>
    <t>Change in stocks</t>
  </si>
  <si>
    <r>
      <t>Net farming income</t>
    </r>
    <r>
      <rPr>
        <rFont val="Arial"/>
        <color rgb="FF000000"/>
        <sz val="8.0"/>
        <vertAlign val="superscript"/>
      </rPr>
      <t>2</t>
    </r>
  </si>
  <si>
    <t>Table 81 – Gross capital formation in agriculture</t>
  </si>
  <si>
    <t>Year: January to December</t>
  </si>
  <si>
    <t>Fixed improvements</t>
  </si>
  <si>
    <t>Tractors, machinery and implements</t>
  </si>
  <si>
    <t>Change in livestock inventory</t>
  </si>
  <si>
    <r>
      <t>2015</t>
    </r>
    <r>
      <rPr>
        <rFont val="Arial"/>
        <color rgb="FF000000"/>
        <sz val="8.0"/>
        <vertAlign val="superscript"/>
      </rPr>
      <t>8</t>
    </r>
  </si>
  <si>
    <t xml:space="preserve">Source : </t>
  </si>
  <si>
    <t>Milk SA</t>
  </si>
  <si>
    <t>Before 2006, SAMPRO</t>
  </si>
  <si>
    <t>Before 2001/02, SA Dairy Foundation</t>
  </si>
  <si>
    <t>Before 1993/94, Dairy Board</t>
  </si>
  <si>
    <r>
      <rPr>
        <rFont val="Arial"/>
        <color rgb="FF000000"/>
        <sz val="8.0"/>
        <vertAlign val="superscript"/>
      </rPr>
      <t>1</t>
    </r>
    <r>
      <rPr>
        <rFont val="Arial"/>
        <color rgb="FF000000"/>
        <sz val="8.0"/>
      </rPr>
      <t>   Up to 2005/06, March to February</t>
    </r>
  </si>
  <si>
    <r>
      <rPr>
        <rFont val="Arial"/>
        <color rgb="FF000000"/>
        <sz val="8.0"/>
        <vertAlign val="superscript"/>
      </rPr>
      <t>2</t>
    </r>
    <r>
      <rPr>
        <rFont val="Arial"/>
        <color rgb="FF000000"/>
        <sz val="8.0"/>
      </rPr>
      <t xml:space="preserve">   Includes milk powder, butter, cheese and sweetened and unsweetened evaporated milk</t>
    </r>
  </si>
  <si>
    <r>
      <rPr>
        <rFont val="Arial"/>
        <color rgb="FF000000"/>
        <sz val="8.0"/>
        <vertAlign val="superscript"/>
      </rPr>
      <t>3</t>
    </r>
    <r>
      <rPr>
        <rFont val="Arial"/>
        <color rgb="FF000000"/>
        <sz val="8.0"/>
      </rPr>
      <t xml:space="preserve">  From 2005/06, no distinction is made between concentrated products</t>
    </r>
  </si>
  <si>
    <r>
      <rPr>
        <rFont val="Arial"/>
        <color rgb="FF000000"/>
        <sz val="8.0"/>
        <vertAlign val="superscript"/>
      </rPr>
      <t>4</t>
    </r>
    <r>
      <rPr>
        <rFont val="Arial"/>
        <color rgb="FF000000"/>
        <sz val="8.0"/>
      </rPr>
      <t xml:space="preserve">  From 2005/06 no distinction is made between long life products</t>
    </r>
  </si>
  <si>
    <r>
      <rPr>
        <rFont val="Arial"/>
        <color rgb="FF000000"/>
        <sz val="8.0"/>
        <vertAlign val="superscript"/>
      </rPr>
      <t>5</t>
    </r>
    <r>
      <rPr>
        <rFont val="Arial"/>
        <color rgb="FF000000"/>
        <sz val="8.0"/>
      </rPr>
      <t xml:space="preserve">  Includes drinking milk, yoghurt, cottage cheese, UHT milk, etc.</t>
    </r>
  </si>
  <si>
    <r>
      <rPr>
        <rFont val="Arial"/>
        <color rgb="FF000000"/>
        <sz val="8.0"/>
        <vertAlign val="superscript"/>
      </rPr>
      <t>6</t>
    </r>
    <r>
      <rPr>
        <rFont val="Arial"/>
        <color rgb="FF000000"/>
        <sz val="8.0"/>
      </rPr>
      <t xml:space="preserve">  Gouda, Cheddar and semi-hard cheese</t>
    </r>
  </si>
  <si>
    <r>
      <rPr>
        <rFont val="Arial"/>
        <color rgb="FF000000"/>
        <sz val="8.0"/>
        <vertAlign val="superscript"/>
      </rPr>
      <t>7</t>
    </r>
    <r>
      <rPr>
        <rFont val="Arial"/>
        <color rgb="FF000000"/>
        <sz val="8.0"/>
      </rPr>
      <t xml:space="preserve">  Up to 2005/06, million litres  </t>
    </r>
  </si>
  <si>
    <r>
      <rPr>
        <rFont val="Arial"/>
        <color rgb="FF000000"/>
        <sz val="8.0"/>
        <vertAlign val="superscript"/>
      </rPr>
      <t xml:space="preserve">8 </t>
    </r>
    <r>
      <rPr>
        <rFont val="Arial"/>
        <color rgb="FF000000"/>
        <sz val="8.0"/>
      </rPr>
      <t xml:space="preserve"> Preliminary</t>
    </r>
  </si>
  <si>
    <t>Table 71 – Production of dairy products</t>
  </si>
  <si>
    <r>
      <t>Year: January to December</t>
    </r>
    <r>
      <rPr>
        <rFont val="Arial"/>
        <color rgb="FF000000"/>
        <sz val="8.0"/>
        <vertAlign val="superscript"/>
      </rPr>
      <t>1</t>
    </r>
  </si>
  <si>
    <t>Butter</t>
  </si>
  <si>
    <t>Cheese</t>
  </si>
  <si>
    <t>Condensed milk</t>
  </si>
  <si>
    <t>Whole milk powder</t>
  </si>
  <si>
    <t>Skimmed milk powder</t>
  </si>
  <si>
    <t>Creamery butter</t>
  </si>
  <si>
    <r>
      <t>Total</t>
    </r>
    <r>
      <rPr>
        <rFont val="Arial"/>
        <color rgb="FF000000"/>
        <sz val="8.0"/>
        <vertAlign val="superscript"/>
      </rPr>
      <t>2</t>
    </r>
  </si>
  <si>
    <t>Factory cheese</t>
  </si>
  <si>
    <r>
      <t>Total</t>
    </r>
    <r>
      <rPr>
        <rFont val="Arial"/>
        <color rgb="FF000000"/>
        <sz val="8.0"/>
        <vertAlign val="superscript"/>
      </rPr>
      <t>3</t>
    </r>
  </si>
  <si>
    <r>
      <t>2016/17</t>
    </r>
    <r>
      <rPr>
        <rFont val="Arial"/>
        <color rgb="FF000000"/>
        <sz val="8.0"/>
        <vertAlign val="superscript"/>
      </rPr>
      <t>3</t>
    </r>
  </si>
  <si>
    <r>
      <rPr>
        <rFont val="Arial"/>
        <color rgb="FF000000"/>
        <sz val="7.0"/>
        <vertAlign val="superscript"/>
      </rPr>
      <t>1</t>
    </r>
    <r>
      <rPr>
        <rFont val="Times New Roman"/>
        <color rgb="FF000000"/>
        <sz val="7.0"/>
      </rPr>
      <t xml:space="preserve">      </t>
    </r>
    <r>
      <rPr>
        <rFont val="Arial"/>
        <color rgb="FF000000"/>
        <sz val="7.0"/>
      </rPr>
      <t>Excluding export profit repayments on maize and wheat</t>
    </r>
  </si>
  <si>
    <r>
      <rPr>
        <rFont val="Arial"/>
        <color rgb="FF000000"/>
        <sz val="7.0"/>
        <vertAlign val="superscript"/>
      </rPr>
      <t>2</t>
    </r>
    <r>
      <rPr>
        <rFont val="Times New Roman"/>
        <color rgb="FF000000"/>
        <sz val="7.0"/>
      </rPr>
      <t xml:space="preserve">      </t>
    </r>
    <r>
      <rPr>
        <rFont val="Arial"/>
        <color rgb="FF000000"/>
        <sz val="7.0"/>
      </rPr>
      <t>After provision has been made for depreciation, salaries and wages, interest paid and rent paid</t>
    </r>
  </si>
  <si>
    <r>
      <rPr>
        <rFont val="Arial"/>
        <color rgb="FF000000"/>
        <sz val="7.0"/>
        <vertAlign val="superscript"/>
      </rPr>
      <t>3</t>
    </r>
    <r>
      <rPr>
        <rFont val="Times New Roman"/>
        <color rgb="FF000000"/>
        <sz val="7.0"/>
      </rPr>
      <t xml:space="preserve">      </t>
    </r>
    <r>
      <rPr>
        <rFont val="Arial"/>
        <color rgb="FF000000"/>
        <sz val="7.0"/>
      </rPr>
      <t>Preliminary</t>
    </r>
  </si>
  <si>
    <r>
      <t>Table 76 – Annual gross value added by industry at current prices</t>
    </r>
    <r>
      <rPr>
        <rFont val="Arial"/>
        <color rgb="FF000000"/>
        <sz val="8.0"/>
        <vertAlign val="superscript"/>
      </rPr>
      <t>1</t>
    </r>
  </si>
  <si>
    <t>Table 82 – Value of capital assets on commercial farms</t>
  </si>
  <si>
    <t>Year ended 31 Decem-ber</t>
  </si>
  <si>
    <t>2005</t>
  </si>
  <si>
    <t>Land and fixed improvements</t>
  </si>
  <si>
    <t>Machinery, implements, motor vehicles and tractors</t>
  </si>
  <si>
    <r>
      <t>Livestock</t>
    </r>
    <r>
      <rPr>
        <rFont val="Arial"/>
        <color rgb="FF000000"/>
        <sz val="8.0"/>
        <vertAlign val="superscript"/>
      </rPr>
      <t>1</t>
    </r>
  </si>
  <si>
    <t>Agriculture, forestry, hunting and fishing</t>
  </si>
  <si>
    <t>Manufac-turing</t>
  </si>
  <si>
    <t>Wholesale and retail trade; catering and accommodation</t>
  </si>
  <si>
    <r>
      <t>Other</t>
    </r>
    <r>
      <rPr>
        <rFont val="Arial"/>
        <color rgb="FF000000"/>
        <sz val="8.0"/>
        <vertAlign val="superscript"/>
      </rPr>
      <t>2</t>
    </r>
  </si>
  <si>
    <t>Value added at basic prices</t>
  </si>
  <si>
    <t xml:space="preserve">Source:  </t>
  </si>
  <si>
    <r>
      <rPr>
        <rFont val="Arial"/>
        <color rgb="FF000000"/>
        <sz val="7.0"/>
        <vertAlign val="superscript"/>
      </rPr>
      <t>1</t>
    </r>
    <r>
      <rPr>
        <rFont val="Times New Roman"/>
        <color rgb="FF000000"/>
        <sz val="7.0"/>
      </rPr>
      <t>   </t>
    </r>
    <r>
      <rPr>
        <rFont val="Arial"/>
        <color rgb="FF000000"/>
        <sz val="7.0"/>
      </rPr>
      <t>Prior to 1978/79, October to September; from 1978/79 to 2005/06, March to February</t>
    </r>
  </si>
  <si>
    <r>
      <rPr>
        <rFont val="Arial"/>
        <color rgb="FF000000"/>
        <sz val="7.0"/>
        <vertAlign val="superscript"/>
      </rPr>
      <t>2</t>
    </r>
    <r>
      <rPr>
        <rFont val="Times New Roman"/>
        <color rgb="FF000000"/>
        <sz val="7.0"/>
      </rPr>
      <t xml:space="preserve">   </t>
    </r>
    <r>
      <rPr>
        <rFont val="Arial"/>
        <color rgb="FF000000"/>
        <sz val="7.0"/>
      </rPr>
      <t>Farm butter included</t>
    </r>
  </si>
  <si>
    <r>
      <rPr>
        <rFont val="Arial"/>
        <color rgb="FF000000"/>
        <sz val="7.0"/>
        <vertAlign val="superscript"/>
      </rPr>
      <t>3</t>
    </r>
    <r>
      <rPr>
        <rFont val="Times New Roman"/>
        <color rgb="FF000000"/>
        <sz val="7.0"/>
      </rPr>
      <t xml:space="preserve">   </t>
    </r>
    <r>
      <rPr>
        <rFont val="Arial"/>
        <color rgb="FF000000"/>
        <sz val="7.0"/>
      </rPr>
      <t>Farm cheese included</t>
    </r>
  </si>
  <si>
    <r>
      <rPr>
        <rFont val="Arial"/>
        <color rgb="FF000000"/>
        <sz val="8.0"/>
        <vertAlign val="superscript"/>
      </rPr>
      <t xml:space="preserve">4   </t>
    </r>
    <r>
      <rPr>
        <rFont val="Arial"/>
        <color rgb="FF000000"/>
        <sz val="8.0"/>
      </rPr>
      <t>Gouda, cheddar and other semi hard cheese</t>
    </r>
  </si>
  <si>
    <t>Table 72 – Prices of fresh milk and eggs</t>
  </si>
  <si>
    <t>Year:   March to February</t>
  </si>
  <si>
    <t>Fresh milk</t>
  </si>
  <si>
    <t>Eggs</t>
  </si>
  <si>
    <r>
      <t>Average unit price</t>
    </r>
    <r>
      <rPr>
        <rFont val="Arial"/>
        <color rgb="FF000000"/>
        <sz val="8.0"/>
        <vertAlign val="superscript"/>
      </rPr>
      <t>1</t>
    </r>
  </si>
  <si>
    <r>
      <t>Grade 1 large</t>
    </r>
    <r>
      <rPr>
        <rFont val="Arial"/>
        <color rgb="FF000000"/>
        <sz val="8.0"/>
        <vertAlign val="superscript"/>
      </rPr>
      <t>2</t>
    </r>
  </si>
  <si>
    <t>c/litre</t>
  </si>
  <si>
    <t>c/dozen</t>
  </si>
  <si>
    <r>
      <rPr>
        <rFont val="Arial"/>
        <color rgb="FF000000"/>
        <sz val="8.0"/>
        <vertAlign val="superscript"/>
      </rPr>
      <t>1</t>
    </r>
    <r>
      <rPr>
        <rFont val="Arial"/>
        <color rgb="FF000000"/>
        <sz val="8.0"/>
      </rPr>
      <t xml:space="preserve"> Including game</t>
    </r>
  </si>
  <si>
    <t>Table 83 – Total farming debt</t>
  </si>
  <si>
    <t>As at 31 December</t>
  </si>
  <si>
    <t>Land and Agricultural Bank</t>
  </si>
  <si>
    <t>Commercial banks</t>
  </si>
  <si>
    <t>Agricultural cooperatives</t>
  </si>
  <si>
    <t>Department of Agriculture</t>
  </si>
  <si>
    <t>Private persons</t>
  </si>
  <si>
    <r>
      <t>Other financial institutions</t>
    </r>
    <r>
      <rPr>
        <rFont val="Arial"/>
        <color rgb="FF000000"/>
        <sz val="8.0"/>
        <vertAlign val="superscript"/>
      </rPr>
      <t>1</t>
    </r>
  </si>
  <si>
    <t>Other debt</t>
  </si>
  <si>
    <t>2000</t>
  </si>
  <si>
    <r>
      <t>2017</t>
    </r>
    <r>
      <rPr>
        <rFont val="Arial"/>
        <color rgb="FF000000"/>
        <sz val="8.0"/>
        <vertAlign val="superscript"/>
      </rPr>
      <t>3</t>
    </r>
  </si>
  <si>
    <r>
      <rPr>
        <rFont val="Arial"/>
        <color rgb="FF000000"/>
        <sz val="7.0"/>
        <vertAlign val="superscript"/>
      </rPr>
      <t>1</t>
    </r>
    <r>
      <rPr>
        <rFont val="Times New Roman"/>
        <color rgb="FF000000"/>
        <sz val="7.0"/>
      </rPr>
      <t xml:space="preserve">    </t>
    </r>
    <r>
      <rPr>
        <rFont val="Arial"/>
        <color rgb="FF000000"/>
        <sz val="7.0"/>
      </rPr>
      <t>From 1987/88, price paid by purchasers of milk to producers</t>
    </r>
  </si>
  <si>
    <r>
      <rPr>
        <rFont val="Arial"/>
        <color rgb="FF000000"/>
        <sz val="7.0"/>
        <vertAlign val="superscript"/>
      </rPr>
      <t>2</t>
    </r>
    <r>
      <rPr>
        <rFont val="Times New Roman"/>
        <color rgb="FF000000"/>
        <sz val="7.0"/>
      </rPr>
      <t xml:space="preserve">    </t>
    </r>
    <r>
      <rPr>
        <rFont val="Arial"/>
        <color rgb="FF000000"/>
        <sz val="7.0"/>
      </rPr>
      <t>Source: Weighted average price</t>
    </r>
  </si>
  <si>
    <t xml:space="preserve">                    Up to April 1993, Egg Control Board</t>
  </si>
  <si>
    <r>
      <rPr>
        <rFont val="Arial"/>
        <color rgb="FF000000"/>
        <sz val="7.0"/>
        <vertAlign val="superscript"/>
      </rPr>
      <t>1</t>
    </r>
    <r>
      <rPr>
        <rFont val="Arial"/>
        <color rgb="FF000000"/>
        <sz val="7.0"/>
      </rPr>
      <t xml:space="preserve">      Namibia is included until 1983</t>
    </r>
  </si>
  <si>
    <r>
      <rPr>
        <rFont val="Arial"/>
        <color rgb="FF000000"/>
        <sz val="7.0"/>
        <vertAlign val="superscript"/>
      </rPr>
      <t>2</t>
    </r>
    <r>
      <rPr>
        <rFont val="Times New Roman"/>
        <color rgb="FF000000"/>
        <sz val="7.0"/>
      </rPr>
      <t xml:space="preserve">      </t>
    </r>
    <r>
      <rPr>
        <rFont val="Arial"/>
        <color rgb="FF000000"/>
        <sz val="7.0"/>
      </rPr>
      <t xml:space="preserve">Includes electricity, gas, water, construction, transport, storage, communication, finance, real estate, </t>
    </r>
  </si>
  <si>
    <t xml:space="preserve">        business services, community, social and personal services</t>
  </si>
  <si>
    <r>
      <rPr>
        <rFont val="Arial"/>
        <color rgb="FF000000"/>
        <sz val="7.0"/>
        <vertAlign val="superscript"/>
      </rPr>
      <t>3</t>
    </r>
    <r>
      <rPr>
        <rFont val="Times New Roman"/>
        <color rgb="FF000000"/>
        <sz val="7.0"/>
      </rPr>
      <t xml:space="preserve">      </t>
    </r>
    <r>
      <rPr>
        <rFont val="Arial"/>
        <color rgb="FF000000"/>
        <sz val="7.0"/>
      </rPr>
      <t>Preliminary</t>
    </r>
  </si>
  <si>
    <t>Table 73 – Consumption of dairy products</t>
  </si>
  <si>
    <r>
      <t>Year   March to February</t>
    </r>
    <r>
      <rPr>
        <rFont val="Arial"/>
        <color rgb="FF000000"/>
        <sz val="8.0"/>
        <vertAlign val="superscript"/>
      </rPr>
      <t>1</t>
    </r>
  </si>
  <si>
    <t>Table 77 – Percentage contribution to gross value added by industry at current prices</t>
  </si>
  <si>
    <t>1 770.0</t>
  </si>
  <si>
    <r>
      <rPr>
        <rFont val="Arial"/>
        <color rgb="FF000000"/>
        <sz val="7.0"/>
        <vertAlign val="superscript"/>
      </rPr>
      <t>1</t>
    </r>
    <r>
      <rPr>
        <rFont val="Arial"/>
        <color rgb="FF000000"/>
        <sz val="7.0"/>
      </rPr>
      <t xml:space="preserve">    Includes discount houses; merchant banks; other monetary institutions; insurance companies; pension funds; </t>
    </r>
  </si>
  <si>
    <t xml:space="preserve">      trust companies; non-monetary banks and trust assets; and participation mortgage bond holders</t>
  </si>
  <si>
    <r>
      <t>Other</t>
    </r>
    <r>
      <rPr>
        <rFont val="Arial"/>
        <color rgb="FF000000"/>
        <sz val="8.0"/>
        <vertAlign val="superscript"/>
      </rPr>
      <t>2</t>
    </r>
  </si>
  <si>
    <r>
      <t>Total</t>
    </r>
    <r>
      <rPr>
        <rFont val="Arial"/>
        <color rgb="FF000000"/>
        <sz val="8.0"/>
        <vertAlign val="superscript"/>
      </rPr>
      <t>2</t>
    </r>
  </si>
  <si>
    <t xml:space="preserve">  </t>
  </si>
  <si>
    <t>38,0</t>
  </si>
  <si>
    <t>39,0</t>
  </si>
  <si>
    <r>
      <rPr>
        <rFont val="Arial"/>
        <color rgb="FF000000"/>
        <sz val="7.0"/>
        <vertAlign val="superscript"/>
      </rPr>
      <t>1</t>
    </r>
    <r>
      <rPr>
        <rFont val="Arial"/>
        <color rgb="FF000000"/>
        <sz val="7.0"/>
      </rPr>
      <t xml:space="preserve"> </t>
    </r>
    <r>
      <rPr>
        <rFont val="Times New Roman"/>
        <color rgb="FF000000"/>
        <sz val="7.0"/>
      </rPr>
      <t xml:space="preserve">   </t>
    </r>
    <r>
      <rPr>
        <rFont val="Arial"/>
        <color rgb="FF000000"/>
        <sz val="7.0"/>
      </rPr>
      <t>Before 1978/79, October to September</t>
    </r>
  </si>
  <si>
    <r>
      <rPr>
        <rFont val="Arial"/>
        <color rgb="FF000000"/>
        <sz val="7.0"/>
        <vertAlign val="superscript"/>
      </rPr>
      <t>2</t>
    </r>
    <r>
      <rPr>
        <rFont val="Times New Roman"/>
        <color rgb="FF000000"/>
        <sz val="7.0"/>
      </rPr>
      <t xml:space="preserve">    </t>
    </r>
    <r>
      <rPr>
        <rFont val="Arial"/>
        <color rgb="FF000000"/>
        <sz val="7.0"/>
      </rPr>
      <t>Source:</t>
    </r>
  </si>
  <si>
    <t xml:space="preserve">SA Dairy Foundation </t>
  </si>
  <si>
    <t>Prior to 1993/94, Dairy Board</t>
  </si>
  <si>
    <r>
      <t>2017</t>
    </r>
    <r>
      <rPr>
        <rFont val="Arial"/>
        <color rgb="FF000000"/>
        <sz val="8.0"/>
        <vertAlign val="superscript"/>
      </rPr>
      <t>3</t>
    </r>
  </si>
  <si>
    <r>
      <rPr>
        <rFont val="Arial"/>
        <color rgb="FF000000"/>
        <sz val="7.0"/>
        <vertAlign val="superscript"/>
      </rPr>
      <t>1</t>
    </r>
    <r>
      <rPr>
        <rFont val="Arial"/>
        <color rgb="FF000000"/>
        <sz val="7.0"/>
      </rPr>
      <t xml:space="preserve">    Namibia is included until 1983</t>
    </r>
  </si>
  <si>
    <r>
      <rPr>
        <rFont val="Arial"/>
        <color rgb="FF000000"/>
        <sz val="7.0"/>
        <vertAlign val="superscript"/>
      </rPr>
      <t>2</t>
    </r>
    <r>
      <rPr>
        <rFont val="Times New Roman"/>
        <color rgb="FF000000"/>
        <sz val="7.0"/>
      </rPr>
      <t xml:space="preserve">    </t>
    </r>
    <r>
      <rPr>
        <rFont val="Arial"/>
        <color rgb="FF000000"/>
        <sz val="7.0"/>
      </rPr>
      <t xml:space="preserve">Includes electricity, gas, water, construction, transport, storage, communication, finance, real estate, </t>
    </r>
  </si>
  <si>
    <t xml:space="preserve">      business services, community, social and personal services</t>
  </si>
  <si>
    <r>
      <rPr>
        <rFont val="Arial"/>
        <color rgb="FF000000"/>
        <sz val="7.0"/>
        <vertAlign val="superscript"/>
      </rPr>
      <t>3</t>
    </r>
    <r>
      <rPr>
        <rFont val="Times New Roman"/>
        <color rgb="FF000000"/>
        <sz val="7.0"/>
      </rPr>
      <t xml:space="preserve">    </t>
    </r>
    <r>
      <rPr>
        <rFont val="Arial"/>
        <color rgb="FF000000"/>
        <sz val="7.0"/>
      </rPr>
      <t>Preliminary</t>
    </r>
  </si>
  <si>
    <t>Table 78 – Gross value of agricultural production</t>
  </si>
  <si>
    <t>Table 84 – Value of imports and exports – total and for agriculture</t>
  </si>
  <si>
    <t>Agriculture</t>
  </si>
  <si>
    <r>
      <t>Total</t>
    </r>
    <r>
      <rPr>
        <rFont val="Arial"/>
        <color rgb="FF000000"/>
        <sz val="8.0"/>
        <vertAlign val="superscript"/>
      </rPr>
      <t>1</t>
    </r>
  </si>
  <si>
    <t>Processed products</t>
  </si>
  <si>
    <t>Unproces-sed products</t>
  </si>
  <si>
    <r>
      <t>2016/17</t>
    </r>
    <r>
      <rPr>
        <rFont val="Arial"/>
        <color rgb="FF000000"/>
        <sz val="8.0"/>
        <vertAlign val="superscript"/>
      </rPr>
      <t>1</t>
    </r>
  </si>
  <si>
    <r>
      <rPr>
        <rFont val="Arial"/>
        <color rgb="FF000000"/>
        <sz val="7.0"/>
        <vertAlign val="superscript"/>
      </rPr>
      <t>1</t>
    </r>
    <r>
      <rPr>
        <rFont val="Arial"/>
        <color rgb="FF000000"/>
        <sz val="7.0"/>
      </rPr>
      <t xml:space="preserve">  Preliminary</t>
    </r>
  </si>
  <si>
    <t>Table 79 – Gross value of individual products</t>
  </si>
  <si>
    <r>
      <t>2016/17</t>
    </r>
    <r>
      <rPr>
        <rFont val="Arial"/>
        <color rgb="FF000000"/>
        <sz val="8.0"/>
        <vertAlign val="superscript"/>
      </rPr>
      <t>1</t>
    </r>
  </si>
  <si>
    <t>Maize</t>
  </si>
  <si>
    <t>Wheat</t>
  </si>
  <si>
    <t>Oats</t>
  </si>
  <si>
    <t>Barley</t>
  </si>
  <si>
    <t>Canola</t>
  </si>
  <si>
    <t>Grain sorghum</t>
  </si>
  <si>
    <t>Hay</t>
  </si>
  <si>
    <t>Lucerne seed</t>
  </si>
  <si>
    <r>
      <t>Dry beans</t>
    </r>
    <r>
      <rPr>
        <rFont val="Arial"/>
        <color rgb="FF000000"/>
        <sz val="8.0"/>
        <vertAlign val="superscript"/>
      </rPr>
      <t>2</t>
    </r>
  </si>
  <si>
    <t>1997</t>
  </si>
  <si>
    <t>Sugar cane</t>
  </si>
  <si>
    <t>Chicory root</t>
  </si>
  <si>
    <t>1998</t>
  </si>
  <si>
    <t>Tobacco</t>
  </si>
  <si>
    <t>Cotton</t>
  </si>
  <si>
    <t>Groundnuts</t>
  </si>
  <si>
    <t>1999</t>
  </si>
  <si>
    <t>Sunflower seed</t>
  </si>
  <si>
    <t>Soya-beans</t>
  </si>
  <si>
    <t>Wattle bark</t>
  </si>
  <si>
    <t>Sisal</t>
  </si>
  <si>
    <t>Other field crops</t>
  </si>
  <si>
    <t>TOTAL FIELD CROPS</t>
  </si>
  <si>
    <t>Viticulture</t>
  </si>
  <si>
    <t>Citrus fruit</t>
  </si>
  <si>
    <t>Subtropical fruit</t>
  </si>
  <si>
    <t>Deciduous and other fruit</t>
  </si>
  <si>
    <t>Dried fruit</t>
  </si>
  <si>
    <t>Nuts</t>
  </si>
  <si>
    <t>Vegetables</t>
  </si>
  <si>
    <t>Flowers and bulbs</t>
  </si>
  <si>
    <t>Rooibos tea</t>
  </si>
  <si>
    <t>Tea</t>
  </si>
  <si>
    <t>Other horticultural products</t>
  </si>
  <si>
    <r>
      <t>2017</t>
    </r>
    <r>
      <rPr>
        <rFont val="Arial"/>
        <color rgb="FF000000"/>
        <sz val="8.0"/>
        <vertAlign val="superscript"/>
      </rPr>
      <t>2</t>
    </r>
  </si>
  <si>
    <t>TOTAL HORTICULTURE</t>
  </si>
  <si>
    <t>Source: Customs and Excise</t>
  </si>
  <si>
    <r>
      <rPr>
        <rFont val="Arial"/>
        <color rgb="FF000000"/>
        <sz val="7.0"/>
        <vertAlign val="superscript"/>
      </rPr>
      <t>1</t>
    </r>
    <r>
      <rPr>
        <rFont val="Times New Roman"/>
        <color rgb="FF000000"/>
        <sz val="7.0"/>
      </rPr>
      <t>  </t>
    </r>
    <r>
      <rPr>
        <rFont val="Arial"/>
        <color rgb="FF000000"/>
        <sz val="7.0"/>
      </rPr>
      <t>Gold bullion included from 1979</t>
    </r>
  </si>
  <si>
    <t>Wool</t>
  </si>
  <si>
    <t>Mohair</t>
  </si>
  <si>
    <t>Karakul pelts</t>
  </si>
  <si>
    <r>
      <rPr>
        <rFont val="Arial"/>
        <color rgb="FF000000"/>
        <sz val="7.0"/>
        <vertAlign val="superscript"/>
      </rPr>
      <t>2</t>
    </r>
    <r>
      <rPr>
        <rFont val="Arial"/>
        <color rgb="FF000000"/>
        <sz val="7.0"/>
      </rPr>
      <t xml:space="preserve">  Preliminary</t>
    </r>
  </si>
  <si>
    <t>Ostrich feathers and products</t>
  </si>
  <si>
    <t>Fowls slaughtered</t>
  </si>
  <si>
    <r>
      <t>Eggs</t>
    </r>
    <r>
      <rPr>
        <rFont val="Arial"/>
        <color rgb="FF000000"/>
        <sz val="8.0"/>
        <vertAlign val="superscript"/>
      </rPr>
      <t>3</t>
    </r>
  </si>
  <si>
    <t>Cattle and calves slaughtered</t>
  </si>
  <si>
    <t>Sheep and goats slaughtered</t>
  </si>
  <si>
    <t>Table 85 - Value of the Southern African Customs Union (SACU) exports of agricultural products</t>
  </si>
  <si>
    <t>Pigs slaughtered</t>
  </si>
  <si>
    <t>Milk</t>
  </si>
  <si>
    <t>Other livestock products</t>
  </si>
  <si>
    <t>TOTAL ANIMAL PRODUCTS</t>
  </si>
  <si>
    <t>GRAND TOTAL</t>
  </si>
  <si>
    <r>
      <t>2017</t>
    </r>
    <r>
      <rPr>
        <rFont val="Arial"/>
        <color rgb="FF000000"/>
        <sz val="8.0"/>
        <vertAlign val="superscript"/>
      </rPr>
      <t>1</t>
    </r>
  </si>
  <si>
    <r>
      <rPr>
        <rFont val="Arial"/>
        <color rgb="FF000000"/>
        <sz val="7.0"/>
        <vertAlign val="superscript"/>
      </rPr>
      <t>1</t>
    </r>
    <r>
      <rPr>
        <rFont val="Arial"/>
        <color rgb="FF000000"/>
        <sz val="7.0"/>
      </rPr>
      <t>    Preliminary</t>
    </r>
  </si>
  <si>
    <r>
      <rPr>
        <rFont val="Arial"/>
        <color rgb="FF000000"/>
        <sz val="7.0"/>
        <vertAlign val="superscript"/>
      </rPr>
      <t>2</t>
    </r>
    <r>
      <rPr>
        <rFont val="Arial"/>
        <color rgb="FF000000"/>
        <sz val="7.0"/>
      </rPr>
      <t>    Until 2002/03, including cowpeas</t>
    </r>
  </si>
  <si>
    <r>
      <rPr>
        <rFont val="Arial"/>
        <color rgb="FF000000"/>
        <sz val="7.0"/>
        <vertAlign val="superscript"/>
      </rPr>
      <t>3</t>
    </r>
    <r>
      <rPr>
        <rFont val="Arial"/>
        <color rgb="FF000000"/>
        <sz val="7.0"/>
      </rPr>
      <t xml:space="preserve">    Including eggs for hatching </t>
    </r>
  </si>
  <si>
    <t>Table 80 – Gross value of certain major vegetables</t>
  </si>
  <si>
    <t>Sugar</t>
  </si>
  <si>
    <t>Wine</t>
  </si>
  <si>
    <r>
      <t>2016/17</t>
    </r>
    <r>
      <rPr>
        <rFont val="Arial"/>
        <color rgb="FF000000"/>
        <sz val="8.0"/>
        <vertAlign val="superscript"/>
      </rPr>
      <t>1</t>
    </r>
  </si>
  <si>
    <t>Citrus fruit, fresh or dried</t>
  </si>
  <si>
    <t>Grapes, fresh or dried</t>
  </si>
  <si>
    <t>Preserved fruit and nuts</t>
  </si>
  <si>
    <t>Apples, pears and quinces, fresh or dried</t>
  </si>
  <si>
    <t>Fruit and vegetable juices</t>
  </si>
  <si>
    <t>Cigars, cheroots, cigarillos and cigarettes</t>
  </si>
  <si>
    <t xml:space="preserve">Undenatured ethyl alcohol </t>
  </si>
  <si>
    <t>Green mealies and sweetcorn</t>
  </si>
  <si>
    <t>Food preparations</t>
  </si>
  <si>
    <t>Apricots, cherries, peaches, plums and sloes, fresh or dried</t>
  </si>
  <si>
    <t>Dates, pineapples, avocados, figs, guavas, mangoes, fresh or dried</t>
  </si>
  <si>
    <t>Raw skins of sheep and lambs</t>
  </si>
  <si>
    <t>Undenatured ethyl alcohol (beverages)</t>
  </si>
  <si>
    <r>
      <rPr>
        <rFont val="Arial"/>
        <color rgb="FF000000"/>
        <sz val="7.0"/>
        <vertAlign val="superscript"/>
      </rPr>
      <t>1</t>
    </r>
    <r>
      <rPr>
        <rFont val="Arial"/>
        <color rgb="FF000000"/>
        <sz val="7.0"/>
      </rPr>
      <t>    Preliminary</t>
    </r>
  </si>
  <si>
    <t>Sugar confectionary</t>
  </si>
  <si>
    <t>Other meat and edible meat offal</t>
  </si>
  <si>
    <t>Raw hides and skins of bovine</t>
  </si>
  <si>
    <r>
      <rPr>
        <rFont val="Arial"/>
        <color rgb="FF000000"/>
        <sz val="7.0"/>
        <vertAlign val="superscript"/>
      </rPr>
      <t>1</t>
    </r>
    <r>
      <rPr>
        <rFont val="Arial"/>
        <color rgb="FF000000"/>
        <sz val="7.0"/>
      </rPr>
      <t xml:space="preserve">    Preliminary</t>
    </r>
  </si>
  <si>
    <t>Table 86 - Value of the Southern African Customs Union (SACU) exports of agricultural products by country of destination</t>
  </si>
  <si>
    <t>Country of destination</t>
  </si>
  <si>
    <r>
      <t>2017</t>
    </r>
    <r>
      <rPr>
        <rFont val="Arial"/>
        <color rgb="FF000000"/>
        <sz val="8.0"/>
        <vertAlign val="superscript"/>
      </rPr>
      <t>1</t>
    </r>
  </si>
  <si>
    <t>United Kingdom</t>
  </si>
  <si>
    <t>Netherlands</t>
  </si>
  <si>
    <t>Belgium</t>
  </si>
  <si>
    <t>Japan</t>
  </si>
  <si>
    <t>Mozambique</t>
  </si>
  <si>
    <t>United States</t>
  </si>
  <si>
    <t>Germany</t>
  </si>
  <si>
    <t>Saudi Arabia</t>
  </si>
  <si>
    <t>Italy</t>
  </si>
  <si>
    <t>Kenya</t>
  </si>
  <si>
    <t>Angola</t>
  </si>
  <si>
    <t>France</t>
  </si>
  <si>
    <t>Canada</t>
  </si>
  <si>
    <t>Iran</t>
  </si>
  <si>
    <t>Zambia</t>
  </si>
  <si>
    <t>Korea</t>
  </si>
  <si>
    <t>Zimbabwe</t>
  </si>
  <si>
    <t>Hong Kong</t>
  </si>
  <si>
    <t>Malawi</t>
  </si>
  <si>
    <t>Mauritius</t>
  </si>
  <si>
    <r>
      <rPr>
        <rFont val="Arial"/>
        <color rgb="FF000000"/>
        <sz val="7.0"/>
        <vertAlign val="superscript"/>
      </rPr>
      <t>1</t>
    </r>
    <r>
      <rPr>
        <rFont val="Arial"/>
        <color rgb="FF000000"/>
        <sz val="7.0"/>
      </rPr>
      <t xml:space="preserve">   Preliminary</t>
    </r>
  </si>
  <si>
    <t>Table 87 - Value of the Southern African Customs Union (SACU) imports of agricultural products</t>
  </si>
  <si>
    <r>
      <t>2017</t>
    </r>
    <r>
      <rPr>
        <rFont val="Arial"/>
        <color rgb="FF000000"/>
        <sz val="8.0"/>
        <vertAlign val="superscript"/>
      </rPr>
      <t>1</t>
    </r>
  </si>
  <si>
    <t>R'000</t>
  </si>
  <si>
    <t>Rice</t>
  </si>
  <si>
    <t>Whiskies, rum, gin and other alcoholic beverages</t>
  </si>
  <si>
    <t>Soya-bean oil-cake</t>
  </si>
  <si>
    <t xml:space="preserve">Bread mixtures, jellie powders and other food </t>
  </si>
  <si>
    <t>preparations</t>
  </si>
  <si>
    <t>Palm oil</t>
  </si>
  <si>
    <t>Sunflower- and cotton-seed oil</t>
  </si>
  <si>
    <t>Meat and edible offal of poultry</t>
  </si>
  <si>
    <t>Preparations used in animal feeding</t>
  </si>
  <si>
    <t>Coffee</t>
  </si>
  <si>
    <t>Hides and skins (bovine)</t>
  </si>
  <si>
    <t>Malt</t>
  </si>
  <si>
    <t>Milk and cream</t>
  </si>
  <si>
    <t>Meat of sheep or goats</t>
  </si>
  <si>
    <t>Peptones, other protein substances and hide powder</t>
  </si>
  <si>
    <t>Dried leguminous vegetables</t>
  </si>
  <si>
    <r>
      <rPr>
        <rFont val="Arial"/>
        <color rgb="FF000000"/>
        <sz val="7.0"/>
        <vertAlign val="superscript"/>
      </rPr>
      <t>1</t>
    </r>
    <r>
      <rPr>
        <rFont val="Arial"/>
        <color rgb="FF000000"/>
        <sz val="7.0"/>
      </rPr>
      <t xml:space="preserve">   Preliminary</t>
    </r>
  </si>
  <si>
    <t>Table 88 - Value of the Southern African Customs Union (SACU) imports of agricultural products by country of origin</t>
  </si>
  <si>
    <t>Country of origin</t>
  </si>
  <si>
    <r>
      <t>2017</t>
    </r>
    <r>
      <rPr>
        <rFont val="Arial"/>
        <color rgb="FF000000"/>
        <sz val="8.0"/>
        <vertAlign val="superscript"/>
      </rPr>
      <t>1</t>
    </r>
  </si>
  <si>
    <t>Argentina</t>
  </si>
  <si>
    <t>United Kindom</t>
  </si>
  <si>
    <t>Australia</t>
  </si>
  <si>
    <t>Malaysia</t>
  </si>
  <si>
    <t>Thailand</t>
  </si>
  <si>
    <t>India</t>
  </si>
  <si>
    <t>Indonesia</t>
  </si>
  <si>
    <t>China</t>
  </si>
  <si>
    <t>Brazil</t>
  </si>
  <si>
    <t>New Zealand</t>
  </si>
  <si>
    <t>Spain</t>
  </si>
  <si>
    <r>
      <rPr>
        <rFont val="Arial"/>
        <color rgb="FF000000"/>
        <sz val="7.0"/>
        <vertAlign val="superscript"/>
      </rPr>
      <t>1</t>
    </r>
    <r>
      <rPr>
        <rFont val="Arial"/>
        <color rgb="FF000000"/>
        <sz val="7.0"/>
      </rPr>
      <t xml:space="preserve">   Preliminary</t>
    </r>
  </si>
  <si>
    <t>Table 89 – Indices of the volume of agricultural production (split year)</t>
  </si>
  <si>
    <t>Food production</t>
  </si>
  <si>
    <t>Non-food production</t>
  </si>
  <si>
    <t>Weights:</t>
  </si>
  <si>
    <t>92,1</t>
  </si>
  <si>
    <t>100,4</t>
  </si>
  <si>
    <t>99,7</t>
  </si>
  <si>
    <t>98,1</t>
  </si>
  <si>
    <t>97,7</t>
  </si>
  <si>
    <t>108,5</t>
  </si>
  <si>
    <t>105,6</t>
  </si>
  <si>
    <t>98,8</t>
  </si>
  <si>
    <t>101,0</t>
  </si>
  <si>
    <t>100,5</t>
  </si>
  <si>
    <t>112,2</t>
  </si>
  <si>
    <t>97,2</t>
  </si>
  <si>
    <t>109,2</t>
  </si>
  <si>
    <t>101,8</t>
  </si>
  <si>
    <t>102,7</t>
  </si>
  <si>
    <t>103,1</t>
  </si>
  <si>
    <t>94,9</t>
  </si>
  <si>
    <t>114,3</t>
  </si>
  <si>
    <t>110,8</t>
  </si>
  <si>
    <t>106,1</t>
  </si>
  <si>
    <t>109,3</t>
  </si>
  <si>
    <t>109,8</t>
  </si>
  <si>
    <t>98,4</t>
  </si>
  <si>
    <t>95,8</t>
  </si>
  <si>
    <t>119,0</t>
  </si>
  <si>
    <t>111,0</t>
  </si>
  <si>
    <t>109,6</t>
  </si>
  <si>
    <t>110,0</t>
  </si>
  <si>
    <t>99,3</t>
  </si>
  <si>
    <t>77,9</t>
  </si>
  <si>
    <t>117,6</t>
  </si>
  <si>
    <t>114,4</t>
  </si>
  <si>
    <t>106,7</t>
  </si>
  <si>
    <t>107,4</t>
  </si>
  <si>
    <t>91,5</t>
  </si>
  <si>
    <r>
      <t>2016/17</t>
    </r>
    <r>
      <rPr>
        <rFont val="Arial"/>
        <color rgb="FF000000"/>
        <sz val="8.0"/>
        <vertAlign val="superscript"/>
      </rPr>
      <t>1</t>
    </r>
  </si>
  <si>
    <t>114,9</t>
  </si>
  <si>
    <t>113,7</t>
  </si>
  <si>
    <t>116,2</t>
  </si>
  <si>
    <t>87,6</t>
  </si>
  <si>
    <r>
      <rPr>
        <rFont val="Arial"/>
        <color rgb="FF000000"/>
        <sz val="7.0"/>
        <vertAlign val="superscript"/>
      </rPr>
      <t>1</t>
    </r>
    <r>
      <rPr>
        <rFont val="Times New Roman"/>
        <color rgb="FF000000"/>
        <sz val="7.0"/>
      </rPr>
      <t>   </t>
    </r>
    <r>
      <rPr>
        <rFont val="Arial"/>
        <color rgb="FF000000"/>
        <sz val="7.0"/>
      </rPr>
      <t>Preliminary</t>
    </r>
  </si>
  <si>
    <t>89</t>
  </si>
  <si>
    <t>Table 90 – Indices of the volume of agricultural production (calendar year)</t>
  </si>
  <si>
    <t>Weights</t>
  </si>
  <si>
    <t>23,5</t>
  </si>
  <si>
    <t>26,9</t>
  </si>
  <si>
    <t>49,6</t>
  </si>
  <si>
    <t>100,0</t>
  </si>
  <si>
    <t>104,3</t>
  </si>
  <si>
    <t>101,1</t>
  </si>
  <si>
    <t>100,7</t>
  </si>
  <si>
    <t>108,8</t>
  </si>
  <si>
    <t>105,4</t>
  </si>
  <si>
    <t>103,0</t>
  </si>
  <si>
    <t>96,9</t>
  </si>
  <si>
    <t>106,6</t>
  </si>
  <si>
    <t>111,2</t>
  </si>
  <si>
    <t>104,4</t>
  </si>
  <si>
    <t>106,8</t>
  </si>
  <si>
    <t>107,3</t>
  </si>
  <si>
    <t>94,2</t>
  </si>
  <si>
    <t>111,9</t>
  </si>
  <si>
    <t>106,3</t>
  </si>
  <si>
    <t>110,4</t>
  </si>
  <si>
    <t>94,0</t>
  </si>
  <si>
    <t>95,0</t>
  </si>
  <si>
    <t>118,9</t>
  </si>
  <si>
    <t>111,7</t>
  </si>
  <si>
    <t>109,7</t>
  </si>
  <si>
    <t>110,6</t>
  </si>
  <si>
    <t>90,1</t>
  </si>
  <si>
    <t>87,7</t>
  </si>
  <si>
    <t>112,5</t>
  </si>
  <si>
    <t>111,1</t>
  </si>
  <si>
    <t>106,0</t>
  </si>
  <si>
    <t>91,8</t>
  </si>
  <si>
    <r>
      <t>2017</t>
    </r>
    <r>
      <rPr>
        <rFont val="Arial"/>
        <color rgb="FF000000"/>
        <sz val="8.0"/>
        <vertAlign val="superscript"/>
      </rPr>
      <t>1</t>
    </r>
  </si>
  <si>
    <t>125,6</t>
  </si>
  <si>
    <t>118,0</t>
  </si>
  <si>
    <t>108,6</t>
  </si>
  <si>
    <t>115,1</t>
  </si>
  <si>
    <t>116,1</t>
  </si>
  <si>
    <t>93,5</t>
  </si>
  <si>
    <r>
      <rPr>
        <rFont val="Arial"/>
        <color rgb="FF000000"/>
        <sz val="7.0"/>
        <vertAlign val="superscript"/>
      </rPr>
      <t>1</t>
    </r>
    <r>
      <rPr>
        <rFont val="Times New Roman"/>
        <color rgb="FF000000"/>
        <sz val="7.0"/>
      </rPr>
      <t>   </t>
    </r>
    <r>
      <rPr>
        <rFont val="Arial"/>
        <color rgb="FF000000"/>
        <sz val="7.0"/>
      </rPr>
      <t>Preliminary</t>
    </r>
  </si>
  <si>
    <t>Table 102 – Private consumption expenditure on food</t>
  </si>
  <si>
    <r>
      <t>Year</t>
    </r>
    <r>
      <rPr>
        <rFont val="Arial"/>
        <color rgb="FF000000"/>
        <sz val="8.0"/>
        <vertAlign val="superscript"/>
      </rPr>
      <t>1</t>
    </r>
  </si>
  <si>
    <t>Meat</t>
  </si>
  <si>
    <t>Bread and grain products</t>
  </si>
  <si>
    <t>Milk, milk products and eggs</t>
  </si>
  <si>
    <t>Oils and fats</t>
  </si>
  <si>
    <t>Vegeta-bles and fruit</t>
  </si>
  <si>
    <t>Coffee, tea, cocoa and sub-stitutes</t>
  </si>
  <si>
    <t>Consump-tion expen-diture on food</t>
  </si>
  <si>
    <t>90</t>
  </si>
  <si>
    <t>Table 91 – Indices of producer prices of agricultural products</t>
  </si>
  <si>
    <r>
      <t>Field crops</t>
    </r>
    <r>
      <rPr>
        <rFont val="Arial"/>
        <color rgb="FF000000"/>
        <sz val="8.0"/>
        <vertAlign val="superscript"/>
      </rPr>
      <t>1</t>
    </r>
  </si>
  <si>
    <r>
      <t>Horticul-ture</t>
    </r>
    <r>
      <rPr>
        <rFont val="Arial"/>
        <color rgb="FF000000"/>
        <sz val="8.0"/>
        <vertAlign val="superscript"/>
      </rPr>
      <t>2</t>
    </r>
  </si>
  <si>
    <r>
      <t>Animal production</t>
    </r>
    <r>
      <rPr>
        <rFont val="Arial"/>
        <color rgb="FF000000"/>
        <sz val="8.0"/>
        <vertAlign val="superscript"/>
      </rPr>
      <t>3</t>
    </r>
  </si>
  <si>
    <t>Combined index</t>
  </si>
  <si>
    <r>
      <rPr>
        <rFont val="Arial"/>
        <color rgb="FF000000"/>
        <sz val="7.0"/>
        <vertAlign val="superscript"/>
      </rPr>
      <t>1</t>
    </r>
    <r>
      <rPr>
        <rFont val="Times New Roman"/>
        <color rgb="FF000000"/>
        <sz val="7.0"/>
      </rPr>
      <t>   </t>
    </r>
    <r>
      <rPr>
        <rFont val="Arial"/>
        <color rgb="FF000000"/>
        <sz val="7.0"/>
      </rPr>
      <t>Refer to Table 92</t>
    </r>
  </si>
  <si>
    <r>
      <rPr>
        <rFont val="Arial"/>
        <color rgb="FF000000"/>
        <sz val="7.0"/>
        <vertAlign val="superscript"/>
      </rPr>
      <t>2</t>
    </r>
    <r>
      <rPr>
        <rFont val="Times New Roman"/>
        <color rgb="FF000000"/>
        <sz val="7.0"/>
      </rPr>
      <t>   </t>
    </r>
    <r>
      <rPr>
        <rFont val="Arial"/>
        <color rgb="FF000000"/>
        <sz val="7.0"/>
      </rPr>
      <t>Refer to Table 93</t>
    </r>
  </si>
  <si>
    <r>
      <rPr>
        <rFont val="Arial"/>
        <color rgb="FF000000"/>
        <sz val="7.0"/>
        <vertAlign val="superscript"/>
      </rPr>
      <t>3</t>
    </r>
    <r>
      <rPr>
        <rFont val="Times New Roman"/>
        <color rgb="FF000000"/>
        <sz val="7.0"/>
      </rPr>
      <t>   </t>
    </r>
    <r>
      <rPr>
        <rFont val="Arial"/>
        <color rgb="FF000000"/>
        <sz val="7.0"/>
      </rPr>
      <t>Refer to Table 95</t>
    </r>
  </si>
  <si>
    <t>Table 92 – Indices of producer prices of field crops</t>
  </si>
  <si>
    <r>
      <t>Summer grains</t>
    </r>
    <r>
      <rPr>
        <rFont val="Arial"/>
        <color rgb="FF000000"/>
        <sz val="8.0"/>
        <vertAlign val="superscript"/>
      </rPr>
      <t>1</t>
    </r>
  </si>
  <si>
    <r>
      <t>Winter cereals</t>
    </r>
    <r>
      <rPr>
        <rFont val="Arial"/>
        <color rgb="FF000000"/>
        <sz val="8.0"/>
        <vertAlign val="superscript"/>
      </rPr>
      <t>2</t>
    </r>
  </si>
  <si>
    <r>
      <t>Oil seeds</t>
    </r>
    <r>
      <rPr>
        <rFont val="Arial"/>
        <color rgb="FF000000"/>
        <sz val="8.0"/>
        <vertAlign val="superscript"/>
      </rPr>
      <t>3</t>
    </r>
  </si>
  <si>
    <r>
      <t>Hay</t>
    </r>
    <r>
      <rPr>
        <rFont val="Arial"/>
        <color rgb="FF000000"/>
        <sz val="8.0"/>
        <vertAlign val="superscript"/>
      </rPr>
      <t>4</t>
    </r>
  </si>
  <si>
    <t>Dry beans</t>
  </si>
  <si>
    <r>
      <t>2016/17</t>
    </r>
    <r>
      <rPr>
        <rFont val="Arial"/>
        <color rgb="FF000000"/>
        <sz val="8.0"/>
        <vertAlign val="superscript"/>
      </rPr>
      <t>2</t>
    </r>
  </si>
  <si>
    <r>
      <t>2017</t>
    </r>
    <r>
      <rPr>
        <rFont val="Arial"/>
        <color rgb="FF000000"/>
        <sz val="8.0"/>
        <vertAlign val="superscript"/>
      </rPr>
      <t>2</t>
    </r>
  </si>
  <si>
    <r>
      <rPr>
        <rFont val="Arial"/>
        <color rgb="FF000000"/>
        <sz val="7.0"/>
        <vertAlign val="superscript"/>
      </rPr>
      <t>1</t>
    </r>
    <r>
      <rPr>
        <rFont val="Arial"/>
        <color rgb="FF000000"/>
        <sz val="7.0"/>
      </rPr>
      <t xml:space="preserve">   Calendar year: January to December</t>
    </r>
  </si>
  <si>
    <t xml:space="preserve">     Split year: July to June</t>
  </si>
  <si>
    <r>
      <rPr>
        <rFont val="Arial"/>
        <color rgb="FF000000"/>
        <sz val="7.0"/>
        <vertAlign val="superscript"/>
      </rPr>
      <t>2</t>
    </r>
    <r>
      <rPr>
        <rFont val="Arial"/>
        <color rgb="FF000000"/>
        <sz val="7.0"/>
      </rPr>
      <t xml:space="preserve">   Preliminary</t>
    </r>
  </si>
  <si>
    <t>Table 103 – Per capita consumption of various agricultural products</t>
  </si>
  <si>
    <t>Vegeta-bles (potatoes excluded)</t>
  </si>
  <si>
    <t>Decidu-ous and subtropi-cal fruit</t>
  </si>
  <si>
    <t>Sunflower seed oil</t>
  </si>
  <si>
    <t>Ground-nuts</t>
  </si>
  <si>
    <t>Kg per year</t>
  </si>
  <si>
    <r>
      <rPr>
        <rFont val="Arial"/>
        <color rgb="FF000000"/>
        <sz val="7.0"/>
        <vertAlign val="superscript"/>
      </rPr>
      <t>1</t>
    </r>
    <r>
      <rPr>
        <rFont val="Times New Roman"/>
        <color rgb="FF000000"/>
        <sz val="7.0"/>
      </rPr>
      <t xml:space="preserve">    </t>
    </r>
    <r>
      <rPr>
        <rFont val="Arial"/>
        <color rgb="FF000000"/>
        <sz val="7.0"/>
      </rPr>
      <t>Maize and grain sorghum</t>
    </r>
  </si>
  <si>
    <r>
      <rPr>
        <rFont val="Arial"/>
        <color rgb="FF000000"/>
        <sz val="7.0"/>
        <vertAlign val="superscript"/>
      </rPr>
      <t>2</t>
    </r>
    <r>
      <rPr>
        <rFont val="Times New Roman"/>
        <color rgb="FF000000"/>
        <sz val="7.0"/>
      </rPr>
      <t xml:space="preserve">    </t>
    </r>
    <r>
      <rPr>
        <rFont val="Arial"/>
        <color rgb="FF000000"/>
        <sz val="7.0"/>
      </rPr>
      <t>Wheat, barley, oats and rye.  From 2000, canola instead of rye</t>
    </r>
  </si>
  <si>
    <r>
      <rPr>
        <rFont val="Arial"/>
        <color rgb="FF000000"/>
        <sz val="7.0"/>
        <vertAlign val="superscript"/>
      </rPr>
      <t>3</t>
    </r>
    <r>
      <rPr>
        <rFont val="Times New Roman"/>
        <color rgb="FF000000"/>
        <sz val="7.0"/>
      </rPr>
      <t xml:space="preserve">    </t>
    </r>
    <r>
      <rPr>
        <rFont val="Arial"/>
        <color rgb="FF000000"/>
        <sz val="7.0"/>
      </rPr>
      <t>Sunflower seed and groundnuts</t>
    </r>
  </si>
  <si>
    <t xml:space="preserve">      Soya beans included from 1975</t>
  </si>
  <si>
    <r>
      <rPr>
        <rFont val="Arial"/>
        <color rgb="FF000000"/>
        <sz val="7.0"/>
        <vertAlign val="superscript"/>
      </rPr>
      <t>4</t>
    </r>
    <r>
      <rPr>
        <rFont val="Times New Roman"/>
        <color rgb="FF000000"/>
        <sz val="7.0"/>
      </rPr>
      <t xml:space="preserve">    </t>
    </r>
    <r>
      <rPr>
        <rFont val="Arial"/>
        <color rgb="FF000000"/>
        <sz val="7.0"/>
      </rPr>
      <t>Lucerne and teff hay</t>
    </r>
  </si>
  <si>
    <t>Table 93 – Indices of producer prices of horticultural products</t>
  </si>
  <si>
    <r>
      <t>Fruit</t>
    </r>
    <r>
      <rPr>
        <rFont val="Arial"/>
        <color rgb="FF000000"/>
        <sz val="8.0"/>
        <vertAlign val="superscript"/>
      </rPr>
      <t>1</t>
    </r>
  </si>
  <si>
    <r>
      <t>Viticultural products</t>
    </r>
    <r>
      <rPr>
        <rFont val="Arial"/>
        <color rgb="FF000000"/>
        <sz val="8.0"/>
        <vertAlign val="superscript"/>
      </rPr>
      <t>2</t>
    </r>
  </si>
  <si>
    <r>
      <t>2017</t>
    </r>
    <r>
      <rPr>
        <rFont val="Arial"/>
        <color rgb="FF000000"/>
        <sz val="8.0"/>
        <vertAlign val="superscript"/>
      </rPr>
      <t>1</t>
    </r>
  </si>
  <si>
    <r>
      <rPr>
        <rFont val="Arial"/>
        <color rgb="FF000000"/>
        <sz val="7.0"/>
        <vertAlign val="superscript"/>
      </rPr>
      <t>1</t>
    </r>
    <r>
      <rPr>
        <rFont val="Arial"/>
        <color rgb="FF000000"/>
        <sz val="7.0"/>
      </rPr>
      <t xml:space="preserve">  Preliminary</t>
    </r>
  </si>
  <si>
    <r>
      <rPr>
        <rFont val="Arial"/>
        <color rgb="FF000000"/>
        <sz val="7.0"/>
        <vertAlign val="superscript"/>
      </rPr>
      <t>1</t>
    </r>
    <r>
      <rPr>
        <rFont val="Arial"/>
        <color rgb="FF000000"/>
        <sz val="7.0"/>
      </rPr>
      <t xml:space="preserve"> </t>
    </r>
    <r>
      <rPr>
        <rFont val="Times New Roman"/>
        <color rgb="FF000000"/>
        <sz val="7.0"/>
      </rPr>
      <t xml:space="preserve">   </t>
    </r>
    <r>
      <rPr>
        <rFont val="Arial"/>
        <color rgb="FF000000"/>
        <sz val="7.0"/>
      </rPr>
      <t>Deciduous, citrus, subtropical and summer fruit</t>
    </r>
  </si>
  <si>
    <r>
      <rPr>
        <rFont val="Arial"/>
        <color rgb="FF000000"/>
        <sz val="7.0"/>
        <vertAlign val="superscript"/>
      </rPr>
      <t>2</t>
    </r>
    <r>
      <rPr>
        <rFont val="Arial"/>
        <color rgb="FF000000"/>
        <sz val="7.0"/>
      </rPr>
      <t>    Good wine and wine for distilling</t>
    </r>
  </si>
  <si>
    <t>Table 94 – Indices of producer prices of important vegetables sold on the major fresh produce markets</t>
  </si>
  <si>
    <t>Green mealies</t>
  </si>
  <si>
    <t>Mush-rooms</t>
  </si>
  <si>
    <r>
      <t>Combined index</t>
    </r>
    <r>
      <rPr>
        <rFont val="Arial"/>
        <color rgb="FF000000"/>
        <sz val="8.0"/>
        <vertAlign val="superscript"/>
      </rPr>
      <t>1, 2</t>
    </r>
  </si>
  <si>
    <t>126,4</t>
  </si>
  <si>
    <r>
      <rPr>
        <rFont val="Arial"/>
        <color rgb="FF000000"/>
        <sz val="7.0"/>
        <vertAlign val="superscript"/>
      </rPr>
      <t>1</t>
    </r>
    <r>
      <rPr>
        <rFont val="Arial"/>
        <color rgb="FF000000"/>
        <sz val="7.0"/>
      </rPr>
      <t xml:space="preserve">    From 2000, green mealies has been included</t>
    </r>
  </si>
  <si>
    <r>
      <rPr>
        <rFont val="Arial"/>
        <color rgb="FF000000"/>
        <sz val="7.0"/>
        <vertAlign val="superscript"/>
      </rPr>
      <t>2</t>
    </r>
    <r>
      <rPr>
        <rFont val="Arial"/>
        <color rgb="FF000000"/>
        <sz val="7.0"/>
      </rPr>
      <t xml:space="preserve">   From 2005, cucumbers and mushrooms have been included</t>
    </r>
  </si>
  <si>
    <t>Table 95 – Indices of producer prices of animal products</t>
  </si>
  <si>
    <r>
      <t>Pastoral products</t>
    </r>
    <r>
      <rPr>
        <rFont val="Arial"/>
        <color rgb="FF000000"/>
        <sz val="8.0"/>
        <vertAlign val="superscript"/>
      </rPr>
      <t>1</t>
    </r>
  </si>
  <si>
    <r>
      <t>Stock slaugh-tered</t>
    </r>
    <r>
      <rPr>
        <rFont val="Arial"/>
        <color rgb="FF000000"/>
        <sz val="8.0"/>
        <vertAlign val="superscript"/>
      </rPr>
      <t>2</t>
    </r>
  </si>
  <si>
    <r>
      <t>Dairy pro-ducts</t>
    </r>
    <r>
      <rPr>
        <rFont val="Arial"/>
        <color rgb="FF000000"/>
        <sz val="8.0"/>
        <vertAlign val="superscript"/>
      </rPr>
      <t>3</t>
    </r>
  </si>
  <si>
    <r>
      <t>Poultry and poultry proucts</t>
    </r>
    <r>
      <rPr>
        <rFont val="Arial"/>
        <color rgb="FF000000"/>
        <sz val="8.0"/>
        <vertAlign val="superscript"/>
      </rPr>
      <t>4</t>
    </r>
  </si>
  <si>
    <r>
      <rPr>
        <rFont val="Arial"/>
        <color rgb="FF000000"/>
        <sz val="7.0"/>
        <vertAlign val="superscript"/>
      </rPr>
      <t>1</t>
    </r>
    <r>
      <rPr>
        <rFont val="Times New Roman"/>
        <color rgb="FF000000"/>
        <sz val="7.0"/>
      </rPr>
      <t xml:space="preserve">    </t>
    </r>
    <r>
      <rPr>
        <rFont val="Arial"/>
        <color rgb="FF000000"/>
        <sz val="7.0"/>
      </rPr>
      <t>Wool and mohair</t>
    </r>
  </si>
  <si>
    <r>
      <rPr>
        <rFont val="Arial"/>
        <color rgb="FF000000"/>
        <sz val="7.0"/>
        <vertAlign val="superscript"/>
      </rPr>
      <t>2</t>
    </r>
    <r>
      <rPr>
        <rFont val="Times New Roman"/>
        <color rgb="FF000000"/>
        <sz val="7.0"/>
      </rPr>
      <t xml:space="preserve">    </t>
    </r>
    <r>
      <rPr>
        <rFont val="Arial"/>
        <color rgb="FF000000"/>
        <sz val="7.0"/>
      </rPr>
      <t>Cattle, sheep and pigs</t>
    </r>
  </si>
  <si>
    <r>
      <rPr>
        <rFont val="Arial"/>
        <color rgb="FF000000"/>
        <sz val="7.0"/>
        <vertAlign val="superscript"/>
      </rPr>
      <t>3</t>
    </r>
    <r>
      <rPr>
        <rFont val="Times New Roman"/>
        <color rgb="FF000000"/>
        <sz val="7.0"/>
      </rPr>
      <t xml:space="preserve">    </t>
    </r>
    <r>
      <rPr>
        <rFont val="Arial"/>
        <color rgb="FF000000"/>
        <sz val="7.0"/>
      </rPr>
      <t xml:space="preserve">Butterfat, cheese milk, condensing milk and fresh milk until August 1988; from  </t>
    </r>
  </si>
  <si>
    <t xml:space="preserve">      September 1988, only butterfat and fresh milk. From January 1995, only fresh milk</t>
  </si>
  <si>
    <r>
      <rPr>
        <rFont val="Arial"/>
        <color rgb="FF000000"/>
        <sz val="7.0"/>
        <vertAlign val="superscript"/>
      </rPr>
      <t>4</t>
    </r>
    <r>
      <rPr>
        <rFont val="Times New Roman"/>
        <color rgb="FF000000"/>
        <sz val="7.0"/>
      </rPr>
      <t xml:space="preserve">    </t>
    </r>
    <r>
      <rPr>
        <rFont val="Arial"/>
        <color rgb="FF000000"/>
        <sz val="7.0"/>
      </rPr>
      <t>Broilers and eggs</t>
    </r>
  </si>
  <si>
    <t>Table 96 – Indices of producer prices of certain livestock products</t>
  </si>
  <si>
    <t>Stock slaughtered</t>
  </si>
  <si>
    <t>Table 97 – Indices of consumer prices</t>
  </si>
  <si>
    <t>All items</t>
  </si>
  <si>
    <t>Food</t>
  </si>
  <si>
    <t>Grain products</t>
  </si>
  <si>
    <t>Milk, cheese and eggs</t>
  </si>
  <si>
    <t>Table 98 – Price indices of farming requisites</t>
  </si>
  <si>
    <r>
      <t>Machinery and imple-ments</t>
    </r>
    <r>
      <rPr>
        <rFont val="Arial"/>
        <color rgb="FF000000"/>
        <sz val="8.0"/>
        <vertAlign val="superscript"/>
      </rPr>
      <t>1</t>
    </r>
  </si>
  <si>
    <r>
      <t>Materials for fixed improve-ments</t>
    </r>
    <r>
      <rPr>
        <rFont val="Arial"/>
        <color rgb="FF000000"/>
        <sz val="8.0"/>
        <vertAlign val="superscript"/>
      </rPr>
      <t>2</t>
    </r>
  </si>
  <si>
    <r>
      <t>Interme-diate goods and services</t>
    </r>
    <r>
      <rPr>
        <rFont val="Arial"/>
        <color rgb="FF000000"/>
        <sz val="8.0"/>
        <vertAlign val="superscript"/>
      </rPr>
      <t>3</t>
    </r>
  </si>
  <si>
    <t>All farming requisites</t>
  </si>
  <si>
    <r>
      <rPr>
        <rFont val="Arial"/>
        <color rgb="FF000000"/>
        <sz val="7.0"/>
        <vertAlign val="superscript"/>
      </rPr>
      <t>1</t>
    </r>
    <r>
      <rPr>
        <rFont val="Arial"/>
        <color rgb="FF000000"/>
        <sz val="7.0"/>
      </rPr>
      <t>    For more detail, refer to Table 99</t>
    </r>
  </si>
  <si>
    <r>
      <rPr>
        <rFont val="Arial"/>
        <color rgb="FF000000"/>
        <sz val="7.0"/>
        <vertAlign val="superscript"/>
      </rPr>
      <t>2</t>
    </r>
    <r>
      <rPr>
        <rFont val="Times New Roman"/>
        <color rgb="FF000000"/>
        <sz val="7.0"/>
      </rPr>
      <t xml:space="preserve">    </t>
    </r>
    <r>
      <rPr>
        <rFont val="Arial"/>
        <color rgb="FF000000"/>
        <sz val="7.0"/>
      </rPr>
      <t>Fencing and building material</t>
    </r>
  </si>
  <si>
    <r>
      <rPr>
        <rFont val="Arial"/>
        <color rgb="FF000000"/>
        <sz val="7.0"/>
        <vertAlign val="superscript"/>
      </rPr>
      <t>3</t>
    </r>
    <r>
      <rPr>
        <rFont val="Arial"/>
        <color rgb="FF000000"/>
        <sz val="7.0"/>
      </rPr>
      <t>    For more detail, refer to Table 100</t>
    </r>
  </si>
  <si>
    <r>
      <t>Table 99 – Price indices of machinery, trucks and implements</t>
    </r>
    <r>
      <rPr>
        <rFont val="Arial"/>
        <color rgb="FF000000"/>
        <sz val="8.0"/>
        <vertAlign val="superscript"/>
      </rPr>
      <t>1</t>
    </r>
  </si>
  <si>
    <t>Tractors</t>
  </si>
  <si>
    <t>Trucks</t>
  </si>
  <si>
    <r>
      <t>Imple-ments</t>
    </r>
    <r>
      <rPr>
        <rFont val="Arial"/>
        <color rgb="FF000000"/>
        <sz val="8.0"/>
        <vertAlign val="superscript"/>
      </rPr>
      <t>2</t>
    </r>
  </si>
  <si>
    <r>
      <t>Irrigation equipment</t>
    </r>
    <r>
      <rPr>
        <rFont val="Arial"/>
        <color rgb="FF000000"/>
        <sz val="8.0"/>
        <vertAlign val="superscript"/>
      </rPr>
      <t>3</t>
    </r>
  </si>
  <si>
    <t>84,3</t>
  </si>
  <si>
    <r>
      <rPr>
        <rFont val="Arial"/>
        <color rgb="FF000000"/>
        <sz val="7.0"/>
        <vertAlign val="superscript"/>
      </rPr>
      <t>1</t>
    </r>
    <r>
      <rPr>
        <rFont val="Times New Roman"/>
        <color rgb="FF000000"/>
        <sz val="7.0"/>
      </rPr>
      <t xml:space="preserve">      </t>
    </r>
    <r>
      <rPr>
        <rFont val="Arial"/>
        <color rgb="FF000000"/>
        <sz val="7.0"/>
      </rPr>
      <t>GST included from 3/7/1978 to 30/9/91.  VAT excluded</t>
    </r>
  </si>
  <si>
    <r>
      <rPr>
        <rFont val="Arial"/>
        <color rgb="FF000000"/>
        <sz val="7.0"/>
        <vertAlign val="superscript"/>
      </rPr>
      <t>2</t>
    </r>
    <r>
      <rPr>
        <rFont val="Times New Roman"/>
        <color rgb="FF000000"/>
        <sz val="7.0"/>
      </rPr>
      <t xml:space="preserve">      </t>
    </r>
    <r>
      <rPr>
        <rFont val="Arial"/>
        <color rgb="FF000000"/>
        <sz val="7.0"/>
      </rPr>
      <t>Mouldboard ploughs, disc ploughs, harrows, rippers, chisel ploughs, cultivators, maize</t>
    </r>
  </si>
  <si>
    <t xml:space="preserve">       and wheat planters, fertiliser spreaders, maize and wheat combines, mass trailers, feed</t>
  </si>
  <si>
    <t xml:space="preserve">       combines, mowers, balers, hammermills, pesticide control equipment, milk machine systems</t>
  </si>
  <si>
    <r>
      <rPr>
        <rFont val="Arial"/>
        <color rgb="FF000000"/>
        <sz val="7.0"/>
        <vertAlign val="superscript"/>
      </rPr>
      <t>3</t>
    </r>
    <r>
      <rPr>
        <rFont val="Times New Roman"/>
        <color rgb="FF000000"/>
        <sz val="7.0"/>
      </rPr>
      <t xml:space="preserve">      </t>
    </r>
    <r>
      <rPr>
        <rFont val="Arial"/>
        <color rgb="FF000000"/>
        <sz val="7.0"/>
      </rPr>
      <t xml:space="preserve">Pumps, diesel engines, electric motors, mainline systems, polythylene pipes, </t>
    </r>
  </si>
  <si>
    <t xml:space="preserve">       movable equipment, accessories</t>
  </si>
  <si>
    <t>Table 100 – Price indices of intermediate goods and services</t>
  </si>
  <si>
    <t>Fertiliser</t>
  </si>
  <si>
    <r>
      <t>Fuel</t>
    </r>
    <r>
      <rPr>
        <rFont val="Arial"/>
        <color rgb="FF000000"/>
        <sz val="8.0"/>
        <vertAlign val="superscript"/>
      </rPr>
      <t>1</t>
    </r>
  </si>
  <si>
    <r>
      <t>Farm feed</t>
    </r>
    <r>
      <rPr>
        <rFont val="Arial"/>
        <color rgb="FF000000"/>
        <sz val="8.0"/>
        <vertAlign val="superscript"/>
      </rPr>
      <t>2</t>
    </r>
  </si>
  <si>
    <t>Animal health and crop protec-tion</t>
  </si>
  <si>
    <r>
      <t>Packing material</t>
    </r>
    <r>
      <rPr>
        <rFont val="Arial"/>
        <color rgb="FF000000"/>
        <sz val="8.0"/>
        <vertAlign val="superscript"/>
      </rPr>
      <t>3</t>
    </r>
  </si>
  <si>
    <t>Mainte-nance and repairs</t>
  </si>
  <si>
    <t>All intermediate goods and services</t>
  </si>
  <si>
    <r>
      <rPr>
        <rFont val="Arial"/>
        <color rgb="FF000000"/>
        <sz val="7.0"/>
        <vertAlign val="superscript"/>
      </rPr>
      <t>1</t>
    </r>
    <r>
      <rPr>
        <rFont val="Times New Roman"/>
        <color rgb="FF000000"/>
        <sz val="7.0"/>
      </rPr>
      <t xml:space="preserve">     </t>
    </r>
    <r>
      <rPr>
        <rFont val="Arial"/>
        <color rgb="FF000000"/>
        <sz val="7.0"/>
      </rPr>
      <t>Diesel oil, illuminating paraffin, petrol, lubricating oil, grease</t>
    </r>
  </si>
  <si>
    <r>
      <rPr>
        <rFont val="Arial"/>
        <color rgb="FF000000"/>
        <sz val="7.0"/>
        <vertAlign val="superscript"/>
      </rPr>
      <t>2</t>
    </r>
    <r>
      <rPr>
        <rFont val="Times New Roman"/>
        <color rgb="FF000000"/>
        <sz val="7.0"/>
      </rPr>
      <t xml:space="preserve">     </t>
    </r>
    <r>
      <rPr>
        <rFont val="Arial"/>
        <color rgb="FF000000"/>
        <sz val="7.0"/>
      </rPr>
      <t>Dairy meal, poultry growing mash, broiler mash, full laying mash, pig growth meal, maize – yellow, lucerne, bonemeal, salt</t>
    </r>
  </si>
  <si>
    <r>
      <rPr>
        <rFont val="Arial"/>
        <color rgb="FF000000"/>
        <sz val="7.0"/>
        <vertAlign val="superscript"/>
      </rPr>
      <t>3</t>
    </r>
    <r>
      <rPr>
        <rFont val="Times New Roman"/>
        <color rgb="FF000000"/>
        <sz val="7.0"/>
      </rPr>
      <t xml:space="preserve">     </t>
    </r>
    <r>
      <rPr>
        <rFont val="Arial"/>
        <color rgb="FF000000"/>
        <sz val="7.0"/>
      </rPr>
      <t>Vegetable bags, citrus bags, grain bags, cartons and box wood</t>
    </r>
  </si>
  <si>
    <t>Table 101 – Weighted annual interest rates and interest rate index with respect to the Land Bank, co-operatives and commercial banks</t>
  </si>
  <si>
    <t>Land Bank</t>
  </si>
  <si>
    <t>Average</t>
  </si>
  <si>
    <t>Index</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</si>
</sst>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 ###\ ###"/>
    <numFmt numFmtId="165" formatCode="###\ ###"/>
    <numFmt numFmtId="166" formatCode="&quot;R&quot;\ #,##0;[Red]&quot;R&quot;\ \-#,##0"/>
    <numFmt numFmtId="167" formatCode="###\ ##0.00"/>
    <numFmt numFmtId="168" formatCode="#\ ###\ ##0.0"/>
    <numFmt numFmtId="169" formatCode="#\ ###\ ###"/>
    <numFmt numFmtId="170" formatCode="#,##0.000"/>
    <numFmt numFmtId="171" formatCode="#\ ###"/>
    <numFmt numFmtId="172" formatCode="##\ ###"/>
    <numFmt numFmtId="173" formatCode="#,###,###"/>
    <numFmt numFmtId="174" formatCode="#\ ##0.00"/>
    <numFmt numFmtId="175" formatCode="#\ ###.00"/>
    <numFmt numFmtId="176" formatCode="##\ ##0.00"/>
    <numFmt numFmtId="177" formatCode="yyyy/mm"/>
    <numFmt numFmtId="178" formatCode="##\ ##0.0"/>
    <numFmt numFmtId="179" formatCode="#\ ###.0"/>
    <numFmt numFmtId="180" formatCode="#\ ##0.0"/>
    <numFmt numFmtId="181" formatCode="#,##0.0"/>
    <numFmt numFmtId="182" formatCode="&quot;R&quot;#,##0;[Red]\-&quot;R&quot;#,##0"/>
    <numFmt numFmtId="183" formatCode="#\ ###\ ###\ ###"/>
    <numFmt numFmtId="184" formatCode="0.0"/>
    <numFmt numFmtId="185" formatCode="#\ ###\ ##0.00"/>
    <numFmt numFmtId="186" formatCode="#,##0.0_ ;\-#,##0.0\ "/>
    <numFmt numFmtId="187" formatCode="###,##0.00"/>
    <numFmt numFmtId="188" formatCode="###\ ##0.0"/>
  </numFmts>
  <fonts count="35">
    <font>
      <sz val="10.0"/>
      <color rgb="FF000000"/>
      <name val="Arial"/>
    </font>
    <font>
      <sz val="8.0"/>
      <color rgb="FF000000"/>
      <name val="Arial"/>
    </font>
    <font/>
    <font>
      <b/>
      <sz val="18.0"/>
      <name val="Merriweather"/>
    </font>
    <font>
      <sz val="28.0"/>
      <name val="Times New Roman"/>
    </font>
    <font>
      <sz val="14.0"/>
      <name val="Times New Roman"/>
    </font>
    <font>
      <sz val="24.0"/>
      <name val="Times New Roman"/>
    </font>
    <font>
      <sz val="36.0"/>
      <name val="Times New Roman"/>
    </font>
    <font>
      <sz val="14.0"/>
      <name val="Arial"/>
    </font>
    <font>
      <sz val="10.0"/>
      <name val="Arial"/>
    </font>
    <font>
      <b/>
      <sz val="14.0"/>
      <name val="Arial"/>
    </font>
    <font>
      <sz val="7.0"/>
      <color rgb="FF000000"/>
      <name val="Arial"/>
    </font>
    <font>
      <u/>
      <sz val="8.0"/>
      <color rgb="FF000000"/>
      <name val="Arial"/>
    </font>
    <font>
      <b/>
      <sz val="10.0"/>
      <name val="Arial"/>
    </font>
    <font>
      <u/>
      <sz val="8.0"/>
      <color rgb="FF000000"/>
      <name val="Arial"/>
    </font>
    <font>
      <sz val="8.0"/>
      <color rgb="FF000000"/>
      <name val="Times New Roman"/>
    </font>
    <font>
      <sz val="9.0"/>
      <name val="Arial"/>
    </font>
    <font>
      <sz val="10.0"/>
      <name val="Times New Roman"/>
    </font>
    <font>
      <b/>
      <sz val="8.0"/>
      <color rgb="FF000000"/>
      <name val="Arial"/>
    </font>
    <font>
      <b/>
      <sz val="10.0"/>
      <color rgb="FF000000"/>
      <name val="Arial"/>
    </font>
    <font>
      <sz val="8.0"/>
      <name val="Arial"/>
    </font>
    <font>
      <sz val="6.0"/>
      <color rgb="FF000000"/>
      <name val="Arial"/>
    </font>
    <font>
      <b/>
      <sz val="8.0"/>
      <name val="Arial"/>
    </font>
    <font>
      <sz val="7.0"/>
      <name val="Arial"/>
    </font>
    <font>
      <sz val="6.0"/>
      <name val="Arial"/>
    </font>
    <font>
      <sz val="8.0"/>
      <color rgb="FFFF9900"/>
      <name val="Arial"/>
    </font>
    <font>
      <vertAlign val="subscript"/>
      <sz val="8.0"/>
      <color rgb="FF000000"/>
      <name val="Arial"/>
    </font>
    <font>
      <sz val="9.0"/>
      <color rgb="FF000000"/>
      <name val="Arial"/>
    </font>
    <font>
      <vertAlign val="superscript"/>
      <sz val="8.0"/>
      <color rgb="FF000000"/>
      <name val="Arial"/>
    </font>
    <font>
      <vertAlign val="superscript"/>
      <sz val="8.0"/>
      <color rgb="FF000000"/>
      <name val="Arial"/>
    </font>
    <font>
      <sz val="7.0"/>
      <color rgb="FF000000"/>
      <name val="Times New Roman"/>
    </font>
    <font>
      <vertAlign val="superscript"/>
      <sz val="12.0"/>
      <color rgb="FF000000"/>
      <name val="Arial"/>
    </font>
    <font>
      <vertAlign val="superscript"/>
      <sz val="8.0"/>
      <color rgb="FF000000"/>
      <name val="Arial"/>
    </font>
    <font>
      <vertAlign val="superscript"/>
      <sz val="8.0"/>
      <color rgb="FF000000"/>
      <name val="Arial"/>
    </font>
    <font>
      <vertAlign val="superscript"/>
      <sz val="8.0"/>
      <color rgb="FF000000"/>
      <name val="Arial"/>
    </font>
  </fonts>
  <fills count="3">
    <fill>
      <patternFill patternType="none"/>
    </fill>
    <fill>
      <patternFill patternType="lightGray"/>
    </fill>
    <fill>
      <patternFill patternType="solid">
        <fgColor rgb="FFFFFFFF"/>
        <bgColor rgb="FFFFFFFF"/>
      </patternFill>
    </fill>
  </fills>
  <borders count="27">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rder>
    <border>
      <left style="thin">
        <color rgb="FF000000"/>
      </left>
      <right/>
      <top style="thin">
        <color rgb="FF000000"/>
      </top>
      <bottom/>
    </border>
    <border>
      <left/>
      <top style="thin">
        <color rgb="FF000000"/>
      </top>
      <bottom style="thin">
        <color rgb="FF000000"/>
      </bottom>
    </border>
    <border>
      <right/>
      <top style="thin">
        <color rgb="FF000000"/>
      </top>
      <bottom style="thin">
        <color rgb="FF000000"/>
      </bottom>
    </border>
    <border>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bottom/>
    </border>
    <border>
      <left/>
      <right style="thin">
        <color rgb="FF000000"/>
      </right>
      <top/>
      <bottom/>
    </border>
  </borders>
  <cellStyleXfs count="1">
    <xf borderId="0" fillId="0" fontId="0" numFmtId="0" applyAlignment="1" applyFont="1"/>
  </cellStyleXfs>
  <cellXfs count="1100">
    <xf borderId="0" fillId="0" fontId="0" numFmtId="0" xfId="0" applyAlignment="1" applyFont="1">
      <alignment readingOrder="0" shrinkToFit="0" vertical="bottom" wrapText="0"/>
    </xf>
    <xf borderId="0" fillId="0" fontId="1" numFmtId="0" xfId="0" applyFont="1"/>
    <xf borderId="1" fillId="0" fontId="1" numFmtId="49" xfId="0" applyAlignment="1" applyBorder="1" applyFont="1" applyNumberFormat="1">
      <alignment shrinkToFit="0" vertical="center" wrapText="1"/>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3" fillId="0" fontId="2" numFmtId="0" xfId="0" applyBorder="1" applyFont="1"/>
    <xf borderId="4" fillId="0" fontId="2" numFmtId="0" xfId="0" applyBorder="1" applyFont="1"/>
    <xf borderId="5" fillId="0" fontId="1" numFmtId="0" xfId="0" applyAlignment="1" applyBorder="1" applyFont="1">
      <alignment horizontal="center" shrinkToFit="0" vertical="top" wrapText="1"/>
    </xf>
    <xf borderId="6" fillId="0" fontId="1" numFmtId="0" xfId="0" applyAlignment="1" applyBorder="1" applyFont="1">
      <alignment horizontal="center" shrinkToFit="0" wrapText="1"/>
    </xf>
    <xf borderId="7" fillId="0" fontId="2" numFmtId="0" xfId="0" applyBorder="1" applyFont="1"/>
    <xf borderId="8" fillId="0" fontId="2" numFmtId="0" xfId="0" applyBorder="1" applyFont="1"/>
    <xf borderId="3" fillId="0" fontId="1" numFmtId="49" xfId="0" applyAlignment="1" applyBorder="1" applyFont="1" applyNumberFormat="1">
      <alignment horizontal="left" shrinkToFit="0" wrapText="1"/>
    </xf>
    <xf borderId="3" fillId="0" fontId="1" numFmtId="164" xfId="0" applyAlignment="1" applyBorder="1" applyFont="1" applyNumberFormat="1">
      <alignment horizontal="right"/>
    </xf>
    <xf borderId="9" fillId="0" fontId="1" numFmtId="164" xfId="0" applyAlignment="1" applyBorder="1" applyFont="1" applyNumberFormat="1">
      <alignment horizontal="right"/>
    </xf>
    <xf borderId="10" fillId="0" fontId="1" numFmtId="164" xfId="0" applyAlignment="1" applyBorder="1" applyFont="1" applyNumberFormat="1">
      <alignment horizontal="right"/>
    </xf>
    <xf borderId="0" fillId="0" fontId="1" numFmtId="3" xfId="0" applyFont="1" applyNumberFormat="1"/>
    <xf borderId="0" fillId="0" fontId="3" numFmtId="0" xfId="0" applyFont="1"/>
    <xf borderId="0" fillId="0" fontId="4" numFmtId="0" xfId="0" applyAlignment="1" applyFont="1">
      <alignment horizontal="center"/>
    </xf>
    <xf borderId="0" fillId="0" fontId="5"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0" fontId="9" numFmtId="0" xfId="0" applyFont="1"/>
    <xf borderId="0" fillId="0" fontId="9" numFmtId="0" xfId="0" applyAlignment="1" applyFont="1">
      <alignment horizontal="left"/>
    </xf>
    <xf borderId="11" fillId="0" fontId="9" numFmtId="0" xfId="0" applyBorder="1" applyFont="1"/>
    <xf borderId="10" fillId="0" fontId="9" numFmtId="0" xfId="0" applyAlignment="1" applyBorder="1" applyFont="1">
      <alignment horizontal="left" readingOrder="0" shrinkToFit="0" vertical="center" wrapText="1"/>
    </xf>
    <xf borderId="9" fillId="0" fontId="9" numFmtId="0" xfId="0" applyAlignment="1" applyBorder="1" applyFont="1">
      <alignment horizontal="left"/>
    </xf>
    <xf borderId="10" fillId="0" fontId="9"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9" fillId="0" fontId="1" numFmtId="164" xfId="0" applyAlignment="1" applyBorder="1" applyFont="1" applyNumberFormat="1">
      <alignment horizontal="right" shrinkToFit="0" wrapText="1"/>
    </xf>
    <xf borderId="1" fillId="0" fontId="1" numFmtId="0" xfId="0" applyAlignment="1" applyBorder="1" applyFont="1">
      <alignment horizontal="center" shrinkToFit="0" vertical="center" wrapText="1"/>
    </xf>
    <xf borderId="12" fillId="0" fontId="9" numFmtId="0" xfId="0" applyAlignment="1" applyBorder="1" applyFont="1">
      <alignment horizontal="left" shrinkToFit="0" vertical="center" wrapText="1"/>
    </xf>
    <xf borderId="3" fillId="0" fontId="1" numFmtId="164" xfId="0" applyAlignment="1" applyBorder="1" applyFont="1" applyNumberFormat="1">
      <alignment horizontal="right" shrinkToFit="0" wrapText="1"/>
    </xf>
    <xf borderId="6" fillId="0" fontId="1" numFmtId="0" xfId="0" applyAlignment="1" applyBorder="1" applyFont="1">
      <alignment horizontal="center"/>
    </xf>
    <xf borderId="11" fillId="0" fontId="2" numFmtId="0" xfId="0" applyBorder="1" applyFont="1"/>
    <xf borderId="1" fillId="0" fontId="1" numFmtId="0" xfId="0" applyAlignment="1" applyBorder="1" applyFont="1">
      <alignment horizontal="center" vertical="center"/>
    </xf>
    <xf borderId="5" fillId="0" fontId="9" numFmtId="0" xfId="0" applyAlignment="1" applyBorder="1" applyFont="1">
      <alignment horizontal="left"/>
    </xf>
    <xf borderId="3" fillId="0" fontId="1" numFmtId="165" xfId="0" applyAlignment="1" applyBorder="1" applyFont="1" applyNumberFormat="1">
      <alignment horizontal="right" shrinkToFit="0" wrapText="1"/>
    </xf>
    <xf borderId="12" fillId="0" fontId="1" numFmtId="0" xfId="0" applyAlignment="1" applyBorder="1" applyFont="1">
      <alignment horizontal="center"/>
    </xf>
    <xf borderId="13" fillId="0" fontId="1" numFmtId="0" xfId="0" applyAlignment="1" applyBorder="1" applyFont="1">
      <alignment horizontal="center"/>
    </xf>
    <xf borderId="6" fillId="0" fontId="10" numFmtId="0" xfId="0" applyAlignment="1" applyBorder="1" applyFont="1">
      <alignment horizontal="center" shrinkToFit="0" vertical="center" wrapText="1"/>
    </xf>
    <xf borderId="4" fillId="0" fontId="1" numFmtId="0" xfId="0" applyAlignment="1" applyBorder="1" applyFont="1">
      <alignment horizontal="center"/>
    </xf>
    <xf borderId="10" fillId="0" fontId="9" numFmtId="0" xfId="0" applyBorder="1" applyFont="1"/>
    <xf quotePrefix="1" borderId="4" fillId="0" fontId="1" numFmtId="166" xfId="0" applyAlignment="1" applyBorder="1" applyFont="1" applyNumberFormat="1">
      <alignment horizontal="center"/>
    </xf>
    <xf borderId="0" fillId="0" fontId="9" numFmtId="0" xfId="0" applyAlignment="1" applyFont="1">
      <alignment shrinkToFit="0" vertical="top" wrapText="1"/>
    </xf>
    <xf quotePrefix="1" borderId="13" fillId="0" fontId="1" numFmtId="0" xfId="0" applyAlignment="1" applyBorder="1" applyFont="1">
      <alignment horizontal="center"/>
    </xf>
    <xf borderId="0" fillId="0" fontId="9" numFmtId="0" xfId="0" applyAlignment="1" applyFont="1">
      <alignment horizontal="left" shrinkToFit="0" vertical="top" wrapText="1"/>
    </xf>
    <xf borderId="3" fillId="0" fontId="1" numFmtId="0" xfId="0" applyAlignment="1" applyBorder="1" applyFont="1">
      <alignment shrinkToFit="0" wrapText="1"/>
    </xf>
    <xf borderId="9" fillId="0" fontId="9" numFmtId="0" xfId="0" applyBorder="1" applyFont="1"/>
    <xf borderId="3" fillId="0" fontId="1" numFmtId="167" xfId="0" applyAlignment="1" applyBorder="1" applyFont="1" applyNumberFormat="1">
      <alignment horizontal="right" shrinkToFit="0" wrapText="1"/>
    </xf>
    <xf borderId="9" fillId="0" fontId="1" numFmtId="167" xfId="0" applyAlignment="1" applyBorder="1" applyFont="1" applyNumberFormat="1">
      <alignment horizontal="right" shrinkToFit="0" wrapText="1"/>
    </xf>
    <xf borderId="4" fillId="0" fontId="1" numFmtId="49" xfId="0" applyAlignment="1" applyBorder="1" applyFont="1" applyNumberFormat="1">
      <alignment horizontal="left" shrinkToFit="0" wrapText="1"/>
    </xf>
    <xf borderId="10" fillId="0" fontId="1" numFmtId="167" xfId="0" applyAlignment="1" applyBorder="1" applyFont="1" applyNumberFormat="1">
      <alignment horizontal="right" shrinkToFit="0" wrapText="1"/>
    </xf>
    <xf borderId="3" fillId="0" fontId="1" numFmtId="168" xfId="0" applyAlignment="1" applyBorder="1" applyFont="1" applyNumberFormat="1">
      <alignment horizontal="right" shrinkToFit="0" wrapText="1"/>
    </xf>
    <xf borderId="9" fillId="0" fontId="1" numFmtId="0" xfId="0" applyAlignment="1" applyBorder="1" applyFont="1">
      <alignment horizontal="left" shrinkToFit="0" wrapText="1"/>
    </xf>
    <xf borderId="4" fillId="0" fontId="1" numFmtId="165" xfId="0" applyAlignment="1" applyBorder="1" applyFont="1" applyNumberFormat="1">
      <alignment horizontal="right" shrinkToFit="0" wrapText="1"/>
    </xf>
    <xf borderId="4" fillId="0" fontId="1" numFmtId="164" xfId="0" applyAlignment="1" applyBorder="1" applyFont="1" applyNumberFormat="1">
      <alignment horizontal="right" shrinkToFit="0" wrapText="1"/>
    </xf>
    <xf borderId="14" fillId="0" fontId="1" numFmtId="0" xfId="0" applyBorder="1" applyFont="1"/>
    <xf borderId="0" fillId="0" fontId="1" numFmtId="164" xfId="0" applyFont="1" applyNumberFormat="1"/>
    <xf borderId="0" fillId="0" fontId="11" numFmtId="0" xfId="0" applyFont="1"/>
    <xf borderId="12" fillId="0" fontId="9" numFmtId="0" xfId="0" applyBorder="1" applyFont="1"/>
    <xf borderId="11" fillId="0" fontId="9" numFmtId="0" xfId="0" applyAlignment="1" applyBorder="1" applyFont="1">
      <alignment shrinkToFit="0" vertical="top" wrapText="1"/>
    </xf>
    <xf borderId="11" fillId="0" fontId="9" numFmtId="0" xfId="0" applyAlignment="1" applyBorder="1" applyFont="1">
      <alignment horizontal="left" shrinkToFit="0" vertical="top" wrapText="1"/>
    </xf>
    <xf borderId="5" fillId="0" fontId="9" numFmtId="0" xfId="0" applyBorder="1" applyFont="1"/>
    <xf borderId="0" fillId="0" fontId="1" numFmtId="0" xfId="0" applyAlignment="1" applyFont="1">
      <alignment horizontal="left"/>
    </xf>
    <xf borderId="9" fillId="0" fontId="1" numFmtId="4" xfId="0" applyAlignment="1" applyBorder="1" applyFont="1" applyNumberFormat="1">
      <alignment horizontal="right" shrinkToFit="0" wrapText="1"/>
    </xf>
    <xf borderId="15" fillId="0" fontId="10" numFmtId="0" xfId="0" applyAlignment="1" applyBorder="1" applyFont="1">
      <alignment horizontal="center" shrinkToFit="0" vertical="center" wrapText="1"/>
    </xf>
    <xf borderId="14" fillId="0" fontId="2" numFmtId="0" xfId="0" applyBorder="1" applyFont="1"/>
    <xf borderId="15" fillId="0" fontId="12" numFmtId="0" xfId="0" applyAlignment="1" applyBorder="1" applyFont="1">
      <alignment horizontal="left" shrinkToFit="0" wrapText="1"/>
    </xf>
    <xf borderId="2" fillId="0" fontId="2" numFmtId="0" xfId="0" applyBorder="1" applyFont="1"/>
    <xf borderId="10" fillId="0" fontId="1" numFmtId="4" xfId="0" applyAlignment="1" applyBorder="1" applyFont="1" applyNumberFormat="1">
      <alignment horizontal="right" shrinkToFit="0" wrapText="1"/>
    </xf>
    <xf borderId="6" fillId="0" fontId="13" numFmtId="0" xfId="0" applyAlignment="1" applyBorder="1" applyFont="1">
      <alignment shrinkToFit="0" vertical="center" wrapText="1"/>
    </xf>
    <xf borderId="14" fillId="0" fontId="14" numFmtId="0" xfId="0" applyAlignment="1" applyBorder="1" applyFont="1">
      <alignment horizontal="left" shrinkToFit="0" wrapText="1"/>
    </xf>
    <xf borderId="14" fillId="0" fontId="1" numFmtId="0" xfId="0" applyAlignment="1" applyBorder="1" applyFont="1">
      <alignment horizontal="left" shrinkToFit="0" wrapText="1"/>
    </xf>
    <xf borderId="15" fillId="0" fontId="9" numFmtId="0" xfId="0" applyAlignment="1" applyBorder="1" applyFont="1">
      <alignment shrinkToFit="0" vertical="top" wrapText="1"/>
    </xf>
    <xf borderId="14" fillId="0" fontId="11" numFmtId="0" xfId="0" applyBorder="1" applyFont="1"/>
    <xf borderId="2" fillId="0" fontId="11" numFmtId="0" xfId="0" applyBorder="1" applyFont="1"/>
    <xf quotePrefix="1" borderId="9" fillId="0" fontId="1" numFmtId="13" xfId="0" applyAlignment="1" applyBorder="1" applyFont="1" applyNumberFormat="1">
      <alignment horizontal="left" shrinkToFit="0" wrapText="1"/>
    </xf>
    <xf borderId="10" fillId="0" fontId="1" numFmtId="49" xfId="0" applyAlignment="1" applyBorder="1" applyFont="1" applyNumberFormat="1">
      <alignment horizontal="left" shrinkToFit="0" wrapText="1"/>
    </xf>
    <xf borderId="0" fillId="0" fontId="1" numFmtId="164" xfId="0" applyAlignment="1" applyFont="1" applyNumberFormat="1">
      <alignment shrinkToFit="0" wrapText="1"/>
    </xf>
    <xf borderId="9" fillId="0" fontId="1" numFmtId="49" xfId="0" applyAlignment="1" applyBorder="1" applyFont="1" applyNumberFormat="1">
      <alignment horizontal="left" shrinkToFit="0" wrapText="1"/>
    </xf>
    <xf borderId="3" fillId="0" fontId="1" numFmtId="4" xfId="0" applyAlignment="1" applyBorder="1" applyFont="1" applyNumberFormat="1">
      <alignment horizontal="right" shrinkToFit="0" wrapText="1"/>
    </xf>
    <xf borderId="1" fillId="0" fontId="9" numFmtId="0" xfId="0" applyAlignment="1" applyBorder="1" applyFont="1">
      <alignment shrinkToFit="0" vertical="top" wrapText="1"/>
    </xf>
    <xf borderId="0" fillId="0" fontId="11" numFmtId="3" xfId="0" applyAlignment="1" applyFont="1" applyNumberFormat="1">
      <alignment horizontal="right" shrinkToFit="0" wrapText="1"/>
    </xf>
    <xf borderId="3" fillId="0" fontId="1" numFmtId="49" xfId="0" applyAlignment="1" applyBorder="1" applyFont="1" applyNumberFormat="1">
      <alignment shrinkToFit="0" wrapText="1"/>
    </xf>
    <xf borderId="9" fillId="0" fontId="11" numFmtId="0" xfId="0" applyBorder="1" applyFont="1"/>
    <xf borderId="9" fillId="0" fontId="2" numFmtId="0" xfId="0" applyBorder="1" applyFont="1"/>
    <xf borderId="10" fillId="0" fontId="9" numFmtId="0" xfId="0" applyAlignment="1" applyBorder="1" applyFont="1">
      <alignment shrinkToFit="0" vertical="top" wrapText="1"/>
    </xf>
    <xf borderId="3" fillId="0" fontId="9" numFmtId="0" xfId="0" applyAlignment="1" applyBorder="1" applyFont="1">
      <alignment shrinkToFit="0" vertical="top" wrapText="1"/>
    </xf>
    <xf borderId="0" fillId="0" fontId="1" numFmtId="0" xfId="0" applyAlignment="1" applyFont="1">
      <alignment horizontal="left" shrinkToFit="0" wrapText="1"/>
    </xf>
    <xf borderId="3" fillId="0" fontId="9" numFmtId="0" xfId="0" applyBorder="1" applyFont="1"/>
    <xf borderId="0" fillId="0" fontId="1" numFmtId="0" xfId="0" applyAlignment="1" applyFont="1">
      <alignment horizontal="left" shrinkToFit="0" vertical="top" wrapText="1"/>
    </xf>
    <xf borderId="12" fillId="0" fontId="9" numFmtId="0" xfId="0" applyAlignment="1" applyBorder="1" applyFont="1">
      <alignment shrinkToFit="0" vertical="top" wrapText="1"/>
    </xf>
    <xf borderId="5" fillId="0" fontId="2" numFmtId="0" xfId="0" applyBorder="1" applyFont="1"/>
    <xf borderId="4" fillId="0" fontId="9" numFmtId="0" xfId="0" applyAlignment="1" applyBorder="1" applyFont="1">
      <alignment shrinkToFit="0" vertical="top" wrapText="1"/>
    </xf>
    <xf borderId="4" fillId="0" fontId="1" numFmtId="49" xfId="0" applyAlignment="1" applyBorder="1" applyFont="1" applyNumberFormat="1">
      <alignment shrinkToFit="0" wrapText="1"/>
    </xf>
    <xf borderId="12" fillId="0" fontId="1" numFmtId="49" xfId="0" applyAlignment="1" applyBorder="1" applyFont="1" applyNumberFormat="1">
      <alignment horizontal="left" shrinkToFit="0" wrapText="1"/>
    </xf>
    <xf borderId="4" fillId="0" fontId="1" numFmtId="167" xfId="0" applyAlignment="1" applyBorder="1" applyFont="1" applyNumberFormat="1">
      <alignment horizontal="right" shrinkToFit="0" wrapText="1"/>
    </xf>
    <xf borderId="2" fillId="0" fontId="9" numFmtId="0" xfId="0" applyAlignment="1" applyBorder="1" applyFont="1">
      <alignment shrinkToFit="0" vertical="top" wrapText="1"/>
    </xf>
    <xf borderId="11" fillId="0" fontId="1" numFmtId="164" xfId="0" applyAlignment="1" applyBorder="1" applyFont="1" applyNumberFormat="1">
      <alignment shrinkToFit="0" wrapText="1"/>
    </xf>
    <xf borderId="9" fillId="0" fontId="9" numFmtId="0" xfId="0" applyAlignment="1" applyBorder="1" applyFont="1">
      <alignment shrinkToFit="0" vertical="top" wrapText="1"/>
    </xf>
    <xf borderId="11" fillId="0" fontId="11" numFmtId="0" xfId="0" applyAlignment="1" applyBorder="1" applyFont="1">
      <alignment horizontal="left" shrinkToFit="0" wrapText="1"/>
    </xf>
    <xf borderId="11" fillId="0" fontId="11" numFmtId="0" xfId="0" applyBorder="1" applyFont="1"/>
    <xf borderId="5" fillId="0" fontId="11" numFmtId="0" xfId="0" applyBorder="1" applyFont="1"/>
    <xf borderId="5" fillId="0" fontId="9" numFmtId="0" xfId="0" applyAlignment="1" applyBorder="1" applyFont="1">
      <alignment shrinkToFit="0" vertical="top" wrapText="1"/>
    </xf>
    <xf borderId="4" fillId="0" fontId="1" numFmtId="4" xfId="0" applyAlignment="1" applyBorder="1" applyFont="1" applyNumberFormat="1">
      <alignment horizontal="right" shrinkToFit="0" wrapText="1"/>
    </xf>
    <xf borderId="4" fillId="0" fontId="1" numFmtId="168" xfId="0" applyAlignment="1" applyBorder="1" applyFont="1" applyNumberFormat="1">
      <alignment horizontal="right" shrinkToFit="0" wrapText="1"/>
    </xf>
    <xf borderId="0" fillId="0" fontId="0" numFmtId="0" xfId="0" applyAlignment="1" applyFont="1">
      <alignment horizontal="center" vertical="center"/>
    </xf>
    <xf borderId="0" fillId="0" fontId="15" numFmtId="0" xfId="0" applyFont="1"/>
    <xf borderId="0" fillId="0" fontId="0" numFmtId="0" xfId="0" applyAlignment="1" applyFont="1">
      <alignment horizontal="center"/>
    </xf>
    <xf borderId="11" fillId="0" fontId="1" numFmtId="0" xfId="0" applyBorder="1" applyFont="1"/>
    <xf borderId="15" fillId="0" fontId="1" numFmtId="0" xfId="0" applyAlignment="1" applyBorder="1" applyFont="1">
      <alignment horizontal="left" shrinkToFit="0" vertical="center" wrapText="1"/>
    </xf>
    <xf borderId="0" fillId="0" fontId="1" numFmtId="169" xfId="0" applyFont="1" applyNumberFormat="1"/>
    <xf borderId="6" fillId="0" fontId="1" numFmtId="0" xfId="0" applyAlignment="1" applyBorder="1" applyFont="1">
      <alignment horizontal="center" shrinkToFit="0" vertical="center" wrapText="1"/>
    </xf>
    <xf borderId="10" fillId="0" fontId="2" numFmtId="0" xfId="0" applyBorder="1" applyFont="1"/>
    <xf borderId="2" fillId="0" fontId="1" numFmtId="0" xfId="0" applyAlignment="1" applyBorder="1" applyFont="1">
      <alignment horizontal="left" shrinkToFit="0" vertical="top" wrapText="1"/>
    </xf>
    <xf borderId="15" fillId="0" fontId="1" numFmtId="0" xfId="0" applyAlignment="1" applyBorder="1" applyFont="1">
      <alignment horizontal="left" shrinkToFit="0" vertical="top" wrapText="1"/>
    </xf>
    <xf borderId="12" fillId="0" fontId="2" numFmtId="0" xfId="0" applyBorder="1" applyFont="1"/>
    <xf borderId="7" fillId="0" fontId="13" numFmtId="0" xfId="0" applyAlignment="1" applyBorder="1" applyFont="1">
      <alignment shrinkToFit="0" vertical="center" wrapText="1"/>
    </xf>
    <xf borderId="7" fillId="0" fontId="9" numFmtId="0" xfId="0" applyAlignment="1" applyBorder="1" applyFont="1">
      <alignment vertical="center"/>
    </xf>
    <xf borderId="8" fillId="0" fontId="9" numFmtId="0" xfId="0" applyAlignment="1" applyBorder="1" applyFont="1">
      <alignment vertical="center"/>
    </xf>
    <xf borderId="15" fillId="0" fontId="1" numFmtId="0" xfId="0" applyAlignment="1" applyBorder="1" applyFont="1">
      <alignment horizontal="left" shrinkToFit="0" wrapText="1"/>
    </xf>
    <xf borderId="0" fillId="0" fontId="9" numFmtId="170" xfId="0" applyAlignment="1" applyFont="1" applyNumberFormat="1">
      <alignment horizontal="left" shrinkToFit="0" vertical="top" wrapText="1"/>
    </xf>
    <xf borderId="1" fillId="0" fontId="1" numFmtId="171" xfId="0" applyAlignment="1" applyBorder="1" applyFont="1" applyNumberFormat="1">
      <alignment horizontal="right"/>
    </xf>
    <xf borderId="0" fillId="0" fontId="1" numFmtId="0" xfId="0" applyAlignment="1" applyFont="1">
      <alignment horizontal="center"/>
    </xf>
    <xf borderId="15" fillId="0" fontId="1" numFmtId="169" xfId="0" applyAlignment="1" applyBorder="1" applyFont="1" applyNumberFormat="1">
      <alignment horizontal="right"/>
    </xf>
    <xf borderId="1" fillId="0" fontId="1" numFmtId="164" xfId="0" applyAlignment="1" applyBorder="1" applyFont="1" applyNumberFormat="1">
      <alignment horizontal="right"/>
    </xf>
    <xf borderId="6" fillId="0" fontId="1" numFmtId="0" xfId="0" applyAlignment="1" applyBorder="1" applyFont="1">
      <alignment horizontal="center" shrinkToFit="0" vertical="top" wrapText="1"/>
    </xf>
    <xf borderId="10" fillId="0" fontId="1" numFmtId="0" xfId="0" applyAlignment="1" applyBorder="1" applyFont="1">
      <alignment horizontal="left" shrinkToFit="0" wrapText="1"/>
    </xf>
    <xf borderId="9" fillId="0" fontId="1" numFmtId="171" xfId="0" applyAlignment="1" applyBorder="1" applyFont="1" applyNumberFormat="1">
      <alignment horizontal="right" shrinkToFit="0" wrapText="1"/>
    </xf>
    <xf borderId="0" fillId="0" fontId="16" numFmtId="3" xfId="0" applyAlignment="1" applyFont="1" applyNumberFormat="1">
      <alignment horizontal="left" shrinkToFit="0" vertical="top" wrapText="1"/>
    </xf>
    <xf borderId="3" fillId="0" fontId="1" numFmtId="171" xfId="0" applyAlignment="1" applyBorder="1" applyFont="1" applyNumberFormat="1">
      <alignment horizontal="right"/>
    </xf>
    <xf borderId="10" fillId="0" fontId="1" numFmtId="169" xfId="0" applyAlignment="1" applyBorder="1" applyFont="1" applyNumberFormat="1">
      <alignment horizontal="right"/>
    </xf>
    <xf borderId="5" fillId="0" fontId="1" numFmtId="0" xfId="0" applyAlignment="1" applyBorder="1" applyFont="1">
      <alignment horizontal="center" shrinkToFit="0" wrapText="1"/>
    </xf>
    <xf borderId="0" fillId="0" fontId="16" numFmtId="0" xfId="0" applyAlignment="1" applyFont="1">
      <alignment horizontal="left" shrinkToFit="0" vertical="top" wrapText="1"/>
    </xf>
    <xf borderId="9" fillId="0" fontId="1" numFmtId="169" xfId="0" applyAlignment="1" applyBorder="1" applyFont="1" applyNumberFormat="1">
      <alignment horizontal="right" shrinkToFit="0" wrapText="1"/>
    </xf>
    <xf borderId="11" fillId="0" fontId="9" numFmtId="170" xfId="0" applyAlignment="1" applyBorder="1" applyFont="1" applyNumberFormat="1">
      <alignment horizontal="left" shrinkToFit="0" vertical="top" wrapText="1"/>
    </xf>
    <xf borderId="11" fillId="0" fontId="16" numFmtId="3" xfId="0" applyAlignment="1" applyBorder="1" applyFont="1" applyNumberFormat="1">
      <alignment horizontal="left" shrinkToFit="0" vertical="top" wrapText="1"/>
    </xf>
    <xf borderId="0" fillId="0" fontId="9" numFmtId="0" xfId="0" applyAlignment="1" applyFont="1">
      <alignment shrinkToFit="0" wrapText="1"/>
    </xf>
    <xf borderId="12" fillId="0" fontId="1" numFmtId="0" xfId="0" applyAlignment="1" applyBorder="1" applyFont="1">
      <alignment horizontal="left" shrinkToFit="0" wrapText="1"/>
    </xf>
    <xf borderId="4" fillId="0" fontId="1" numFmtId="171" xfId="0" applyAlignment="1" applyBorder="1" applyFont="1" applyNumberFormat="1">
      <alignment horizontal="right"/>
    </xf>
    <xf borderId="0" fillId="0" fontId="17" numFmtId="0" xfId="0" applyAlignment="1" applyFont="1">
      <alignment horizontal="left"/>
    </xf>
    <xf borderId="12" fillId="0" fontId="1" numFmtId="169" xfId="0" applyAlignment="1" applyBorder="1" applyFont="1" applyNumberFormat="1">
      <alignment horizontal="right"/>
    </xf>
    <xf borderId="16" fillId="2" fontId="18" numFmtId="0" xfId="0" applyAlignment="1" applyBorder="1" applyFill="1" applyFont="1">
      <alignment shrinkToFit="0" vertical="center" wrapText="1"/>
    </xf>
    <xf borderId="4" fillId="0" fontId="1" numFmtId="164" xfId="0" applyAlignment="1" applyBorder="1" applyFont="1" applyNumberFormat="1">
      <alignment horizontal="right"/>
    </xf>
    <xf borderId="17" fillId="2" fontId="19" numFmtId="0" xfId="0" applyAlignment="1" applyBorder="1" applyFont="1">
      <alignment horizontal="center" shrinkToFit="0" vertical="center" wrapText="1"/>
    </xf>
    <xf borderId="18" fillId="0" fontId="2" numFmtId="0" xfId="0" applyBorder="1" applyFont="1"/>
    <xf borderId="6" fillId="0" fontId="18" numFmtId="0" xfId="0" applyAlignment="1" applyBorder="1" applyFont="1">
      <alignment horizontal="left" shrinkToFit="0" wrapText="1"/>
    </xf>
    <xf borderId="17" fillId="2" fontId="18" numFmtId="0" xfId="0" applyAlignment="1" applyBorder="1" applyFont="1">
      <alignment horizontal="left" shrinkToFit="0" vertical="center" wrapText="1"/>
    </xf>
    <xf borderId="13" fillId="0" fontId="1" numFmtId="164" xfId="0" applyAlignment="1" applyBorder="1" applyFont="1" applyNumberFormat="1">
      <alignment horizontal="right"/>
    </xf>
    <xf borderId="7" fillId="0" fontId="13" numFmtId="0" xfId="0" applyAlignment="1" applyBorder="1" applyFont="1">
      <alignment horizontal="center" shrinkToFit="0" vertical="center" wrapText="1"/>
    </xf>
    <xf borderId="0" fillId="0" fontId="11" numFmtId="0" xfId="0" applyAlignment="1" applyFont="1">
      <alignment horizontal="left"/>
    </xf>
    <xf borderId="10" fillId="0" fontId="16" numFmtId="0" xfId="0" applyAlignment="1" applyBorder="1" applyFont="1">
      <alignment horizontal="left" vertical="center"/>
    </xf>
    <xf borderId="0" fillId="0" fontId="1" numFmtId="0" xfId="0" applyAlignment="1" applyFont="1">
      <alignment shrinkToFit="0" wrapText="1"/>
    </xf>
    <xf borderId="14" fillId="0" fontId="16" numFmtId="0" xfId="0" applyAlignment="1" applyBorder="1" applyFont="1">
      <alignment horizontal="left" shrinkToFit="0" vertical="center" wrapText="1"/>
    </xf>
    <xf borderId="14" fillId="0" fontId="16" numFmtId="0" xfId="0" applyAlignment="1" applyBorder="1" applyFont="1">
      <alignment horizontal="center"/>
    </xf>
    <xf borderId="15" fillId="0" fontId="20" numFmtId="0" xfId="0" applyAlignment="1" applyBorder="1" applyFont="1">
      <alignment horizontal="left" vertical="center"/>
    </xf>
    <xf borderId="0" fillId="0" fontId="16" numFmtId="0" xfId="0" applyAlignment="1" applyFont="1">
      <alignment horizontal="left" shrinkToFit="0" vertical="center" wrapText="1"/>
    </xf>
    <xf borderId="13" fillId="0" fontId="1" numFmtId="0" xfId="0" applyAlignment="1" applyBorder="1" applyFont="1">
      <alignment horizontal="left"/>
    </xf>
    <xf borderId="0" fillId="0" fontId="16" numFmtId="0" xfId="0" applyAlignment="1" applyFont="1">
      <alignment horizontal="center"/>
    </xf>
    <xf borderId="6" fillId="0" fontId="20" numFmtId="3" xfId="0" applyAlignment="1" applyBorder="1" applyFont="1" applyNumberFormat="1">
      <alignment horizontal="center" shrinkToFit="0" wrapText="1"/>
    </xf>
    <xf borderId="10" fillId="0" fontId="20" numFmtId="0" xfId="0" applyBorder="1" applyFont="1"/>
    <xf borderId="10" fillId="0" fontId="16" numFmtId="0" xfId="0" applyAlignment="1" applyBorder="1" applyFont="1">
      <alignment vertical="center"/>
    </xf>
    <xf borderId="3" fillId="0" fontId="1" numFmtId="172" xfId="0" applyAlignment="1" applyBorder="1" applyFont="1" applyNumberFormat="1">
      <alignment horizontal="right"/>
    </xf>
    <xf borderId="11" fillId="0" fontId="16" numFmtId="0" xfId="0" applyAlignment="1" applyBorder="1" applyFont="1">
      <alignment shrinkToFit="0" vertical="center" wrapText="1"/>
    </xf>
    <xf borderId="1" fillId="0" fontId="1" numFmtId="172" xfId="0" applyAlignment="1" applyBorder="1" applyFont="1" applyNumberFormat="1">
      <alignment horizontal="right"/>
    </xf>
    <xf borderId="11" fillId="0" fontId="16" numFmtId="0" xfId="0" applyAlignment="1" applyBorder="1" applyFont="1">
      <alignment horizontal="center"/>
    </xf>
    <xf quotePrefix="1" borderId="3" fillId="0" fontId="1" numFmtId="0" xfId="0" applyAlignment="1" applyBorder="1" applyFont="1">
      <alignment shrinkToFit="0" wrapText="1"/>
    </xf>
    <xf borderId="3" fillId="0" fontId="1" numFmtId="169" xfId="0" applyAlignment="1" applyBorder="1" applyFont="1" applyNumberFormat="1">
      <alignment horizontal="right" shrinkToFit="0" wrapText="1"/>
    </xf>
    <xf borderId="6" fillId="0" fontId="13" numFmtId="0" xfId="0" applyAlignment="1" applyBorder="1" applyFont="1">
      <alignment horizontal="center" shrinkToFit="0" vertical="center" wrapText="1"/>
    </xf>
    <xf borderId="1" fillId="0" fontId="20" numFmtId="169" xfId="0" applyAlignment="1" applyBorder="1" applyFont="1" applyNumberFormat="1">
      <alignment horizontal="right"/>
    </xf>
    <xf borderId="0" fillId="0" fontId="1" numFmtId="3" xfId="0" applyAlignment="1" applyFont="1" applyNumberFormat="1">
      <alignment horizontal="right"/>
    </xf>
    <xf borderId="14" fillId="0" fontId="16" numFmtId="0" xfId="0" applyAlignment="1" applyBorder="1" applyFont="1">
      <alignment horizontal="center" vertical="center"/>
    </xf>
    <xf borderId="9" fillId="0" fontId="1" numFmtId="0" xfId="0" applyAlignment="1" applyBorder="1" applyFont="1">
      <alignment horizontal="right"/>
    </xf>
    <xf borderId="0" fillId="0" fontId="16" numFmtId="0" xfId="0" applyAlignment="1" applyFont="1">
      <alignment horizontal="center" vertical="center"/>
    </xf>
    <xf borderId="3" fillId="0" fontId="1" numFmtId="49" xfId="0" applyBorder="1" applyFont="1" applyNumberFormat="1"/>
    <xf borderId="9" fillId="0" fontId="1" numFmtId="169" xfId="0" applyAlignment="1" applyBorder="1" applyFont="1" applyNumberFormat="1">
      <alignment horizontal="right"/>
    </xf>
    <xf borderId="3" fillId="0" fontId="1" numFmtId="169" xfId="0" applyAlignment="1" applyBorder="1" applyFont="1" applyNumberFormat="1">
      <alignment horizontal="right"/>
    </xf>
    <xf borderId="0" fillId="0" fontId="1" numFmtId="169" xfId="0" applyAlignment="1" applyFont="1" applyNumberFormat="1">
      <alignment horizontal="right"/>
    </xf>
    <xf borderId="9" fillId="0" fontId="1" numFmtId="0" xfId="0" applyBorder="1" applyFont="1"/>
    <xf borderId="3" fillId="0" fontId="1" numFmtId="49" xfId="0" applyAlignment="1" applyBorder="1" applyFont="1" applyNumberFormat="1">
      <alignment horizontal="left"/>
    </xf>
    <xf borderId="12" fillId="0" fontId="16" numFmtId="0" xfId="0" applyAlignment="1" applyBorder="1" applyFont="1">
      <alignment horizontal="left" vertical="center"/>
    </xf>
    <xf borderId="4" fillId="0" fontId="1" numFmtId="49" xfId="0" applyBorder="1" applyFont="1" applyNumberFormat="1"/>
    <xf borderId="4" fillId="0" fontId="1" numFmtId="169" xfId="0" applyAlignment="1" applyBorder="1" applyFont="1" applyNumberFormat="1">
      <alignment horizontal="right"/>
    </xf>
    <xf borderId="0" fillId="0" fontId="11" numFmtId="0" xfId="0" applyAlignment="1" applyFont="1">
      <alignment vertical="center"/>
    </xf>
    <xf borderId="0" fillId="0" fontId="21" numFmtId="0" xfId="0" applyFont="1"/>
    <xf borderId="0" fillId="0" fontId="21" numFmtId="169" xfId="0" applyFont="1" applyNumberFormat="1"/>
    <xf borderId="0" fillId="0" fontId="15" numFmtId="0" xfId="0" applyAlignment="1" applyFont="1">
      <alignment shrinkToFit="0" wrapText="1"/>
    </xf>
    <xf borderId="1" fillId="0" fontId="1" numFmtId="0" xfId="0" applyAlignment="1" applyBorder="1" applyFont="1">
      <alignment shrinkToFit="0" vertical="center" wrapText="1"/>
    </xf>
    <xf borderId="13" fillId="0" fontId="1" numFmtId="0" xfId="0" applyAlignment="1" applyBorder="1" applyFont="1">
      <alignment horizontal="center" shrinkToFit="0" vertical="top" wrapText="1"/>
    </xf>
    <xf borderId="10" fillId="0" fontId="1" numFmtId="164" xfId="0" applyAlignment="1" applyBorder="1" applyFont="1" applyNumberFormat="1">
      <alignment horizontal="right" shrinkToFit="0" wrapText="1"/>
    </xf>
    <xf borderId="1" fillId="0" fontId="1" numFmtId="164" xfId="0" applyAlignment="1" applyBorder="1" applyFont="1" applyNumberFormat="1">
      <alignment horizontal="right" shrinkToFit="0" wrapText="1"/>
    </xf>
    <xf borderId="7" fillId="0" fontId="1" numFmtId="0" xfId="0" applyAlignment="1" applyBorder="1" applyFont="1">
      <alignment horizontal="center" shrinkToFit="0" vertical="top" wrapText="1"/>
    </xf>
    <xf borderId="7" fillId="0" fontId="1" numFmtId="0" xfId="0" applyAlignment="1" applyBorder="1" applyFont="1">
      <alignment horizontal="center" shrinkToFit="0" wrapText="1"/>
    </xf>
    <xf borderId="7" fillId="0" fontId="1" numFmtId="0" xfId="0" applyBorder="1" applyFont="1"/>
    <xf borderId="8" fillId="0" fontId="1" numFmtId="0" xfId="0" applyBorder="1" applyFont="1"/>
    <xf borderId="3" fillId="0" fontId="20" numFmtId="169" xfId="0" applyAlignment="1" applyBorder="1" applyFont="1" applyNumberFormat="1">
      <alignment horizontal="right"/>
    </xf>
    <xf borderId="15" fillId="0" fontId="1" numFmtId="0" xfId="0" applyAlignment="1" applyBorder="1" applyFont="1">
      <alignment horizontal="center" shrinkToFit="0" vertical="top" wrapText="1"/>
    </xf>
    <xf borderId="11" fillId="0" fontId="16" numFmtId="0" xfId="0" applyAlignment="1" applyBorder="1" applyFont="1">
      <alignment horizontal="left" shrinkToFit="0" vertical="center" wrapText="1"/>
    </xf>
    <xf borderId="4" fillId="0" fontId="1" numFmtId="0" xfId="0" applyAlignment="1" applyBorder="1" applyFont="1">
      <alignment horizontal="center" shrinkToFit="0" vertical="top" wrapText="1"/>
    </xf>
    <xf borderId="11" fillId="0" fontId="16" numFmtId="0" xfId="0" applyAlignment="1" applyBorder="1" applyFont="1">
      <alignment horizontal="center" vertical="center"/>
    </xf>
    <xf borderId="12" fillId="0" fontId="1" numFmtId="0" xfId="0" applyAlignment="1" applyBorder="1" applyFont="1">
      <alignment horizontal="center" shrinkToFit="0" vertical="top" wrapText="1"/>
    </xf>
    <xf borderId="0" fillId="0" fontId="16" numFmtId="0" xfId="0" applyAlignment="1" applyFont="1">
      <alignment horizontal="left" vertical="center"/>
    </xf>
    <xf borderId="4" fillId="0" fontId="1" numFmtId="0" xfId="0" applyBorder="1" applyFont="1"/>
    <xf borderId="19" fillId="2" fontId="0" numFmtId="0" xfId="0" applyAlignment="1" applyBorder="1" applyFont="1">
      <alignment horizontal="center" shrinkToFit="0" vertical="top" wrapText="1"/>
    </xf>
    <xf borderId="12" fillId="0" fontId="20" numFmtId="0" xfId="0" applyBorder="1" applyFont="1"/>
    <xf borderId="6" fillId="0" fontId="13" numFmtId="0" xfId="0" applyBorder="1" applyFont="1"/>
    <xf borderId="0" fillId="0" fontId="1" numFmtId="173" xfId="0" applyAlignment="1" applyFont="1" applyNumberFormat="1">
      <alignment horizontal="right" shrinkToFit="0" wrapText="1"/>
    </xf>
    <xf borderId="7" fillId="0" fontId="13" numFmtId="0" xfId="0" applyAlignment="1" applyBorder="1" applyFont="1">
      <alignment horizontal="center"/>
    </xf>
    <xf borderId="4" fillId="0" fontId="1" numFmtId="172" xfId="0" applyAlignment="1" applyBorder="1" applyFont="1" applyNumberFormat="1">
      <alignment horizontal="right"/>
    </xf>
    <xf borderId="10" fillId="0" fontId="16" numFmtId="0" xfId="0" applyAlignment="1" applyBorder="1" applyFont="1">
      <alignment horizontal="left"/>
    </xf>
    <xf borderId="4" fillId="0" fontId="20" numFmtId="169" xfId="0" applyAlignment="1" applyBorder="1" applyFont="1" applyNumberFormat="1">
      <alignment horizontal="right"/>
    </xf>
    <xf borderId="0" fillId="0" fontId="16" numFmtId="0" xfId="0" applyAlignment="1" applyFont="1">
      <alignment horizontal="left" shrinkToFit="0" wrapText="1"/>
    </xf>
    <xf borderId="3" fillId="0" fontId="1" numFmtId="173" xfId="0" applyAlignment="1" applyBorder="1" applyFont="1" applyNumberFormat="1">
      <alignment horizontal="right" shrinkToFit="0" wrapText="1"/>
    </xf>
    <xf borderId="6" fillId="0" fontId="22" numFmtId="0" xfId="0" applyBorder="1" applyFont="1"/>
    <xf borderId="3" fillId="0" fontId="1" numFmtId="171" xfId="0" applyAlignment="1" applyBorder="1" applyFont="1" applyNumberFormat="1">
      <alignment horizontal="right" shrinkToFit="0" wrapText="1"/>
    </xf>
    <xf borderId="3" fillId="0" fontId="1" numFmtId="172" xfId="0" applyAlignment="1" applyBorder="1" applyFont="1" applyNumberFormat="1">
      <alignment horizontal="right" shrinkToFit="0" wrapText="1"/>
    </xf>
    <xf borderId="13" fillId="0" fontId="20" numFmtId="172" xfId="0" applyAlignment="1" applyBorder="1" applyFont="1" applyNumberFormat="1">
      <alignment horizontal="right" vertical="center"/>
    </xf>
    <xf borderId="13" fillId="0" fontId="20" numFmtId="169" xfId="0" applyAlignment="1" applyBorder="1" applyFont="1" applyNumberFormat="1">
      <alignment horizontal="right" vertical="center"/>
    </xf>
    <xf borderId="0" fillId="0" fontId="20" numFmtId="3" xfId="0" applyAlignment="1" applyFont="1" applyNumberFormat="1">
      <alignment horizontal="center"/>
    </xf>
    <xf borderId="0" fillId="0" fontId="20" numFmtId="0" xfId="0" applyAlignment="1" applyFont="1">
      <alignment horizontal="center"/>
    </xf>
    <xf borderId="9" fillId="0" fontId="1" numFmtId="173" xfId="0" applyAlignment="1" applyBorder="1" applyFont="1" applyNumberFormat="1">
      <alignment horizontal="right" shrinkToFit="0" wrapText="1"/>
    </xf>
    <xf borderId="10" fillId="0" fontId="1" numFmtId="173" xfId="0" applyAlignment="1" applyBorder="1" applyFont="1" applyNumberFormat="1">
      <alignment horizontal="right" shrinkToFit="0" wrapText="1"/>
    </xf>
    <xf quotePrefix="1" borderId="3" fillId="0" fontId="1" numFmtId="17" xfId="0" applyAlignment="1" applyBorder="1" applyFont="1" applyNumberFormat="1">
      <alignment shrinkToFit="0" wrapText="1"/>
    </xf>
    <xf borderId="3" fillId="0" fontId="1" numFmtId="17" xfId="0" applyAlignment="1" applyBorder="1" applyFont="1" applyNumberFormat="1">
      <alignment shrinkToFit="0" wrapText="1"/>
    </xf>
    <xf borderId="6" fillId="0" fontId="13" numFmtId="0" xfId="0" applyAlignment="1" applyBorder="1" applyFont="1">
      <alignment horizontal="center" shrinkToFit="0" wrapText="1"/>
    </xf>
    <xf quotePrefix="1" borderId="3" fillId="0" fontId="1" numFmtId="49" xfId="0" applyAlignment="1" applyBorder="1" applyFont="1" applyNumberFormat="1">
      <alignment shrinkToFit="0" wrapText="1"/>
    </xf>
    <xf borderId="9" fillId="0" fontId="1" numFmtId="172" xfId="0" applyAlignment="1" applyBorder="1" applyFont="1" applyNumberFormat="1">
      <alignment horizontal="right" shrinkToFit="0" wrapText="1"/>
    </xf>
    <xf borderId="12" fillId="0" fontId="16" numFmtId="0" xfId="0" applyAlignment="1" applyBorder="1" applyFont="1">
      <alignment horizontal="left"/>
    </xf>
    <xf borderId="11" fillId="0" fontId="16" numFmtId="0" xfId="0" applyAlignment="1" applyBorder="1" applyFont="1">
      <alignment horizontal="left" shrinkToFit="0" wrapText="1"/>
    </xf>
    <xf borderId="0" fillId="0" fontId="9" numFmtId="0" xfId="0" applyAlignment="1" applyFont="1">
      <alignment horizontal="left" shrinkToFit="0" wrapText="1"/>
    </xf>
    <xf borderId="2" fillId="0" fontId="20" numFmtId="0" xfId="0" applyAlignment="1" applyBorder="1" applyFont="1">
      <alignment horizontal="left" shrinkToFit="0" vertical="center" wrapText="1"/>
    </xf>
    <xf borderId="8" fillId="0" fontId="1" numFmtId="0" xfId="0" applyAlignment="1" applyBorder="1" applyFont="1">
      <alignment horizontal="left" shrinkToFit="0" vertical="top" wrapText="1"/>
    </xf>
    <xf borderId="6" fillId="0" fontId="13" numFmtId="0" xfId="0" applyAlignment="1" applyBorder="1" applyFont="1">
      <alignment shrinkToFit="0" wrapText="1"/>
    </xf>
    <xf borderId="10" fillId="0" fontId="9" numFmtId="0" xfId="0" applyAlignment="1" applyBorder="1" applyFont="1">
      <alignment shrinkToFit="0" wrapText="1"/>
    </xf>
    <xf borderId="0" fillId="0" fontId="1" numFmtId="0" xfId="0" applyAlignment="1" applyFont="1">
      <alignment horizontal="center" shrinkToFit="0" vertical="top" wrapText="1"/>
    </xf>
    <xf borderId="10" fillId="0" fontId="1" numFmtId="0" xfId="0" applyAlignment="1" applyBorder="1" applyFont="1">
      <alignment shrinkToFit="0" wrapText="1"/>
    </xf>
    <xf borderId="3" fillId="0" fontId="1" numFmtId="0" xfId="0" applyAlignment="1" applyBorder="1" applyFont="1">
      <alignment horizontal="left" shrinkToFit="0" wrapText="1"/>
    </xf>
    <xf borderId="4" fillId="0" fontId="1" numFmtId="173" xfId="0" applyAlignment="1" applyBorder="1" applyFont="1" applyNumberFormat="1">
      <alignment horizontal="right" shrinkToFit="0" wrapText="1"/>
    </xf>
    <xf borderId="4" fillId="0" fontId="1" numFmtId="171" xfId="0" applyAlignment="1" applyBorder="1" applyFont="1" applyNumberFormat="1">
      <alignment horizontal="right" shrinkToFit="0" wrapText="1"/>
    </xf>
    <xf borderId="4" fillId="0" fontId="1" numFmtId="172" xfId="0" applyAlignment="1" applyBorder="1" applyFont="1" applyNumberFormat="1">
      <alignment horizontal="right" shrinkToFit="0" wrapText="1"/>
    </xf>
    <xf borderId="0" fillId="0" fontId="1" numFmtId="49" xfId="0" applyAlignment="1" applyFont="1" applyNumberFormat="1">
      <alignment horizontal="left" shrinkToFit="0" wrapText="1"/>
    </xf>
    <xf borderId="0" fillId="0" fontId="1" numFmtId="171" xfId="0" applyAlignment="1" applyFont="1" applyNumberFormat="1">
      <alignment horizontal="right" shrinkToFit="0" wrapText="1"/>
    </xf>
    <xf borderId="0" fillId="0" fontId="1" numFmtId="172" xfId="0" applyAlignment="1" applyFont="1" applyNumberFormat="1">
      <alignment horizontal="right" shrinkToFit="0" wrapText="1"/>
    </xf>
    <xf borderId="0" fillId="0" fontId="1" numFmtId="173" xfId="0" applyFont="1" applyNumberFormat="1"/>
    <xf borderId="0" fillId="0" fontId="16" numFmtId="0" xfId="0" applyAlignment="1" applyFont="1">
      <alignment horizontal="left"/>
    </xf>
    <xf borderId="9" fillId="0" fontId="16" numFmtId="0" xfId="0" applyAlignment="1" applyBorder="1" applyFont="1">
      <alignment horizontal="center"/>
    </xf>
    <xf borderId="11" fillId="0" fontId="9" numFmtId="0" xfId="0" applyAlignment="1" applyBorder="1" applyFont="1">
      <alignment horizontal="left"/>
    </xf>
    <xf borderId="9" fillId="0" fontId="1" numFmtId="174" xfId="0" applyAlignment="1" applyBorder="1" applyFont="1" applyNumberFormat="1">
      <alignment horizontal="right" shrinkToFit="0" wrapText="1"/>
    </xf>
    <xf borderId="9" fillId="0" fontId="1" numFmtId="168" xfId="0" applyAlignment="1" applyBorder="1" applyFont="1" applyNumberFormat="1">
      <alignment horizontal="right" shrinkToFit="0" wrapText="1"/>
    </xf>
    <xf borderId="12" fillId="0" fontId="13" numFmtId="0" xfId="0" applyAlignment="1" applyBorder="1" applyFont="1">
      <alignment horizontal="center" shrinkToFit="0" wrapText="1"/>
    </xf>
    <xf borderId="3" fillId="0" fontId="1" numFmtId="174" xfId="0" applyAlignment="1" applyBorder="1" applyFont="1" applyNumberFormat="1">
      <alignment horizontal="right" shrinkToFit="0" wrapText="1"/>
    </xf>
    <xf borderId="10" fillId="0" fontId="1" numFmtId="0" xfId="0" applyBorder="1" applyFont="1"/>
    <xf borderId="3" fillId="0" fontId="1" numFmtId="17" xfId="0" applyAlignment="1" applyBorder="1" applyFont="1" applyNumberFormat="1">
      <alignment horizontal="left" shrinkToFit="0" wrapText="1"/>
    </xf>
    <xf borderId="3" fillId="0" fontId="1" numFmtId="175" xfId="0" applyAlignment="1" applyBorder="1" applyFont="1" applyNumberFormat="1">
      <alignment horizontal="right" shrinkToFit="0" wrapText="1"/>
    </xf>
    <xf borderId="3" fillId="0" fontId="20" numFmtId="169" xfId="0" applyAlignment="1" applyBorder="1" applyFont="1" applyNumberFormat="1">
      <alignment horizontal="right" shrinkToFit="0" wrapText="1"/>
    </xf>
    <xf borderId="3" fillId="0" fontId="20" numFmtId="174" xfId="0" applyAlignment="1" applyBorder="1" applyFont="1" applyNumberFormat="1">
      <alignment horizontal="right" shrinkToFit="0" wrapText="1"/>
    </xf>
    <xf borderId="3" fillId="0" fontId="1" numFmtId="168" xfId="0" applyAlignment="1" applyBorder="1" applyFont="1" applyNumberFormat="1">
      <alignment horizontal="right" shrinkToFit="0" vertical="top" wrapText="1"/>
    </xf>
    <xf borderId="3" fillId="0" fontId="1" numFmtId="49" xfId="0" applyAlignment="1" applyBorder="1" applyFont="1" applyNumberFormat="1">
      <alignment horizontal="center" shrinkToFit="0" wrapText="1"/>
    </xf>
    <xf borderId="4" fillId="0" fontId="1" numFmtId="169" xfId="0" applyAlignment="1" applyBorder="1" applyFont="1" applyNumberFormat="1">
      <alignment horizontal="right" shrinkToFit="0" wrapText="1"/>
    </xf>
    <xf borderId="4" fillId="0" fontId="20" numFmtId="169" xfId="0" applyAlignment="1" applyBorder="1" applyFont="1" applyNumberFormat="1">
      <alignment horizontal="right" shrinkToFit="0" wrapText="1"/>
    </xf>
    <xf borderId="4" fillId="0" fontId="20" numFmtId="174" xfId="0" applyAlignment="1" applyBorder="1" applyFont="1" applyNumberFormat="1">
      <alignment horizontal="right" shrinkToFit="0" wrapText="1"/>
    </xf>
    <xf borderId="4" fillId="0" fontId="1" numFmtId="174" xfId="0" applyAlignment="1" applyBorder="1" applyFont="1" applyNumberFormat="1">
      <alignment horizontal="right" shrinkToFit="0" wrapText="1"/>
    </xf>
    <xf borderId="10" fillId="0" fontId="1" numFmtId="0" xfId="0" applyAlignment="1" applyBorder="1" applyFont="1">
      <alignment horizontal="center"/>
    </xf>
    <xf borderId="4" fillId="0" fontId="1" numFmtId="0" xfId="0" applyAlignment="1" applyBorder="1" applyFont="1">
      <alignment horizontal="center" vertical="center"/>
    </xf>
    <xf borderId="5" fillId="0" fontId="1" numFmtId="0" xfId="0" applyAlignment="1" applyBorder="1" applyFont="1">
      <alignment horizontal="center"/>
    </xf>
    <xf borderId="0" fillId="0" fontId="1" numFmtId="169" xfId="0" applyAlignment="1" applyFont="1" applyNumberFormat="1">
      <alignment horizontal="right" shrinkToFit="0" wrapText="1"/>
    </xf>
    <xf borderId="0" fillId="0" fontId="20" numFmtId="169" xfId="0" applyAlignment="1" applyFont="1" applyNumberFormat="1">
      <alignment horizontal="right" shrinkToFit="0" wrapText="1"/>
    </xf>
    <xf borderId="0" fillId="0" fontId="20" numFmtId="174" xfId="0" applyAlignment="1" applyFont="1" applyNumberFormat="1">
      <alignment horizontal="right" shrinkToFit="0" wrapText="1"/>
    </xf>
    <xf borderId="0" fillId="0" fontId="1" numFmtId="174" xfId="0" applyAlignment="1" applyFont="1" applyNumberFormat="1">
      <alignment horizontal="right" shrinkToFit="0" wrapText="1"/>
    </xf>
    <xf borderId="10" fillId="0" fontId="1" numFmtId="0" xfId="0" applyAlignment="1" applyBorder="1" applyFont="1">
      <alignment horizontal="center" shrinkToFit="0" wrapText="1"/>
    </xf>
    <xf borderId="0" fillId="0" fontId="1" numFmtId="0" xfId="0" applyAlignment="1" applyFont="1">
      <alignment horizontal="center" shrinkToFit="0" wrapText="1"/>
    </xf>
    <xf borderId="8" fillId="0" fontId="1" numFmtId="0" xfId="0" applyAlignment="1" applyBorder="1" applyFont="1">
      <alignment horizontal="center" shrinkToFit="0" vertical="top" wrapText="1"/>
    </xf>
    <xf borderId="10" fillId="0" fontId="15" numFmtId="0" xfId="0" applyAlignment="1" applyBorder="1" applyFont="1">
      <alignment horizontal="center" shrinkToFit="0" wrapText="1"/>
    </xf>
    <xf borderId="0" fillId="0" fontId="15" numFmtId="0" xfId="0" applyAlignment="1" applyFont="1">
      <alignment horizontal="center" shrinkToFit="0" wrapText="1"/>
    </xf>
    <xf borderId="9" fillId="0" fontId="1" numFmtId="176" xfId="0" applyAlignment="1" applyBorder="1" applyFont="1" applyNumberFormat="1">
      <alignment horizontal="right" shrinkToFit="0" wrapText="1"/>
    </xf>
    <xf borderId="9" fillId="0" fontId="1" numFmtId="0" xfId="0" applyAlignment="1" applyBorder="1" applyFont="1">
      <alignment horizontal="center" shrinkToFit="0" wrapText="1"/>
    </xf>
    <xf borderId="10" fillId="0" fontId="1" numFmtId="169" xfId="0" applyAlignment="1" applyBorder="1" applyFont="1" applyNumberFormat="1">
      <alignment horizontal="right" shrinkToFit="0" wrapText="1"/>
    </xf>
    <xf borderId="4" fillId="0" fontId="1" numFmtId="0" xfId="0" applyAlignment="1" applyBorder="1" applyFont="1">
      <alignment horizontal="left" shrinkToFit="0" wrapText="1"/>
    </xf>
    <xf borderId="10" fillId="0" fontId="1" numFmtId="172" xfId="0" applyAlignment="1" applyBorder="1" applyFont="1" applyNumberFormat="1">
      <alignment horizontal="right" shrinkToFit="0" wrapText="1"/>
    </xf>
    <xf borderId="0" fillId="0" fontId="1" numFmtId="0" xfId="0" applyAlignment="1" applyFont="1">
      <alignment vertical="center"/>
    </xf>
    <xf borderId="15" fillId="0" fontId="1" numFmtId="0" xfId="0" applyAlignment="1" applyBorder="1" applyFont="1">
      <alignment horizontal="right" shrinkToFit="0" wrapText="1"/>
    </xf>
    <xf borderId="14" fillId="0" fontId="1" numFmtId="0" xfId="0" applyAlignment="1" applyBorder="1" applyFont="1">
      <alignment shrinkToFit="0" wrapText="1"/>
    </xf>
    <xf borderId="10" fillId="0" fontId="1" numFmtId="168" xfId="0" applyAlignment="1" applyBorder="1" applyFont="1" applyNumberFormat="1">
      <alignment horizontal="right" shrinkToFit="0" wrapText="1"/>
    </xf>
    <xf borderId="0" fillId="0" fontId="1" numFmtId="168" xfId="0" applyAlignment="1" applyFont="1" applyNumberFormat="1">
      <alignment horizontal="right" shrinkToFit="0" wrapText="1"/>
    </xf>
    <xf borderId="9" fillId="0" fontId="0" numFmtId="0" xfId="0" applyAlignment="1" applyBorder="1" applyFont="1">
      <alignment horizontal="left" textRotation="180"/>
    </xf>
    <xf borderId="15" fillId="0" fontId="1" numFmtId="168" xfId="0" applyAlignment="1" applyBorder="1" applyFont="1" applyNumberFormat="1">
      <alignment horizontal="right" shrinkToFit="0" wrapText="1"/>
    </xf>
    <xf borderId="2" fillId="0" fontId="1" numFmtId="0" xfId="0" applyBorder="1" applyFont="1"/>
    <xf borderId="3" fillId="0" fontId="1" numFmtId="176" xfId="0" applyAlignment="1" applyBorder="1" applyFont="1" applyNumberFormat="1">
      <alignment horizontal="right" shrinkToFit="0" wrapText="1"/>
    </xf>
    <xf borderId="4" fillId="0" fontId="1" numFmtId="176" xfId="0" applyAlignment="1" applyBorder="1" applyFont="1" applyNumberFormat="1">
      <alignment horizontal="right" shrinkToFit="0" wrapText="1"/>
    </xf>
    <xf borderId="0" fillId="0" fontId="1" numFmtId="49" xfId="0" applyAlignment="1" applyFont="1" applyNumberFormat="1">
      <alignment shrinkToFit="0" wrapText="1"/>
    </xf>
    <xf borderId="0" fillId="0" fontId="1" numFmtId="176" xfId="0" applyAlignment="1" applyFont="1" applyNumberFormat="1">
      <alignment horizontal="right" shrinkToFit="0" wrapText="1"/>
    </xf>
    <xf borderId="3" fillId="0" fontId="1" numFmtId="177" xfId="0" applyAlignment="1" applyBorder="1" applyFont="1" applyNumberFormat="1">
      <alignment horizontal="left" shrinkToFit="0" wrapText="1"/>
    </xf>
    <xf borderId="0" fillId="0" fontId="1" numFmtId="168" xfId="0" applyAlignment="1" applyFont="1" applyNumberFormat="1">
      <alignment horizontal="right"/>
    </xf>
    <xf borderId="10" fillId="0" fontId="1" numFmtId="168" xfId="0" applyAlignment="1" applyBorder="1" applyFont="1" applyNumberFormat="1">
      <alignment horizontal="right"/>
    </xf>
    <xf borderId="12" fillId="0" fontId="1" numFmtId="168" xfId="0" applyAlignment="1" applyBorder="1" applyFont="1" applyNumberFormat="1">
      <alignment horizontal="right" shrinkToFit="0" wrapText="1"/>
    </xf>
    <xf borderId="11" fillId="0" fontId="1" numFmtId="168" xfId="0" applyAlignment="1" applyBorder="1" applyFont="1" applyNumberFormat="1">
      <alignment horizontal="right" shrinkToFit="0" wrapText="1"/>
    </xf>
    <xf borderId="5" fillId="0" fontId="1" numFmtId="0" xfId="0" applyBorder="1" applyFont="1"/>
    <xf borderId="0" fillId="0" fontId="21" numFmtId="0" xfId="0" applyAlignment="1" applyFont="1">
      <alignment vertical="center"/>
    </xf>
    <xf borderId="9" fillId="0" fontId="1" numFmtId="0" xfId="0" applyAlignment="1" applyBorder="1" applyFont="1">
      <alignment vertical="center"/>
    </xf>
    <xf borderId="0" fillId="0" fontId="1" numFmtId="0" xfId="0" applyAlignment="1" applyFont="1">
      <alignment horizontal="left" vertical="center"/>
    </xf>
    <xf borderId="11" fillId="0" fontId="1" numFmtId="0" xfId="0" applyAlignment="1" applyBorder="1" applyFont="1">
      <alignment vertical="center"/>
    </xf>
    <xf borderId="12" fillId="0" fontId="1" numFmtId="172" xfId="0" applyAlignment="1" applyBorder="1" applyFont="1" applyNumberFormat="1">
      <alignment horizontal="right" shrinkToFit="0" wrapText="1"/>
    </xf>
    <xf borderId="15" fillId="0" fontId="20" numFmtId="0" xfId="0" applyAlignment="1" applyBorder="1" applyFont="1">
      <alignment horizontal="left" shrinkToFit="0" vertical="center" wrapText="1"/>
    </xf>
    <xf borderId="13" fillId="0" fontId="20" numFmtId="17" xfId="0" applyAlignment="1" applyBorder="1" applyFont="1" applyNumberFormat="1">
      <alignment horizontal="center" vertical="center"/>
    </xf>
    <xf borderId="0" fillId="0" fontId="1" numFmtId="164" xfId="0" applyAlignment="1" applyFont="1" applyNumberFormat="1">
      <alignment horizontal="right" shrinkToFit="0" wrapText="1"/>
    </xf>
    <xf borderId="4" fillId="0" fontId="20" numFmtId="17" xfId="0" applyAlignment="1" applyBorder="1" applyFont="1" applyNumberFormat="1">
      <alignment horizontal="center" vertical="center"/>
    </xf>
    <xf borderId="13" fillId="0" fontId="1" numFmtId="0" xfId="0" applyAlignment="1" applyBorder="1" applyFont="1">
      <alignment vertical="center"/>
    </xf>
    <xf borderId="1" fillId="0" fontId="1" numFmtId="169" xfId="0" applyAlignment="1" applyBorder="1" applyFont="1" applyNumberFormat="1">
      <alignment horizontal="right" shrinkToFit="0" wrapText="1"/>
    </xf>
    <xf borderId="6" fillId="0" fontId="20" numFmtId="1" xfId="0" applyAlignment="1" applyBorder="1" applyFont="1" applyNumberFormat="1">
      <alignment horizontal="center" vertical="center"/>
    </xf>
    <xf borderId="0" fillId="0" fontId="23" numFmtId="0" xfId="0" applyAlignment="1" applyFont="1">
      <alignment horizontal="left" vertical="center"/>
    </xf>
    <xf borderId="0" fillId="0" fontId="24" numFmtId="0" xfId="0" applyAlignment="1" applyFont="1">
      <alignment horizontal="left"/>
    </xf>
    <xf borderId="6" fillId="0" fontId="20" numFmtId="0" xfId="0" applyAlignment="1" applyBorder="1" applyFont="1">
      <alignment horizontal="left" shrinkToFit="0" wrapText="1"/>
    </xf>
    <xf borderId="13" fillId="0" fontId="20" numFmtId="169" xfId="0" applyAlignment="1" applyBorder="1" applyFont="1" applyNumberFormat="1">
      <alignment horizontal="right" shrinkToFit="0" wrapText="1"/>
    </xf>
    <xf borderId="13" fillId="0" fontId="1" numFmtId="169" xfId="0" applyAlignment="1" applyBorder="1" applyFont="1" applyNumberFormat="1">
      <alignment horizontal="right"/>
    </xf>
    <xf borderId="0" fillId="0" fontId="1" numFmtId="172" xfId="0" applyFont="1" applyNumberFormat="1"/>
    <xf borderId="13" fillId="0" fontId="20" numFmtId="169" xfId="0" applyAlignment="1" applyBorder="1" applyFont="1" applyNumberFormat="1">
      <alignment horizontal="right"/>
    </xf>
    <xf borderId="4" fillId="0" fontId="20" numFmtId="0" xfId="0" applyAlignment="1" applyBorder="1" applyFont="1">
      <alignment horizontal="center"/>
    </xf>
    <xf borderId="12" fillId="0" fontId="20" numFmtId="0" xfId="0" applyAlignment="1" applyBorder="1" applyFont="1">
      <alignment horizontal="left" shrinkToFit="0" wrapText="1"/>
    </xf>
    <xf borderId="4" fillId="0" fontId="1" numFmtId="172" xfId="0" applyAlignment="1" applyBorder="1" applyFont="1" applyNumberFormat="1">
      <alignment horizontal="center" vertical="center"/>
    </xf>
    <xf borderId="4" fillId="0" fontId="1" numFmtId="3" xfId="0" applyAlignment="1" applyBorder="1" applyFont="1" applyNumberFormat="1">
      <alignment horizontal="center"/>
    </xf>
    <xf borderId="0" fillId="0" fontId="9" numFmtId="0" xfId="0" applyAlignment="1" applyFont="1">
      <alignment vertical="center"/>
    </xf>
    <xf borderId="0" fillId="0" fontId="23" numFmtId="0" xfId="0" applyAlignment="1" applyFont="1">
      <alignment shrinkToFit="0" wrapText="1"/>
    </xf>
    <xf borderId="0" fillId="0" fontId="1" numFmtId="3" xfId="0" applyAlignment="1" applyFont="1" applyNumberFormat="1">
      <alignment horizontal="center" shrinkToFit="0" vertical="top" wrapText="1"/>
    </xf>
    <xf borderId="9" fillId="0" fontId="1" numFmtId="3" xfId="0" applyAlignment="1" applyBorder="1" applyFont="1" applyNumberFormat="1">
      <alignment horizontal="center" shrinkToFit="0" vertical="top" wrapText="1"/>
    </xf>
    <xf borderId="0" fillId="0" fontId="23" numFmtId="0" xfId="0" applyAlignment="1" applyFont="1">
      <alignment horizontal="left" shrinkToFit="0" wrapText="1"/>
    </xf>
    <xf borderId="12" fillId="0" fontId="1" numFmtId="169" xfId="0" applyAlignment="1" applyBorder="1" applyFont="1" applyNumberFormat="1">
      <alignment horizontal="right" shrinkToFit="0" wrapText="1"/>
    </xf>
    <xf borderId="0" fillId="0" fontId="23" numFmtId="0" xfId="0" applyFont="1"/>
    <xf borderId="11" fillId="0" fontId="1" numFmtId="3" xfId="0" applyBorder="1" applyFont="1" applyNumberFormat="1"/>
    <xf borderId="0" fillId="0" fontId="11" numFmtId="0" xfId="0" applyAlignment="1" applyFont="1">
      <alignment horizontal="center"/>
    </xf>
    <xf borderId="0" fillId="0" fontId="20" numFmtId="0" xfId="0" applyAlignment="1" applyFont="1">
      <alignment vertical="center"/>
    </xf>
    <xf borderId="6" fillId="0" fontId="1" numFmtId="3" xfId="0" applyAlignment="1" applyBorder="1" applyFont="1" applyNumberFormat="1">
      <alignment horizontal="center" shrinkToFit="0" vertical="top" wrapText="1"/>
    </xf>
    <xf borderId="0" fillId="0" fontId="1" numFmtId="0" xfId="0" applyAlignment="1" applyFont="1">
      <alignment horizontal="center" vertical="center"/>
    </xf>
    <xf borderId="7" fillId="0" fontId="1" numFmtId="3" xfId="0" applyAlignment="1" applyBorder="1" applyFont="1" applyNumberFormat="1">
      <alignment horizontal="center" shrinkToFit="0" vertical="top" wrapText="1"/>
    </xf>
    <xf borderId="7" fillId="0" fontId="1" numFmtId="3" xfId="0" applyAlignment="1" applyBorder="1" applyFont="1" applyNumberFormat="1">
      <alignment horizontal="center" shrinkToFit="0" wrapText="1"/>
    </xf>
    <xf borderId="8" fillId="0" fontId="1" numFmtId="3" xfId="0" applyAlignment="1" applyBorder="1" applyFont="1" applyNumberFormat="1">
      <alignment horizontal="center" shrinkToFit="0" wrapText="1"/>
    </xf>
    <xf borderId="1" fillId="0" fontId="1" numFmtId="3" xfId="0" applyAlignment="1" applyBorder="1" applyFont="1" applyNumberFormat="1">
      <alignment horizontal="center" shrinkToFit="0" vertical="top" wrapText="1"/>
    </xf>
    <xf borderId="15" fillId="0" fontId="1" numFmtId="3" xfId="0" applyAlignment="1" applyBorder="1" applyFont="1" applyNumberFormat="1">
      <alignment horizontal="center" shrinkToFit="0" vertical="top" wrapText="1"/>
    </xf>
    <xf borderId="4" fillId="0" fontId="1" numFmtId="3" xfId="0" applyAlignment="1" applyBorder="1" applyFont="1" applyNumberFormat="1">
      <alignment horizontal="center" shrinkToFit="0" vertical="top" wrapText="1"/>
    </xf>
    <xf borderId="6" fillId="0" fontId="1" numFmtId="3" xfId="0" applyAlignment="1" applyBorder="1" applyFont="1" applyNumberFormat="1">
      <alignment horizontal="center" shrinkToFit="0" wrapText="1"/>
    </xf>
    <xf borderId="0" fillId="0" fontId="9" numFmtId="0" xfId="0" applyAlignment="1" applyFont="1">
      <alignment horizontal="center" vertical="center"/>
    </xf>
    <xf borderId="9" fillId="0" fontId="0" numFmtId="0" xfId="0" applyAlignment="1" applyBorder="1" applyFont="1">
      <alignment horizontal="center" textRotation="180"/>
    </xf>
    <xf borderId="1" fillId="0" fontId="1" numFmtId="49" xfId="0" applyAlignment="1" applyBorder="1" applyFont="1" applyNumberFormat="1">
      <alignment horizontal="left" shrinkToFit="0" wrapText="1"/>
    </xf>
    <xf borderId="0" fillId="0" fontId="20" numFmtId="0" xfId="0" applyAlignment="1" applyFont="1">
      <alignment readingOrder="0"/>
    </xf>
    <xf borderId="0" fillId="0" fontId="20" numFmtId="0" xfId="0" applyFont="1"/>
    <xf borderId="3" fillId="0" fontId="1" numFmtId="169" xfId="0" applyAlignment="1" applyBorder="1" applyFont="1" applyNumberFormat="1">
      <alignment horizontal="center" shrinkToFit="0" wrapText="1"/>
    </xf>
    <xf borderId="13" fillId="0" fontId="20" numFmtId="0" xfId="0" applyAlignment="1" applyBorder="1" applyFont="1">
      <alignment horizontal="center" shrinkToFit="0" vertical="top" wrapText="1"/>
    </xf>
    <xf borderId="8" fillId="0" fontId="20" numFmtId="0" xfId="0" applyAlignment="1" applyBorder="1" applyFont="1">
      <alignment horizontal="center" shrinkToFit="0" vertical="top" wrapText="1"/>
    </xf>
    <xf borderId="6" fillId="0" fontId="20" numFmtId="0" xfId="0" applyAlignment="1" applyBorder="1" applyFont="1">
      <alignment horizontal="center"/>
    </xf>
    <xf borderId="13" fillId="0" fontId="20" numFmtId="0" xfId="0" applyAlignment="1" applyBorder="1" applyFont="1">
      <alignment horizontal="center"/>
    </xf>
    <xf borderId="8" fillId="0" fontId="1" numFmtId="0" xfId="0" applyAlignment="1" applyBorder="1" applyFont="1">
      <alignment horizontal="center" shrinkToFit="0" wrapText="1"/>
    </xf>
    <xf borderId="15" fillId="0" fontId="22" numFmtId="0" xfId="0" applyAlignment="1" applyBorder="1" applyFont="1">
      <alignment horizontal="left" vertical="center"/>
    </xf>
    <xf borderId="3" fillId="0" fontId="18" numFmtId="164" xfId="0" applyAlignment="1" applyBorder="1" applyFont="1" applyNumberFormat="1">
      <alignment horizontal="right" shrinkToFit="0" wrapText="1"/>
    </xf>
    <xf borderId="3" fillId="0" fontId="18" numFmtId="178" xfId="0" applyAlignment="1" applyBorder="1" applyFont="1" applyNumberFormat="1">
      <alignment horizontal="right" shrinkToFit="0" wrapText="1"/>
    </xf>
    <xf borderId="9" fillId="0" fontId="18" numFmtId="179" xfId="0" applyAlignment="1" applyBorder="1" applyFont="1" applyNumberFormat="1">
      <alignment horizontal="right" shrinkToFit="0" wrapText="1"/>
    </xf>
    <xf borderId="3" fillId="0" fontId="1" numFmtId="0" xfId="0" applyAlignment="1" applyBorder="1" applyFont="1">
      <alignment horizontal="center"/>
    </xf>
    <xf borderId="3" fillId="0" fontId="1" numFmtId="171" xfId="0" applyAlignment="1" applyBorder="1" applyFont="1" applyNumberFormat="1">
      <alignment horizontal="center"/>
    </xf>
    <xf borderId="9" fillId="0" fontId="18" numFmtId="180" xfId="0" applyAlignment="1" applyBorder="1" applyFont="1" applyNumberFormat="1">
      <alignment horizontal="right" shrinkToFit="0" wrapText="1"/>
    </xf>
    <xf borderId="4" fillId="0" fontId="1" numFmtId="171" xfId="0" applyAlignment="1" applyBorder="1" applyFont="1" applyNumberFormat="1">
      <alignment horizontal="center"/>
    </xf>
    <xf borderId="9" fillId="0" fontId="18" numFmtId="178" xfId="0" applyAlignment="1" applyBorder="1" applyFont="1" applyNumberFormat="1">
      <alignment horizontal="right" shrinkToFit="0" wrapText="1"/>
    </xf>
    <xf borderId="10" fillId="0" fontId="20" numFmtId="0" xfId="0" applyAlignment="1" applyBorder="1" applyFont="1">
      <alignment horizontal="left" vertical="center"/>
    </xf>
    <xf borderId="3" fillId="0" fontId="20" numFmtId="164" xfId="0" applyAlignment="1" applyBorder="1" applyFont="1" applyNumberFormat="1">
      <alignment horizontal="right"/>
    </xf>
    <xf borderId="3" fillId="0" fontId="20" numFmtId="178" xfId="0" applyAlignment="1" applyBorder="1" applyFont="1" applyNumberFormat="1">
      <alignment horizontal="right"/>
    </xf>
    <xf borderId="9" fillId="0" fontId="1" numFmtId="179" xfId="0" applyAlignment="1" applyBorder="1" applyFont="1" applyNumberFormat="1">
      <alignment horizontal="right" shrinkToFit="0" wrapText="1"/>
    </xf>
    <xf borderId="9" fillId="0" fontId="1" numFmtId="180" xfId="0" applyAlignment="1" applyBorder="1" applyFont="1" applyNumberFormat="1">
      <alignment horizontal="right" shrinkToFit="0" wrapText="1"/>
    </xf>
    <xf borderId="9" fillId="0" fontId="1" numFmtId="178" xfId="0" applyAlignment="1" applyBorder="1" applyFont="1" applyNumberFormat="1">
      <alignment horizontal="right" shrinkToFit="0" wrapText="1"/>
    </xf>
    <xf borderId="13" fillId="0" fontId="1" numFmtId="0" xfId="0" applyAlignment="1" applyBorder="1" applyFont="1">
      <alignment horizontal="left" vertical="center"/>
    </xf>
    <xf borderId="1" fillId="0" fontId="1" numFmtId="0" xfId="0" applyAlignment="1" applyBorder="1" applyFont="1">
      <alignment shrinkToFit="0" wrapText="1"/>
    </xf>
    <xf borderId="13" fillId="0" fontId="1" numFmtId="49" xfId="0" applyAlignment="1" applyBorder="1" applyFont="1" applyNumberFormat="1">
      <alignment horizontal="left" shrinkToFit="0" wrapText="1"/>
    </xf>
    <xf borderId="13" fillId="0" fontId="9" numFmtId="0" xfId="0" applyBorder="1" applyFont="1"/>
    <xf borderId="15" fillId="0" fontId="1" numFmtId="167" xfId="0" applyAlignment="1" applyBorder="1" applyFont="1" applyNumberFormat="1">
      <alignment horizontal="center" shrinkToFit="0" wrapText="1"/>
    </xf>
    <xf borderId="10" fillId="0" fontId="1" numFmtId="167" xfId="0" applyAlignment="1" applyBorder="1" applyFont="1" applyNumberFormat="1">
      <alignment horizontal="center" shrinkToFit="0" wrapText="1"/>
    </xf>
    <xf borderId="9" fillId="0" fontId="1" numFmtId="3" xfId="0" applyAlignment="1" applyBorder="1" applyFont="1" applyNumberFormat="1">
      <alignment horizontal="right" shrinkToFit="0" wrapText="1"/>
    </xf>
    <xf borderId="0" fillId="0" fontId="25" numFmtId="0" xfId="0" applyFont="1"/>
    <xf borderId="9" fillId="0" fontId="1" numFmtId="17" xfId="0" applyAlignment="1" applyBorder="1" applyFont="1" applyNumberFormat="1">
      <alignment horizontal="left" shrinkToFit="0" wrapText="1"/>
    </xf>
    <xf borderId="3" fillId="0" fontId="1" numFmtId="169" xfId="0" applyAlignment="1" applyBorder="1" applyFont="1" applyNumberFormat="1">
      <alignment horizontal="right" shrinkToFit="0" vertical="top" wrapText="1"/>
    </xf>
    <xf borderId="0" fillId="0" fontId="20" numFmtId="0" xfId="0" applyAlignment="1" applyFont="1">
      <alignment horizontal="center" shrinkToFit="0" wrapText="1"/>
    </xf>
    <xf borderId="4" fillId="0" fontId="1" numFmtId="169" xfId="0" applyAlignment="1" applyBorder="1" applyFont="1" applyNumberFormat="1">
      <alignment horizontal="right" shrinkToFit="0" vertical="top" wrapText="1"/>
    </xf>
    <xf borderId="12" fillId="0" fontId="1" numFmtId="167" xfId="0" applyAlignment="1" applyBorder="1" applyFont="1" applyNumberFormat="1">
      <alignment horizontal="center" shrinkToFit="0" vertical="top" wrapText="1"/>
    </xf>
    <xf borderId="11" fillId="0" fontId="1" numFmtId="3" xfId="0" applyAlignment="1" applyBorder="1" applyFont="1" applyNumberFormat="1">
      <alignment horizontal="center" shrinkToFit="0" vertical="top" wrapText="1"/>
    </xf>
    <xf borderId="10" fillId="0" fontId="18" numFmtId="0" xfId="0" applyAlignment="1" applyBorder="1" applyFont="1">
      <alignment horizontal="left" shrinkToFit="0" vertical="center" wrapText="1"/>
    </xf>
    <xf borderId="7" fillId="0" fontId="20" numFmtId="0" xfId="0" applyAlignment="1" applyBorder="1" applyFont="1">
      <alignment horizontal="center" shrinkToFit="0" wrapText="1"/>
    </xf>
    <xf borderId="7" fillId="0" fontId="20" numFmtId="0" xfId="0" applyBorder="1" applyFont="1"/>
    <xf borderId="3" fillId="0" fontId="22" numFmtId="178" xfId="0" applyAlignment="1" applyBorder="1" applyFont="1" applyNumberFormat="1">
      <alignment horizontal="right"/>
    </xf>
    <xf borderId="9" fillId="0" fontId="18" numFmtId="164" xfId="0" applyAlignment="1" applyBorder="1" applyFont="1" applyNumberFormat="1">
      <alignment horizontal="right" shrinkToFit="0" wrapText="1"/>
    </xf>
    <xf borderId="8" fillId="0" fontId="20" numFmtId="0" xfId="0" applyBorder="1" applyFont="1"/>
    <xf borderId="1" fillId="0" fontId="1" numFmtId="180" xfId="0" applyAlignment="1" applyBorder="1" applyFont="1" applyNumberFormat="1">
      <alignment horizontal="right" shrinkToFit="0" wrapText="1"/>
    </xf>
    <xf borderId="10" fillId="0" fontId="1" numFmtId="180" xfId="0" applyAlignment="1" applyBorder="1" applyFont="1" applyNumberFormat="1">
      <alignment horizontal="right" shrinkToFit="0" wrapText="1"/>
    </xf>
    <xf borderId="3" fillId="0" fontId="1" numFmtId="180" xfId="0" applyAlignment="1" applyBorder="1" applyFont="1" applyNumberFormat="1">
      <alignment horizontal="right" shrinkToFit="0" wrapText="1"/>
    </xf>
    <xf borderId="10" fillId="0" fontId="1" numFmtId="0" xfId="0" applyAlignment="1" applyBorder="1" applyFont="1">
      <alignment horizontal="left" shrinkToFit="0" vertical="center" wrapText="1"/>
    </xf>
    <xf borderId="0" fillId="0" fontId="1" numFmtId="180" xfId="0" applyAlignment="1" applyFont="1" applyNumberFormat="1">
      <alignment horizontal="right" shrinkToFit="0" wrapText="1"/>
    </xf>
    <xf borderId="3" fillId="0" fontId="1" numFmtId="180" xfId="0" applyAlignment="1" applyBorder="1" applyFont="1" applyNumberFormat="1">
      <alignment horizontal="right"/>
    </xf>
    <xf borderId="0" fillId="0" fontId="0" numFmtId="0" xfId="0" applyAlignment="1" applyFont="1">
      <alignment textRotation="180"/>
    </xf>
    <xf borderId="4" fillId="0" fontId="1" numFmtId="180" xfId="0" applyAlignment="1" applyBorder="1" applyFont="1" applyNumberFormat="1">
      <alignment horizontal="right" shrinkToFit="0" wrapText="1"/>
    </xf>
    <xf borderId="3" fillId="0" fontId="18" numFmtId="179" xfId="0" applyAlignment="1" applyBorder="1" applyFont="1" applyNumberFormat="1">
      <alignment horizontal="right" shrinkToFit="0" wrapText="1"/>
    </xf>
    <xf borderId="0" fillId="0" fontId="1" numFmtId="2" xfId="0" applyAlignment="1" applyFont="1" applyNumberFormat="1">
      <alignment horizontal="right" shrinkToFit="0" vertical="top" wrapText="1"/>
    </xf>
    <xf borderId="3" fillId="0" fontId="18" numFmtId="180" xfId="0" applyAlignment="1" applyBorder="1" applyFont="1" applyNumberFormat="1">
      <alignment horizontal="right" shrinkToFit="0" wrapText="1"/>
    </xf>
    <xf borderId="6" fillId="0" fontId="1" numFmtId="49" xfId="0" applyAlignment="1" applyBorder="1" applyFont="1" applyNumberFormat="1">
      <alignment horizontal="center" shrinkToFit="0" wrapText="1"/>
    </xf>
    <xf borderId="13" fillId="0" fontId="20" numFmtId="49" xfId="0" applyAlignment="1" applyBorder="1" applyFont="1" applyNumberFormat="1">
      <alignment horizontal="center"/>
    </xf>
    <xf borderId="12" fillId="0" fontId="1" numFmtId="0" xfId="0" applyAlignment="1" applyBorder="1" applyFont="1">
      <alignment horizontal="left" shrinkToFit="0" vertical="center" wrapText="1"/>
    </xf>
    <xf borderId="5" fillId="0" fontId="1" numFmtId="164" xfId="0" applyAlignment="1" applyBorder="1" applyFont="1" applyNumberFormat="1">
      <alignment horizontal="right" shrinkToFit="0" wrapText="1"/>
    </xf>
    <xf borderId="4" fillId="0" fontId="20" numFmtId="178" xfId="0" applyAlignment="1" applyBorder="1" applyFont="1" applyNumberFormat="1">
      <alignment horizontal="right"/>
    </xf>
    <xf borderId="5" fillId="0" fontId="1" numFmtId="179" xfId="0" applyAlignment="1" applyBorder="1" applyFont="1" applyNumberFormat="1">
      <alignment horizontal="right" shrinkToFit="0" wrapText="1"/>
    </xf>
    <xf borderId="5" fillId="0" fontId="1" numFmtId="180" xfId="0" applyAlignment="1" applyBorder="1" applyFont="1" applyNumberFormat="1">
      <alignment horizontal="right" shrinkToFit="0" wrapText="1"/>
    </xf>
    <xf borderId="3" fillId="0" fontId="26" numFmtId="176" xfId="0" applyAlignment="1" applyBorder="1" applyFont="1" applyNumberFormat="1">
      <alignment horizontal="right" shrinkToFit="0" wrapText="1"/>
    </xf>
    <xf borderId="5" fillId="0" fontId="1" numFmtId="178" xfId="0" applyAlignment="1" applyBorder="1" applyFont="1" applyNumberFormat="1">
      <alignment horizontal="right" shrinkToFit="0" wrapText="1"/>
    </xf>
    <xf borderId="0" fillId="0" fontId="1" numFmtId="0" xfId="0" applyAlignment="1" applyFont="1">
      <alignment readingOrder="0"/>
    </xf>
    <xf borderId="3" fillId="0" fontId="1" numFmtId="3" xfId="0" applyAlignment="1" applyBorder="1" applyFont="1" applyNumberFormat="1">
      <alignment horizontal="right" shrinkToFit="0" wrapText="1"/>
    </xf>
    <xf quotePrefix="1" borderId="10" fillId="0" fontId="18" numFmtId="46" xfId="0" applyAlignment="1" applyBorder="1" applyFont="1" applyNumberFormat="1">
      <alignment horizontal="left" shrinkToFit="0" vertical="top" wrapText="1"/>
    </xf>
    <xf borderId="3" fillId="0" fontId="1" numFmtId="0" xfId="0" applyAlignment="1" applyBorder="1" applyFont="1">
      <alignment horizontal="center" shrinkToFit="0" vertical="top" wrapText="1"/>
    </xf>
    <xf borderId="9" fillId="0" fontId="1" numFmtId="0" xfId="0" applyAlignment="1" applyBorder="1" applyFont="1">
      <alignment horizontal="center" shrinkToFit="0" vertical="top" wrapText="1"/>
    </xf>
    <xf borderId="10" fillId="0" fontId="18" numFmtId="46" xfId="0" applyAlignment="1" applyBorder="1" applyFont="1" applyNumberFormat="1">
      <alignment horizontal="left" shrinkToFit="0" vertical="top" wrapText="1"/>
    </xf>
    <xf borderId="3" fillId="0" fontId="1" numFmtId="0" xfId="0" applyAlignment="1" applyBorder="1" applyFont="1">
      <alignment horizontal="right" shrinkToFit="0" vertical="top" wrapText="1"/>
    </xf>
    <xf borderId="10" fillId="0" fontId="1" numFmtId="46" xfId="0" applyAlignment="1" applyBorder="1" applyFont="1" applyNumberFormat="1">
      <alignment horizontal="left" shrinkToFit="0" vertical="top" wrapText="1"/>
    </xf>
    <xf borderId="3" fillId="0" fontId="1" numFmtId="164" xfId="0" applyAlignment="1" applyBorder="1" applyFont="1" applyNumberFormat="1">
      <alignment horizontal="right" shrinkToFit="0" vertical="top" wrapText="1"/>
    </xf>
    <xf borderId="11" fillId="0" fontId="1" numFmtId="0" xfId="0" applyAlignment="1" applyBorder="1" applyFont="1">
      <alignment shrinkToFit="0" vertical="top" wrapText="1"/>
    </xf>
    <xf borderId="9" fillId="0" fontId="1" numFmtId="164" xfId="0" applyAlignment="1" applyBorder="1" applyFont="1" applyNumberFormat="1">
      <alignment horizontal="right" shrinkToFit="0" vertical="top" wrapText="1"/>
    </xf>
    <xf borderId="4" fillId="0" fontId="1" numFmtId="3" xfId="0" applyAlignment="1" applyBorder="1" applyFont="1" applyNumberFormat="1">
      <alignment horizontal="right" shrinkToFit="0" wrapText="1"/>
    </xf>
    <xf borderId="10" fillId="0" fontId="1" numFmtId="0" xfId="0" applyAlignment="1" applyBorder="1" applyFont="1">
      <alignment horizontal="left" shrinkToFit="0" vertical="top" wrapText="1"/>
    </xf>
    <xf borderId="0" fillId="0" fontId="1" numFmtId="3" xfId="0" applyAlignment="1" applyFont="1" applyNumberFormat="1">
      <alignment horizontal="right" shrinkToFit="0" wrapText="1"/>
    </xf>
    <xf borderId="0" fillId="0" fontId="1" numFmtId="4" xfId="0" applyAlignment="1" applyFont="1" applyNumberFormat="1">
      <alignment horizontal="right" shrinkToFit="0" wrapText="1"/>
    </xf>
    <xf borderId="9" fillId="0" fontId="1" numFmtId="164" xfId="0" applyAlignment="1" applyBorder="1" applyFont="1" applyNumberFormat="1">
      <alignment horizontal="center" shrinkToFit="0" vertical="top" wrapText="1"/>
    </xf>
    <xf borderId="4" fillId="0" fontId="20" numFmtId="0" xfId="0" applyBorder="1" applyFont="1"/>
    <xf borderId="3" fillId="0" fontId="1" numFmtId="164" xfId="0" applyAlignment="1" applyBorder="1" applyFont="1" applyNumberFormat="1">
      <alignment horizontal="center" shrinkToFit="0" vertical="top" wrapText="1"/>
    </xf>
    <xf borderId="15" fillId="0" fontId="1" numFmtId="176" xfId="0" applyAlignment="1" applyBorder="1" applyFont="1" applyNumberFormat="1">
      <alignment horizontal="center" shrinkToFit="0" wrapText="1"/>
    </xf>
    <xf borderId="9" fillId="0" fontId="1" numFmtId="164" xfId="0" applyBorder="1" applyFont="1" applyNumberFormat="1"/>
    <xf borderId="1" fillId="0" fontId="1" numFmtId="0" xfId="0" applyAlignment="1" applyBorder="1" applyFont="1">
      <alignment horizontal="center" shrinkToFit="0" wrapText="1"/>
    </xf>
    <xf borderId="3" fillId="0" fontId="1" numFmtId="164" xfId="0" applyBorder="1" applyFont="1" applyNumberFormat="1"/>
    <xf borderId="1" fillId="0" fontId="1" numFmtId="0" xfId="0" applyAlignment="1" applyBorder="1" applyFont="1">
      <alignment horizontal="left" shrinkToFit="0" wrapText="1"/>
    </xf>
    <xf borderId="0" fillId="0" fontId="1" numFmtId="171" xfId="0" applyFont="1" applyNumberFormat="1"/>
    <xf borderId="3" fillId="0" fontId="18" numFmtId="164" xfId="0" applyAlignment="1" applyBorder="1" applyFont="1" applyNumberFormat="1">
      <alignment horizontal="right" shrinkToFit="0" vertical="top" wrapText="1"/>
    </xf>
    <xf borderId="9" fillId="0" fontId="18" numFmtId="164" xfId="0" applyAlignment="1" applyBorder="1" applyFont="1" applyNumberFormat="1">
      <alignment horizontal="left" shrinkToFit="0" vertical="top" wrapText="1"/>
    </xf>
    <xf borderId="10" fillId="0" fontId="1" numFmtId="176" xfId="0" applyAlignment="1" applyBorder="1" applyFont="1" applyNumberFormat="1">
      <alignment horizontal="center" shrinkToFit="0" wrapText="1"/>
    </xf>
    <xf borderId="3" fillId="0" fontId="1" numFmtId="0" xfId="0" applyAlignment="1" applyBorder="1" applyFont="1">
      <alignment horizontal="center" shrinkToFit="0" wrapText="1"/>
    </xf>
    <xf borderId="10" fillId="0" fontId="18" numFmtId="49" xfId="0" applyAlignment="1" applyBorder="1" applyFont="1" applyNumberFormat="1">
      <alignment horizontal="left" shrinkToFit="0" vertical="top" wrapText="1"/>
    </xf>
    <xf borderId="0" fillId="0" fontId="18" numFmtId="49" xfId="0" applyAlignment="1" applyFont="1" applyNumberFormat="1">
      <alignment horizontal="left" shrinkToFit="0" vertical="top" wrapText="1"/>
    </xf>
    <xf quotePrefix="1" borderId="3" fillId="0" fontId="1" numFmtId="0" xfId="0" applyAlignment="1" applyBorder="1" applyFont="1">
      <alignment horizontal="left" shrinkToFit="0" wrapText="1"/>
    </xf>
    <xf quotePrefix="1" borderId="10" fillId="0" fontId="1" numFmtId="0" xfId="0" applyAlignment="1" applyBorder="1" applyFont="1">
      <alignment horizontal="left" shrinkToFit="0" wrapText="1"/>
    </xf>
    <xf borderId="10" fillId="0" fontId="18" numFmtId="0" xfId="0" applyAlignment="1" applyBorder="1" applyFont="1">
      <alignment horizontal="left" shrinkToFit="0" vertical="top" wrapText="1"/>
    </xf>
    <xf borderId="3" fillId="0" fontId="1" numFmtId="181" xfId="0" applyAlignment="1" applyBorder="1" applyFont="1" applyNumberFormat="1">
      <alignment horizontal="center" shrinkToFit="0" wrapText="1"/>
    </xf>
    <xf borderId="10" fillId="0" fontId="1" numFmtId="0" xfId="0" applyAlignment="1" applyBorder="1" applyFont="1">
      <alignment shrinkToFit="0" vertical="top" wrapText="1"/>
    </xf>
    <xf borderId="9" fillId="0" fontId="1" numFmtId="181" xfId="0" applyAlignment="1" applyBorder="1" applyFont="1" applyNumberFormat="1">
      <alignment horizontal="center" shrinkToFit="0" wrapText="1"/>
    </xf>
    <xf borderId="0" fillId="0" fontId="1" numFmtId="0" xfId="0" applyAlignment="1" applyFont="1">
      <alignment shrinkToFit="0" vertical="top" wrapText="1"/>
    </xf>
    <xf borderId="3" fillId="0" fontId="1" numFmtId="17" xfId="0" applyAlignment="1" applyBorder="1" applyFont="1" applyNumberFormat="1">
      <alignment horizontal="center" shrinkToFit="0" wrapText="1"/>
    </xf>
    <xf borderId="0" fillId="0" fontId="27" numFmtId="0" xfId="0" applyAlignment="1" applyFont="1">
      <alignment textRotation="180"/>
    </xf>
    <xf borderId="12" fillId="0" fontId="1" numFmtId="176" xfId="0" applyAlignment="1" applyBorder="1" applyFont="1" applyNumberFormat="1">
      <alignment horizontal="center" shrinkToFit="0" wrapText="1"/>
    </xf>
    <xf borderId="4" fillId="0" fontId="1" numFmtId="181" xfId="0" applyAlignment="1" applyBorder="1" applyFont="1" applyNumberFormat="1">
      <alignment horizontal="center" shrinkToFit="0" wrapText="1"/>
    </xf>
    <xf borderId="6" fillId="0" fontId="1" numFmtId="0" xfId="0" applyAlignment="1" applyBorder="1" applyFont="1">
      <alignment horizontal="center" vertical="top"/>
    </xf>
    <xf borderId="0" fillId="0" fontId="1" numFmtId="0" xfId="0" applyAlignment="1" applyFont="1">
      <alignment textRotation="180"/>
    </xf>
    <xf borderId="10" fillId="0" fontId="1" numFmtId="179" xfId="0" applyAlignment="1" applyBorder="1" applyFont="1" applyNumberFormat="1">
      <alignment horizontal="right" shrinkToFit="0" wrapText="1"/>
    </xf>
    <xf borderId="10" fillId="0" fontId="1" numFmtId="2" xfId="0" applyAlignment="1" applyBorder="1" applyFont="1" applyNumberFormat="1">
      <alignment horizontal="right" shrinkToFit="0" wrapText="1"/>
    </xf>
    <xf borderId="3" fillId="0" fontId="1" numFmtId="2" xfId="0" applyAlignment="1" applyBorder="1" applyFont="1" applyNumberFormat="1">
      <alignment horizontal="right" shrinkToFit="0" wrapText="1"/>
    </xf>
    <xf borderId="9" fillId="0" fontId="18" numFmtId="164" xfId="0" applyAlignment="1" applyBorder="1" applyFont="1" applyNumberFormat="1">
      <alignment shrinkToFit="0" vertical="top" wrapText="1"/>
    </xf>
    <xf borderId="1" fillId="0" fontId="1" numFmtId="2" xfId="0" applyAlignment="1" applyBorder="1" applyFont="1" applyNumberFormat="1">
      <alignment horizontal="right" shrinkToFit="0" wrapText="1"/>
    </xf>
    <xf borderId="9" fillId="0" fontId="1" numFmtId="2" xfId="0" applyAlignment="1" applyBorder="1" applyFont="1" applyNumberFormat="1">
      <alignment horizontal="right" shrinkToFit="0" wrapText="1"/>
    </xf>
    <xf borderId="3" fillId="0" fontId="1" numFmtId="164" xfId="0" applyAlignment="1" applyBorder="1" applyFont="1" applyNumberFormat="1">
      <alignment horizontal="right" shrinkToFit="0" vertical="center" wrapText="1"/>
    </xf>
    <xf borderId="9" fillId="0" fontId="1" numFmtId="164" xfId="0" applyAlignment="1" applyBorder="1" applyFont="1" applyNumberFormat="1">
      <alignment horizontal="right" shrinkToFit="0" vertical="center" wrapText="1"/>
    </xf>
    <xf borderId="3" fillId="0" fontId="1" numFmtId="171" xfId="0" applyAlignment="1" applyBorder="1" applyFont="1" applyNumberFormat="1">
      <alignment horizontal="right" shrinkToFit="0" vertical="top" wrapText="1"/>
    </xf>
    <xf borderId="9" fillId="0" fontId="1" numFmtId="172" xfId="0" applyAlignment="1" applyBorder="1" applyFont="1" applyNumberFormat="1">
      <alignment horizontal="right" shrinkToFit="0" vertical="top" wrapText="1"/>
    </xf>
    <xf borderId="3" fillId="0" fontId="28" numFmtId="0" xfId="0" applyAlignment="1" applyBorder="1" applyFont="1">
      <alignment shrinkToFit="0" wrapText="1"/>
    </xf>
    <xf borderId="3" fillId="0" fontId="1" numFmtId="174" xfId="0" applyAlignment="1" applyBorder="1" applyFont="1" applyNumberFormat="1">
      <alignment horizontal="right" shrinkToFit="0" vertical="top" wrapText="1"/>
    </xf>
    <xf borderId="0" fillId="0" fontId="18" numFmtId="0" xfId="0" applyAlignment="1" applyFont="1">
      <alignment horizontal="left" shrinkToFit="0" vertical="top" wrapText="1"/>
    </xf>
    <xf borderId="3" fillId="0" fontId="1" numFmtId="176" xfId="0" applyAlignment="1" applyBorder="1" applyFont="1" applyNumberFormat="1">
      <alignment horizontal="right" shrinkToFit="0" vertical="top" wrapText="1"/>
    </xf>
    <xf borderId="0" fillId="0" fontId="1" numFmtId="2" xfId="0" applyAlignment="1" applyFont="1" applyNumberFormat="1">
      <alignment horizontal="right" shrinkToFit="0" wrapText="1"/>
    </xf>
    <xf borderId="3" fillId="0" fontId="1" numFmtId="172" xfId="0" applyAlignment="1" applyBorder="1" applyFont="1" applyNumberFormat="1">
      <alignment horizontal="right" shrinkToFit="0" vertical="top" wrapText="1"/>
    </xf>
    <xf borderId="12" fillId="0" fontId="1" numFmtId="0" xfId="0" applyAlignment="1" applyBorder="1" applyFont="1">
      <alignment horizontal="left" shrinkToFit="0" vertical="top" wrapText="1"/>
    </xf>
    <xf borderId="3" fillId="0" fontId="1" numFmtId="179" xfId="0" applyAlignment="1" applyBorder="1" applyFont="1" applyNumberFormat="1">
      <alignment horizontal="right" shrinkToFit="0" wrapText="1"/>
    </xf>
    <xf borderId="4" fillId="0" fontId="20" numFmtId="164" xfId="0" applyAlignment="1" applyBorder="1" applyFont="1" applyNumberFormat="1">
      <alignment horizontal="right" shrinkToFit="0" vertical="top" wrapText="1"/>
    </xf>
    <xf borderId="5" fillId="0" fontId="20" numFmtId="164" xfId="0" applyAlignment="1" applyBorder="1" applyFont="1" applyNumberFormat="1">
      <alignment horizontal="right" shrinkToFit="0" vertical="top" wrapText="1"/>
    </xf>
    <xf borderId="4" fillId="0" fontId="1" numFmtId="164" xfId="0" applyAlignment="1" applyBorder="1" applyFont="1" applyNumberFormat="1">
      <alignment horizontal="right" shrinkToFit="0" vertical="top" wrapText="1"/>
    </xf>
    <xf borderId="4" fillId="0" fontId="1" numFmtId="179" xfId="0" applyAlignment="1" applyBorder="1" applyFont="1" applyNumberFormat="1">
      <alignment horizontal="right" shrinkToFit="0" wrapText="1"/>
    </xf>
    <xf borderId="4" fillId="0" fontId="1" numFmtId="2" xfId="0" applyAlignment="1" applyBorder="1" applyFont="1" applyNumberFormat="1">
      <alignment horizontal="right" shrinkToFit="0" wrapText="1"/>
    </xf>
    <xf borderId="0" fillId="0" fontId="1" numFmtId="179" xfId="0" applyAlignment="1" applyFont="1" applyNumberFormat="1">
      <alignment horizontal="right" shrinkToFit="0" wrapText="1"/>
    </xf>
    <xf borderId="0" fillId="0" fontId="11" numFmtId="3" xfId="0" applyAlignment="1" applyFont="1" applyNumberFormat="1">
      <alignment vertical="center"/>
    </xf>
    <xf borderId="11" fillId="0" fontId="1" numFmtId="0" xfId="0" applyAlignment="1" applyBorder="1" applyFont="1">
      <alignment horizontal="center" shrinkToFit="0" vertical="top" wrapText="1"/>
    </xf>
    <xf borderId="13" fillId="0" fontId="1" numFmtId="0" xfId="0" applyAlignment="1" applyBorder="1" applyFont="1">
      <alignment horizontal="center" vertical="top"/>
    </xf>
    <xf borderId="12" fillId="0" fontId="1" numFmtId="0" xfId="0" applyAlignment="1" applyBorder="1" applyFont="1">
      <alignment horizontal="center" shrinkToFit="0" wrapText="1"/>
    </xf>
    <xf borderId="3" fillId="0" fontId="20" numFmtId="164" xfId="0" applyBorder="1" applyFont="1" applyNumberFormat="1"/>
    <xf borderId="0" fillId="0" fontId="1" numFmtId="164" xfId="0" applyAlignment="1" applyFont="1" applyNumberFormat="1">
      <alignment horizontal="right"/>
    </xf>
    <xf borderId="0" fillId="0" fontId="18" numFmtId="0" xfId="0" applyAlignment="1" applyFont="1">
      <alignment horizontal="left"/>
    </xf>
    <xf borderId="0" fillId="0" fontId="1" numFmtId="4" xfId="0" applyFont="1" applyNumberFormat="1"/>
    <xf borderId="13" fillId="0" fontId="1" numFmtId="0" xfId="0" applyAlignment="1" applyBorder="1" applyFont="1">
      <alignment horizontal="center" shrinkToFit="0" wrapText="1"/>
    </xf>
    <xf borderId="4" fillId="0" fontId="20" numFmtId="0" xfId="0" applyAlignment="1" applyBorder="1" applyFont="1">
      <alignment horizontal="left" shrinkToFit="0" vertical="center" wrapText="1"/>
    </xf>
    <xf borderId="10" fillId="0" fontId="1" numFmtId="176" xfId="0" applyAlignment="1" applyBorder="1" applyFont="1" applyNumberFormat="1">
      <alignment horizontal="right" shrinkToFit="0" wrapText="1"/>
    </xf>
    <xf borderId="10" fillId="0" fontId="1" numFmtId="3" xfId="0" applyAlignment="1" applyBorder="1" applyFont="1" applyNumberFormat="1">
      <alignment horizontal="right" shrinkToFit="0" wrapText="1"/>
    </xf>
    <xf borderId="11" fillId="0" fontId="1" numFmtId="0" xfId="0" applyAlignment="1" applyBorder="1" applyFont="1">
      <alignment horizontal="center" shrinkToFit="0" wrapText="1"/>
    </xf>
    <xf borderId="6" fillId="0" fontId="1" numFmtId="182" xfId="0" applyAlignment="1" applyBorder="1" applyFont="1" applyNumberFormat="1">
      <alignment horizontal="center" shrinkToFit="0" wrapText="1"/>
    </xf>
    <xf borderId="4" fillId="0" fontId="1" numFmtId="176" xfId="0" applyAlignment="1" applyBorder="1" applyFont="1" applyNumberFormat="1">
      <alignment horizontal="right" shrinkToFit="0" vertical="top" wrapText="1"/>
    </xf>
    <xf borderId="9" fillId="0" fontId="1" numFmtId="181" xfId="0" applyAlignment="1" applyBorder="1" applyFont="1" applyNumberFormat="1">
      <alignment horizontal="right" shrinkToFit="0" wrapText="1"/>
    </xf>
    <xf borderId="1" fillId="0" fontId="1" numFmtId="181" xfId="0" applyAlignment="1" applyBorder="1" applyFont="1" applyNumberFormat="1">
      <alignment horizontal="right"/>
    </xf>
    <xf borderId="15" fillId="0" fontId="1" numFmtId="181" xfId="0" applyAlignment="1" applyBorder="1" applyFont="1" applyNumberFormat="1">
      <alignment horizontal="right" shrinkToFit="0" wrapText="1"/>
    </xf>
    <xf borderId="1" fillId="0" fontId="1" numFmtId="181" xfId="0" applyAlignment="1" applyBorder="1" applyFont="1" applyNumberFormat="1">
      <alignment horizontal="right" shrinkToFit="0" wrapText="1"/>
    </xf>
    <xf borderId="10" fillId="0" fontId="1" numFmtId="181" xfId="0" applyAlignment="1" applyBorder="1" applyFont="1" applyNumberFormat="1">
      <alignment horizontal="right" shrinkToFit="0" wrapText="1"/>
    </xf>
    <xf borderId="3" fillId="0" fontId="1" numFmtId="181" xfId="0" applyAlignment="1" applyBorder="1" applyFont="1" applyNumberFormat="1">
      <alignment horizontal="right"/>
    </xf>
    <xf borderId="3" fillId="0" fontId="1" numFmtId="181" xfId="0" applyAlignment="1" applyBorder="1" applyFont="1" applyNumberFormat="1">
      <alignment horizontal="right" shrinkToFit="0" wrapText="1"/>
    </xf>
    <xf borderId="9" fillId="0" fontId="0" numFmtId="0" xfId="0" applyAlignment="1" applyBorder="1" applyFont="1">
      <alignment textRotation="180"/>
    </xf>
    <xf borderId="0" fillId="0" fontId="1" numFmtId="181" xfId="0" applyAlignment="1" applyFont="1" applyNumberFormat="1">
      <alignment horizontal="right" shrinkToFit="0" wrapText="1"/>
    </xf>
    <xf borderId="3" fillId="0" fontId="1" numFmtId="181" xfId="0" applyAlignment="1" applyBorder="1" applyFont="1" applyNumberFormat="1">
      <alignment horizontal="right" shrinkToFit="0" vertical="top" wrapText="1"/>
    </xf>
    <xf borderId="4" fillId="0" fontId="1" numFmtId="181" xfId="0" applyAlignment="1" applyBorder="1" applyFont="1" applyNumberFormat="1">
      <alignment horizontal="right" shrinkToFit="0" wrapText="1"/>
    </xf>
    <xf borderId="4" fillId="0" fontId="1" numFmtId="181" xfId="0" applyAlignment="1" applyBorder="1" applyFont="1" applyNumberFormat="1">
      <alignment horizontal="right"/>
    </xf>
    <xf borderId="4" fillId="0" fontId="1" numFmtId="181" xfId="0" applyAlignment="1" applyBorder="1" applyFont="1" applyNumberFormat="1">
      <alignment horizontal="right" shrinkToFit="0" vertical="top" wrapText="1"/>
    </xf>
    <xf borderId="0" fillId="0" fontId="1" numFmtId="181" xfId="0" applyAlignment="1" applyFont="1" applyNumberFormat="1">
      <alignment horizontal="right"/>
    </xf>
    <xf borderId="0" fillId="0" fontId="1" numFmtId="181" xfId="0" applyAlignment="1" applyFont="1" applyNumberFormat="1">
      <alignment horizontal="right" shrinkToFit="0" vertical="top" wrapText="1"/>
    </xf>
    <xf borderId="1" fillId="2" fontId="1" numFmtId="0" xfId="0" applyAlignment="1" applyBorder="1" applyFont="1">
      <alignment shrinkToFit="0" vertical="center" wrapText="1"/>
    </xf>
    <xf borderId="8"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3" fillId="0" fontId="1" numFmtId="0" xfId="0" applyAlignment="1" applyBorder="1" applyFont="1">
      <alignment horizontal="right" shrinkToFit="0" wrapText="1"/>
    </xf>
    <xf borderId="3" fillId="0" fontId="1" numFmtId="177" xfId="0" applyAlignment="1" applyBorder="1" applyFont="1" applyNumberFormat="1">
      <alignment horizontal="left"/>
    </xf>
    <xf borderId="3" fillId="0" fontId="1" numFmtId="177" xfId="0" applyBorder="1" applyFont="1" applyNumberFormat="1"/>
    <xf borderId="4" fillId="0" fontId="1" numFmtId="177" xfId="0" applyBorder="1" applyFont="1" applyNumberFormat="1"/>
    <xf borderId="5" fillId="0" fontId="1" numFmtId="169" xfId="0" applyAlignment="1" applyBorder="1" applyFont="1" applyNumberFormat="1">
      <alignment horizontal="right"/>
    </xf>
    <xf borderId="4" fillId="0" fontId="1" numFmtId="0" xfId="0" applyAlignment="1" applyBorder="1" applyFont="1">
      <alignment horizontal="right" shrinkToFit="0" wrapText="1"/>
    </xf>
    <xf borderId="0" fillId="0" fontId="1" numFmtId="0" xfId="0" applyAlignment="1" applyFont="1">
      <alignment horizontal="right" shrinkToFit="0" wrapText="1"/>
    </xf>
    <xf borderId="13" fillId="0" fontId="1" numFmtId="0" xfId="0" applyAlignment="1" applyBorder="1" applyFont="1">
      <alignment horizontal="left" shrinkToFit="0" wrapText="1"/>
    </xf>
    <xf borderId="8" fillId="0" fontId="1" numFmtId="0" xfId="0" applyAlignment="1" applyBorder="1" applyFont="1">
      <alignment horizontal="left" shrinkToFit="0" wrapText="1"/>
    </xf>
    <xf borderId="9" fillId="0" fontId="1" numFmtId="0" xfId="0" applyAlignment="1" applyBorder="1" applyFont="1">
      <alignment horizontal="left"/>
    </xf>
    <xf borderId="0" fillId="0" fontId="23" numFmtId="0" xfId="0" applyAlignment="1" applyFont="1">
      <alignment horizontal="left"/>
    </xf>
    <xf borderId="3" fillId="0" fontId="1" numFmtId="179" xfId="0" applyAlignment="1" applyBorder="1" applyFont="1" applyNumberFormat="1">
      <alignment horizontal="right"/>
    </xf>
    <xf borderId="3" fillId="0" fontId="1" numFmtId="164" xfId="0" applyAlignment="1" applyBorder="1" applyFont="1" applyNumberFormat="1">
      <alignment horizontal="center" shrinkToFit="0" wrapText="1"/>
    </xf>
    <xf borderId="1" fillId="0" fontId="1" numFmtId="0" xfId="0" applyAlignment="1" applyBorder="1" applyFont="1">
      <alignment horizontal="right" vertical="center"/>
    </xf>
    <xf borderId="3" fillId="0" fontId="1" numFmtId="176" xfId="0" applyAlignment="1" applyBorder="1" applyFont="1" applyNumberFormat="1">
      <alignment horizontal="center" shrinkToFit="0" wrapText="1"/>
    </xf>
    <xf borderId="4" fillId="0" fontId="1" numFmtId="176" xfId="0" applyAlignment="1" applyBorder="1" applyFont="1" applyNumberFormat="1">
      <alignment horizontal="center" shrinkToFit="0" wrapText="1"/>
    </xf>
    <xf borderId="2" fillId="0" fontId="1" numFmtId="181" xfId="0" applyAlignment="1" applyBorder="1" applyFont="1" applyNumberFormat="1">
      <alignment horizontal="right" shrinkToFit="0" wrapText="1"/>
    </xf>
    <xf borderId="0" fillId="0" fontId="1" numFmtId="171" xfId="0" applyAlignment="1" applyFont="1" applyNumberFormat="1">
      <alignment horizontal="right"/>
    </xf>
    <xf borderId="12" fillId="0" fontId="1" numFmtId="181" xfId="0" applyAlignment="1" applyBorder="1" applyFont="1" applyNumberFormat="1">
      <alignment horizontal="right" shrinkToFit="0" wrapText="1"/>
    </xf>
    <xf quotePrefix="1" borderId="0" fillId="0" fontId="11" numFmtId="0" xfId="0" applyAlignment="1" applyFont="1">
      <alignment vertical="center"/>
    </xf>
    <xf borderId="0" fillId="0" fontId="11" numFmtId="171" xfId="0" applyAlignment="1" applyFont="1" applyNumberFormat="1">
      <alignment vertical="center"/>
    </xf>
    <xf borderId="1" fillId="2" fontId="1" numFmtId="0" xfId="0" applyAlignment="1" applyBorder="1" applyFont="1">
      <alignment horizontal="center" shrinkToFit="0" vertical="center" wrapText="1"/>
    </xf>
    <xf borderId="6" fillId="2" fontId="1" numFmtId="0" xfId="0" applyAlignment="1" applyBorder="1" applyFont="1">
      <alignment horizontal="center" shrinkToFit="0" vertical="top" wrapText="1"/>
    </xf>
    <xf borderId="20" fillId="2" fontId="1" numFmtId="0" xfId="0" applyAlignment="1" applyBorder="1" applyFont="1">
      <alignment horizontal="center" shrinkToFit="0" vertical="top" wrapText="1"/>
    </xf>
    <xf borderId="21" fillId="2" fontId="1" numFmtId="0" xfId="0" applyAlignment="1" applyBorder="1" applyFont="1">
      <alignment horizontal="center" shrinkToFit="0" vertical="top" wrapText="1"/>
    </xf>
    <xf borderId="4" fillId="0" fontId="20" numFmtId="0" xfId="0" applyAlignment="1" applyBorder="1" applyFont="1">
      <alignment horizontal="center" vertical="top"/>
    </xf>
    <xf borderId="22" fillId="2" fontId="1" numFmtId="0" xfId="0" applyAlignment="1" applyBorder="1" applyFont="1">
      <alignment horizontal="center" shrinkToFit="0" wrapText="1"/>
    </xf>
    <xf borderId="23" fillId="0" fontId="2" numFmtId="0" xfId="0" applyBorder="1" applyFont="1"/>
    <xf borderId="24" fillId="0" fontId="2" numFmtId="0" xfId="0" applyBorder="1" applyFont="1"/>
    <xf borderId="25" fillId="2" fontId="1" numFmtId="0" xfId="0" applyAlignment="1" applyBorder="1" applyFont="1">
      <alignment shrinkToFit="0" wrapText="1"/>
    </xf>
    <xf borderId="26" fillId="2" fontId="1" numFmtId="164" xfId="0" applyAlignment="1" applyBorder="1" applyFont="1" applyNumberFormat="1">
      <alignment horizontal="right" shrinkToFit="0" wrapText="1"/>
    </xf>
    <xf borderId="9" fillId="0" fontId="1" numFmtId="0" xfId="0" applyAlignment="1" applyBorder="1" applyFont="1">
      <alignment horizontal="center" shrinkToFit="0" vertical="center" wrapText="1"/>
    </xf>
    <xf borderId="3" fillId="0" fontId="18" numFmtId="164" xfId="0" applyAlignment="1" applyBorder="1" applyFont="1" applyNumberFormat="1">
      <alignment horizontal="right"/>
    </xf>
    <xf borderId="3" fillId="0" fontId="1" numFmtId="0" xfId="0" applyAlignment="1" applyBorder="1" applyFont="1">
      <alignment horizontal="left"/>
    </xf>
    <xf borderId="3" fillId="0" fontId="1" numFmtId="3" xfId="0" applyAlignment="1" applyBorder="1" applyFont="1" applyNumberFormat="1">
      <alignment horizontal="right"/>
    </xf>
    <xf borderId="9" fillId="0" fontId="1" numFmtId="3" xfId="0" applyAlignment="1" applyBorder="1" applyFont="1" applyNumberFormat="1">
      <alignment horizontal="right"/>
    </xf>
    <xf borderId="9" fillId="0" fontId="1" numFmtId="171" xfId="0" applyAlignment="1" applyBorder="1" applyFont="1" applyNumberFormat="1">
      <alignment horizontal="right"/>
    </xf>
    <xf borderId="26" fillId="2" fontId="29" numFmtId="164" xfId="0" applyAlignment="1" applyBorder="1" applyFont="1" applyNumberFormat="1">
      <alignment horizontal="right" shrinkToFit="0" wrapText="1"/>
    </xf>
    <xf borderId="25" fillId="2" fontId="1" numFmtId="164" xfId="0" applyAlignment="1" applyBorder="1" applyFont="1" applyNumberFormat="1">
      <alignment horizontal="right"/>
    </xf>
    <xf borderId="3" fillId="0" fontId="1" numFmtId="0" xfId="0" applyAlignment="1" applyBorder="1" applyFont="1">
      <alignment horizontal="right"/>
    </xf>
    <xf borderId="26" fillId="2" fontId="1" numFmtId="164" xfId="0" applyAlignment="1" applyBorder="1" applyFont="1" applyNumberFormat="1">
      <alignment horizontal="right"/>
    </xf>
    <xf borderId="25" fillId="2" fontId="1" numFmtId="0" xfId="0" applyAlignment="1" applyBorder="1" applyFont="1">
      <alignment horizontal="left" shrinkToFit="0" wrapText="1"/>
    </xf>
    <xf borderId="26" fillId="2" fontId="1" numFmtId="164" xfId="0" applyAlignment="1" applyBorder="1" applyFont="1" applyNumberFormat="1">
      <alignment horizontal="right" shrinkToFit="0" vertical="top" wrapText="1"/>
    </xf>
    <xf borderId="25" fillId="2" fontId="1" numFmtId="164" xfId="0" applyAlignment="1" applyBorder="1" applyFont="1" applyNumberFormat="1">
      <alignment horizontal="right" shrinkToFit="0" wrapText="1"/>
    </xf>
    <xf borderId="19" fillId="2" fontId="1" numFmtId="164" xfId="0" applyAlignment="1" applyBorder="1" applyFont="1" applyNumberFormat="1">
      <alignment horizontal="right"/>
    </xf>
    <xf borderId="25" fillId="2" fontId="1" numFmtId="164" xfId="0" applyAlignment="1" applyBorder="1" applyFont="1" applyNumberFormat="1">
      <alignment horizontal="right" shrinkToFit="0" vertical="top" wrapText="1"/>
    </xf>
    <xf quotePrefix="1" borderId="3" fillId="0" fontId="1" numFmtId="0" xfId="0" applyAlignment="1" applyBorder="1" applyFont="1">
      <alignment horizontal="left"/>
    </xf>
    <xf borderId="25" fillId="2" fontId="1" numFmtId="49" xfId="0" applyAlignment="1" applyBorder="1" applyFont="1" applyNumberFormat="1">
      <alignment horizontal="left" shrinkToFit="0" wrapText="1"/>
    </xf>
    <xf borderId="25" fillId="2" fontId="1" numFmtId="49" xfId="0" applyAlignment="1" applyBorder="1" applyFont="1" applyNumberFormat="1">
      <alignment shrinkToFit="0" wrapText="1"/>
    </xf>
    <xf borderId="20" fillId="2" fontId="1" numFmtId="49" xfId="0" applyAlignment="1" applyBorder="1" applyFont="1" applyNumberFormat="1">
      <alignment shrinkToFit="0" wrapText="1"/>
    </xf>
    <xf borderId="20" fillId="2" fontId="1" numFmtId="164" xfId="0" applyAlignment="1" applyBorder="1" applyFont="1" applyNumberFormat="1">
      <alignment horizontal="right"/>
    </xf>
    <xf borderId="20" fillId="2" fontId="1" numFmtId="164" xfId="0" applyAlignment="1" applyBorder="1" applyFont="1" applyNumberFormat="1">
      <alignment horizontal="right" shrinkToFit="0" vertical="top" wrapText="1"/>
    </xf>
    <xf borderId="1" fillId="0" fontId="20" numFmtId="0" xfId="0" applyAlignment="1" applyBorder="1" applyFont="1">
      <alignment horizontal="center" shrinkToFit="0" vertical="center" wrapText="1"/>
    </xf>
    <xf borderId="9" fillId="0" fontId="1" numFmtId="165" xfId="0" applyAlignment="1" applyBorder="1" applyFont="1" applyNumberFormat="1">
      <alignment horizontal="right" shrinkToFit="0" wrapText="1"/>
    </xf>
    <xf borderId="1" fillId="0" fontId="1" numFmtId="0" xfId="0" applyAlignment="1" applyBorder="1" applyFont="1">
      <alignment horizontal="left" shrinkToFit="0" vertical="top" wrapText="1"/>
    </xf>
    <xf borderId="9" fillId="0" fontId="1" numFmtId="174" xfId="0" applyAlignment="1" applyBorder="1" applyFont="1" applyNumberFormat="1">
      <alignment horizontal="center" shrinkToFit="0" wrapText="1"/>
    </xf>
    <xf borderId="9" fillId="0" fontId="1" numFmtId="174" xfId="0" applyAlignment="1" applyBorder="1" applyFont="1" applyNumberFormat="1">
      <alignment horizontal="right" shrinkToFit="0" vertical="top" wrapText="1"/>
    </xf>
    <xf quotePrefix="1" borderId="9" fillId="0" fontId="1" numFmtId="0" xfId="0" applyAlignment="1" applyBorder="1" applyFont="1">
      <alignment horizontal="left" shrinkToFit="0" wrapText="1"/>
    </xf>
    <xf borderId="10" fillId="0" fontId="11" numFmtId="0" xfId="0" applyAlignment="1" applyBorder="1" applyFont="1">
      <alignment shrinkToFit="0" vertical="center" wrapText="1"/>
    </xf>
    <xf borderId="4" fillId="0" fontId="1" numFmtId="0" xfId="0" applyAlignment="1" applyBorder="1" applyFont="1">
      <alignment shrinkToFit="0" vertical="center" wrapText="1"/>
    </xf>
    <xf borderId="10" fillId="0" fontId="11" numFmtId="0" xfId="0" applyAlignment="1" applyBorder="1" applyFont="1">
      <alignment shrinkToFit="0" vertical="top" wrapText="1"/>
    </xf>
    <xf borderId="3" fillId="0" fontId="1" numFmtId="174" xfId="0" applyAlignment="1" applyBorder="1" applyFont="1" applyNumberFormat="1">
      <alignment horizontal="center" shrinkToFit="0" wrapText="1"/>
    </xf>
    <xf borderId="1" fillId="0" fontId="1" numFmtId="169" xfId="0" applyAlignment="1" applyBorder="1" applyFont="1" applyNumberFormat="1">
      <alignment horizontal="right"/>
    </xf>
    <xf borderId="1" fillId="0" fontId="1" numFmtId="168" xfId="0" applyAlignment="1" applyBorder="1" applyFont="1" applyNumberFormat="1">
      <alignment horizontal="right" shrinkToFit="0" wrapText="1"/>
    </xf>
    <xf borderId="10" fillId="0" fontId="11" numFmtId="181" xfId="0" applyAlignment="1" applyBorder="1" applyFont="1" applyNumberFormat="1">
      <alignment horizontal="right" shrinkToFit="0" vertical="center" wrapText="1"/>
    </xf>
    <xf borderId="3" fillId="0" fontId="1" numFmtId="165" xfId="0" applyAlignment="1" applyBorder="1" applyFont="1" applyNumberFormat="1">
      <alignment horizontal="right" shrinkToFit="0" vertical="top" wrapText="1"/>
    </xf>
    <xf borderId="14" fillId="0" fontId="1" numFmtId="164" xfId="0" applyAlignment="1" applyBorder="1" applyFont="1" applyNumberFormat="1">
      <alignment horizontal="right" shrinkToFit="0" wrapText="1"/>
    </xf>
    <xf borderId="3" fillId="0" fontId="1" numFmtId="174" xfId="0" applyAlignment="1" applyBorder="1" applyFont="1" applyNumberFormat="1">
      <alignment horizontal="left" shrinkToFit="0" wrapText="1"/>
    </xf>
    <xf borderId="12" fillId="0" fontId="1" numFmtId="176" xfId="0" applyAlignment="1" applyBorder="1" applyFont="1" applyNumberFormat="1">
      <alignment horizontal="center"/>
    </xf>
    <xf borderId="4" fillId="0" fontId="1" numFmtId="174" xfId="0" applyAlignment="1" applyBorder="1" applyFont="1" applyNumberFormat="1">
      <alignment horizontal="left" shrinkToFit="0" wrapText="1"/>
    </xf>
    <xf borderId="3" fillId="0" fontId="21" numFmtId="165" xfId="0" applyAlignment="1" applyBorder="1" applyFont="1" applyNumberFormat="1">
      <alignment horizontal="right" shrinkToFit="0" vertical="top" wrapText="1"/>
    </xf>
    <xf borderId="10" fillId="0" fontId="21" numFmtId="165" xfId="0" applyAlignment="1" applyBorder="1" applyFont="1" applyNumberFormat="1">
      <alignment horizontal="right" shrinkToFit="0" vertical="top" wrapText="1"/>
    </xf>
    <xf borderId="0" fillId="0" fontId="21" numFmtId="165" xfId="0" applyAlignment="1" applyFont="1" applyNumberFormat="1">
      <alignment horizontal="right" shrinkToFit="0" vertical="top" wrapText="1"/>
    </xf>
    <xf borderId="0" fillId="0" fontId="30" numFmtId="0" xfId="0" applyAlignment="1" applyFont="1">
      <alignment horizontal="left"/>
    </xf>
    <xf borderId="0" fillId="0" fontId="1" numFmtId="165" xfId="0" applyFont="1" applyNumberFormat="1"/>
    <xf borderId="0" fillId="0" fontId="1" numFmtId="165" xfId="0" applyAlignment="1" applyFont="1" applyNumberFormat="1">
      <alignment horizontal="right" shrinkToFit="0" vertical="top" wrapText="1"/>
    </xf>
    <xf borderId="10" fillId="0" fontId="11" numFmtId="179" xfId="0" applyAlignment="1" applyBorder="1" applyFont="1" applyNumberFormat="1">
      <alignment horizontal="right" shrinkToFit="0" vertical="center" wrapText="1"/>
    </xf>
    <xf borderId="1" fillId="0" fontId="1" numFmtId="0" xfId="0" applyAlignment="1" applyBorder="1" applyFont="1">
      <alignment shrinkToFit="0" vertical="top" wrapText="1"/>
    </xf>
    <xf borderId="3" fillId="0" fontId="1" numFmtId="178" xfId="0" applyAlignment="1" applyBorder="1" applyFont="1" applyNumberFormat="1">
      <alignment horizontal="right" shrinkToFit="0" wrapText="1"/>
    </xf>
    <xf borderId="12" fillId="0" fontId="1"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4" fillId="0" fontId="1" numFmtId="0" xfId="0" applyAlignment="1" applyBorder="1" applyFont="1">
      <alignment shrinkToFit="0" vertical="top" wrapText="1"/>
    </xf>
    <xf borderId="10" fillId="0" fontId="23" numFmtId="179" xfId="0" applyAlignment="1" applyBorder="1" applyFont="1" applyNumberFormat="1">
      <alignment horizontal="right" shrinkToFit="0" vertical="center" wrapText="1"/>
    </xf>
    <xf borderId="9" fillId="0" fontId="1" numFmtId="173" xfId="0" applyAlignment="1" applyBorder="1" applyFont="1" applyNumberFormat="1">
      <alignment horizontal="right" shrinkToFit="0" vertical="top" wrapText="1"/>
    </xf>
    <xf borderId="3" fillId="0" fontId="11" numFmtId="178" xfId="0" applyAlignment="1" applyBorder="1" applyFont="1" applyNumberFormat="1">
      <alignment horizontal="right" shrinkToFit="0" wrapText="1"/>
    </xf>
    <xf borderId="3" fillId="0" fontId="11" numFmtId="169" xfId="0" applyAlignment="1" applyBorder="1" applyFont="1" applyNumberFormat="1">
      <alignment horizontal="right"/>
    </xf>
    <xf borderId="3" fillId="0" fontId="11" numFmtId="171" xfId="0" applyAlignment="1" applyBorder="1" applyFont="1" applyNumberFormat="1">
      <alignment horizontal="right"/>
    </xf>
    <xf borderId="3" fillId="0" fontId="1" numFmtId="168" xfId="0" applyAlignment="1" applyBorder="1" applyFont="1" applyNumberFormat="1">
      <alignment horizontal="center"/>
    </xf>
    <xf borderId="9" fillId="0" fontId="11" numFmtId="171" xfId="0" applyAlignment="1" applyBorder="1" applyFont="1" applyNumberFormat="1">
      <alignment horizontal="right"/>
    </xf>
    <xf borderId="3" fillId="0" fontId="1" numFmtId="173" xfId="0" applyAlignment="1" applyBorder="1" applyFont="1" applyNumberFormat="1">
      <alignment horizontal="right" shrinkToFit="0" vertical="top" wrapText="1"/>
    </xf>
    <xf borderId="4" fillId="0" fontId="11" numFmtId="178" xfId="0" applyAlignment="1" applyBorder="1" applyFont="1" applyNumberFormat="1">
      <alignment horizontal="right" shrinkToFit="0" wrapText="1"/>
    </xf>
    <xf borderId="3" fillId="0" fontId="1" numFmtId="173" xfId="0" applyAlignment="1" applyBorder="1" applyFont="1" applyNumberFormat="1">
      <alignment horizontal="right"/>
    </xf>
    <xf borderId="3" fillId="0" fontId="20" numFmtId="173" xfId="0" applyAlignment="1" applyBorder="1" applyFont="1" applyNumberFormat="1">
      <alignment horizontal="right"/>
    </xf>
    <xf borderId="0" fillId="0" fontId="20" numFmtId="176" xfId="0" applyAlignment="1" applyFont="1" applyNumberFormat="1">
      <alignment horizontal="right"/>
    </xf>
    <xf borderId="4" fillId="0" fontId="11" numFmtId="169" xfId="0" applyAlignment="1" applyBorder="1" applyFont="1" applyNumberFormat="1">
      <alignment horizontal="right"/>
    </xf>
    <xf borderId="5" fillId="0" fontId="11" numFmtId="171" xfId="0" applyAlignment="1" applyBorder="1" applyFont="1" applyNumberFormat="1">
      <alignment horizontal="right"/>
    </xf>
    <xf borderId="4" fillId="0" fontId="1" numFmtId="168" xfId="0" applyAlignment="1" applyBorder="1" applyFont="1" applyNumberFormat="1">
      <alignment horizontal="center"/>
    </xf>
    <xf borderId="0" fillId="0" fontId="11" numFmtId="178" xfId="0" applyAlignment="1" applyFont="1" applyNumberFormat="1">
      <alignment horizontal="right" shrinkToFit="0" wrapText="1"/>
    </xf>
    <xf borderId="0" fillId="0" fontId="11" numFmtId="169" xfId="0" applyAlignment="1" applyFont="1" applyNumberFormat="1">
      <alignment horizontal="right"/>
    </xf>
    <xf borderId="0" fillId="0" fontId="11" numFmtId="171" xfId="0" applyAlignment="1" applyFont="1" applyNumberFormat="1">
      <alignment horizontal="right"/>
    </xf>
    <xf borderId="0" fillId="0" fontId="1" numFmtId="168" xfId="0" applyAlignment="1" applyFont="1" applyNumberFormat="1">
      <alignment horizontal="center"/>
    </xf>
    <xf borderId="0" fillId="0" fontId="11" numFmtId="179" xfId="0" applyAlignment="1" applyFont="1" applyNumberFormat="1">
      <alignment horizontal="right" shrinkToFit="0" vertical="center" wrapText="1"/>
    </xf>
    <xf borderId="3" fillId="0" fontId="1" numFmtId="49" xfId="0" applyAlignment="1" applyBorder="1" applyFont="1" applyNumberFormat="1">
      <alignment horizontal="center"/>
    </xf>
    <xf borderId="3" fillId="0" fontId="1" numFmtId="179" xfId="0" applyAlignment="1" applyBorder="1" applyFont="1" applyNumberFormat="1">
      <alignment horizontal="right" shrinkToFit="0" vertical="top" wrapText="1"/>
    </xf>
    <xf borderId="3" fillId="0" fontId="1" numFmtId="169" xfId="0" applyAlignment="1" applyBorder="1" applyFont="1" applyNumberFormat="1">
      <alignment horizontal="center"/>
    </xf>
    <xf borderId="0" fillId="0" fontId="1" numFmtId="181" xfId="0" applyFont="1" applyNumberFormat="1"/>
    <xf borderId="0" fillId="0" fontId="0" numFmtId="0" xfId="0" applyAlignment="1" applyFont="1">
      <alignment horizontal="center" textRotation="180"/>
    </xf>
    <xf borderId="4" fillId="0" fontId="1" numFmtId="173" xfId="0" applyAlignment="1" applyBorder="1" applyFont="1" applyNumberFormat="1">
      <alignment horizontal="right"/>
    </xf>
    <xf borderId="4" fillId="0" fontId="20" numFmtId="173" xfId="0" applyAlignment="1" applyBorder="1" applyFont="1" applyNumberFormat="1">
      <alignment horizontal="right"/>
    </xf>
    <xf borderId="4" fillId="0" fontId="1" numFmtId="179" xfId="0" applyAlignment="1" applyBorder="1" applyFont="1" applyNumberFormat="1">
      <alignment horizontal="right" shrinkToFit="0" vertical="top" wrapText="1"/>
    </xf>
    <xf borderId="4" fillId="0" fontId="1" numFmtId="169" xfId="0" applyAlignment="1" applyBorder="1" applyFont="1" applyNumberFormat="1">
      <alignment horizontal="center"/>
    </xf>
    <xf borderId="4" fillId="0" fontId="1" numFmtId="49" xfId="0" applyAlignment="1" applyBorder="1" applyFont="1" applyNumberFormat="1">
      <alignment horizontal="left"/>
    </xf>
    <xf borderId="10" fillId="0" fontId="1" numFmtId="183" xfId="0" applyAlignment="1" applyBorder="1" applyFont="1" applyNumberFormat="1">
      <alignment horizontal="right" shrinkToFit="0" wrapText="1"/>
    </xf>
    <xf borderId="6" fillId="0" fontId="1" numFmtId="0" xfId="0" applyAlignment="1" applyBorder="1" applyFont="1">
      <alignment horizontal="left" vertical="top"/>
    </xf>
    <xf borderId="1" fillId="0" fontId="1" numFmtId="184" xfId="0" applyAlignment="1" applyBorder="1" applyFont="1" applyNumberFormat="1">
      <alignment horizontal="center" vertical="center"/>
    </xf>
    <xf borderId="10" fillId="0" fontId="1" numFmtId="2" xfId="0" applyAlignment="1" applyBorder="1" applyFont="1" applyNumberFormat="1">
      <alignment horizontal="right"/>
    </xf>
    <xf borderId="3" fillId="0" fontId="1" numFmtId="184" xfId="0" applyAlignment="1" applyBorder="1" applyFont="1" applyNumberFormat="1">
      <alignment horizontal="center" vertical="center"/>
    </xf>
    <xf borderId="3" fillId="0" fontId="1" numFmtId="2" xfId="0" applyAlignment="1" applyBorder="1" applyFont="1" applyNumberFormat="1">
      <alignment horizontal="right"/>
    </xf>
    <xf borderId="10" fillId="0" fontId="1" numFmtId="0" xfId="0" applyAlignment="1" applyBorder="1" applyFont="1">
      <alignment horizontal="center" shrinkToFit="0" vertical="top" wrapText="1"/>
    </xf>
    <xf borderId="9" fillId="0" fontId="1" numFmtId="180" xfId="0" applyAlignment="1" applyBorder="1" applyFont="1" applyNumberFormat="1">
      <alignment horizontal="right"/>
    </xf>
    <xf borderId="3" fillId="0" fontId="1" numFmtId="0" xfId="0" applyBorder="1" applyFont="1"/>
    <xf borderId="10" fillId="0" fontId="1" numFmtId="0" xfId="0" applyAlignment="1" applyBorder="1" applyFont="1">
      <alignment horizontal="right"/>
    </xf>
    <xf borderId="4" fillId="0" fontId="1" numFmtId="180" xfId="0" applyAlignment="1" applyBorder="1" applyFont="1" applyNumberFormat="1">
      <alignment horizontal="right"/>
    </xf>
    <xf borderId="14" fillId="0" fontId="1" numFmtId="49" xfId="0" applyAlignment="1" applyBorder="1" applyFont="1" applyNumberFormat="1">
      <alignment horizontal="left"/>
    </xf>
    <xf borderId="14" fillId="0" fontId="1" numFmtId="180" xfId="0" applyAlignment="1" applyBorder="1" applyFont="1" applyNumberFormat="1">
      <alignment horizontal="right"/>
    </xf>
    <xf borderId="14" fillId="0" fontId="1" numFmtId="180" xfId="0" applyAlignment="1" applyBorder="1" applyFont="1" applyNumberFormat="1">
      <alignment horizontal="right" shrinkToFit="0" wrapText="1"/>
    </xf>
    <xf borderId="0" fillId="0" fontId="1" numFmtId="49" xfId="0" applyAlignment="1" applyFont="1" applyNumberFormat="1">
      <alignment horizontal="left"/>
    </xf>
    <xf borderId="0" fillId="0" fontId="1" numFmtId="180" xfId="0" applyAlignment="1" applyFont="1" applyNumberFormat="1">
      <alignment horizontal="right"/>
    </xf>
    <xf borderId="0" fillId="0" fontId="1" numFmtId="4" xfId="0" applyAlignment="1" applyFont="1" applyNumberFormat="1">
      <alignment horizontal="right" shrinkToFit="0" vertical="top" wrapText="1"/>
    </xf>
    <xf borderId="12" fillId="0" fontId="1" numFmtId="183" xfId="0" applyAlignment="1" applyBorder="1" applyFont="1" applyNumberFormat="1">
      <alignment horizontal="right" shrinkToFit="0" wrapText="1"/>
    </xf>
    <xf borderId="5" fillId="0" fontId="1" numFmtId="180" xfId="0" applyAlignment="1" applyBorder="1" applyFont="1" applyNumberFormat="1">
      <alignment horizontal="right"/>
    </xf>
    <xf borderId="0" fillId="0" fontId="15" numFmtId="0" xfId="0" applyAlignment="1" applyFont="1">
      <alignment horizontal="center" shrinkToFit="0" vertical="top" wrapText="1"/>
    </xf>
    <xf borderId="0" fillId="0" fontId="11" numFmtId="0" xfId="0" applyAlignment="1" applyFont="1">
      <alignment shrinkToFit="1" vertical="center" wrapText="0"/>
    </xf>
    <xf borderId="0" fillId="0" fontId="1" numFmtId="169" xfId="0" applyAlignment="1" applyFont="1" applyNumberFormat="1">
      <alignment horizontal="center" shrinkToFit="0" vertical="top" wrapText="1"/>
    </xf>
    <xf borderId="0" fillId="0" fontId="1" numFmtId="4" xfId="0" applyAlignment="1" applyFont="1" applyNumberFormat="1">
      <alignment horizontal="right"/>
    </xf>
    <xf borderId="0" fillId="0" fontId="11" numFmtId="0" xfId="0" applyAlignment="1" applyFont="1">
      <alignment horizontal="left" vertical="center"/>
    </xf>
    <xf borderId="11" fillId="0" fontId="1" numFmtId="0" xfId="0" applyAlignment="1" applyBorder="1" applyFont="1">
      <alignment horizontal="left"/>
    </xf>
    <xf borderId="15" fillId="0" fontId="1" numFmtId="0" xfId="0" applyAlignment="1" applyBorder="1" applyFont="1">
      <alignment horizontal="center" shrinkToFit="0" vertical="center" wrapText="1"/>
    </xf>
    <xf borderId="9" fillId="0" fontId="1" numFmtId="185" xfId="0" applyAlignment="1" applyBorder="1" applyFont="1" applyNumberFormat="1">
      <alignment horizontal="right" shrinkToFit="0" wrapText="1"/>
    </xf>
    <xf borderId="9" fillId="0" fontId="1" numFmtId="167" xfId="0" applyAlignment="1" applyBorder="1" applyFont="1" applyNumberFormat="1">
      <alignment horizontal="right"/>
    </xf>
    <xf quotePrefix="1" borderId="8" fillId="0" fontId="1" numFmtId="0" xfId="0" applyAlignment="1" applyBorder="1" applyFont="1">
      <alignment horizontal="center" shrinkToFit="0" vertical="top" wrapText="1"/>
    </xf>
    <xf borderId="8" fillId="0" fontId="1" numFmtId="0" xfId="0" applyAlignment="1" applyBorder="1" applyFont="1">
      <alignment horizontal="center" vertical="top"/>
    </xf>
    <xf borderId="3" fillId="0" fontId="1" numFmtId="167" xfId="0" applyAlignment="1" applyBorder="1" applyFont="1" applyNumberFormat="1">
      <alignment horizontal="right"/>
    </xf>
    <xf borderId="3" fillId="0" fontId="1" numFmtId="167" xfId="0" applyAlignment="1" applyBorder="1" applyFont="1" applyNumberFormat="1">
      <alignment horizontal="right" shrinkToFit="0" vertical="top" wrapText="1"/>
    </xf>
    <xf borderId="3" fillId="0" fontId="1" numFmtId="185" xfId="0" applyAlignment="1" applyBorder="1" applyFont="1" applyNumberFormat="1">
      <alignment horizontal="right" shrinkToFit="0" wrapText="1"/>
    </xf>
    <xf borderId="4" fillId="0" fontId="1" numFmtId="0" xfId="0" applyAlignment="1" applyBorder="1" applyFont="1">
      <alignment horizontal="left"/>
    </xf>
    <xf borderId="5" fillId="0" fontId="1" numFmtId="167" xfId="0" applyAlignment="1" applyBorder="1" applyFont="1" applyNumberFormat="1">
      <alignment horizontal="right"/>
    </xf>
    <xf borderId="4" fillId="0" fontId="1" numFmtId="167" xfId="0" applyAlignment="1" applyBorder="1" applyFont="1" applyNumberFormat="1">
      <alignment horizontal="right"/>
    </xf>
    <xf borderId="4" fillId="0" fontId="1" numFmtId="167" xfId="0" applyAlignment="1" applyBorder="1" applyFont="1" applyNumberFormat="1">
      <alignment horizontal="right" shrinkToFit="0" vertical="top" wrapText="1"/>
    </xf>
    <xf borderId="0" fillId="0" fontId="1" numFmtId="167" xfId="0" applyAlignment="1" applyFont="1" applyNumberFormat="1">
      <alignment horizontal="right"/>
    </xf>
    <xf borderId="0" fillId="0" fontId="1" numFmtId="167" xfId="0" applyAlignment="1" applyFont="1" applyNumberFormat="1">
      <alignment horizontal="right" shrinkToFit="0" vertical="top" wrapText="1"/>
    </xf>
    <xf borderId="14" fillId="0" fontId="1" numFmtId="49" xfId="0" applyAlignment="1" applyBorder="1" applyFont="1" applyNumberFormat="1">
      <alignment horizontal="left" shrinkToFit="0" wrapText="1"/>
    </xf>
    <xf borderId="4" fillId="0" fontId="1" numFmtId="185" xfId="0" applyAlignment="1" applyBorder="1" applyFont="1" applyNumberFormat="1">
      <alignment horizontal="right" shrinkToFit="0" wrapText="1"/>
    </xf>
    <xf borderId="14" fillId="0" fontId="1" numFmtId="169" xfId="0" applyAlignment="1" applyBorder="1" applyFont="1" applyNumberFormat="1">
      <alignment horizontal="right" shrinkToFit="0" wrapText="1"/>
    </xf>
    <xf borderId="0" fillId="0" fontId="1" numFmtId="185" xfId="0" applyAlignment="1" applyFont="1" applyNumberFormat="1">
      <alignment horizontal="right" shrinkToFit="0" wrapText="1"/>
    </xf>
    <xf borderId="0" fillId="0" fontId="1" numFmtId="167" xfId="0" applyAlignment="1" applyFont="1" applyNumberFormat="1">
      <alignment horizontal="right" shrinkToFit="0" wrapText="1"/>
    </xf>
    <xf borderId="0" fillId="0" fontId="1" numFmtId="3" xfId="0" applyAlignment="1" applyFont="1" applyNumberFormat="1">
      <alignment horizontal="center"/>
    </xf>
    <xf borderId="0" fillId="0" fontId="11" numFmtId="0" xfId="0" applyAlignment="1" applyFont="1">
      <alignment horizontal="right" shrinkToFit="0" vertical="center" wrapText="1"/>
    </xf>
    <xf borderId="0" fillId="0" fontId="11" numFmtId="4" xfId="0" applyAlignment="1" applyFont="1" applyNumberFormat="1">
      <alignment horizontal="right" shrinkToFit="0" vertical="center" wrapText="1"/>
    </xf>
    <xf borderId="0" fillId="0" fontId="11" numFmtId="164" xfId="0" applyAlignment="1" applyFont="1" applyNumberFormat="1">
      <alignment horizontal="right" shrinkToFit="0" vertical="center" wrapText="1"/>
    </xf>
    <xf borderId="0" fillId="0" fontId="1" numFmtId="164" xfId="0" applyAlignment="1" applyFont="1" applyNumberFormat="1">
      <alignment horizontal="right" shrinkToFit="0" vertical="top" wrapText="1"/>
    </xf>
    <xf borderId="0" fillId="0" fontId="1" numFmtId="0" xfId="0" applyAlignment="1" applyFont="1">
      <alignment horizontal="right" shrinkToFit="0" vertical="top" wrapText="1"/>
    </xf>
    <xf borderId="0" fillId="0" fontId="1" numFmtId="4" xfId="0" applyAlignment="1" applyFont="1" applyNumberFormat="1">
      <alignment horizontal="right" vertical="top"/>
    </xf>
    <xf borderId="11" fillId="0" fontId="1" numFmtId="0" xfId="0" applyAlignment="1" applyBorder="1" applyFont="1">
      <alignment horizontal="center"/>
    </xf>
    <xf borderId="2" fillId="0" fontId="1" numFmtId="0" xfId="0" applyAlignment="1" applyBorder="1" applyFont="1">
      <alignment horizontal="center" shrinkToFit="0" vertical="center" wrapText="1"/>
    </xf>
    <xf borderId="0" fillId="0" fontId="1" numFmtId="167" xfId="0" applyAlignment="1" applyFont="1" applyNumberFormat="1">
      <alignment horizontal="right" vertical="top"/>
    </xf>
    <xf borderId="0" fillId="0" fontId="31" numFmtId="0" xfId="0" applyAlignment="1" applyFont="1">
      <alignment horizontal="right" shrinkToFit="0" vertical="top" wrapText="1"/>
    </xf>
    <xf borderId="0" fillId="0" fontId="1" numFmtId="164" xfId="0" applyAlignment="1" applyFont="1" applyNumberFormat="1">
      <alignment horizontal="right" vertical="top"/>
    </xf>
    <xf borderId="0" fillId="0" fontId="1" numFmtId="164" xfId="0" applyAlignment="1" applyFont="1" applyNumberFormat="1">
      <alignment horizontal="center" vertical="top"/>
    </xf>
    <xf borderId="0" fillId="0" fontId="1" numFmtId="0" xfId="0" applyAlignment="1" applyFont="1">
      <alignment horizontal="right"/>
    </xf>
    <xf borderId="10" fillId="0" fontId="15" numFmtId="0" xfId="0" applyAlignment="1" applyBorder="1" applyFont="1">
      <alignment shrinkToFit="0" wrapText="1"/>
    </xf>
    <xf borderId="0" fillId="0" fontId="1" numFmtId="0" xfId="0" applyAlignment="1" applyFont="1">
      <alignment shrinkToFit="0" vertical="center" wrapText="1"/>
    </xf>
    <xf borderId="0" fillId="0" fontId="1" numFmtId="181" xfId="0" applyAlignment="1" applyFont="1" applyNumberFormat="1">
      <alignment horizontal="right" shrinkToFit="0" vertical="center" wrapText="1"/>
    </xf>
    <xf borderId="0" fillId="0" fontId="1" numFmtId="3" xfId="0" applyAlignment="1" applyFont="1" applyNumberFormat="1">
      <alignment horizontal="right" shrinkToFit="0" vertical="center" wrapText="1"/>
    </xf>
    <xf borderId="0" fillId="0" fontId="1" numFmtId="4" xfId="0" applyAlignment="1" applyFont="1" applyNumberFormat="1">
      <alignment horizontal="right" shrinkToFit="0" vertical="center" wrapText="1"/>
    </xf>
    <xf borderId="0" fillId="0" fontId="1" numFmtId="0" xfId="0" applyAlignment="1" applyFont="1">
      <alignment horizontal="center" shrinkToFit="0" vertical="center" wrapText="1"/>
    </xf>
    <xf borderId="10" fillId="0" fontId="1" numFmtId="176" xfId="0" applyAlignment="1" applyBorder="1" applyFont="1" applyNumberFormat="1">
      <alignment horizontal="right"/>
    </xf>
    <xf borderId="10" fillId="0" fontId="1" numFmtId="176" xfId="0" applyAlignment="1" applyBorder="1" applyFont="1" applyNumberFormat="1">
      <alignment horizontal="left" vertical="center"/>
    </xf>
    <xf borderId="4" fillId="0" fontId="1" numFmtId="177" xfId="0" applyAlignment="1" applyBorder="1" applyFont="1" applyNumberFormat="1">
      <alignment horizontal="left" shrinkToFit="0" wrapText="1"/>
    </xf>
    <xf borderId="5" fillId="0" fontId="1" numFmtId="176" xfId="0" applyAlignment="1" applyBorder="1" applyFont="1" applyNumberFormat="1">
      <alignment horizontal="right" shrinkToFit="0" wrapText="1"/>
    </xf>
    <xf borderId="11" fillId="0" fontId="20" numFmtId="0" xfId="0" applyAlignment="1" applyBorder="1" applyFont="1">
      <alignment horizontal="center" shrinkToFit="0" wrapText="1"/>
    </xf>
    <xf borderId="3" fillId="0" fontId="1" numFmtId="0" xfId="0" applyAlignment="1" applyBorder="1" applyFont="1">
      <alignment shrinkToFit="0" vertical="top" wrapText="1"/>
    </xf>
    <xf borderId="14" fillId="0" fontId="1" numFmtId="169" xfId="0" applyAlignment="1" applyBorder="1" applyFont="1" applyNumberFormat="1">
      <alignment horizontal="right"/>
    </xf>
    <xf borderId="3" fillId="0" fontId="1" numFmtId="49" xfId="0" applyAlignment="1" applyBorder="1" applyFont="1" applyNumberFormat="1">
      <alignment shrinkToFit="0" vertical="top" wrapText="1"/>
    </xf>
    <xf borderId="0" fillId="0" fontId="11" numFmtId="3" xfId="0" applyAlignment="1" applyFont="1" applyNumberFormat="1">
      <alignment horizontal="right" shrinkToFit="0" vertical="center" wrapText="1"/>
    </xf>
    <xf borderId="0" fillId="0" fontId="1" numFmtId="172" xfId="0" applyAlignment="1" applyFont="1" applyNumberFormat="1">
      <alignment horizontal="right"/>
    </xf>
    <xf borderId="3" fillId="0" fontId="1" numFmtId="168" xfId="0" applyAlignment="1" applyBorder="1" applyFont="1" applyNumberFormat="1">
      <alignment horizontal="right"/>
    </xf>
    <xf borderId="4" fillId="0" fontId="1" numFmtId="168" xfId="0" applyAlignment="1" applyBorder="1" applyFont="1" applyNumberFormat="1">
      <alignment horizontal="right"/>
    </xf>
    <xf borderId="9" fillId="0" fontId="1" numFmtId="0" xfId="0" applyAlignment="1" applyBorder="1" applyFont="1">
      <alignment horizontal="right" shrinkToFit="0" wrapText="1"/>
    </xf>
    <xf quotePrefix="1" borderId="10" fillId="0" fontId="1" numFmtId="0" xfId="0" applyAlignment="1" applyBorder="1" applyFont="1">
      <alignment shrinkToFit="0" wrapText="1"/>
    </xf>
    <xf borderId="9" fillId="0" fontId="1" numFmtId="49" xfId="0" applyAlignment="1" applyBorder="1" applyFont="1" applyNumberFormat="1">
      <alignment shrinkToFit="0" wrapText="1"/>
    </xf>
    <xf borderId="0" fillId="0" fontId="1" numFmtId="3" xfId="0" applyAlignment="1" applyFont="1" applyNumberFormat="1">
      <alignment horizontal="right" shrinkToFit="0" vertical="top" wrapText="1"/>
    </xf>
    <xf borderId="5" fillId="0" fontId="1" numFmtId="0" xfId="0" applyAlignment="1" applyBorder="1" applyFont="1">
      <alignment horizontal="left" shrinkToFit="0" vertical="top" wrapText="1"/>
    </xf>
    <xf borderId="0" fillId="0" fontId="1" numFmtId="2" xfId="0" applyAlignment="1" applyFont="1" applyNumberFormat="1">
      <alignment horizontal="right"/>
    </xf>
    <xf borderId="0" fillId="0" fontId="1" numFmtId="1" xfId="0" applyFont="1" applyNumberFormat="1"/>
    <xf borderId="3" fillId="0" fontId="1" numFmtId="0" xfId="0" applyAlignment="1" applyBorder="1" applyFont="1">
      <alignment horizontal="left" shrinkToFit="0" vertical="top" wrapText="1"/>
    </xf>
    <xf borderId="0" fillId="0" fontId="11" numFmtId="0" xfId="0" applyAlignment="1" applyFont="1">
      <alignment shrinkToFit="0" vertical="center" wrapText="1"/>
    </xf>
    <xf borderId="3" fillId="0" fontId="1" numFmtId="178" xfId="0" applyAlignment="1" applyBorder="1" applyFont="1" applyNumberFormat="1">
      <alignment horizontal="right" shrinkToFit="0" vertical="top" wrapText="1"/>
    </xf>
    <xf borderId="4" fillId="0" fontId="1" numFmtId="0" xfId="0" applyAlignment="1" applyBorder="1" applyFont="1">
      <alignment horizontal="left" shrinkToFit="0" vertical="top" wrapText="1"/>
    </xf>
    <xf borderId="4" fillId="0" fontId="1" numFmtId="168" xfId="0" applyAlignment="1" applyBorder="1" applyFont="1" applyNumberFormat="1">
      <alignment horizontal="right" shrinkToFit="0" vertical="top" wrapText="1"/>
    </xf>
    <xf borderId="4" fillId="0" fontId="1" numFmtId="178" xfId="0" applyAlignment="1" applyBorder="1" applyFont="1" applyNumberFormat="1">
      <alignment horizontal="right" shrinkToFit="0" vertical="top" wrapText="1"/>
    </xf>
    <xf borderId="0" fillId="0" fontId="1" numFmtId="169" xfId="0" applyAlignment="1" applyFont="1" applyNumberFormat="1">
      <alignment horizontal="right" shrinkToFit="0" vertical="top" wrapText="1"/>
    </xf>
    <xf borderId="0" fillId="0" fontId="1" numFmtId="176" xfId="0" applyAlignment="1" applyFont="1" applyNumberFormat="1">
      <alignment horizontal="right" shrinkToFit="0" vertical="top" wrapText="1"/>
    </xf>
    <xf borderId="0" fillId="0" fontId="1" numFmtId="178" xfId="0" applyAlignment="1" applyFont="1" applyNumberFormat="1">
      <alignment horizontal="right" shrinkToFit="0" vertical="top" wrapText="1"/>
    </xf>
    <xf borderId="9" fillId="0" fontId="1" numFmtId="168" xfId="0" applyAlignment="1" applyBorder="1" applyFont="1" applyNumberFormat="1">
      <alignment horizontal="right"/>
    </xf>
    <xf borderId="4" fillId="0" fontId="1" numFmtId="181" xfId="0" applyAlignment="1" applyBorder="1" applyFont="1" applyNumberFormat="1">
      <alignment horizontal="center"/>
    </xf>
    <xf borderId="0" fillId="0" fontId="1" numFmtId="181" xfId="0" applyAlignment="1" applyFont="1" applyNumberFormat="1">
      <alignment horizontal="center"/>
    </xf>
    <xf borderId="0" fillId="0" fontId="27" numFmtId="0" xfId="0" applyFont="1"/>
    <xf borderId="0" fillId="0" fontId="24" numFmtId="0" xfId="0" applyFont="1"/>
    <xf borderId="10" fillId="0" fontId="1" numFmtId="171" xfId="0" applyAlignment="1" applyBorder="1" applyFont="1" applyNumberFormat="1">
      <alignment horizontal="right"/>
    </xf>
    <xf borderId="4" fillId="0" fontId="1" numFmtId="0" xfId="0" applyAlignment="1" applyBorder="1" applyFont="1">
      <alignment horizontal="left" shrinkToFit="0" vertical="center" wrapText="1"/>
    </xf>
    <xf borderId="3" fillId="0" fontId="1" numFmtId="178" xfId="0" applyAlignment="1" applyBorder="1" applyFont="1" applyNumberFormat="1">
      <alignment horizontal="right"/>
    </xf>
    <xf borderId="0" fillId="0" fontId="1" numFmtId="178" xfId="0" applyAlignment="1" applyFont="1" applyNumberFormat="1">
      <alignment horizontal="right"/>
    </xf>
    <xf borderId="9" fillId="0" fontId="1" numFmtId="49" xfId="0" applyAlignment="1" applyBorder="1" applyFont="1" applyNumberFormat="1">
      <alignment horizontal="center" shrinkToFit="0" wrapText="1"/>
    </xf>
    <xf quotePrefix="1" borderId="3" fillId="0" fontId="1" numFmtId="17" xfId="0" applyAlignment="1" applyBorder="1" applyFont="1" applyNumberFormat="1">
      <alignment horizontal="left" shrinkToFit="0" wrapText="1"/>
    </xf>
    <xf borderId="3" fillId="0" fontId="1" numFmtId="172" xfId="0" applyAlignment="1" applyBorder="1" applyFont="1" applyNumberFormat="1">
      <alignment shrinkToFit="0" wrapText="1"/>
    </xf>
    <xf borderId="9" fillId="0" fontId="1" numFmtId="177" xfId="0" applyAlignment="1" applyBorder="1" applyFont="1" applyNumberFormat="1">
      <alignment horizontal="left" shrinkToFit="0" wrapText="1"/>
    </xf>
    <xf borderId="9" fillId="0" fontId="32" numFmtId="178" xfId="0" applyAlignment="1" applyBorder="1" applyFont="1" applyNumberFormat="1">
      <alignment horizontal="right" shrinkToFit="0" wrapText="1"/>
    </xf>
    <xf borderId="0" fillId="0" fontId="11" numFmtId="4" xfId="0" applyAlignment="1" applyFont="1" applyNumberFormat="1">
      <alignment vertical="center"/>
    </xf>
    <xf quotePrefix="1" borderId="3" fillId="0" fontId="1" numFmtId="172" xfId="0" applyAlignment="1" applyBorder="1" applyFont="1" applyNumberFormat="1">
      <alignment shrinkToFit="0" wrapText="1"/>
    </xf>
    <xf borderId="11" fillId="0" fontId="1" numFmtId="0" xfId="0" applyAlignment="1" applyBorder="1" applyFont="1">
      <alignment horizontal="center" vertical="center"/>
    </xf>
    <xf borderId="3" fillId="0" fontId="1" numFmtId="172" xfId="0" applyAlignment="1" applyBorder="1" applyFont="1" applyNumberFormat="1">
      <alignment horizontal="left" shrinkToFit="0" wrapText="1"/>
    </xf>
    <xf borderId="4" fillId="0" fontId="1" numFmtId="178" xfId="0" applyAlignment="1" applyBorder="1" applyFont="1" applyNumberFormat="1">
      <alignment horizontal="right"/>
    </xf>
    <xf borderId="4" fillId="0" fontId="1" numFmtId="178" xfId="0" applyAlignment="1" applyBorder="1" applyFont="1" applyNumberFormat="1">
      <alignment horizontal="right" shrinkToFit="0" wrapText="1"/>
    </xf>
    <xf borderId="4" fillId="0" fontId="1" numFmtId="49" xfId="0" applyAlignment="1" applyBorder="1" applyFont="1" applyNumberFormat="1">
      <alignment horizontal="center" shrinkToFit="0" wrapText="1"/>
    </xf>
    <xf borderId="0" fillId="0" fontId="1" numFmtId="178" xfId="0" applyAlignment="1" applyFont="1" applyNumberFormat="1">
      <alignment horizontal="right" shrinkToFit="0" wrapText="1"/>
    </xf>
    <xf borderId="0" fillId="0" fontId="1" numFmtId="49" xfId="0" applyAlignment="1" applyFont="1" applyNumberFormat="1">
      <alignment horizontal="center" shrinkToFit="0" wrapText="1"/>
    </xf>
    <xf borderId="10" fillId="0" fontId="1" numFmtId="174" xfId="0" applyAlignment="1" applyBorder="1" applyFont="1" applyNumberFormat="1">
      <alignment horizontal="right" shrinkToFit="0" wrapText="1"/>
    </xf>
    <xf borderId="4" fillId="0" fontId="1" numFmtId="0" xfId="0" applyAlignment="1" applyBorder="1" applyFont="1">
      <alignment horizontal="center" shrinkToFit="0" wrapText="1"/>
    </xf>
    <xf borderId="6" fillId="0" fontId="20" numFmtId="0" xfId="0" applyAlignment="1" applyBorder="1" applyFont="1">
      <alignment horizontal="center" vertical="top"/>
    </xf>
    <xf borderId="0" fillId="0" fontId="9" numFmtId="0" xfId="0" applyAlignment="1" applyFont="1">
      <alignment horizontal="center" shrinkToFit="0" vertical="top" wrapText="1"/>
    </xf>
    <xf borderId="6" fillId="0" fontId="1" numFmtId="166" xfId="0" applyAlignment="1" applyBorder="1" applyFont="1" applyNumberFormat="1">
      <alignment horizontal="center"/>
    </xf>
    <xf borderId="3" fillId="0" fontId="1" numFmtId="174" xfId="0" applyAlignment="1" applyBorder="1" applyFont="1" applyNumberFormat="1">
      <alignment horizontal="right"/>
    </xf>
    <xf borderId="9" fillId="0" fontId="1" numFmtId="174" xfId="0" applyAlignment="1" applyBorder="1" applyFont="1" applyNumberFormat="1">
      <alignment horizontal="right"/>
    </xf>
    <xf borderId="12" fillId="0" fontId="1" numFmtId="174" xfId="0" applyAlignment="1" applyBorder="1" applyFont="1" applyNumberFormat="1">
      <alignment horizontal="right" shrinkToFit="0" wrapText="1"/>
    </xf>
    <xf borderId="5" fillId="0" fontId="1" numFmtId="49" xfId="0" applyAlignment="1" applyBorder="1" applyFont="1" applyNumberFormat="1">
      <alignment horizontal="left" shrinkToFit="0" wrapText="1"/>
    </xf>
    <xf borderId="3" fillId="0" fontId="1" numFmtId="49" xfId="0" applyAlignment="1" applyBorder="1" applyFont="1" applyNumberFormat="1">
      <alignment horizontal="left" shrinkToFit="0" vertical="top" wrapText="1"/>
    </xf>
    <xf borderId="1" fillId="0" fontId="1" numFmtId="172" xfId="0" applyAlignment="1" applyBorder="1" applyFont="1" applyNumberFormat="1">
      <alignment horizontal="right" shrinkToFit="0" wrapText="1"/>
    </xf>
    <xf borderId="4" fillId="0" fontId="1" numFmtId="174" xfId="0" applyAlignment="1" applyBorder="1" applyFont="1" applyNumberFormat="1">
      <alignment horizontal="right"/>
    </xf>
    <xf borderId="14" fillId="0" fontId="11" numFmtId="0" xfId="0" applyAlignment="1" applyBorder="1" applyFont="1">
      <alignment shrinkToFit="0" wrapText="1"/>
    </xf>
    <xf borderId="14" fillId="0" fontId="23" numFmtId="0" xfId="0" applyAlignment="1" applyBorder="1" applyFont="1">
      <alignment horizontal="left"/>
    </xf>
    <xf borderId="14" fillId="0" fontId="23" numFmtId="0" xfId="0" applyAlignment="1" applyBorder="1" applyFont="1">
      <alignment shrinkToFit="0" wrapText="1"/>
    </xf>
    <xf borderId="10" fillId="0" fontId="1" numFmtId="171" xfId="0" applyAlignment="1" applyBorder="1" applyFont="1" applyNumberFormat="1">
      <alignment horizontal="right" shrinkToFit="0" wrapText="1"/>
    </xf>
    <xf borderId="0" fillId="0" fontId="11" numFmtId="0" xfId="0" applyAlignment="1" applyFont="1">
      <alignment shrinkToFit="0" wrapText="1"/>
    </xf>
    <xf quotePrefix="1" borderId="10" fillId="0" fontId="1" numFmtId="17" xfId="0" applyAlignment="1" applyBorder="1" applyFont="1" applyNumberFormat="1">
      <alignment shrinkToFit="0" wrapText="1"/>
    </xf>
    <xf quotePrefix="1" borderId="9" fillId="0" fontId="1" numFmtId="0" xfId="0" applyAlignment="1" applyBorder="1" applyFont="1">
      <alignment shrinkToFit="0" wrapText="1"/>
    </xf>
    <xf borderId="9" fillId="0" fontId="1" numFmtId="171" xfId="0" applyBorder="1" applyFont="1" applyNumberFormat="1"/>
    <xf borderId="9" fillId="0" fontId="1" numFmtId="174" xfId="0" applyBorder="1" applyFont="1" applyNumberFormat="1"/>
    <xf borderId="0" fillId="0" fontId="1" numFmtId="178" xfId="0" applyFont="1" applyNumberFormat="1"/>
    <xf borderId="9" fillId="0" fontId="1" numFmtId="168" xfId="0" applyBorder="1" applyFont="1" applyNumberFormat="1"/>
    <xf borderId="0" fillId="0" fontId="23" numFmtId="186" xfId="0" applyFont="1" applyNumberFormat="1"/>
    <xf borderId="9" fillId="0" fontId="1" numFmtId="0" xfId="0" applyAlignment="1" applyBorder="1" applyFont="1">
      <alignment shrinkToFit="0" wrapText="1"/>
    </xf>
    <xf borderId="0" fillId="0" fontId="1" numFmtId="177" xfId="0" applyAlignment="1" applyFont="1" applyNumberFormat="1">
      <alignment horizontal="left" shrinkToFit="0" wrapText="1"/>
    </xf>
    <xf borderId="0" fillId="0" fontId="1" numFmtId="165" xfId="0" applyAlignment="1" applyFont="1" applyNumberFormat="1">
      <alignment horizontal="right" shrinkToFit="0" wrapText="1"/>
    </xf>
    <xf borderId="0" fillId="0" fontId="20" numFmtId="0" xfId="0" applyAlignment="1" applyFont="1">
      <alignment horizontal="left"/>
    </xf>
    <xf borderId="6" fillId="0" fontId="1" numFmtId="0" xfId="0" applyAlignment="1" applyBorder="1" applyFont="1">
      <alignment shrinkToFit="0" vertical="top" wrapText="1"/>
    </xf>
    <xf borderId="14" fillId="0" fontId="1" numFmtId="172" xfId="0" applyAlignment="1" applyBorder="1" applyFont="1" applyNumberFormat="1">
      <alignment horizontal="right" shrinkToFit="0" wrapText="1"/>
    </xf>
    <xf borderId="9" fillId="0" fontId="1" numFmtId="3" xfId="0" applyAlignment="1" applyBorder="1" applyFont="1" applyNumberFormat="1">
      <alignment horizontal="right" shrinkToFit="0" vertical="top" wrapText="1"/>
    </xf>
    <xf borderId="13" fillId="0" fontId="1" numFmtId="0" xfId="0" applyAlignment="1" applyBorder="1" applyFont="1">
      <alignment horizontal="center" vertical="center"/>
    </xf>
    <xf borderId="13" fillId="0" fontId="1" numFmtId="49" xfId="0" applyAlignment="1" applyBorder="1" applyFont="1" applyNumberFormat="1">
      <alignment horizontal="center" vertical="center"/>
    </xf>
    <xf borderId="12" fillId="0" fontId="1" numFmtId="49" xfId="0" applyAlignment="1" applyBorder="1" applyFont="1" applyNumberFormat="1">
      <alignment horizontal="center" shrinkToFit="0" wrapText="1"/>
    </xf>
    <xf borderId="13" fillId="0" fontId="1" numFmtId="49" xfId="0" applyAlignment="1" applyBorder="1" applyFont="1" applyNumberFormat="1">
      <alignment horizontal="center" shrinkToFit="0" wrapText="1"/>
    </xf>
    <xf borderId="10" fillId="0" fontId="11" numFmtId="169" xfId="0" applyAlignment="1" applyBorder="1" applyFont="1" applyNumberFormat="1">
      <alignment horizontal="right" shrinkToFit="0" vertical="top" wrapText="1"/>
    </xf>
    <xf borderId="6" fillId="0" fontId="20" numFmtId="0" xfId="0" applyAlignment="1" applyBorder="1" applyFont="1">
      <alignment horizontal="center" vertical="center"/>
    </xf>
    <xf borderId="10" fillId="0" fontId="11" numFmtId="169" xfId="0" applyAlignment="1" applyBorder="1" applyFont="1" applyNumberFormat="1">
      <alignment horizontal="right" vertical="top"/>
    </xf>
    <xf borderId="1" fillId="0" fontId="1" numFmtId="168" xfId="0" applyAlignment="1" applyBorder="1" applyFont="1" applyNumberFormat="1">
      <alignment horizontal="right"/>
    </xf>
    <xf borderId="10" fillId="0" fontId="1" numFmtId="169" xfId="0" applyAlignment="1" applyBorder="1" applyFont="1" applyNumberFormat="1">
      <alignment horizontal="right" vertical="top"/>
    </xf>
    <xf borderId="10" fillId="0" fontId="1" numFmtId="181" xfId="0" applyBorder="1" applyFont="1" applyNumberFormat="1"/>
    <xf borderId="1" fillId="0" fontId="1" numFmtId="181" xfId="0" applyBorder="1" applyFont="1" applyNumberFormat="1"/>
    <xf borderId="3" fillId="0" fontId="1" numFmtId="181" xfId="0" applyBorder="1" applyFont="1" applyNumberFormat="1"/>
    <xf borderId="0" fillId="0" fontId="1" numFmtId="187" xfId="0" applyFont="1" applyNumberFormat="1"/>
    <xf borderId="0" fillId="0" fontId="0" numFmtId="169" xfId="0" applyAlignment="1" applyFont="1" applyNumberFormat="1">
      <alignment horizontal="center"/>
    </xf>
    <xf borderId="3" fillId="0" fontId="1" numFmtId="184" xfId="0" applyAlignment="1" applyBorder="1" applyFont="1" applyNumberFormat="1">
      <alignment horizontal="right"/>
    </xf>
    <xf borderId="3" fillId="0" fontId="11" numFmtId="168" xfId="0" applyAlignment="1" applyBorder="1" applyFont="1" applyNumberFormat="1">
      <alignment horizontal="right" vertical="center"/>
    </xf>
    <xf borderId="13" fillId="0" fontId="1" numFmtId="49" xfId="0" applyAlignment="1" applyBorder="1" applyFont="1" applyNumberFormat="1">
      <alignment horizontal="center" vertical="top"/>
    </xf>
    <xf borderId="13" fillId="0" fontId="1" numFmtId="49" xfId="0" applyAlignment="1" applyBorder="1" applyFont="1" applyNumberFormat="1">
      <alignment horizontal="center"/>
    </xf>
    <xf borderId="12" fillId="0" fontId="1" numFmtId="0" xfId="0" applyAlignment="1" applyBorder="1" applyFont="1">
      <alignment shrinkToFit="0" wrapText="1"/>
    </xf>
    <xf borderId="6" fillId="0" fontId="1" numFmtId="0" xfId="0" applyAlignment="1" applyBorder="1" applyFont="1">
      <alignment horizontal="left" shrinkToFit="0" wrapText="1"/>
    </xf>
    <xf borderId="5" fillId="0" fontId="1" numFmtId="168" xfId="0" applyAlignment="1" applyBorder="1" applyFont="1" applyNumberFormat="1">
      <alignment horizontal="right" shrinkToFit="0" wrapText="1"/>
    </xf>
    <xf borderId="9" fillId="0" fontId="1" numFmtId="169" xfId="0" applyAlignment="1" applyBorder="1" applyFont="1" applyNumberFormat="1">
      <alignment horizontal="right" shrinkToFit="0" vertical="top" wrapText="1"/>
    </xf>
    <xf borderId="4" fillId="0" fontId="1" numFmtId="179" xfId="0" applyAlignment="1" applyBorder="1" applyFont="1" applyNumberFormat="1">
      <alignment horizontal="right"/>
    </xf>
    <xf borderId="3" fillId="0" fontId="1" numFmtId="169" xfId="0" applyAlignment="1" applyBorder="1" applyFont="1" applyNumberFormat="1">
      <alignment horizontal="right" vertical="top"/>
    </xf>
    <xf borderId="3" fillId="0" fontId="1" numFmtId="169" xfId="0" applyAlignment="1" applyBorder="1" applyFont="1" applyNumberFormat="1">
      <alignment horizontal="center" vertical="top"/>
    </xf>
    <xf borderId="12" fillId="0" fontId="1" numFmtId="181" xfId="0" applyBorder="1" applyFont="1" applyNumberFormat="1"/>
    <xf borderId="4" fillId="0" fontId="1" numFmtId="181" xfId="0" applyBorder="1" applyFont="1" applyNumberFormat="1"/>
    <xf borderId="6" fillId="0" fontId="1" numFmtId="0" xfId="0" applyAlignment="1" applyBorder="1" applyFont="1">
      <alignment shrinkToFit="0" wrapText="1"/>
    </xf>
    <xf borderId="13" fillId="0" fontId="1" numFmtId="3" xfId="0" applyAlignment="1" applyBorder="1" applyFont="1" applyNumberFormat="1">
      <alignment horizontal="center" shrinkToFit="0" wrapText="1"/>
    </xf>
    <xf borderId="13" fillId="0" fontId="1" numFmtId="168" xfId="0" applyAlignment="1" applyBorder="1" applyFont="1" applyNumberFormat="1">
      <alignment horizontal="right"/>
    </xf>
    <xf borderId="5" fillId="0" fontId="1" numFmtId="169" xfId="0" applyAlignment="1" applyBorder="1" applyFont="1" applyNumberFormat="1">
      <alignment horizontal="right" shrinkToFit="0" vertical="top" wrapText="1"/>
    </xf>
    <xf borderId="4" fillId="0" fontId="1" numFmtId="169" xfId="0" applyAlignment="1" applyBorder="1" applyFont="1" applyNumberFormat="1">
      <alignment horizontal="right" vertical="top"/>
    </xf>
    <xf borderId="4" fillId="0" fontId="1" numFmtId="169" xfId="0" applyAlignment="1" applyBorder="1" applyFont="1" applyNumberFormat="1">
      <alignment horizontal="center" vertical="top"/>
    </xf>
    <xf borderId="6" fillId="0" fontId="1" numFmtId="0" xfId="0" applyAlignment="1" applyBorder="1" applyFont="1">
      <alignment horizontal="center" vertical="center"/>
    </xf>
    <xf borderId="9" fillId="0" fontId="1" numFmtId="171" xfId="0" applyAlignment="1" applyBorder="1" applyFont="1" applyNumberFormat="1">
      <alignment horizontal="right" shrinkToFit="0" vertical="top" wrapText="1"/>
    </xf>
    <xf borderId="3" fillId="0" fontId="1" numFmtId="171" xfId="0" applyAlignment="1" applyBorder="1" applyFont="1" applyNumberFormat="1">
      <alignment horizontal="center" shrinkToFit="0" vertical="top" wrapText="1"/>
    </xf>
    <xf borderId="3" fillId="0" fontId="1" numFmtId="169" xfId="0" applyAlignment="1" applyBorder="1" applyFont="1" applyNumberFormat="1">
      <alignment horizontal="center" shrinkToFit="0" vertical="top" wrapText="1"/>
    </xf>
    <xf borderId="15" fillId="0" fontId="1" numFmtId="0" xfId="0" applyAlignment="1" applyBorder="1" applyFont="1">
      <alignment shrinkToFit="0" wrapText="1"/>
    </xf>
    <xf borderId="5" fillId="0" fontId="1" numFmtId="171" xfId="0" applyAlignment="1" applyBorder="1" applyFont="1" applyNumberFormat="1">
      <alignment horizontal="right" shrinkToFit="0" vertical="top" wrapText="1"/>
    </xf>
    <xf borderId="3" fillId="0" fontId="1" numFmtId="173" xfId="0" applyAlignment="1" applyBorder="1" applyFont="1" applyNumberFormat="1">
      <alignment horizontal="center"/>
    </xf>
    <xf borderId="4" fillId="0" fontId="1" numFmtId="171" xfId="0" applyAlignment="1" applyBorder="1" applyFont="1" applyNumberFormat="1">
      <alignment horizontal="center" shrinkToFit="0" vertical="top" wrapText="1"/>
    </xf>
    <xf borderId="4" fillId="0" fontId="1" numFmtId="169" xfId="0" applyAlignment="1" applyBorder="1" applyFont="1" applyNumberFormat="1">
      <alignment horizontal="center" shrinkToFit="0" vertical="top" wrapText="1"/>
    </xf>
    <xf borderId="3" fillId="0" fontId="1" numFmtId="172" xfId="0" applyAlignment="1" applyBorder="1" applyFont="1" applyNumberFormat="1">
      <alignment horizontal="center"/>
    </xf>
    <xf borderId="9" fillId="0" fontId="9" numFmtId="168" xfId="0" applyAlignment="1" applyBorder="1" applyFont="1" applyNumberFormat="1">
      <alignment horizontal="right"/>
    </xf>
    <xf borderId="4" fillId="0" fontId="1" numFmtId="173" xfId="0" applyAlignment="1" applyBorder="1" applyFont="1" applyNumberFormat="1">
      <alignment horizontal="center"/>
    </xf>
    <xf borderId="4" fillId="0" fontId="1" numFmtId="172" xfId="0" applyAlignment="1" applyBorder="1" applyFont="1" applyNumberFormat="1">
      <alignment horizontal="center"/>
    </xf>
    <xf borderId="13" fillId="0" fontId="1" numFmtId="169" xfId="0" applyAlignment="1" applyBorder="1" applyFont="1" applyNumberFormat="1">
      <alignment horizontal="right" shrinkToFit="0" wrapText="1"/>
    </xf>
    <xf borderId="8" fillId="0" fontId="1" numFmtId="169" xfId="0" applyAlignment="1" applyBorder="1" applyFont="1" applyNumberFormat="1">
      <alignment horizontal="right" shrinkToFit="0" wrapText="1"/>
    </xf>
    <xf borderId="5" fillId="0" fontId="1" numFmtId="169" xfId="0" applyAlignment="1" applyBorder="1" applyFont="1" applyNumberFormat="1">
      <alignment horizontal="right" shrinkToFit="0" wrapText="1"/>
    </xf>
    <xf borderId="0" fillId="0" fontId="1" numFmtId="173" xfId="0" applyAlignment="1" applyFont="1" applyNumberFormat="1">
      <alignment horizontal="center"/>
    </xf>
    <xf borderId="9" fillId="0" fontId="9" numFmtId="0" xfId="0" applyAlignment="1" applyBorder="1" applyFont="1">
      <alignment horizontal="right" shrinkToFit="0" wrapText="1"/>
    </xf>
    <xf borderId="12" fillId="0" fontId="1" numFmtId="168" xfId="0" applyAlignment="1" applyBorder="1" applyFont="1" applyNumberFormat="1">
      <alignment horizontal="right"/>
    </xf>
    <xf borderId="0" fillId="0" fontId="1" numFmtId="184" xfId="0" applyFont="1" applyNumberFormat="1"/>
    <xf borderId="11" fillId="0" fontId="1" numFmtId="0" xfId="0" applyAlignment="1" applyBorder="1" applyFont="1">
      <alignment horizontal="left" vertical="center"/>
    </xf>
    <xf borderId="10" fillId="0" fontId="1" numFmtId="172" xfId="0" applyAlignment="1" applyBorder="1" applyFont="1" applyNumberFormat="1">
      <alignment horizontal="center" shrinkToFit="0" vertical="center" wrapText="1"/>
    </xf>
    <xf borderId="10" fillId="0" fontId="1" numFmtId="168" xfId="0" applyAlignment="1" applyBorder="1" applyFont="1" applyNumberFormat="1">
      <alignment horizontal="center" shrinkToFit="0" vertical="center" wrapText="1"/>
    </xf>
    <xf borderId="14" fillId="0" fontId="1" numFmtId="168" xfId="0" applyAlignment="1" applyBorder="1" applyFont="1" applyNumberFormat="1">
      <alignment horizontal="right"/>
    </xf>
    <xf borderId="14" fillId="0" fontId="1" numFmtId="168" xfId="0" applyAlignment="1" applyBorder="1" applyFont="1" applyNumberFormat="1">
      <alignment horizontal="right" shrinkToFit="0" wrapText="1"/>
    </xf>
    <xf borderId="0" fillId="0" fontId="1" numFmtId="188" xfId="0" applyAlignment="1" applyFont="1" applyNumberFormat="1">
      <alignment horizontal="right" shrinkToFit="0" vertical="top" wrapText="1"/>
    </xf>
    <xf borderId="0" fillId="0" fontId="1" numFmtId="188" xfId="0" applyAlignment="1" applyFont="1" applyNumberFormat="1">
      <alignment horizontal="center" shrinkToFit="0" vertical="top" wrapText="1"/>
    </xf>
    <xf borderId="0" fillId="0" fontId="1" numFmtId="188" xfId="0" applyFont="1" applyNumberFormat="1"/>
    <xf borderId="10" fillId="0" fontId="1" numFmtId="171" xfId="0" applyAlignment="1" applyBorder="1" applyFont="1" applyNumberFormat="1">
      <alignment horizontal="center" vertical="center"/>
    </xf>
    <xf borderId="0" fillId="0" fontId="1" numFmtId="168" xfId="0" applyAlignment="1" applyFont="1" applyNumberFormat="1">
      <alignment horizontal="center" shrinkToFit="0" vertical="center" wrapText="1"/>
    </xf>
    <xf borderId="0" fillId="0" fontId="33" numFmtId="0" xfId="0" applyFont="1"/>
    <xf borderId="10" fillId="0" fontId="11" numFmtId="172" xfId="0" applyAlignment="1" applyBorder="1" applyFont="1" applyNumberFormat="1">
      <alignment horizontal="center" shrinkToFit="0" vertical="center" wrapText="1"/>
    </xf>
    <xf borderId="10" fillId="0" fontId="1" numFmtId="172" xfId="0" applyAlignment="1" applyBorder="1" applyFont="1" applyNumberFormat="1">
      <alignment horizontal="center" vertical="center"/>
    </xf>
    <xf borderId="9" fillId="0" fontId="9" numFmtId="0" xfId="0" applyAlignment="1" applyBorder="1" applyFont="1">
      <alignment horizontal="center" shrinkToFit="0" vertical="center" wrapText="1"/>
    </xf>
    <xf borderId="10" fillId="0" fontId="20" numFmtId="172" xfId="0" applyAlignment="1" applyBorder="1" applyFont="1" applyNumberFormat="1">
      <alignment horizontal="center" vertical="center"/>
    </xf>
    <xf borderId="12" fillId="0" fontId="1" numFmtId="168" xfId="0" applyAlignment="1" applyBorder="1" applyFont="1" applyNumberFormat="1">
      <alignment horizontal="center" shrinkToFit="0" vertical="center" wrapText="1"/>
    </xf>
    <xf borderId="0" fillId="0" fontId="1" numFmtId="168" xfId="0" applyFont="1" applyNumberFormat="1"/>
    <xf borderId="0" fillId="0" fontId="1" numFmtId="172" xfId="0" applyAlignment="1" applyFont="1" applyNumberFormat="1">
      <alignment horizontal="center" vertical="center"/>
    </xf>
    <xf borderId="9" fillId="0" fontId="1" numFmtId="172" xfId="0" applyAlignment="1" applyBorder="1" applyFont="1" applyNumberFormat="1">
      <alignment horizontal="center" vertical="center"/>
    </xf>
    <xf borderId="9" fillId="0" fontId="9" numFmtId="172" xfId="0" applyAlignment="1" applyBorder="1" applyFont="1" applyNumberFormat="1">
      <alignment horizontal="center" shrinkToFit="0" vertical="center" wrapText="1"/>
    </xf>
    <xf borderId="9" fillId="0" fontId="1" numFmtId="172" xfId="0" applyAlignment="1" applyBorder="1" applyFont="1" applyNumberFormat="1">
      <alignment horizontal="center" shrinkToFit="0" vertical="center" wrapText="1"/>
    </xf>
    <xf borderId="15" fillId="0" fontId="1" numFmtId="168" xfId="0" applyAlignment="1" applyBorder="1" applyFont="1" applyNumberFormat="1">
      <alignment horizontal="center" shrinkToFit="0" wrapText="1"/>
    </xf>
    <xf borderId="10" fillId="0" fontId="1" numFmtId="168" xfId="0" applyAlignment="1" applyBorder="1" applyFont="1" applyNumberFormat="1">
      <alignment horizontal="center" shrinkToFit="0" wrapText="1"/>
    </xf>
    <xf borderId="15" fillId="0" fontId="1" numFmtId="181" xfId="0" applyAlignment="1" applyBorder="1" applyFont="1" applyNumberFormat="1">
      <alignment horizontal="right" shrinkToFit="0" vertical="center" wrapText="1"/>
    </xf>
    <xf borderId="15" fillId="0" fontId="1" numFmtId="168" xfId="0" applyAlignment="1" applyBorder="1" applyFont="1" applyNumberFormat="1">
      <alignment horizontal="right" shrinkToFit="0" vertical="center" wrapText="1"/>
    </xf>
    <xf borderId="2" fillId="0" fontId="1" numFmtId="168" xfId="0" applyAlignment="1" applyBorder="1" applyFont="1" applyNumberFormat="1">
      <alignment horizontal="right" shrinkToFit="0" wrapText="1"/>
    </xf>
    <xf borderId="12" fillId="0" fontId="1" numFmtId="172" xfId="0" applyAlignment="1" applyBorder="1" applyFont="1" applyNumberFormat="1">
      <alignment horizontal="center" vertical="center"/>
    </xf>
    <xf borderId="12" fillId="0" fontId="1" numFmtId="172" xfId="0" applyAlignment="1" applyBorder="1" applyFont="1" applyNumberFormat="1">
      <alignment horizontal="center" shrinkToFit="0" vertical="center" wrapText="1"/>
    </xf>
    <xf borderId="10" fillId="0" fontId="1" numFmtId="181" xfId="0" applyAlignment="1" applyBorder="1" applyFont="1" applyNumberFormat="1">
      <alignment horizontal="right" shrinkToFit="0" vertical="center" wrapText="1"/>
    </xf>
    <xf borderId="10" fillId="0" fontId="1" numFmtId="168" xfId="0" applyAlignment="1" applyBorder="1" applyFont="1" applyNumberFormat="1">
      <alignment horizontal="right" shrinkToFit="0" vertical="center" wrapText="1"/>
    </xf>
    <xf borderId="0" fillId="0" fontId="1" numFmtId="49" xfId="0" applyFont="1" applyNumberFormat="1"/>
    <xf borderId="0" fillId="0" fontId="1" numFmtId="49" xfId="0" applyAlignment="1" applyFont="1" applyNumberFormat="1">
      <alignment shrinkToFit="0" vertical="center" wrapText="1"/>
    </xf>
    <xf borderId="0" fillId="0" fontId="1" numFmtId="172" xfId="0" applyAlignment="1" applyFont="1" applyNumberFormat="1">
      <alignment horizontal="right" vertical="center"/>
    </xf>
    <xf borderId="0" fillId="0" fontId="1" numFmtId="3" xfId="0" applyAlignment="1" applyFont="1" applyNumberFormat="1">
      <alignment horizontal="right" vertical="center"/>
    </xf>
    <xf borderId="0" fillId="0" fontId="1" numFmtId="3" xfId="0" applyAlignment="1" applyFont="1" applyNumberFormat="1">
      <alignment vertical="center"/>
    </xf>
    <xf borderId="10" fillId="0" fontId="1" numFmtId="168" xfId="0" applyAlignment="1" applyBorder="1" applyFont="1" applyNumberFormat="1">
      <alignment horizontal="center" vertical="center"/>
    </xf>
    <xf borderId="9" fillId="0" fontId="9" numFmtId="0" xfId="0" applyAlignment="1" applyBorder="1" applyFont="1">
      <alignment horizontal="center" shrinkToFit="0" wrapText="1"/>
    </xf>
    <xf borderId="12" fillId="0" fontId="1" numFmtId="168" xfId="0" applyAlignment="1" applyBorder="1" applyFont="1" applyNumberFormat="1">
      <alignment horizontal="center" shrinkToFit="0" wrapText="1"/>
    </xf>
    <xf borderId="0" fillId="0" fontId="1" numFmtId="168" xfId="0" applyAlignment="1" applyFont="1" applyNumberFormat="1">
      <alignment horizontal="center" shrinkToFit="0" wrapText="1"/>
    </xf>
    <xf borderId="11" fillId="0" fontId="1" numFmtId="181" xfId="0" applyAlignment="1" applyBorder="1" applyFont="1" applyNumberFormat="1">
      <alignment horizontal="center" shrinkToFit="0" vertical="center" wrapText="1"/>
    </xf>
    <xf borderId="0" fillId="0" fontId="9" numFmtId="0" xfId="0" applyAlignment="1" applyFont="1">
      <alignment horizontal="center" shrinkToFit="0" wrapText="1"/>
    </xf>
    <xf borderId="12" fillId="0" fontId="1" numFmtId="168" xfId="0" applyAlignment="1" applyBorder="1" applyFont="1" applyNumberFormat="1">
      <alignment horizontal="right" shrinkToFit="0" vertical="center" wrapText="1"/>
    </xf>
    <xf borderId="0" fillId="0" fontId="1" numFmtId="180" xfId="0" applyFont="1" applyNumberFormat="1"/>
    <xf borderId="0" fillId="0" fontId="1" numFmtId="181" xfId="0" applyAlignment="1" applyFont="1" applyNumberFormat="1">
      <alignment shrinkToFit="0" wrapText="1"/>
    </xf>
    <xf borderId="0" fillId="0" fontId="1" numFmtId="4" xfId="0" applyAlignment="1" applyFont="1" applyNumberFormat="1">
      <alignment shrinkToFit="0" wrapText="1"/>
    </xf>
    <xf borderId="3" fillId="0" fontId="1" numFmtId="169" xfId="0" applyAlignment="1" applyBorder="1" applyFont="1" applyNumberFormat="1">
      <alignment shrinkToFit="0" vertical="top" wrapText="1"/>
    </xf>
    <xf borderId="9" fillId="0" fontId="9" numFmtId="0" xfId="0" applyAlignment="1" applyBorder="1" applyFont="1">
      <alignment shrinkToFit="0" wrapText="1"/>
    </xf>
    <xf borderId="15" fillId="0" fontId="1" numFmtId="0" xfId="0" applyBorder="1" applyFont="1"/>
    <xf borderId="15" fillId="0" fontId="1" numFmtId="0" xfId="0" applyAlignment="1" applyBorder="1" applyFont="1">
      <alignment shrinkToFit="0" vertical="center" wrapText="1"/>
    </xf>
    <xf borderId="10" fillId="0" fontId="1" numFmtId="169" xfId="0" applyAlignment="1" applyBorder="1" applyFont="1" applyNumberFormat="1">
      <alignment horizontal="center" shrinkToFit="0" vertical="top" wrapText="1"/>
    </xf>
    <xf borderId="14" fillId="0" fontId="1" numFmtId="188" xfId="0" applyAlignment="1" applyBorder="1" applyFont="1" applyNumberFormat="1">
      <alignment horizontal="right" shrinkToFit="0" wrapText="1"/>
    </xf>
    <xf borderId="15" fillId="0" fontId="1" numFmtId="188" xfId="0" applyAlignment="1" applyBorder="1" applyFont="1" applyNumberFormat="1">
      <alignment horizontal="right" shrinkToFit="0" wrapText="1"/>
    </xf>
    <xf borderId="3" fillId="0" fontId="1" numFmtId="188" xfId="0" applyAlignment="1" applyBorder="1" applyFont="1" applyNumberFormat="1">
      <alignment horizontal="right" shrinkToFit="0" wrapText="1"/>
    </xf>
    <xf borderId="15" fillId="0" fontId="1" numFmtId="169" xfId="0" applyAlignment="1" applyBorder="1" applyFont="1" applyNumberFormat="1">
      <alignment horizontal="center" shrinkToFit="0" wrapText="1"/>
    </xf>
    <xf borderId="0" fillId="0" fontId="1" numFmtId="188" xfId="0" applyAlignment="1" applyFont="1" applyNumberFormat="1">
      <alignment horizontal="right" shrinkToFit="0" wrapText="1"/>
    </xf>
    <xf borderId="10" fillId="0" fontId="1" numFmtId="188" xfId="0" applyAlignment="1" applyBorder="1" applyFont="1" applyNumberFormat="1">
      <alignment horizontal="right" shrinkToFit="0" wrapText="1"/>
    </xf>
    <xf borderId="10" fillId="0" fontId="1" numFmtId="169" xfId="0" applyAlignment="1" applyBorder="1" applyFont="1" applyNumberFormat="1">
      <alignment horizontal="center" shrinkToFit="1" wrapText="0"/>
    </xf>
    <xf borderId="4" fillId="0" fontId="1" numFmtId="49" xfId="0" applyAlignment="1" applyBorder="1" applyFont="1" applyNumberFormat="1">
      <alignment shrinkToFit="0" vertical="top" wrapText="1"/>
    </xf>
    <xf borderId="10" fillId="0" fontId="1" numFmtId="169" xfId="0" applyAlignment="1" applyBorder="1" applyFont="1" applyNumberFormat="1">
      <alignment horizontal="center" shrinkToFit="0" wrapText="1"/>
    </xf>
    <xf borderId="12" fillId="0" fontId="1" numFmtId="169" xfId="0" applyAlignment="1" applyBorder="1" applyFont="1" applyNumberFormat="1">
      <alignment horizontal="center" shrinkToFit="0" vertical="top" wrapText="1"/>
    </xf>
    <xf borderId="9" fillId="0" fontId="1" numFmtId="188" xfId="0" applyAlignment="1" applyBorder="1" applyFont="1" applyNumberFormat="1">
      <alignment horizontal="right" shrinkToFit="0" wrapText="1"/>
    </xf>
    <xf borderId="0" fillId="0" fontId="1" numFmtId="169" xfId="0" applyAlignment="1" applyFont="1" applyNumberFormat="1">
      <alignment horizontal="center"/>
    </xf>
    <xf borderId="0" fillId="0" fontId="1" numFmtId="169" xfId="0" applyAlignment="1" applyFont="1" applyNumberFormat="1">
      <alignment horizontal="center" vertical="top"/>
    </xf>
    <xf borderId="10" fillId="0" fontId="1" numFmtId="3" xfId="0" applyAlignment="1" applyBorder="1" applyFont="1" applyNumberFormat="1">
      <alignment horizontal="center" shrinkToFit="0" wrapText="1"/>
    </xf>
    <xf borderId="10" fillId="0" fontId="1" numFmtId="169" xfId="0" applyAlignment="1" applyBorder="1" applyFont="1" applyNumberFormat="1">
      <alignment horizontal="center"/>
    </xf>
    <xf borderId="15" fillId="0" fontId="1" numFmtId="180" xfId="0" applyAlignment="1" applyBorder="1" applyFont="1" applyNumberFormat="1">
      <alignment horizontal="right" shrinkToFit="0" wrapText="1"/>
    </xf>
    <xf borderId="12" fillId="0" fontId="1" numFmtId="181" xfId="0" applyAlignment="1" applyBorder="1" applyFont="1" applyNumberFormat="1">
      <alignment horizontal="right" shrinkToFit="0" vertical="center" wrapText="1"/>
    </xf>
    <xf borderId="10" fillId="0" fontId="1" numFmtId="164" xfId="0" applyAlignment="1" applyBorder="1" applyFont="1" applyNumberFormat="1">
      <alignment horizontal="center" shrinkToFit="0" wrapText="1"/>
    </xf>
    <xf borderId="5" fillId="0" fontId="1" numFmtId="188" xfId="0" applyAlignment="1" applyBorder="1" applyFont="1" applyNumberFormat="1">
      <alignment horizontal="right" shrinkToFit="0" wrapText="1"/>
    </xf>
    <xf borderId="12" fillId="0" fontId="1" numFmtId="188" xfId="0" applyAlignment="1" applyBorder="1" applyFont="1" applyNumberFormat="1">
      <alignment horizontal="right" shrinkToFit="0" wrapText="1"/>
    </xf>
    <xf borderId="4" fillId="0" fontId="1" numFmtId="188" xfId="0" applyAlignment="1" applyBorder="1" applyFont="1" applyNumberFormat="1">
      <alignment horizontal="right" shrinkToFit="0" wrapText="1"/>
    </xf>
    <xf borderId="0" fillId="0" fontId="1" numFmtId="179" xfId="0" applyFont="1" applyNumberFormat="1"/>
    <xf quotePrefix="1" borderId="0" fillId="0" fontId="1" numFmtId="0" xfId="0" applyAlignment="1" applyFont="1">
      <alignment horizontal="left" shrinkToFit="0" wrapText="1"/>
    </xf>
    <xf borderId="10" fillId="0" fontId="1" numFmtId="164" xfId="0" applyAlignment="1" applyBorder="1" applyFont="1" applyNumberFormat="1">
      <alignment horizontal="center"/>
    </xf>
    <xf borderId="10" fillId="0" fontId="1" numFmtId="3" xfId="0" applyAlignment="1" applyBorder="1" applyFont="1" applyNumberFormat="1">
      <alignment horizontal="center"/>
    </xf>
    <xf borderId="10" fillId="0" fontId="1" numFmtId="169" xfId="0" applyAlignment="1" applyBorder="1" applyFont="1" applyNumberFormat="1">
      <alignment horizontal="center" vertical="top"/>
    </xf>
    <xf quotePrefix="1" borderId="3" fillId="0" fontId="1" numFmtId="49" xfId="0" applyAlignment="1" applyBorder="1" applyFont="1" applyNumberFormat="1">
      <alignment horizontal="left" shrinkToFit="0" wrapText="1"/>
    </xf>
    <xf borderId="10" fillId="0" fontId="1" numFmtId="169" xfId="0" applyAlignment="1" applyBorder="1" applyFont="1" applyNumberFormat="1">
      <alignment horizontal="center" shrinkToFit="0" vertical="center" wrapText="1"/>
    </xf>
    <xf borderId="9" fillId="0" fontId="1" numFmtId="169" xfId="0" applyAlignment="1" applyBorder="1" applyFont="1" applyNumberFormat="1">
      <alignment horizontal="center" shrinkToFit="0" vertical="top" wrapText="1"/>
    </xf>
    <xf borderId="3" fillId="0" fontId="1" numFmtId="188" xfId="0" applyAlignment="1" applyBorder="1" applyFont="1" applyNumberFormat="1">
      <alignment horizontal="right"/>
    </xf>
    <xf borderId="9" fillId="0" fontId="1" numFmtId="188" xfId="0" applyAlignment="1" applyBorder="1" applyFont="1" applyNumberFormat="1">
      <alignment horizontal="right"/>
    </xf>
    <xf borderId="0" fillId="0" fontId="1" numFmtId="188" xfId="0" applyAlignment="1" applyFont="1" applyNumberFormat="1">
      <alignment horizontal="right"/>
    </xf>
    <xf borderId="12" fillId="0" fontId="1" numFmtId="180" xfId="0" applyAlignment="1" applyBorder="1" applyFont="1" applyNumberFormat="1">
      <alignment horizontal="right" shrinkToFit="0" wrapText="1"/>
    </xf>
    <xf borderId="12" fillId="0" fontId="1" numFmtId="164" xfId="0" applyAlignment="1" applyBorder="1" applyFont="1" applyNumberFormat="1">
      <alignment horizontal="center" shrinkToFit="0" wrapText="1"/>
    </xf>
    <xf borderId="11" fillId="0" fontId="1" numFmtId="169" xfId="0" applyAlignment="1" applyBorder="1" applyFont="1" applyNumberFormat="1">
      <alignment horizontal="center"/>
    </xf>
    <xf borderId="12" fillId="0" fontId="1" numFmtId="169" xfId="0" applyAlignment="1" applyBorder="1" applyFont="1" applyNumberFormat="1">
      <alignment horizontal="center" shrinkToFit="0" wrapText="1"/>
    </xf>
    <xf borderId="0" fillId="0" fontId="9" numFmtId="0" xfId="0" applyAlignment="1" applyFont="1">
      <alignment horizontal="center" vertical="top"/>
    </xf>
    <xf borderId="0" fillId="0" fontId="21" numFmtId="3" xfId="0" applyFont="1" applyNumberFormat="1"/>
    <xf borderId="2" fillId="0" fontId="1" numFmtId="168" xfId="0" applyAlignment="1" applyBorder="1" applyFont="1" applyNumberFormat="1">
      <alignment horizontal="center" shrinkToFit="0" wrapText="1"/>
    </xf>
    <xf borderId="9" fillId="0" fontId="1" numFmtId="168" xfId="0" applyAlignment="1" applyBorder="1" applyFont="1" applyNumberFormat="1">
      <alignment horizontal="center" shrinkToFit="0" wrapText="1"/>
    </xf>
    <xf borderId="4" fillId="0" fontId="1" numFmtId="171" xfId="0" applyAlignment="1" applyBorder="1" applyFont="1" applyNumberFormat="1">
      <alignment horizontal="right" shrinkToFit="0" vertical="top" wrapText="1"/>
    </xf>
    <xf borderId="0" fillId="0" fontId="1" numFmtId="171" xfId="0" applyAlignment="1" applyFont="1" applyNumberFormat="1">
      <alignment horizontal="right" shrinkToFit="0" vertical="top" wrapText="1"/>
    </xf>
    <xf borderId="0" fillId="0" fontId="1" numFmtId="168" xfId="0" applyAlignment="1" applyFont="1" applyNumberFormat="1">
      <alignment horizontal="right" shrinkToFit="0" vertical="top" wrapText="1"/>
    </xf>
    <xf borderId="0" fillId="0" fontId="1" numFmtId="168" xfId="0" applyAlignment="1" applyFont="1" applyNumberFormat="1">
      <alignment horizontal="right" shrinkToFit="0" vertical="center" wrapText="1"/>
    </xf>
    <xf borderId="11" fillId="0" fontId="1" numFmtId="168" xfId="0" applyAlignment="1" applyBorder="1" applyFont="1" applyNumberFormat="1">
      <alignment horizontal="right" shrinkToFit="0" vertical="center" wrapText="1"/>
    </xf>
    <xf borderId="5" fillId="0" fontId="1" numFmtId="168" xfId="0" applyAlignment="1" applyBorder="1" applyFont="1" applyNumberFormat="1">
      <alignment horizontal="center" shrinkToFit="0" wrapText="1"/>
    </xf>
    <xf borderId="0" fillId="0" fontId="27" numFmtId="181" xfId="0" applyFont="1" applyNumberFormat="1"/>
    <xf borderId="3" fillId="0" fontId="1" numFmtId="1" xfId="0" applyAlignment="1" applyBorder="1" applyFont="1" applyNumberFormat="1">
      <alignment horizontal="left" shrinkToFit="0" wrapText="1"/>
    </xf>
    <xf borderId="9" fillId="0" fontId="1" numFmtId="188" xfId="0" applyAlignment="1" applyBorder="1" applyFont="1" applyNumberFormat="1">
      <alignment horizontal="center" shrinkToFit="0" wrapText="1"/>
    </xf>
    <xf borderId="8" fillId="0" fontId="1" numFmtId="17" xfId="0" applyAlignment="1" applyBorder="1" applyFont="1" applyNumberFormat="1">
      <alignment horizontal="center" shrinkToFit="0" vertical="center" wrapText="1"/>
    </xf>
    <xf borderId="13" fillId="0" fontId="1" numFmtId="177" xfId="0" applyAlignment="1" applyBorder="1" applyFont="1" applyNumberFormat="1">
      <alignment horizontal="center" vertical="center"/>
    </xf>
    <xf borderId="13" fillId="0" fontId="1" numFmtId="0" xfId="0" applyBorder="1" applyFont="1"/>
    <xf borderId="6" fillId="0" fontId="20" numFmtId="49" xfId="0" applyAlignment="1" applyBorder="1" applyFont="1" applyNumberFormat="1">
      <alignment horizontal="center" vertical="center"/>
    </xf>
    <xf borderId="3" fillId="0" fontId="1" numFmtId="183" xfId="0" applyBorder="1" applyFont="1" applyNumberFormat="1"/>
    <xf borderId="3" fillId="0" fontId="1" numFmtId="183" xfId="0" applyAlignment="1" applyBorder="1" applyFont="1" applyNumberFormat="1">
      <alignment horizontal="right"/>
    </xf>
    <xf quotePrefix="1" borderId="3" fillId="0" fontId="1" numFmtId="1" xfId="0" applyAlignment="1" applyBorder="1" applyFont="1" applyNumberFormat="1">
      <alignment horizontal="left" shrinkToFit="0" wrapText="1"/>
    </xf>
    <xf borderId="10" fillId="0" fontId="1" numFmtId="169" xfId="0" applyBorder="1" applyFont="1" applyNumberFormat="1"/>
    <xf borderId="4" fillId="0" fontId="1" numFmtId="3" xfId="0" applyAlignment="1" applyBorder="1" applyFont="1" applyNumberFormat="1">
      <alignment horizontal="right"/>
    </xf>
    <xf borderId="4" fillId="0" fontId="1" numFmtId="183" xfId="0" applyBorder="1" applyFont="1" applyNumberFormat="1"/>
    <xf borderId="4" fillId="0" fontId="1" numFmtId="164" xfId="0" applyBorder="1" applyFont="1" applyNumberFormat="1"/>
    <xf borderId="3" fillId="0" fontId="1" numFmtId="188" xfId="0" applyAlignment="1" applyBorder="1" applyFont="1" applyNumberFormat="1">
      <alignment horizontal="center" shrinkToFit="0" wrapText="1"/>
    </xf>
    <xf borderId="13" fillId="0" fontId="18" numFmtId="164" xfId="0" applyAlignment="1" applyBorder="1" applyFont="1" applyNumberFormat="1">
      <alignment horizontal="right" shrinkToFit="0" wrapText="1"/>
    </xf>
    <xf borderId="4" fillId="0" fontId="18" numFmtId="164" xfId="0" applyBorder="1" applyFont="1" applyNumberFormat="1"/>
    <xf borderId="15" fillId="0" fontId="1" numFmtId="164" xfId="0" applyAlignment="1" applyBorder="1" applyFont="1" applyNumberFormat="1">
      <alignment horizontal="right"/>
    </xf>
    <xf borderId="3" fillId="0" fontId="1" numFmtId="168" xfId="0" applyAlignment="1" applyBorder="1" applyFont="1" applyNumberFormat="1">
      <alignment horizontal="center" shrinkToFit="0" wrapText="1"/>
    </xf>
    <xf borderId="12" fillId="0" fontId="1" numFmtId="164" xfId="0" applyAlignment="1" applyBorder="1" applyFont="1" applyNumberFormat="1">
      <alignment horizontal="right"/>
    </xf>
    <xf borderId="4" fillId="0" fontId="1" numFmtId="168" xfId="0" applyAlignment="1" applyBorder="1" applyFont="1" applyNumberFormat="1">
      <alignment horizontal="center" shrinkToFit="0" wrapText="1"/>
    </xf>
    <xf borderId="5" fillId="0" fontId="18" numFmtId="164" xfId="0" applyAlignment="1" applyBorder="1" applyFont="1" applyNumberFormat="1">
      <alignment horizontal="right" shrinkToFit="0" wrapText="1"/>
    </xf>
    <xf borderId="0" fillId="0" fontId="11" numFmtId="169" xfId="0" applyFont="1" applyNumberFormat="1"/>
    <xf borderId="0" fillId="0" fontId="34" numFmtId="3" xfId="0" applyAlignment="1" applyFont="1" applyNumberFormat="1">
      <alignment horizontal="right" shrinkToFit="0" vertical="top" wrapText="1"/>
    </xf>
    <xf borderId="4" fillId="0" fontId="18" numFmtId="183" xfId="0" applyBorder="1" applyFont="1" applyNumberFormat="1"/>
    <xf borderId="0" fillId="0" fontId="11" numFmtId="169" xfId="0" applyAlignment="1" applyFont="1" applyNumberFormat="1">
      <alignment vertical="center"/>
    </xf>
    <xf borderId="14" fillId="0" fontId="1" numFmtId="169" xfId="0" applyBorder="1" applyFont="1" applyNumberFormat="1"/>
    <xf borderId="0" fillId="0" fontId="18" numFmtId="169" xfId="0" applyFont="1" applyNumberFormat="1"/>
    <xf borderId="0" fillId="0" fontId="1" numFmtId="169" xfId="0" applyAlignment="1" applyFont="1" applyNumberFormat="1">
      <alignment horizontal="left"/>
    </xf>
    <xf borderId="15" fillId="0" fontId="1" numFmtId="169" xfId="0" applyAlignment="1" applyBorder="1" applyFont="1" applyNumberFormat="1">
      <alignment horizontal="left" shrinkToFit="0" vertical="center" wrapText="1"/>
    </xf>
    <xf borderId="13" fillId="0" fontId="1" numFmtId="1" xfId="0" applyAlignment="1" applyBorder="1" applyFont="1" applyNumberFormat="1">
      <alignment horizontal="center" shrinkToFit="0" vertical="center" wrapText="1"/>
    </xf>
    <xf borderId="6" fillId="0" fontId="1" numFmtId="1" xfId="0" applyAlignment="1" applyBorder="1" applyFont="1" applyNumberFormat="1">
      <alignment horizontal="center" shrinkToFit="0" vertical="center" wrapText="1"/>
    </xf>
    <xf borderId="8" fillId="0" fontId="1" numFmtId="1" xfId="0" applyAlignment="1" applyBorder="1" applyFont="1" applyNumberFormat="1">
      <alignment horizontal="center" shrinkToFit="0" vertical="center" wrapText="1"/>
    </xf>
    <xf borderId="13" fillId="0" fontId="1" numFmtId="169" xfId="0" applyAlignment="1" applyBorder="1" applyFont="1" applyNumberFormat="1">
      <alignment horizontal="center" shrinkToFit="0" vertical="center" wrapText="1"/>
    </xf>
    <xf borderId="12" fillId="0" fontId="18" numFmtId="0" xfId="0" applyAlignment="1" applyBorder="1" applyFont="1">
      <alignment horizontal="left" shrinkToFit="0" wrapText="1"/>
    </xf>
    <xf borderId="13" fillId="0" fontId="1" numFmtId="169" xfId="0" applyAlignment="1" applyBorder="1" applyFont="1" applyNumberFormat="1">
      <alignment horizontal="center" vertical="center"/>
    </xf>
    <xf borderId="6" fillId="0" fontId="1" numFmtId="49" xfId="0" applyAlignment="1" applyBorder="1" applyFont="1" applyNumberFormat="1">
      <alignment horizontal="center" vertical="center"/>
    </xf>
    <xf borderId="6" fillId="0" fontId="1" numFmtId="49" xfId="0" applyAlignment="1" applyBorder="1" applyFont="1" applyNumberFormat="1">
      <alignment horizontal="center"/>
    </xf>
    <xf borderId="4" fillId="0" fontId="18" numFmtId="169" xfId="0" applyBorder="1" applyFont="1" applyNumberFormat="1"/>
    <xf borderId="0" fillId="0" fontId="18" numFmtId="0" xfId="0" applyAlignment="1" applyFont="1">
      <alignment horizontal="left" shrinkToFit="0" wrapText="1"/>
    </xf>
    <xf borderId="0" fillId="0" fontId="18" numFmtId="164" xfId="0" applyAlignment="1" applyFont="1" applyNumberFormat="1">
      <alignment horizontal="right" shrinkToFit="0" wrapText="1"/>
    </xf>
    <xf quotePrefix="1" borderId="6" fillId="0" fontId="1" numFmtId="169" xfId="0" applyAlignment="1" applyBorder="1" applyFont="1" applyNumberFormat="1">
      <alignment horizontal="center" vertical="center"/>
    </xf>
    <xf borderId="15" fillId="0" fontId="1" numFmtId="169" xfId="0" applyAlignment="1" applyBorder="1" applyFont="1" applyNumberFormat="1">
      <alignment horizontal="left" shrinkToFit="0" wrapText="1"/>
    </xf>
    <xf borderId="2" fillId="0" fontId="1" numFmtId="0" xfId="0" applyAlignment="1" applyBorder="1" applyFont="1">
      <alignment shrinkToFit="0" vertical="center" wrapText="1"/>
    </xf>
    <xf borderId="2" fillId="0" fontId="1" numFmtId="169" xfId="0" applyAlignment="1" applyBorder="1" applyFont="1" applyNumberFormat="1">
      <alignment horizontal="left" shrinkToFit="0" wrapText="1"/>
    </xf>
    <xf borderId="2" fillId="0" fontId="1" numFmtId="164" xfId="0" applyAlignment="1" applyBorder="1" applyFont="1" applyNumberFormat="1">
      <alignment horizontal="right" shrinkToFit="0" wrapText="1"/>
    </xf>
    <xf borderId="8" fillId="0" fontId="1" numFmtId="49" xfId="0" applyAlignment="1" applyBorder="1" applyFont="1" applyNumberFormat="1">
      <alignment horizontal="center" shrinkToFit="0" vertical="center" wrapText="1"/>
    </xf>
    <xf borderId="10" fillId="0" fontId="1" numFmtId="164" xfId="0" applyBorder="1" applyFont="1" applyNumberFormat="1"/>
    <xf borderId="15" fillId="0" fontId="1" numFmtId="164" xfId="0" applyAlignment="1" applyBorder="1" applyFont="1" applyNumberFormat="1">
      <alignment horizontal="right" shrinkToFit="0" wrapText="1"/>
    </xf>
    <xf borderId="7" fillId="0" fontId="1" numFmtId="0" xfId="0" applyAlignment="1" applyBorder="1" applyFont="1">
      <alignment horizontal="center" shrinkToFit="0" vertical="center" wrapText="1"/>
    </xf>
    <xf borderId="1" fillId="0" fontId="11" numFmtId="3" xfId="0" applyAlignment="1" applyBorder="1" applyFont="1" applyNumberFormat="1">
      <alignment shrinkToFit="0" vertical="center" wrapText="1"/>
    </xf>
    <xf borderId="13" fillId="0" fontId="1" numFmtId="177" xfId="0" applyAlignment="1" applyBorder="1" applyFont="1" applyNumberFormat="1">
      <alignment horizontal="center" shrinkToFit="0" vertical="center" wrapText="1"/>
    </xf>
    <xf borderId="10" fillId="0" fontId="1" numFmtId="169" xfId="0" applyAlignment="1" applyBorder="1" applyFont="1" applyNumberFormat="1">
      <alignment horizontal="left" shrinkToFit="0" wrapText="1"/>
    </xf>
    <xf borderId="9" fillId="0" fontId="1" numFmtId="169" xfId="0" applyAlignment="1" applyBorder="1" applyFont="1" applyNumberFormat="1">
      <alignment horizontal="left" shrinkToFit="0" wrapText="1"/>
    </xf>
    <xf borderId="13" fillId="0" fontId="1" numFmtId="49" xfId="0" applyAlignment="1" applyBorder="1" applyFont="1" applyNumberFormat="1">
      <alignment horizontal="center" shrinkToFit="0" vertical="center" wrapText="1"/>
    </xf>
    <xf borderId="3" fillId="0" fontId="11" numFmtId="3" xfId="0" applyAlignment="1" applyBorder="1" applyFont="1" applyNumberFormat="1">
      <alignment shrinkToFit="0" vertical="center" wrapText="1"/>
    </xf>
    <xf borderId="12" fillId="0" fontId="1" numFmtId="0" xfId="0" applyAlignment="1" applyBorder="1" applyFont="1">
      <alignment shrinkToFit="0" vertical="center" wrapText="1"/>
    </xf>
    <xf borderId="5" fillId="0" fontId="1" numFmtId="0" xfId="0" applyAlignment="1" applyBorder="1" applyFont="1">
      <alignment vertical="center"/>
    </xf>
    <xf borderId="10" fillId="0" fontId="1" numFmtId="169" xfId="0" applyAlignment="1" applyBorder="1" applyFont="1" applyNumberFormat="1">
      <alignment horizontal="left"/>
    </xf>
    <xf borderId="9" fillId="0" fontId="1" numFmtId="169" xfId="0" applyAlignment="1" applyBorder="1" applyFont="1" applyNumberFormat="1">
      <alignment horizontal="left"/>
    </xf>
    <xf borderId="10" fillId="0" fontId="1" numFmtId="0" xfId="0" applyAlignment="1" applyBorder="1" applyFont="1">
      <alignment shrinkToFit="0" vertical="center" wrapText="1"/>
    </xf>
    <xf borderId="3" fillId="0" fontId="1" numFmtId="164" xfId="0" applyAlignment="1" applyBorder="1" applyFont="1" applyNumberFormat="1">
      <alignment horizontal="right" vertical="center"/>
    </xf>
    <xf borderId="10" fillId="0" fontId="1" numFmtId="164" xfId="0" applyAlignment="1" applyBorder="1" applyFont="1" applyNumberFormat="1">
      <alignment horizontal="right" vertical="center"/>
    </xf>
    <xf borderId="9" fillId="0" fontId="1" numFmtId="169" xfId="0" applyBorder="1" applyFont="1" applyNumberFormat="1"/>
    <xf borderId="1" fillId="0" fontId="1" numFmtId="164" xfId="0" applyAlignment="1" applyBorder="1" applyFont="1" applyNumberFormat="1">
      <alignment horizontal="right" vertical="center"/>
    </xf>
    <xf borderId="1" fillId="0" fontId="1" numFmtId="164" xfId="0" applyAlignment="1" applyBorder="1" applyFont="1" applyNumberFormat="1">
      <alignment horizontal="right" shrinkToFit="0" vertical="center" wrapText="1"/>
    </xf>
    <xf borderId="3" fillId="0" fontId="1" numFmtId="169" xfId="0" applyAlignment="1" applyBorder="1" applyFont="1" applyNumberFormat="1">
      <alignment horizontal="right" vertical="center"/>
    </xf>
    <xf borderId="1" fillId="0" fontId="1" numFmtId="173" xfId="0" applyAlignment="1" applyBorder="1" applyFont="1" applyNumberFormat="1">
      <alignment horizontal="right" vertical="center"/>
    </xf>
    <xf borderId="3" fillId="0" fontId="1" numFmtId="173" xfId="0" applyAlignment="1" applyBorder="1" applyFont="1" applyNumberFormat="1">
      <alignment horizontal="right" vertical="center"/>
    </xf>
    <xf borderId="3" fillId="0" fontId="1" numFmtId="164" xfId="0" applyAlignment="1" applyBorder="1" applyFont="1" applyNumberFormat="1">
      <alignment shrinkToFit="0" wrapText="1"/>
    </xf>
    <xf borderId="10" fillId="0" fontId="1" numFmtId="164" xfId="0" applyAlignment="1" applyBorder="1" applyFont="1" applyNumberFormat="1">
      <alignment shrinkToFit="0" wrapText="1"/>
    </xf>
    <xf borderId="4" fillId="0" fontId="1" numFmtId="164" xfId="0" applyAlignment="1" applyBorder="1" applyFont="1" applyNumberFormat="1">
      <alignment horizontal="right" vertical="center"/>
    </xf>
    <xf borderId="0" fillId="0" fontId="0" numFmtId="0" xfId="0" applyAlignment="1" applyFont="1">
      <alignment horizontal="left" textRotation="180"/>
    </xf>
    <xf borderId="12" fillId="0" fontId="1" numFmtId="164" xfId="0" applyAlignment="1" applyBorder="1" applyFont="1" applyNumberFormat="1">
      <alignment horizontal="right" vertical="center"/>
    </xf>
    <xf borderId="4" fillId="0" fontId="1" numFmtId="164" xfId="0" applyAlignment="1" applyBorder="1" applyFont="1" applyNumberFormat="1">
      <alignment horizontal="right" shrinkToFit="0" vertical="center" wrapText="1"/>
    </xf>
    <xf borderId="4" fillId="0" fontId="1" numFmtId="169" xfId="0" applyAlignment="1" applyBorder="1" applyFont="1" applyNumberFormat="1">
      <alignment horizontal="right" vertical="center"/>
    </xf>
    <xf borderId="4" fillId="0" fontId="1" numFmtId="173" xfId="0" applyAlignment="1" applyBorder="1" applyFont="1" applyNumberFormat="1">
      <alignment horizontal="right" vertical="center"/>
    </xf>
    <xf borderId="0" fillId="0" fontId="27" numFmtId="164" xfId="0" applyFont="1" applyNumberFormat="1"/>
    <xf borderId="14" fillId="0" fontId="27" numFmtId="164" xfId="0" applyBorder="1" applyFont="1" applyNumberFormat="1"/>
    <xf borderId="12" fillId="0" fontId="1" numFmtId="169" xfId="0" applyAlignment="1" applyBorder="1" applyFont="1" applyNumberFormat="1">
      <alignment horizontal="left" shrinkToFit="0" wrapText="1"/>
    </xf>
    <xf borderId="11" fillId="0" fontId="1" numFmtId="169" xfId="0" applyBorder="1" applyFont="1" applyNumberFormat="1"/>
    <xf borderId="12" fillId="0" fontId="1" numFmtId="164" xfId="0" applyBorder="1" applyFont="1" applyNumberFormat="1"/>
    <xf borderId="12" fillId="0" fontId="1" numFmtId="164" xfId="0" applyAlignment="1" applyBorder="1" applyFont="1" applyNumberFormat="1">
      <alignment horizontal="right" shrinkToFit="0" wrapText="1"/>
    </xf>
    <xf borderId="4" fillId="0" fontId="11" numFmtId="3" xfId="0" applyAlignment="1" applyBorder="1" applyFont="1" applyNumberFormat="1">
      <alignment shrinkToFit="0" vertical="center" wrapText="1"/>
    </xf>
    <xf borderId="6" fillId="0" fontId="1" numFmtId="169" xfId="0" applyAlignment="1" applyBorder="1" applyFont="1" applyNumberFormat="1">
      <alignment horizontal="left" shrinkToFit="0" wrapText="1"/>
    </xf>
    <xf borderId="8" fillId="0" fontId="1" numFmtId="169" xfId="0" applyAlignment="1" applyBorder="1" applyFont="1" applyNumberFormat="1">
      <alignment horizontal="left" shrinkToFit="0" wrapText="1"/>
    </xf>
    <xf borderId="8" fillId="0" fontId="1" numFmtId="164" xfId="0" applyAlignment="1" applyBorder="1" applyFont="1" applyNumberFormat="1">
      <alignment horizontal="right" shrinkToFit="0" wrapText="1"/>
    </xf>
    <xf borderId="13" fillId="0" fontId="1" numFmtId="164" xfId="0" applyBorder="1" applyFont="1" applyNumberFormat="1"/>
    <xf borderId="0" fillId="0" fontId="11" numFmtId="169" xfId="0" applyAlignment="1" applyFont="1" applyNumberFormat="1">
      <alignment horizontal="left"/>
    </xf>
    <xf borderId="3" fillId="0" fontId="1" numFmtId="3" xfId="0" applyAlignment="1" applyBorder="1" applyFont="1" applyNumberFormat="1">
      <alignment horizontal="right" shrinkToFit="0" vertical="top" wrapText="1"/>
    </xf>
    <xf borderId="13" fillId="0" fontId="1" numFmtId="1" xfId="0" applyAlignment="1" applyBorder="1" applyFont="1" applyNumberFormat="1">
      <alignment horizontal="center" vertical="center"/>
    </xf>
    <xf borderId="2" fillId="0" fontId="1" numFmtId="169" xfId="0" applyAlignment="1" applyBorder="1" applyFont="1" applyNumberFormat="1">
      <alignment horizontal="left" shrinkToFit="0" vertical="center" wrapText="1"/>
    </xf>
    <xf borderId="1" fillId="0" fontId="20" numFmtId="164" xfId="0" applyAlignment="1" applyBorder="1" applyFont="1" applyNumberFormat="1">
      <alignment horizontal="right" shrinkToFit="0" wrapText="1"/>
    </xf>
    <xf borderId="15" fillId="0" fontId="20" numFmtId="164" xfId="0" applyAlignment="1" applyBorder="1" applyFont="1" applyNumberFormat="1">
      <alignment horizontal="right" shrinkToFit="0" wrapText="1"/>
    </xf>
    <xf borderId="1" fillId="0" fontId="11" numFmtId="3" xfId="0" applyAlignment="1" applyBorder="1" applyFont="1" applyNumberFormat="1">
      <alignment horizontal="right" shrinkToFit="0" vertical="center" wrapText="1"/>
    </xf>
    <xf borderId="1" fillId="0" fontId="1" numFmtId="164" xfId="0" applyBorder="1" applyFont="1" applyNumberFormat="1"/>
    <xf borderId="9" fillId="0" fontId="1" numFmtId="169" xfId="0" applyAlignment="1" applyBorder="1" applyFont="1" applyNumberFormat="1">
      <alignment horizontal="left" shrinkToFit="0" vertical="center" wrapText="1"/>
    </xf>
    <xf borderId="3" fillId="0" fontId="20" numFmtId="164" xfId="0" applyAlignment="1" applyBorder="1" applyFont="1" applyNumberFormat="1">
      <alignment horizontal="right" shrinkToFit="0" wrapText="1"/>
    </xf>
    <xf borderId="10" fillId="0" fontId="20" numFmtId="164" xfId="0" applyAlignment="1" applyBorder="1" applyFont="1" applyNumberFormat="1">
      <alignment horizontal="right" shrinkToFit="0" wrapText="1"/>
    </xf>
    <xf borderId="3" fillId="0" fontId="11" numFmtId="3" xfId="0" applyAlignment="1" applyBorder="1" applyFont="1" applyNumberFormat="1">
      <alignment horizontal="right" shrinkToFit="0" vertical="center" wrapText="1"/>
    </xf>
    <xf borderId="9" fillId="0" fontId="1" numFmtId="169" xfId="0" applyAlignment="1" applyBorder="1" applyFont="1" applyNumberFormat="1">
      <alignment vertical="center"/>
    </xf>
    <xf borderId="12" fillId="0" fontId="1" numFmtId="169" xfId="0" applyAlignment="1" applyBorder="1" applyFont="1" applyNumberFormat="1">
      <alignment horizontal="left"/>
    </xf>
    <xf borderId="5" fillId="0" fontId="1" numFmtId="169" xfId="0" applyAlignment="1" applyBorder="1" applyFont="1" applyNumberFormat="1">
      <alignment vertical="center"/>
    </xf>
    <xf borderId="4" fillId="0" fontId="20" numFmtId="164" xfId="0" applyAlignment="1" applyBorder="1" applyFont="1" applyNumberFormat="1">
      <alignment horizontal="right" shrinkToFit="0" wrapText="1"/>
    </xf>
    <xf borderId="12" fillId="0" fontId="20" numFmtId="164" xfId="0" applyAlignment="1" applyBorder="1" applyFont="1" applyNumberFormat="1">
      <alignment horizontal="right" shrinkToFit="0" wrapText="1"/>
    </xf>
    <xf borderId="4" fillId="0" fontId="11" numFmtId="3" xfId="0" applyAlignment="1" applyBorder="1" applyFont="1" applyNumberFormat="1">
      <alignment horizontal="right" shrinkToFit="0" vertical="center" wrapText="1"/>
    </xf>
    <xf borderId="6" fillId="0" fontId="1" numFmtId="169" xfId="0" applyAlignment="1" applyBorder="1" applyFont="1" applyNumberFormat="1">
      <alignment shrinkToFit="0" wrapText="1"/>
    </xf>
    <xf borderId="8" fillId="0" fontId="1" numFmtId="169" xfId="0" applyAlignment="1" applyBorder="1" applyFont="1" applyNumberFormat="1">
      <alignment shrinkToFit="0" vertical="center" wrapText="1"/>
    </xf>
    <xf borderId="12" fillId="0" fontId="1" numFmtId="169" xfId="0" applyAlignment="1" applyBorder="1" applyFont="1" applyNumberFormat="1">
      <alignment horizontal="left" readingOrder="1" shrinkToFit="0" wrapText="1"/>
    </xf>
    <xf borderId="6" fillId="0" fontId="1" numFmtId="169" xfId="0" applyAlignment="1" applyBorder="1" applyFont="1" applyNumberFormat="1">
      <alignment horizontal="center" vertical="center"/>
    </xf>
    <xf borderId="0" fillId="0" fontId="1" numFmtId="169" xfId="0" applyAlignment="1" applyFont="1" applyNumberFormat="1">
      <alignment shrinkToFit="0" wrapText="1"/>
    </xf>
    <xf borderId="9" fillId="0" fontId="1" numFmtId="169" xfId="0" applyAlignment="1" applyBorder="1" applyFont="1" applyNumberFormat="1">
      <alignment shrinkToFit="0" wrapText="1"/>
    </xf>
    <xf borderId="2" fillId="0" fontId="1" numFmtId="164" xfId="0" applyBorder="1" applyFont="1" applyNumberFormat="1"/>
    <xf borderId="15" fillId="0" fontId="1" numFmtId="164" xfId="0" applyBorder="1" applyFont="1" applyNumberFormat="1"/>
    <xf borderId="2" fillId="0" fontId="20" numFmtId="164" xfId="0" applyAlignment="1" applyBorder="1" applyFont="1" applyNumberFormat="1">
      <alignment horizontal="right" shrinkToFit="0" wrapText="1"/>
    </xf>
    <xf borderId="14" fillId="0" fontId="20" numFmtId="164" xfId="0" applyAlignment="1" applyBorder="1" applyFont="1" applyNumberFormat="1">
      <alignment horizontal="right" shrinkToFit="0" wrapText="1"/>
    </xf>
    <xf borderId="9" fillId="0" fontId="20" numFmtId="164" xfId="0" applyAlignment="1" applyBorder="1" applyFont="1" applyNumberFormat="1">
      <alignment horizontal="right" shrinkToFit="0" wrapText="1"/>
    </xf>
    <xf borderId="0" fillId="0" fontId="20" numFmtId="164" xfId="0" applyAlignment="1" applyFont="1" applyNumberFormat="1">
      <alignment horizontal="right" shrinkToFit="0" wrapText="1"/>
    </xf>
    <xf borderId="0" fillId="0" fontId="1" numFmtId="169" xfId="0" applyAlignment="1" applyFont="1" applyNumberFormat="1">
      <alignment horizontal="left" shrinkToFit="0" wrapText="1"/>
    </xf>
    <xf borderId="11" fillId="0" fontId="1" numFmtId="169" xfId="0" applyAlignment="1" applyBorder="1" applyFont="1" applyNumberFormat="1">
      <alignment shrinkToFit="0" wrapText="1"/>
    </xf>
    <xf borderId="5" fillId="0" fontId="1" numFmtId="169" xfId="0" applyAlignment="1" applyBorder="1" applyFont="1" applyNumberFormat="1">
      <alignment shrinkToFit="0" wrapText="1"/>
    </xf>
    <xf borderId="5" fillId="0" fontId="20" numFmtId="164" xfId="0" applyAlignment="1" applyBorder="1" applyFont="1" applyNumberFormat="1">
      <alignment horizontal="right" shrinkToFit="0" wrapText="1"/>
    </xf>
    <xf borderId="11" fillId="0" fontId="20" numFmtId="164" xfId="0" applyAlignment="1" applyBorder="1" applyFont="1" applyNumberFormat="1">
      <alignment horizontal="right" shrinkToFit="0" wrapText="1"/>
    </xf>
    <xf borderId="5" fillId="0" fontId="1" numFmtId="169" xfId="0" applyBorder="1" applyFont="1" applyNumberFormat="1"/>
    <xf borderId="0" fillId="0" fontId="21" numFmtId="169" xfId="0" applyAlignment="1" applyFont="1" applyNumberFormat="1">
      <alignment horizontal="left"/>
    </xf>
    <xf borderId="6" fillId="0" fontId="1" numFmtId="49" xfId="0" applyAlignment="1" applyBorder="1" applyFont="1" applyNumberFormat="1">
      <alignment horizontal="center" shrinkToFit="0" vertical="center" wrapText="1"/>
    </xf>
    <xf quotePrefix="1" borderId="6" fillId="0" fontId="1" numFmtId="1" xfId="0" applyAlignment="1" applyBorder="1" applyFont="1" applyNumberFormat="1">
      <alignment horizontal="center" vertical="center"/>
    </xf>
    <xf borderId="15" fillId="0" fontId="1" numFmtId="169" xfId="0" applyAlignment="1" applyBorder="1" applyFont="1" applyNumberFormat="1">
      <alignment horizontal="left"/>
    </xf>
    <xf borderId="2" fillId="0" fontId="1" numFmtId="169" xfId="0" applyAlignment="1" applyBorder="1" applyFont="1" applyNumberFormat="1">
      <alignment horizontal="left" shrinkToFit="0" vertical="top" wrapText="1"/>
    </xf>
    <xf borderId="9" fillId="0" fontId="1" numFmtId="169" xfId="0" applyAlignment="1" applyBorder="1" applyFont="1" applyNumberFormat="1">
      <alignment horizontal="left" shrinkToFit="0" vertical="top" wrapText="1"/>
    </xf>
    <xf borderId="3" fillId="0" fontId="23" numFmtId="3" xfId="0" applyAlignment="1" applyBorder="1" applyFont="1" applyNumberFormat="1">
      <alignment horizontal="right" shrinkToFit="0" vertical="center" wrapText="1"/>
    </xf>
    <xf borderId="11" fillId="0" fontId="1" numFmtId="0" xfId="0" applyAlignment="1" applyBorder="1" applyFont="1">
      <alignment shrinkToFit="0" wrapText="1"/>
    </xf>
    <xf borderId="13" fillId="0" fontId="1" numFmtId="0" xfId="0" applyAlignment="1" applyBorder="1" applyFont="1">
      <alignment horizontal="right" shrinkToFit="0" wrapText="1"/>
    </xf>
    <xf borderId="4" fillId="0" fontId="20" numFmtId="181" xfId="0" applyAlignment="1" applyBorder="1" applyFont="1" applyNumberFormat="1">
      <alignment horizontal="center" shrinkToFit="0" vertical="center" wrapText="1"/>
    </xf>
    <xf borderId="3" fillId="0" fontId="20" numFmtId="188" xfId="0" applyAlignment="1" applyBorder="1" applyFont="1" applyNumberFormat="1">
      <alignment horizontal="right"/>
    </xf>
    <xf borderId="9" fillId="0" fontId="1" numFmtId="188" xfId="0" applyAlignment="1" applyBorder="1" applyFont="1" applyNumberFormat="1">
      <alignment horizontal="right" shrinkToFit="0" vertical="top" wrapText="1"/>
    </xf>
    <xf borderId="3" fillId="0" fontId="20" numFmtId="184" xfId="0" applyAlignment="1" applyBorder="1" applyFont="1" applyNumberFormat="1">
      <alignment horizontal="right" shrinkToFit="0" wrapText="1"/>
    </xf>
    <xf borderId="3" fillId="0" fontId="20" numFmtId="181" xfId="0" applyAlignment="1" applyBorder="1" applyFont="1" applyNumberFormat="1">
      <alignment horizontal="right" shrinkToFit="0" wrapText="1"/>
    </xf>
    <xf borderId="3" fillId="0" fontId="1" numFmtId="184" xfId="0" applyAlignment="1" applyBorder="1" applyFont="1" applyNumberFormat="1">
      <alignment horizontal="right" shrinkToFit="0" vertical="top" wrapText="1"/>
    </xf>
    <xf borderId="4" fillId="0" fontId="20" numFmtId="184" xfId="0" applyAlignment="1" applyBorder="1" applyFont="1" applyNumberFormat="1">
      <alignment horizontal="right" shrinkToFit="0" wrapText="1"/>
    </xf>
    <xf borderId="4" fillId="0" fontId="20" numFmtId="181" xfId="0" applyAlignment="1" applyBorder="1" applyFont="1" applyNumberFormat="1">
      <alignment horizontal="right" shrinkToFit="0" wrapText="1"/>
    </xf>
    <xf borderId="0" fillId="0" fontId="20" numFmtId="184" xfId="0" applyAlignment="1" applyFont="1" applyNumberFormat="1">
      <alignment horizontal="center"/>
    </xf>
    <xf borderId="0" fillId="0" fontId="0" numFmtId="49" xfId="0" applyAlignment="1" applyFont="1" applyNumberFormat="1">
      <alignment horizontal="center"/>
    </xf>
    <xf borderId="8" fillId="0" fontId="1" numFmtId="181" xfId="0" applyAlignment="1" applyBorder="1" applyFont="1" applyNumberFormat="1">
      <alignment horizontal="center" shrinkToFit="0" vertical="top" wrapText="1"/>
    </xf>
    <xf borderId="6" fillId="0" fontId="1" numFmtId="181" xfId="0" applyAlignment="1" applyBorder="1" applyFont="1" applyNumberFormat="1">
      <alignment horizontal="center" shrinkToFit="0" wrapText="1"/>
    </xf>
    <xf borderId="4" fillId="0" fontId="20" numFmtId="179" xfId="0" applyAlignment="1" applyBorder="1" applyFont="1" applyNumberFormat="1">
      <alignment horizontal="center" shrinkToFit="0" vertical="center" wrapText="1"/>
    </xf>
    <xf borderId="3" fillId="0" fontId="20" numFmtId="0" xfId="0" applyAlignment="1" applyBorder="1" applyFont="1">
      <alignment horizontal="center"/>
    </xf>
    <xf borderId="3" fillId="0" fontId="20" numFmtId="179" xfId="0" applyAlignment="1" applyBorder="1" applyFont="1" applyNumberFormat="1">
      <alignment horizontal="right"/>
    </xf>
    <xf borderId="10" fillId="0" fontId="20" numFmtId="0" xfId="0" applyAlignment="1" applyBorder="1" applyFont="1">
      <alignment horizontal="center"/>
    </xf>
    <xf borderId="3" fillId="0" fontId="1" numFmtId="184" xfId="0" applyAlignment="1" applyBorder="1" applyFont="1" applyNumberFormat="1">
      <alignment horizontal="right" shrinkToFit="0" wrapText="1"/>
    </xf>
    <xf borderId="10" fillId="0" fontId="1" numFmtId="0" xfId="0" applyAlignment="1" applyBorder="1" applyFont="1">
      <alignment horizontal="left"/>
    </xf>
    <xf borderId="10" fillId="0" fontId="1" numFmtId="49" xfId="0" applyAlignment="1" applyBorder="1" applyFont="1" applyNumberFormat="1">
      <alignment horizontal="left"/>
    </xf>
    <xf borderId="12" fillId="0" fontId="1" numFmtId="49" xfId="0" applyAlignment="1" applyBorder="1" applyFont="1" applyNumberFormat="1">
      <alignment horizontal="left"/>
    </xf>
    <xf borderId="4" fillId="0" fontId="1" numFmtId="184" xfId="0" applyAlignment="1" applyBorder="1" applyFont="1" applyNumberFormat="1">
      <alignment horizontal="right" shrinkToFit="0" wrapText="1"/>
    </xf>
    <xf borderId="0" fillId="0" fontId="1" numFmtId="184" xfId="0" applyAlignment="1" applyFont="1" applyNumberFormat="1">
      <alignment horizontal="center"/>
    </xf>
    <xf borderId="6" fillId="0" fontId="1" numFmtId="181" xfId="0" applyAlignment="1" applyBorder="1" applyFont="1" applyNumberFormat="1">
      <alignment horizontal="center" shrinkToFit="0" vertical="top" wrapText="1"/>
    </xf>
    <xf borderId="5" fillId="0" fontId="1" numFmtId="181" xfId="0" applyAlignment="1" applyBorder="1" applyFont="1" applyNumberFormat="1">
      <alignment horizontal="center" shrinkToFit="0" wrapText="1"/>
    </xf>
    <xf borderId="10" fillId="0" fontId="1" numFmtId="49" xfId="0" applyBorder="1" applyFont="1" applyNumberFormat="1"/>
    <xf borderId="3" fillId="0" fontId="1" numFmtId="168" xfId="0" applyAlignment="1" applyBorder="1" applyFont="1" applyNumberFormat="1">
      <alignment shrinkToFit="0" wrapText="1"/>
    </xf>
    <xf borderId="5" fillId="0" fontId="1" numFmtId="184" xfId="0" applyAlignment="1" applyBorder="1" applyFont="1" applyNumberFormat="1">
      <alignment horizontal="center" shrinkToFit="0" wrapText="1"/>
    </xf>
    <xf borderId="4" fillId="0" fontId="1" numFmtId="168" xfId="0" applyAlignment="1" applyBorder="1" applyFont="1" applyNumberFormat="1">
      <alignment shrinkToFit="0" wrapText="1"/>
    </xf>
    <xf borderId="14" fillId="0" fontId="1" numFmtId="168" xfId="0" applyAlignment="1" applyBorder="1" applyFont="1" applyNumberFormat="1">
      <alignment shrinkToFit="0" wrapText="1"/>
    </xf>
    <xf borderId="3" fillId="0" fontId="1" numFmtId="187" xfId="0" applyAlignment="1" applyBorder="1" applyFont="1" applyNumberFormat="1">
      <alignment horizontal="right"/>
    </xf>
    <xf borderId="9" fillId="0" fontId="1" numFmtId="187" xfId="0" applyAlignment="1" applyBorder="1" applyFont="1" applyNumberFormat="1">
      <alignment horizontal="right" shrinkToFit="0" vertical="top" wrapText="1"/>
    </xf>
    <xf borderId="3" fillId="0" fontId="1" numFmtId="187" xfId="0" applyAlignment="1" applyBorder="1" applyFont="1" applyNumberFormat="1">
      <alignment horizontal="right" shrinkToFit="0" vertical="top" wrapText="1"/>
    </xf>
    <xf borderId="3" fillId="0" fontId="1" numFmtId="187" xfId="0" applyAlignment="1" applyBorder="1" applyFont="1" applyNumberFormat="1">
      <alignment horizontal="right" shrinkToFit="0" wrapText="1"/>
    </xf>
    <xf borderId="4" fillId="0" fontId="1" numFmtId="187" xfId="0" applyAlignment="1" applyBorder="1" applyFont="1" applyNumberFormat="1">
      <alignment horizontal="right" shrinkToFit="0" wrapText="1"/>
    </xf>
    <xf borderId="4" fillId="0" fontId="1" numFmtId="187" xfId="0" applyAlignment="1" applyBorder="1" applyFont="1" applyNumberFormat="1">
      <alignment horizontal="right" shrinkToFit="0" vertical="top" wrapText="1"/>
    </xf>
    <xf borderId="0" fillId="0" fontId="1" numFmtId="2" xfId="0" applyFont="1" applyNumberFormat="1"/>
    <xf borderId="0" fillId="0" fontId="0" numFmtId="0" xfId="0" applyAlignment="1" applyFont="1">
      <alignment horizontal="center" shrinkToFit="0" vertical="top" wrapText="1"/>
    </xf>
    <xf borderId="0" fillId="0" fontId="0" numFmtId="0" xfId="0" applyFont="1"/>
    <xf borderId="9" fillId="0" fontId="1" numFmtId="178" xfId="0" applyAlignment="1" applyBorder="1" applyFont="1" applyNumberFormat="1">
      <alignment horizontal="right" shrinkToFit="0" vertical="top" wrapText="1"/>
    </xf>
    <xf borderId="3" fillId="0" fontId="1" numFmtId="178" xfId="0" applyBorder="1" applyFont="1" applyNumberFormat="1"/>
    <xf borderId="9" fillId="0" fontId="1" numFmtId="179" xfId="0" applyAlignment="1" applyBorder="1" applyFont="1" applyNumberFormat="1">
      <alignment horizontal="right"/>
    </xf>
    <xf borderId="5" fillId="0" fontId="1" numFmtId="3" xfId="0" applyAlignment="1" applyBorder="1" applyFont="1" applyNumberFormat="1">
      <alignment horizontal="center" shrinkToFit="0" wrapText="1"/>
    </xf>
    <xf borderId="3" fillId="0" fontId="1" numFmtId="178" xfId="0" applyAlignment="1" applyBorder="1" applyFont="1" applyNumberFormat="1">
      <alignment horizontal="center" shrinkToFit="0" wrapText="1"/>
    </xf>
    <xf borderId="3" fillId="0" fontId="1" numFmtId="181" xfId="0" applyAlignment="1" applyBorder="1" applyFont="1" applyNumberFormat="1">
      <alignment horizontal="center"/>
    </xf>
    <xf borderId="13" fillId="0" fontId="1" numFmtId="0" xfId="0" applyAlignment="1" applyBorder="1" applyFont="1">
      <alignment shrinkToFit="0" vertical="center" wrapText="1"/>
    </xf>
    <xf borderId="4" fillId="0" fontId="1" numFmtId="0" xfId="0" applyAlignment="1" applyBorder="1" applyFont="1">
      <alignment horizontal="right"/>
    </xf>
    <xf borderId="0" fillId="0" fontId="1" numFmtId="174" xfId="0" applyAlignment="1" applyFont="1" applyNumberFormat="1">
      <alignment horizontal="right"/>
    </xf>
    <xf borderId="10" fillId="0" fontId="1" numFmtId="174" xfId="0" applyAlignment="1" applyBorder="1" applyFont="1" applyNumberFormat="1">
      <alignment horizontal="right"/>
    </xf>
    <xf borderId="12" fillId="0" fontId="1" numFmtId="2" xfId="0" applyAlignment="1" applyBorder="1" applyFont="1" applyNumberFormat="1">
      <alignment horizontal="right"/>
    </xf>
    <xf borderId="5" fillId="0" fontId="1" numFmtId="174" xfId="0" applyAlignment="1" applyBorder="1" applyFont="1" applyNumberFormat="1">
      <alignment horizontal="right" shrinkToFit="0" wrapText="1"/>
    </xf>
    <xf borderId="11" fillId="0" fontId="1" numFmtId="174" xfId="0" applyAlignment="1" applyBorder="1" applyFont="1" applyNumberFormat="1">
      <alignment horizontal="right"/>
    </xf>
    <xf borderId="12" fillId="0" fontId="1" numFmtId="174" xfId="0" applyAlignment="1" applyBorder="1" applyFont="1" applyNumberFormat="1">
      <alignment horizontal="right"/>
    </xf>
    <xf borderId="0" fillId="0" fontId="1" numFmtId="18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12" Type="http://schemas.openxmlformats.org/officeDocument/2006/relationships/worksheet" Target="worksheets/sheet10.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2</xdr:col>
      <xdr:colOff>0</xdr:colOff>
      <xdr:row>40</xdr:row>
      <xdr:rowOff>0</xdr:rowOff>
    </xdr:from>
    <xdr:ext cx="2867025" cy="981075"/>
    <xdr:pic>
      <xdr:nvPicPr>
        <xdr:cNvPr descr="DAFF unit_RGB_26mm height.jpg"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3</xdr:col>
      <xdr:colOff>466725</xdr:colOff>
      <xdr:row>797</xdr:row>
      <xdr:rowOff>95250</xdr:rowOff>
    </xdr:from>
    <xdr:ext cx="219075" cy="161925"/>
    <xdr:sp>
      <xdr:nvSpPr>
        <xdr:cNvPr id="3" name="Shape 3"/>
        <xdr:cNvSpPr txBox="1"/>
      </xdr:nvSpPr>
      <xdr:spPr>
        <a:xfrm>
          <a:off x="5239155" y="3699451"/>
          <a:ext cx="213691" cy="161098"/>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²)</a:t>
          </a:r>
          <a:endParaRPr sz="800">
            <a:latin typeface="Arial"/>
            <a:ea typeface="Arial"/>
            <a:cs typeface="Arial"/>
            <a:sym typeface="Arial"/>
          </a:endParaRPr>
        </a:p>
      </xdr:txBody>
    </xdr:sp>
    <xdr:clientData fLocksWithSheet="0"/>
  </xdr:oneCellAnchor>
  <xdr:oneCellAnchor>
    <xdr:from>
      <xdr:col>4</xdr:col>
      <xdr:colOff>523875</xdr:colOff>
      <xdr:row>798</xdr:row>
      <xdr:rowOff>9525</xdr:rowOff>
    </xdr:from>
    <xdr:ext cx="142875" cy="114300"/>
    <xdr:sp>
      <xdr:nvSpPr>
        <xdr:cNvPr id="4" name="Shape 4"/>
        <xdr:cNvSpPr txBox="1"/>
      </xdr:nvSpPr>
      <xdr:spPr>
        <a:xfrm>
          <a:off x="5275598" y="3726163"/>
          <a:ext cx="140804" cy="10767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²</a:t>
          </a:r>
          <a:endParaRPr sz="800">
            <a:latin typeface="Arial"/>
            <a:ea typeface="Arial"/>
            <a:cs typeface="Arial"/>
            <a:sym typeface="Arial"/>
          </a:endParaRPr>
        </a:p>
      </xdr:txBody>
    </xdr:sp>
    <xdr:clientData fLocksWithSheet="0"/>
  </xdr:oneCellAnchor>
  <xdr:oneCellAnchor>
    <xdr:from>
      <xdr:col>5</xdr:col>
      <xdr:colOff>457200</xdr:colOff>
      <xdr:row>798</xdr:row>
      <xdr:rowOff>0</xdr:rowOff>
    </xdr:from>
    <xdr:ext cx="219075" cy="133350"/>
    <xdr:sp>
      <xdr:nvSpPr>
        <xdr:cNvPr id="5" name="Shape 5"/>
        <xdr:cNvSpPr txBox="1"/>
      </xdr:nvSpPr>
      <xdr:spPr>
        <a:xfrm>
          <a:off x="5239776" y="3717880"/>
          <a:ext cx="212449" cy="12424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²</a:t>
          </a:r>
          <a:endParaRPr sz="800">
            <a:latin typeface="Arial"/>
            <a:ea typeface="Arial"/>
            <a:cs typeface="Arial"/>
            <a:sym typeface="Arial"/>
          </a:endParaRPr>
        </a:p>
      </xdr:txBody>
    </xdr:sp>
    <xdr:clientData fLocksWithSheet="0"/>
  </xdr:oneCellAnchor>
  <xdr:oneCellAnchor>
    <xdr:from>
      <xdr:col>6</xdr:col>
      <xdr:colOff>457200</xdr:colOff>
      <xdr:row>797</xdr:row>
      <xdr:rowOff>114300</xdr:rowOff>
    </xdr:from>
    <xdr:ext cx="180975" cy="142875"/>
    <xdr:sp>
      <xdr:nvSpPr>
        <xdr:cNvPr id="6" name="Shape 6"/>
        <xdr:cNvSpPr txBox="1"/>
      </xdr:nvSpPr>
      <xdr:spPr>
        <a:xfrm>
          <a:off x="5258826" y="3713118"/>
          <a:ext cx="174349" cy="13376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²</a:t>
          </a:r>
          <a:endParaRPr sz="800">
            <a:latin typeface="Arial"/>
            <a:ea typeface="Arial"/>
            <a:cs typeface="Arial"/>
            <a:sym typeface="Arial"/>
          </a:endParaRPr>
        </a:p>
      </xdr:txBody>
    </xdr:sp>
    <xdr:clientData fLocksWithSheet="0"/>
  </xdr:oneCellAnchor>
  <xdr:oneCellAnchor>
    <xdr:from>
      <xdr:col>6</xdr:col>
      <xdr:colOff>457200</xdr:colOff>
      <xdr:row>800</xdr:row>
      <xdr:rowOff>0</xdr:rowOff>
    </xdr:from>
    <xdr:ext cx="190500" cy="123825"/>
    <xdr:sp>
      <xdr:nvSpPr>
        <xdr:cNvPr id="7" name="Shape 7"/>
        <xdr:cNvSpPr txBox="1"/>
      </xdr:nvSpPr>
      <xdr:spPr>
        <a:xfrm>
          <a:off x="5254063" y="3718501"/>
          <a:ext cx="183874" cy="122998"/>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3</xdr:col>
      <xdr:colOff>447675</xdr:colOff>
      <xdr:row>799</xdr:row>
      <xdr:rowOff>95250</xdr:rowOff>
    </xdr:from>
    <xdr:ext cx="228600" cy="152400"/>
    <xdr:sp>
      <xdr:nvSpPr>
        <xdr:cNvPr id="8" name="Shape 8"/>
        <xdr:cNvSpPr txBox="1"/>
      </xdr:nvSpPr>
      <xdr:spPr>
        <a:xfrm>
          <a:off x="5235014" y="3706077"/>
          <a:ext cx="221973" cy="147846"/>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4</xdr:col>
      <xdr:colOff>523875</xdr:colOff>
      <xdr:row>800</xdr:row>
      <xdr:rowOff>0</xdr:rowOff>
    </xdr:from>
    <xdr:ext cx="142875" cy="114300"/>
    <xdr:sp>
      <xdr:nvSpPr>
        <xdr:cNvPr id="9" name="Shape 9"/>
        <xdr:cNvSpPr txBox="1"/>
      </xdr:nvSpPr>
      <xdr:spPr>
        <a:xfrm>
          <a:off x="5275598" y="3726163"/>
          <a:ext cx="140804" cy="10767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5</xdr:col>
      <xdr:colOff>466725</xdr:colOff>
      <xdr:row>800</xdr:row>
      <xdr:rowOff>0</xdr:rowOff>
    </xdr:from>
    <xdr:ext cx="180975" cy="123825"/>
    <xdr:sp>
      <xdr:nvSpPr>
        <xdr:cNvPr id="10" name="Shape 10"/>
        <xdr:cNvSpPr txBox="1"/>
      </xdr:nvSpPr>
      <xdr:spPr>
        <a:xfrm>
          <a:off x="5258205" y="3722642"/>
          <a:ext cx="175591" cy="114716"/>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3</xdr:col>
      <xdr:colOff>466725</xdr:colOff>
      <xdr:row>801</xdr:row>
      <xdr:rowOff>0</xdr:rowOff>
    </xdr:from>
    <xdr:ext cx="152400" cy="133350"/>
    <xdr:sp>
      <xdr:nvSpPr>
        <xdr:cNvPr id="11" name="Shape 11"/>
        <xdr:cNvSpPr txBox="1"/>
      </xdr:nvSpPr>
      <xdr:spPr>
        <a:xfrm>
          <a:off x="5271871" y="3714359"/>
          <a:ext cx="148259" cy="131282"/>
        </a:xfrm>
        <a:prstGeom prst="rect">
          <a:avLst/>
        </a:prstGeom>
        <a:noFill/>
        <a:ln>
          <a:noFill/>
        </a:ln>
      </xdr:spPr>
      <xdr:txBody>
        <a:bodyPr anchorCtr="0" anchor="ctr" bIns="45700" lIns="91425" spcFirstLastPara="1" rIns="91425" wrap="square" tIns="45700">
          <a:noAutofit/>
        </a:bodyPr>
        <a:lstStyle/>
        <a:p>
          <a:pPr indent="0" lvl="0" marL="0" rtl="0" algn="r">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4</xdr:col>
      <xdr:colOff>457200</xdr:colOff>
      <xdr:row>801</xdr:row>
      <xdr:rowOff>19050</xdr:rowOff>
    </xdr:from>
    <xdr:ext cx="142875" cy="114300"/>
    <xdr:sp>
      <xdr:nvSpPr>
        <xdr:cNvPr id="12" name="Shape 12"/>
        <xdr:cNvSpPr txBox="1"/>
      </xdr:nvSpPr>
      <xdr:spPr>
        <a:xfrm>
          <a:off x="5275598" y="3726163"/>
          <a:ext cx="140804" cy="10767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5</xdr:col>
      <xdr:colOff>447675</xdr:colOff>
      <xdr:row>801</xdr:row>
      <xdr:rowOff>0</xdr:rowOff>
    </xdr:from>
    <xdr:ext cx="228600" cy="123825"/>
    <xdr:sp>
      <xdr:nvSpPr>
        <xdr:cNvPr id="13" name="Shape 13"/>
        <xdr:cNvSpPr txBox="1"/>
      </xdr:nvSpPr>
      <xdr:spPr>
        <a:xfrm>
          <a:off x="5235633" y="3718501"/>
          <a:ext cx="220734" cy="122998"/>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6</xdr:col>
      <xdr:colOff>466725</xdr:colOff>
      <xdr:row>801</xdr:row>
      <xdr:rowOff>0</xdr:rowOff>
    </xdr:from>
    <xdr:ext cx="142875" cy="114300"/>
    <xdr:sp>
      <xdr:nvSpPr>
        <xdr:cNvPr id="14" name="Shape 14"/>
        <xdr:cNvSpPr txBox="1"/>
      </xdr:nvSpPr>
      <xdr:spPr>
        <a:xfrm>
          <a:off x="5275598" y="3726163"/>
          <a:ext cx="140804" cy="10767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1400"/>
        </a:p>
      </xdr:txBody>
    </xdr:sp>
    <xdr:clientData fLocksWithSheet="0"/>
  </xdr:oneCellAnchor>
  <xdr:oneCellAnchor>
    <xdr:from>
      <xdr:col>10</xdr:col>
      <xdr:colOff>123825</xdr:colOff>
      <xdr:row>1152</xdr:row>
      <xdr:rowOff>0</xdr:rowOff>
    </xdr:from>
    <xdr:ext cx="123825" cy="228600"/>
    <xdr:sp>
      <xdr:nvSpPr>
        <xdr:cNvPr id="15" name="Shape 15"/>
        <xdr:cNvSpPr txBox="1"/>
      </xdr:nvSpPr>
      <xdr:spPr>
        <a:xfrm flipH="1">
          <a:off x="5286880" y="3667757"/>
          <a:ext cx="118241" cy="224487"/>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10</xdr:col>
      <xdr:colOff>133350</xdr:colOff>
      <xdr:row>1152</xdr:row>
      <xdr:rowOff>47625</xdr:rowOff>
    </xdr:from>
    <xdr:ext cx="485775" cy="209550"/>
    <xdr:sp>
      <xdr:nvSpPr>
        <xdr:cNvPr id="16" name="Shape 16"/>
        <xdr:cNvSpPr txBox="1"/>
      </xdr:nvSpPr>
      <xdr:spPr>
        <a:xfrm>
          <a:off x="5106234" y="3679231"/>
          <a:ext cx="479533" cy="201538"/>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10</xdr:col>
      <xdr:colOff>400050</xdr:colOff>
      <xdr:row>1151</xdr:row>
      <xdr:rowOff>85725</xdr:rowOff>
    </xdr:from>
    <xdr:ext cx="704850" cy="476250"/>
    <xdr:sp>
      <xdr:nvSpPr>
        <xdr:cNvPr id="17" name="Shape 17"/>
        <xdr:cNvSpPr txBox="1"/>
      </xdr:nvSpPr>
      <xdr:spPr>
        <a:xfrm>
          <a:off x="4994561" y="3543518"/>
          <a:ext cx="702879" cy="47296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7</xdr:col>
      <xdr:colOff>0</xdr:colOff>
      <xdr:row>1152</xdr:row>
      <xdr:rowOff>114300</xdr:rowOff>
    </xdr:from>
    <xdr:ext cx="190500" cy="285750"/>
    <xdr:sp>
      <xdr:nvSpPr>
        <xdr:cNvPr id="18" name="Shape 18"/>
        <xdr:cNvSpPr txBox="1"/>
      </xdr:nvSpPr>
      <xdr:spPr>
        <a:xfrm>
          <a:off x="5254035" y="3639754"/>
          <a:ext cx="183931" cy="280493"/>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4</xdr:col>
      <xdr:colOff>342900</xdr:colOff>
      <xdr:row>1155</xdr:row>
      <xdr:rowOff>0</xdr:rowOff>
    </xdr:from>
    <xdr:ext cx="180975" cy="123825"/>
    <xdr:sp>
      <xdr:nvSpPr>
        <xdr:cNvPr id="19" name="Shape 19"/>
        <xdr:cNvSpPr txBox="1"/>
      </xdr:nvSpPr>
      <xdr:spPr>
        <a:xfrm>
          <a:off x="5257319" y="3720880"/>
          <a:ext cx="177363" cy="118240"/>
        </a:xfrm>
        <a:prstGeom prst="rect">
          <a:avLst/>
        </a:prstGeom>
        <a:noFill/>
        <a:ln>
          <a:noFill/>
        </a:ln>
      </xdr:spPr>
      <xdr:txBody>
        <a:bodyPr anchorCtr="0" anchor="ctr" bIns="45700" lIns="91425" spcFirstLastPara="1" rIns="91425" wrap="square" tIns="45700">
          <a:noAutofit/>
        </a:bodyPr>
        <a:lstStyle/>
        <a:p>
          <a:pPr indent="0" lvl="0" marL="0" marR="0" rtl="0" algn="l">
            <a:lnSpc>
              <a:spcPct val="100000"/>
            </a:lnSpc>
            <a:spcBef>
              <a:spcPts val="0"/>
            </a:spcBef>
            <a:spcAft>
              <a:spcPts val="0"/>
            </a:spcAft>
            <a:buSzPts val="800"/>
            <a:buFont typeface="Arial"/>
            <a:buNone/>
          </a:pPr>
          <a:r>
            <a:t/>
          </a:r>
          <a:endParaRPr b="0" i="0" sz="800" u="none" cap="none" strike="noStrike">
            <a:solidFill>
              <a:srgbClr val="000000"/>
            </a:solidFill>
            <a:latin typeface="Arial"/>
            <a:ea typeface="Arial"/>
            <a:cs typeface="Arial"/>
            <a:sym typeface="Arial"/>
          </a:endParaRPr>
        </a:p>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7</xdr:col>
      <xdr:colOff>552450</xdr:colOff>
      <xdr:row>288</xdr:row>
      <xdr:rowOff>114300</xdr:rowOff>
    </xdr:from>
    <xdr:ext cx="133350" cy="142875"/>
    <xdr:sp>
      <xdr:nvSpPr>
        <xdr:cNvPr id="20" name="Shape 20"/>
        <xdr:cNvSpPr txBox="1"/>
      </xdr:nvSpPr>
      <xdr:spPr>
        <a:xfrm>
          <a:off x="5279453" y="3709883"/>
          <a:ext cx="133094" cy="14023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1400"/>
        </a:p>
      </xdr:txBody>
    </xdr:sp>
    <xdr:clientData fLocksWithSheet="0"/>
  </xdr:oneCellAnchor>
  <xdr:oneCellAnchor>
    <xdr:from>
      <xdr:col>7</xdr:col>
      <xdr:colOff>533400</xdr:colOff>
      <xdr:row>289</xdr:row>
      <xdr:rowOff>114300</xdr:rowOff>
    </xdr:from>
    <xdr:ext cx="152400" cy="161925"/>
    <xdr:sp>
      <xdr:nvSpPr>
        <xdr:cNvPr id="21" name="Shape 21"/>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⁸</a:t>
          </a:r>
          <a:endParaRPr sz="1400"/>
        </a:p>
      </xdr:txBody>
    </xdr:sp>
    <xdr:clientData fLocksWithSheet="0"/>
  </xdr:oneCellAnchor>
  <xdr:oneCellAnchor>
    <xdr:from>
      <xdr:col>6</xdr:col>
      <xdr:colOff>457200</xdr:colOff>
      <xdr:row>289</xdr:row>
      <xdr:rowOff>114300</xdr:rowOff>
    </xdr:from>
    <xdr:ext cx="152400" cy="161925"/>
    <xdr:sp>
      <xdr:nvSpPr>
        <xdr:cNvPr id="22" name="Shape 22"/>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⁸</a:t>
          </a:r>
          <a:endParaRPr sz="1400"/>
        </a:p>
      </xdr:txBody>
    </xdr:sp>
    <xdr:clientData fLocksWithSheet="0"/>
  </xdr:oneCellAnchor>
  <xdr:oneCellAnchor>
    <xdr:from>
      <xdr:col>6</xdr:col>
      <xdr:colOff>466725</xdr:colOff>
      <xdr:row>288</xdr:row>
      <xdr:rowOff>104775</xdr:rowOff>
    </xdr:from>
    <xdr:ext cx="152400" cy="161925"/>
    <xdr:sp>
      <xdr:nvSpPr>
        <xdr:cNvPr id="23" name="Shape 23"/>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1400"/>
        </a:p>
      </xdr:txBody>
    </xdr:sp>
    <xdr:clientData fLocksWithSheet="0"/>
  </xdr:oneCellAnchor>
  <xdr:oneCellAnchor>
    <xdr:from>
      <xdr:col>3</xdr:col>
      <xdr:colOff>457200</xdr:colOff>
      <xdr:row>101</xdr:row>
      <xdr:rowOff>104775</xdr:rowOff>
    </xdr:from>
    <xdr:ext cx="152400" cy="161925"/>
    <xdr:sp>
      <xdr:nvSpPr>
        <xdr:cNvPr id="24" name="Shape 24"/>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⁴</a:t>
          </a:r>
          <a:endParaRPr sz="800">
            <a:latin typeface="Arial"/>
            <a:ea typeface="Arial"/>
            <a:cs typeface="Arial"/>
            <a:sym typeface="Arial"/>
          </a:endParaRPr>
        </a:p>
      </xdr:txBody>
    </xdr:sp>
    <xdr:clientData fLocksWithSheet="0"/>
  </xdr:oneCellAnchor>
  <xdr:oneCellAnchor>
    <xdr:from>
      <xdr:col>4</xdr:col>
      <xdr:colOff>542925</xdr:colOff>
      <xdr:row>101</xdr:row>
      <xdr:rowOff>95250</xdr:rowOff>
    </xdr:from>
    <xdr:ext cx="104775" cy="161925"/>
    <xdr:sp>
      <xdr:nvSpPr>
        <xdr:cNvPr id="25" name="Shape 25"/>
        <xdr:cNvSpPr txBox="1"/>
      </xdr:nvSpPr>
      <xdr:spPr>
        <a:xfrm>
          <a:off x="5296305" y="3701315"/>
          <a:ext cx="99391" cy="15737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⁵</a:t>
          </a:r>
          <a:endParaRPr sz="1400"/>
        </a:p>
      </xdr:txBody>
    </xdr:sp>
    <xdr:clientData fLocksWithSheet="0"/>
  </xdr:oneCellAnchor>
  <xdr:oneCellAnchor>
    <xdr:from>
      <xdr:col>5</xdr:col>
      <xdr:colOff>457200</xdr:colOff>
      <xdr:row>101</xdr:row>
      <xdr:rowOff>104775</xdr:rowOff>
    </xdr:from>
    <xdr:ext cx="152400" cy="161925"/>
    <xdr:sp>
      <xdr:nvSpPr>
        <xdr:cNvPr id="26" name="Shape 26"/>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⁶</a:t>
          </a:r>
          <a:endParaRPr sz="1400"/>
        </a:p>
      </xdr:txBody>
    </xdr:sp>
    <xdr:clientData fLocksWithSheet="0"/>
  </xdr:oneCellAnchor>
  <xdr:oneCellAnchor>
    <xdr:from>
      <xdr:col>3</xdr:col>
      <xdr:colOff>504825</xdr:colOff>
      <xdr:row>106</xdr:row>
      <xdr:rowOff>0</xdr:rowOff>
    </xdr:from>
    <xdr:ext cx="104775" cy="161925"/>
    <xdr:sp>
      <xdr:nvSpPr>
        <xdr:cNvPr id="27" name="Shape 27"/>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4</xdr:col>
      <xdr:colOff>571500</xdr:colOff>
      <xdr:row>105</xdr:row>
      <xdr:rowOff>114300</xdr:rowOff>
    </xdr:from>
    <xdr:ext cx="104775" cy="161925"/>
    <xdr:sp>
      <xdr:nvSpPr>
        <xdr:cNvPr id="28" name="Shape 28"/>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5</xdr:col>
      <xdr:colOff>495300</xdr:colOff>
      <xdr:row>105</xdr:row>
      <xdr:rowOff>114300</xdr:rowOff>
    </xdr:from>
    <xdr:ext cx="104775" cy="161925"/>
    <xdr:sp>
      <xdr:nvSpPr>
        <xdr:cNvPr id="29" name="Shape 29"/>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6</xdr:col>
      <xdr:colOff>476250</xdr:colOff>
      <xdr:row>105</xdr:row>
      <xdr:rowOff>104775</xdr:rowOff>
    </xdr:from>
    <xdr:ext cx="104775" cy="161925"/>
    <xdr:sp>
      <xdr:nvSpPr>
        <xdr:cNvPr id="30" name="Shape 30"/>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6</xdr:col>
      <xdr:colOff>447675</xdr:colOff>
      <xdr:row>101</xdr:row>
      <xdr:rowOff>104775</xdr:rowOff>
    </xdr:from>
    <xdr:ext cx="152400" cy="161925"/>
    <xdr:sp>
      <xdr:nvSpPr>
        <xdr:cNvPr id="31" name="Shape 31"/>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⁶</a:t>
          </a:r>
          <a:endParaRPr sz="1400"/>
        </a:p>
      </xdr:txBody>
    </xdr:sp>
    <xdr:clientData fLocksWithSheet="0"/>
  </xdr:oneCellAnchor>
  <xdr:oneCellAnchor>
    <xdr:from>
      <xdr:col>3</xdr:col>
      <xdr:colOff>447675</xdr:colOff>
      <xdr:row>985</xdr:row>
      <xdr:rowOff>0</xdr:rowOff>
    </xdr:from>
    <xdr:ext cx="142875" cy="133350"/>
    <xdr:sp>
      <xdr:nvSpPr>
        <xdr:cNvPr id="32" name="Shape 32"/>
        <xdr:cNvSpPr txBox="1"/>
      </xdr:nvSpPr>
      <xdr:spPr>
        <a:xfrm>
          <a:off x="5277026" y="3717024"/>
          <a:ext cx="137948" cy="12595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800">
            <a:latin typeface="Arial"/>
            <a:ea typeface="Arial"/>
            <a:cs typeface="Arial"/>
            <a:sym typeface="Arial"/>
          </a:endParaRPr>
        </a:p>
      </xdr:txBody>
    </xdr:sp>
    <xdr:clientData fLocksWithSheet="0"/>
  </xdr:oneCellAnchor>
  <xdr:oneCellAnchor>
    <xdr:from>
      <xdr:col>4</xdr:col>
      <xdr:colOff>552450</xdr:colOff>
      <xdr:row>984</xdr:row>
      <xdr:rowOff>114300</xdr:rowOff>
    </xdr:from>
    <xdr:ext cx="123825" cy="133350"/>
    <xdr:sp>
      <xdr:nvSpPr>
        <xdr:cNvPr id="33" name="Shape 33"/>
        <xdr:cNvSpPr txBox="1"/>
      </xdr:nvSpPr>
      <xdr:spPr>
        <a:xfrm>
          <a:off x="5288022" y="3713739"/>
          <a:ext cx="115956" cy="13252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800">
            <a:latin typeface="Arial"/>
            <a:ea typeface="Arial"/>
            <a:cs typeface="Arial"/>
            <a:sym typeface="Arial"/>
          </a:endParaRPr>
        </a:p>
      </xdr:txBody>
    </xdr:sp>
    <xdr:clientData fLocksWithSheet="0"/>
  </xdr:oneCellAnchor>
  <xdr:oneCellAnchor>
    <xdr:from>
      <xdr:col>6</xdr:col>
      <xdr:colOff>457200</xdr:colOff>
      <xdr:row>985</xdr:row>
      <xdr:rowOff>0</xdr:rowOff>
    </xdr:from>
    <xdr:ext cx="123825" cy="133350"/>
    <xdr:sp>
      <xdr:nvSpPr>
        <xdr:cNvPr id="34" name="Shape 34"/>
        <xdr:cNvSpPr txBox="1"/>
      </xdr:nvSpPr>
      <xdr:spPr>
        <a:xfrm>
          <a:off x="5288022" y="3713739"/>
          <a:ext cx="115956" cy="13252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³</a:t>
          </a:r>
          <a:endParaRPr sz="800">
            <a:latin typeface="Arial"/>
            <a:ea typeface="Arial"/>
            <a:cs typeface="Arial"/>
            <a:sym typeface="Arial"/>
          </a:endParaRPr>
        </a:p>
      </xdr:txBody>
    </xdr:sp>
    <xdr:clientData fLocksWithSheet="0"/>
  </xdr:oneCellAnchor>
  <xdr:oneCellAnchor>
    <xdr:from>
      <xdr:col>3</xdr:col>
      <xdr:colOff>428625</xdr:colOff>
      <xdr:row>986</xdr:row>
      <xdr:rowOff>114300</xdr:rowOff>
    </xdr:from>
    <xdr:ext cx="180975" cy="123825"/>
    <xdr:sp>
      <xdr:nvSpPr>
        <xdr:cNvPr id="35" name="Shape 35"/>
        <xdr:cNvSpPr txBox="1"/>
      </xdr:nvSpPr>
      <xdr:spPr>
        <a:xfrm>
          <a:off x="5257319" y="3720880"/>
          <a:ext cx="177363" cy="11824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aseline="30000" lang="en-US" sz="800">
              <a:solidFill>
                <a:schemeClr val="dk1"/>
              </a:solidFill>
              <a:latin typeface="Arial"/>
              <a:ea typeface="Arial"/>
              <a:cs typeface="Arial"/>
              <a:sym typeface="Arial"/>
            </a:rPr>
            <a:t>4</a:t>
          </a:r>
          <a:endParaRPr sz="800">
            <a:latin typeface="Arial"/>
            <a:ea typeface="Arial"/>
            <a:cs typeface="Arial"/>
            <a:sym typeface="Arial"/>
          </a:endParaRPr>
        </a:p>
      </xdr:txBody>
    </xdr:sp>
    <xdr:clientData fLocksWithSheet="0"/>
  </xdr:oneCellAnchor>
  <xdr:oneCellAnchor>
    <xdr:from>
      <xdr:col>3</xdr:col>
      <xdr:colOff>447675</xdr:colOff>
      <xdr:row>987</xdr:row>
      <xdr:rowOff>123825</xdr:rowOff>
    </xdr:from>
    <xdr:ext cx="180975" cy="123825"/>
    <xdr:sp>
      <xdr:nvSpPr>
        <xdr:cNvPr id="36" name="Shape 36"/>
        <xdr:cNvSpPr txBox="1"/>
      </xdr:nvSpPr>
      <xdr:spPr>
        <a:xfrm>
          <a:off x="5257319" y="3720880"/>
          <a:ext cx="177363" cy="11824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aseline="30000" lang="en-US" sz="800">
              <a:solidFill>
                <a:schemeClr val="dk1"/>
              </a:solidFill>
              <a:latin typeface="Arial"/>
              <a:ea typeface="Arial"/>
              <a:cs typeface="Arial"/>
              <a:sym typeface="Arial"/>
            </a:rPr>
            <a:t>4</a:t>
          </a:r>
          <a:endParaRPr sz="800">
            <a:latin typeface="Arial"/>
            <a:ea typeface="Arial"/>
            <a:cs typeface="Arial"/>
            <a:sym typeface="Arial"/>
          </a:endParaRPr>
        </a:p>
      </xdr:txBody>
    </xdr:sp>
    <xdr:clientData fLocksWithSheet="0"/>
  </xdr:oneCellAnchor>
  <xdr:oneCellAnchor>
    <xdr:from>
      <xdr:col>3</xdr:col>
      <xdr:colOff>457200</xdr:colOff>
      <xdr:row>101</xdr:row>
      <xdr:rowOff>104775</xdr:rowOff>
    </xdr:from>
    <xdr:ext cx="152400" cy="161925"/>
    <xdr:sp>
      <xdr:nvSpPr>
        <xdr:cNvPr id="37" name="Shape 37"/>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⁴</a:t>
          </a:r>
          <a:endParaRPr sz="800">
            <a:latin typeface="Arial"/>
            <a:ea typeface="Arial"/>
            <a:cs typeface="Arial"/>
            <a:sym typeface="Arial"/>
          </a:endParaRPr>
        </a:p>
      </xdr:txBody>
    </xdr:sp>
    <xdr:clientData fLocksWithSheet="0"/>
  </xdr:oneCellAnchor>
  <xdr:oneCellAnchor>
    <xdr:from>
      <xdr:col>4</xdr:col>
      <xdr:colOff>542925</xdr:colOff>
      <xdr:row>101</xdr:row>
      <xdr:rowOff>95250</xdr:rowOff>
    </xdr:from>
    <xdr:ext cx="104775" cy="161925"/>
    <xdr:sp>
      <xdr:nvSpPr>
        <xdr:cNvPr id="38" name="Shape 38"/>
        <xdr:cNvSpPr txBox="1"/>
      </xdr:nvSpPr>
      <xdr:spPr>
        <a:xfrm>
          <a:off x="5296305" y="3701315"/>
          <a:ext cx="99391" cy="157371"/>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⁵</a:t>
          </a:r>
          <a:endParaRPr sz="1400"/>
        </a:p>
      </xdr:txBody>
    </xdr:sp>
    <xdr:clientData fLocksWithSheet="0"/>
  </xdr:oneCellAnchor>
  <xdr:oneCellAnchor>
    <xdr:from>
      <xdr:col>5</xdr:col>
      <xdr:colOff>457200</xdr:colOff>
      <xdr:row>101</xdr:row>
      <xdr:rowOff>104775</xdr:rowOff>
    </xdr:from>
    <xdr:ext cx="152400" cy="161925"/>
    <xdr:sp>
      <xdr:nvSpPr>
        <xdr:cNvPr id="39" name="Shape 39"/>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⁶</a:t>
          </a:r>
          <a:endParaRPr sz="1400"/>
        </a:p>
      </xdr:txBody>
    </xdr:sp>
    <xdr:clientData fLocksWithSheet="0"/>
  </xdr:oneCellAnchor>
  <xdr:oneCellAnchor>
    <xdr:from>
      <xdr:col>3</xdr:col>
      <xdr:colOff>504825</xdr:colOff>
      <xdr:row>106</xdr:row>
      <xdr:rowOff>0</xdr:rowOff>
    </xdr:from>
    <xdr:ext cx="104775" cy="161925"/>
    <xdr:sp>
      <xdr:nvSpPr>
        <xdr:cNvPr id="40" name="Shape 40"/>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4</xdr:col>
      <xdr:colOff>571500</xdr:colOff>
      <xdr:row>105</xdr:row>
      <xdr:rowOff>114300</xdr:rowOff>
    </xdr:from>
    <xdr:ext cx="104775" cy="161925"/>
    <xdr:sp>
      <xdr:nvSpPr>
        <xdr:cNvPr id="41" name="Shape 41"/>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5</xdr:col>
      <xdr:colOff>495300</xdr:colOff>
      <xdr:row>105</xdr:row>
      <xdr:rowOff>114300</xdr:rowOff>
    </xdr:from>
    <xdr:ext cx="104775" cy="161925"/>
    <xdr:sp>
      <xdr:nvSpPr>
        <xdr:cNvPr id="42" name="Shape 42"/>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6</xdr:col>
      <xdr:colOff>476250</xdr:colOff>
      <xdr:row>105</xdr:row>
      <xdr:rowOff>104775</xdr:rowOff>
    </xdr:from>
    <xdr:ext cx="104775" cy="161925"/>
    <xdr:sp>
      <xdr:nvSpPr>
        <xdr:cNvPr id="43" name="Shape 43"/>
        <xdr:cNvSpPr txBox="1"/>
      </xdr:nvSpPr>
      <xdr:spPr>
        <a:xfrm>
          <a:off x="5296304" y="3701316"/>
          <a:ext cx="99392" cy="157369"/>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800">
            <a:latin typeface="Arial"/>
            <a:ea typeface="Arial"/>
            <a:cs typeface="Arial"/>
            <a:sym typeface="Arial"/>
          </a:endParaRPr>
        </a:p>
      </xdr:txBody>
    </xdr:sp>
    <xdr:clientData fLocksWithSheet="0"/>
  </xdr:oneCellAnchor>
  <xdr:oneCellAnchor>
    <xdr:from>
      <xdr:col>6</xdr:col>
      <xdr:colOff>447675</xdr:colOff>
      <xdr:row>101</xdr:row>
      <xdr:rowOff>104775</xdr:rowOff>
    </xdr:from>
    <xdr:ext cx="152400" cy="161925"/>
    <xdr:sp>
      <xdr:nvSpPr>
        <xdr:cNvPr id="44" name="Shape 44"/>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⁶</a:t>
          </a:r>
          <a:endParaRPr sz="1400"/>
        </a:p>
      </xdr:txBody>
    </xdr:sp>
    <xdr:clientData fLocksWithSheet="0"/>
  </xdr:oneCellAnchor>
  <xdr:oneCellAnchor>
    <xdr:from>
      <xdr:col>8</xdr:col>
      <xdr:colOff>552450</xdr:colOff>
      <xdr:row>288</xdr:row>
      <xdr:rowOff>114300</xdr:rowOff>
    </xdr:from>
    <xdr:ext cx="133350" cy="142875"/>
    <xdr:sp>
      <xdr:nvSpPr>
        <xdr:cNvPr id="45" name="Shape 45"/>
        <xdr:cNvSpPr txBox="1"/>
      </xdr:nvSpPr>
      <xdr:spPr>
        <a:xfrm>
          <a:off x="5279453" y="3709883"/>
          <a:ext cx="133094" cy="140234"/>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1400"/>
        </a:p>
      </xdr:txBody>
    </xdr:sp>
    <xdr:clientData fLocksWithSheet="0"/>
  </xdr:oneCellAnchor>
  <xdr:oneCellAnchor>
    <xdr:from>
      <xdr:col>8</xdr:col>
      <xdr:colOff>533400</xdr:colOff>
      <xdr:row>289</xdr:row>
      <xdr:rowOff>114300</xdr:rowOff>
    </xdr:from>
    <xdr:ext cx="152400" cy="161925"/>
    <xdr:sp>
      <xdr:nvSpPr>
        <xdr:cNvPr id="46" name="Shape 46"/>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⁸</a:t>
          </a:r>
          <a:endParaRPr sz="1400"/>
        </a:p>
      </xdr:txBody>
    </xdr:sp>
    <xdr:clientData fLocksWithSheet="0"/>
  </xdr:oneCellAnchor>
  <xdr:oneCellAnchor>
    <xdr:from>
      <xdr:col>6</xdr:col>
      <xdr:colOff>457200</xdr:colOff>
      <xdr:row>289</xdr:row>
      <xdr:rowOff>114300</xdr:rowOff>
    </xdr:from>
    <xdr:ext cx="152400" cy="161925"/>
    <xdr:sp>
      <xdr:nvSpPr>
        <xdr:cNvPr id="47" name="Shape 47"/>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⁸</a:t>
          </a:r>
          <a:endParaRPr sz="1400"/>
        </a:p>
      </xdr:txBody>
    </xdr:sp>
    <xdr:clientData fLocksWithSheet="0"/>
  </xdr:oneCellAnchor>
  <xdr:oneCellAnchor>
    <xdr:from>
      <xdr:col>6</xdr:col>
      <xdr:colOff>466725</xdr:colOff>
      <xdr:row>288</xdr:row>
      <xdr:rowOff>104775</xdr:rowOff>
    </xdr:from>
    <xdr:ext cx="152400" cy="161925"/>
    <xdr:sp>
      <xdr:nvSpPr>
        <xdr:cNvPr id="48" name="Shape 48"/>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Arial"/>
              <a:ea typeface="Arial"/>
              <a:cs typeface="Arial"/>
              <a:sym typeface="Arial"/>
            </a:rPr>
            <a:t>⁷</a:t>
          </a:r>
          <a:endParaRPr sz="1400"/>
        </a:p>
      </xdr:txBody>
    </xdr:sp>
    <xdr:clientData fLocksWithSheet="0"/>
  </xdr:oneCellAnchor>
  <xdr:oneCellAnchor>
    <xdr:from>
      <xdr:col>10</xdr:col>
      <xdr:colOff>114300</xdr:colOff>
      <xdr:row>1153</xdr:row>
      <xdr:rowOff>-19050</xdr:rowOff>
    </xdr:from>
    <xdr:ext cx="1457325" cy="333375"/>
    <xdr:sp>
      <xdr:nvSpPr>
        <xdr:cNvPr id="49" name="Shape 49"/>
        <xdr:cNvSpPr txBox="1"/>
      </xdr:nvSpPr>
      <xdr:spPr>
        <a:xfrm flipH="1" rot="5009966">
          <a:off x="5269365" y="3057882"/>
          <a:ext cx="153270" cy="1444237"/>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aseline="30000" sz="800">
            <a:latin typeface="Arial"/>
            <a:ea typeface="Arial"/>
            <a:cs typeface="Arial"/>
            <a:sym typeface="Arial"/>
          </a:endParaRPr>
        </a:p>
      </xdr:txBody>
    </xdr:sp>
    <xdr:clientData fLocksWithSheet="0"/>
  </xdr:oneCellAnchor>
  <xdr:oneCellAnchor>
    <xdr:from>
      <xdr:col>10</xdr:col>
      <xdr:colOff>428625</xdr:colOff>
      <xdr:row>1153</xdr:row>
      <xdr:rowOff>114300</xdr:rowOff>
    </xdr:from>
    <xdr:ext cx="152400" cy="161925"/>
    <xdr:sp>
      <xdr:nvSpPr>
        <xdr:cNvPr id="50" name="Shape 50"/>
        <xdr:cNvSpPr txBox="1"/>
      </xdr:nvSpPr>
      <xdr:spPr>
        <a:xfrm>
          <a:off x="5271457" y="3701315"/>
          <a:ext cx="149087" cy="15737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800"/>
        </a:p>
      </xdr:txBody>
    </xdr:sp>
    <xdr:clientData fLocksWithSheet="0"/>
  </xdr:oneCellAnchor>
  <xdr:oneCellAnchor>
    <xdr:from>
      <xdr:col>9</xdr:col>
      <xdr:colOff>200025</xdr:colOff>
      <xdr:row>1154</xdr:row>
      <xdr:rowOff>19050</xdr:rowOff>
    </xdr:from>
    <xdr:ext cx="3762375" cy="104775"/>
    <xdr:sp>
      <xdr:nvSpPr>
        <xdr:cNvPr id="51" name="Shape 51"/>
        <xdr:cNvSpPr txBox="1"/>
      </xdr:nvSpPr>
      <xdr:spPr>
        <a:xfrm>
          <a:off x="3465276" y="3731019"/>
          <a:ext cx="3761448" cy="9796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11</xdr:col>
      <xdr:colOff>533400</xdr:colOff>
      <xdr:row>1152</xdr:row>
      <xdr:rowOff>38100</xdr:rowOff>
    </xdr:from>
    <xdr:ext cx="371475" cy="276225"/>
    <xdr:sp>
      <xdr:nvSpPr>
        <xdr:cNvPr id="52" name="Shape 52"/>
        <xdr:cNvSpPr txBox="1"/>
      </xdr:nvSpPr>
      <xdr:spPr>
        <a:xfrm>
          <a:off x="5162069" y="3642052"/>
          <a:ext cx="367862" cy="275897"/>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7</xdr:col>
      <xdr:colOff>457200</xdr:colOff>
      <xdr:row>1152</xdr:row>
      <xdr:rowOff>114300</xdr:rowOff>
    </xdr:from>
    <xdr:ext cx="114300" cy="114300"/>
    <xdr:sp>
      <xdr:nvSpPr>
        <xdr:cNvPr id="53" name="Shape 53"/>
        <xdr:cNvSpPr txBox="1"/>
      </xdr:nvSpPr>
      <xdr:spPr>
        <a:xfrm>
          <a:off x="5289679" y="3725542"/>
          <a:ext cx="112643" cy="108916"/>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10</xdr:col>
      <xdr:colOff>142875</xdr:colOff>
      <xdr:row>1156</xdr:row>
      <xdr:rowOff>0</xdr:rowOff>
    </xdr:from>
    <xdr:ext cx="1181100" cy="57150"/>
    <xdr:sp>
      <xdr:nvSpPr>
        <xdr:cNvPr id="54" name="Shape 54"/>
        <xdr:cNvSpPr txBox="1"/>
      </xdr:nvSpPr>
      <xdr:spPr>
        <a:xfrm flipH="1" rot="10800000">
          <a:off x="4758078" y="3753724"/>
          <a:ext cx="1175844" cy="52553"/>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oneCellAnchor>
    <xdr:from>
      <xdr:col>7</xdr:col>
      <xdr:colOff>457200</xdr:colOff>
      <xdr:row>1153</xdr:row>
      <xdr:rowOff>114300</xdr:rowOff>
    </xdr:from>
    <xdr:ext cx="114300" cy="114300"/>
    <xdr:sp>
      <xdr:nvSpPr>
        <xdr:cNvPr id="53" name="Shape 53"/>
        <xdr:cNvSpPr txBox="1"/>
      </xdr:nvSpPr>
      <xdr:spPr>
        <a:xfrm>
          <a:off x="5289679" y="3725542"/>
          <a:ext cx="112643" cy="108916"/>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sz="800">
            <a:latin typeface="Arial"/>
            <a:ea typeface="Arial"/>
            <a:cs typeface="Arial"/>
            <a:sym typeface="Aria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71"/>
    <col customWidth="1" min="2" max="2" width="6.0"/>
    <col customWidth="1" min="3" max="3" width="24.14"/>
    <col customWidth="1" min="4" max="4" width="26.71"/>
    <col customWidth="1" min="5" max="5" width="25.0"/>
    <col customWidth="1" min="6" max="7" width="3.0"/>
    <col customWidth="1" min="8" max="26" width="8.71"/>
  </cols>
  <sheetData>
    <row r="1" ht="12.75" customHeight="1"/>
    <row r="2" ht="12.75" customHeight="1">
      <c r="C2" t="s">
        <v>11</v>
      </c>
    </row>
    <row r="3" ht="12.75" customHeight="1">
      <c r="C3" t="s">
        <v>11</v>
      </c>
    </row>
    <row r="4" ht="12.75" customHeight="1"/>
    <row r="5" ht="12.75" customHeight="1"/>
    <row r="6" ht="12.75" customHeight="1"/>
    <row r="7" ht="12.75" customHeight="1"/>
    <row r="8" ht="12.75" customHeight="1"/>
    <row r="9" ht="12.75" customHeight="1"/>
    <row r="10" ht="12.75" customHeight="1"/>
    <row r="11" ht="18.0" customHeight="1"/>
    <row r="12" ht="30.0" customHeight="1">
      <c r="C12" s="16"/>
      <c r="D12" s="17" t="s">
        <v>12</v>
      </c>
      <c r="E12" s="16"/>
    </row>
    <row r="13" ht="16.5" customHeight="1">
      <c r="C13" s="16"/>
      <c r="D13" s="18" t="s">
        <v>13</v>
      </c>
      <c r="E13" s="16"/>
    </row>
    <row r="14" ht="30.0" customHeight="1">
      <c r="D14" s="19" t="s">
        <v>14</v>
      </c>
    </row>
    <row r="15" ht="30.0" customHeight="1">
      <c r="D15" s="17" t="s">
        <v>15</v>
      </c>
    </row>
    <row r="16" ht="50.25" customHeight="1">
      <c r="D16" s="20">
        <v>2018.0</v>
      </c>
    </row>
    <row r="17" ht="12.75" customHeight="1">
      <c r="D17" s="21"/>
    </row>
    <row r="18" ht="12.75" customHeight="1">
      <c r="D18" s="22"/>
    </row>
    <row r="19" ht="12.75" customHeight="1">
      <c r="D19" s="22"/>
    </row>
    <row r="20" ht="12.75" customHeight="1">
      <c r="D20" s="22"/>
    </row>
    <row r="21" ht="12.75" customHeight="1">
      <c r="D21" s="22"/>
    </row>
    <row r="22" ht="12.75" customHeight="1">
      <c r="D22" s="22"/>
    </row>
    <row r="23" ht="12.75" customHeight="1">
      <c r="D23" s="22"/>
    </row>
    <row r="24" ht="12.75" customHeight="1">
      <c r="D24" s="22"/>
    </row>
    <row r="25" ht="12.75" customHeight="1">
      <c r="D25" s="22"/>
    </row>
    <row r="26" ht="12.75" customHeight="1">
      <c r="D26" s="22"/>
    </row>
    <row r="27" ht="12.75" customHeight="1">
      <c r="D27" s="22"/>
    </row>
    <row r="28" ht="12.75" customHeight="1">
      <c r="D28" s="22"/>
    </row>
    <row r="29" ht="12.75" customHeight="1">
      <c r="D29" s="22"/>
    </row>
    <row r="30" ht="12.75" customHeight="1">
      <c r="D30" s="22"/>
    </row>
    <row r="31" ht="12.75" customHeight="1">
      <c r="D31" s="22"/>
    </row>
    <row r="32" ht="12.75" customHeight="1">
      <c r="D32" s="22"/>
    </row>
    <row r="33" ht="12.75" customHeight="1">
      <c r="D33" s="22"/>
    </row>
    <row r="34" ht="12.75" customHeight="1">
      <c r="D34" s="22"/>
    </row>
    <row r="35" ht="12.75" customHeight="1">
      <c r="D35" s="22"/>
    </row>
    <row r="36" ht="12.75" customHeight="1">
      <c r="D36" s="22"/>
    </row>
    <row r="37" ht="12.75" customHeight="1">
      <c r="D37" s="22"/>
    </row>
    <row r="38" ht="12.75" customHeight="1">
      <c r="D38" s="22"/>
    </row>
    <row r="39" ht="12.75" customHeight="1">
      <c r="B39" s="23" t="s">
        <v>16</v>
      </c>
      <c r="D39" s="22"/>
    </row>
    <row r="40" ht="12.75" customHeight="1">
      <c r="D40" s="22"/>
    </row>
    <row r="41" ht="12.75" customHeight="1">
      <c r="D41" s="22"/>
    </row>
    <row r="42" ht="12.75" customHeight="1">
      <c r="D42" s="22"/>
    </row>
    <row r="43" ht="12.75" customHeight="1">
      <c r="D43" s="22"/>
    </row>
    <row r="44" ht="12.75" customHeight="1">
      <c r="D44" s="22"/>
    </row>
    <row r="45" ht="12.75" customHeight="1">
      <c r="D45" s="22"/>
    </row>
    <row r="46" ht="12.75" customHeight="1">
      <c r="D46" s="22"/>
    </row>
    <row r="47" ht="12.75" customHeight="1">
      <c r="D47" s="22"/>
    </row>
    <row r="48" ht="12.75" customHeight="1">
      <c r="D48" s="22"/>
    </row>
    <row r="49" ht="12.75" customHeight="1">
      <c r="D49" s="22"/>
    </row>
    <row r="50" ht="12.75" customHeight="1">
      <c r="D50" s="22"/>
    </row>
    <row r="51" ht="12.75" customHeight="1">
      <c r="B51" s="24">
        <v>2018.0</v>
      </c>
      <c r="D51" s="22"/>
    </row>
    <row r="52" ht="12.75" customHeight="1">
      <c r="D52" s="22"/>
    </row>
    <row r="53" ht="12.75" customHeight="1">
      <c r="B53" t="s">
        <v>17</v>
      </c>
      <c r="D53" s="22"/>
    </row>
    <row r="54" ht="6.75" customHeight="1">
      <c r="D54" s="22"/>
    </row>
    <row r="55" ht="12.75" customHeight="1">
      <c r="C55" t="s">
        <v>18</v>
      </c>
      <c r="D55" s="22"/>
    </row>
    <row r="56" ht="12.75" customHeight="1">
      <c r="C56" t="s">
        <v>19</v>
      </c>
      <c r="D56" s="22"/>
    </row>
    <row r="57" ht="12.75" customHeight="1">
      <c r="C57" t="s">
        <v>20</v>
      </c>
      <c r="D57" s="22"/>
    </row>
    <row r="58" ht="12.75" customHeight="1">
      <c r="D58" s="22"/>
    </row>
    <row r="59" ht="12.75" customHeight="1">
      <c r="D59" s="22"/>
    </row>
    <row r="60" ht="12.75" customHeight="1">
      <c r="B60" t="s">
        <v>21</v>
      </c>
      <c r="D60" s="22"/>
    </row>
    <row r="61" ht="12.75" customHeight="1">
      <c r="D61" s="22"/>
    </row>
    <row r="62" ht="12.75" customHeight="1">
      <c r="C62" t="s">
        <v>22</v>
      </c>
      <c r="D62" s="22"/>
    </row>
    <row r="63" ht="12.75" customHeight="1">
      <c r="D63" s="22"/>
    </row>
    <row r="64" ht="12.75" customHeight="1">
      <c r="D64" s="22"/>
    </row>
    <row r="65" ht="12.75" customHeight="1">
      <c r="B65" t="s">
        <v>23</v>
      </c>
      <c r="D65" s="22"/>
    </row>
    <row r="66" ht="12.75" customHeight="1">
      <c r="D66" s="22"/>
    </row>
    <row r="67" ht="12.75" customHeight="1">
      <c r="C67" t="s">
        <v>24</v>
      </c>
      <c r="D67" s="22"/>
    </row>
    <row r="68" ht="12.75" customHeight="1">
      <c r="C68" s="23" t="s">
        <v>25</v>
      </c>
      <c r="D68" s="22"/>
    </row>
    <row r="69" ht="12.75" customHeight="1">
      <c r="C69" t="s">
        <v>26</v>
      </c>
      <c r="D69" s="22"/>
    </row>
    <row r="70" ht="12.75" customHeight="1">
      <c r="C70" t="s">
        <v>20</v>
      </c>
      <c r="D70" s="22"/>
    </row>
    <row r="71" ht="12.75" customHeight="1">
      <c r="D71" s="22"/>
    </row>
    <row r="72" ht="12.75" customHeight="1">
      <c r="C72" t="s">
        <v>27</v>
      </c>
      <c r="D72" s="22"/>
    </row>
    <row r="73" ht="12.75" customHeight="1">
      <c r="D73" s="22"/>
    </row>
    <row r="74" ht="12.75" customHeight="1">
      <c r="C74" t="s">
        <v>28</v>
      </c>
      <c r="D74" s="22"/>
    </row>
    <row r="75" ht="12.75" customHeight="1">
      <c r="D75" s="22"/>
    </row>
    <row r="76" ht="12.75" customHeight="1">
      <c r="D76" s="22"/>
    </row>
    <row r="77" ht="12.75" customHeight="1">
      <c r="B77" s="25"/>
      <c r="C77" s="25"/>
      <c r="D77" s="25"/>
      <c r="E77" s="25"/>
      <c r="F77" s="25"/>
      <c r="G77" s="25"/>
    </row>
    <row r="78" ht="104.25" customHeight="1">
      <c r="B78" s="26" t="s">
        <v>29</v>
      </c>
      <c r="G78" s="27"/>
      <c r="H78" s="24"/>
    </row>
    <row r="79" ht="38.25" customHeight="1">
      <c r="B79" s="28" t="s">
        <v>32</v>
      </c>
      <c r="G79" s="27"/>
      <c r="H79" s="24"/>
    </row>
    <row r="80" ht="27.75" customHeight="1">
      <c r="B80" s="28" t="s">
        <v>33</v>
      </c>
      <c r="G80" s="27"/>
      <c r="H80" s="24"/>
    </row>
    <row r="81" ht="66.0" customHeight="1">
      <c r="B81" s="32" t="s">
        <v>34</v>
      </c>
      <c r="C81" s="35"/>
      <c r="D81" s="35"/>
      <c r="E81" s="35"/>
      <c r="F81" s="35"/>
      <c r="G81" s="37"/>
      <c r="H81" s="24"/>
    </row>
    <row r="82" ht="12.75" customHeight="1">
      <c r="C82" s="24"/>
      <c r="D82" s="24"/>
      <c r="E82" s="24"/>
      <c r="F82" s="24"/>
      <c r="G82" s="24"/>
    </row>
    <row r="83" ht="12.75" customHeight="1">
      <c r="C83" s="24"/>
      <c r="D83" s="24"/>
      <c r="E83" s="24"/>
      <c r="F83" s="24"/>
      <c r="G83" s="24"/>
    </row>
    <row r="84" ht="12.75" customHeight="1">
      <c r="C84" s="24"/>
      <c r="D84" s="24"/>
      <c r="E84" s="24"/>
      <c r="F84" s="24"/>
      <c r="G84" s="24"/>
    </row>
    <row r="85" ht="12.75" customHeight="1">
      <c r="C85" s="24"/>
      <c r="D85" s="24"/>
      <c r="E85" s="24"/>
      <c r="F85" s="24"/>
      <c r="G85" s="24"/>
    </row>
    <row r="86" ht="12.75" customHeight="1">
      <c r="C86" s="24"/>
      <c r="D86" s="24"/>
      <c r="E86" s="24"/>
      <c r="F86" s="24"/>
      <c r="G86" s="24"/>
    </row>
    <row r="87" ht="12.75" customHeight="1">
      <c r="C87" s="24"/>
      <c r="D87" s="24"/>
      <c r="E87" s="24"/>
      <c r="F87" s="24"/>
      <c r="G87" s="24"/>
    </row>
    <row r="88" ht="12.75" customHeight="1">
      <c r="C88" s="24"/>
      <c r="D88" s="24"/>
      <c r="E88" s="24"/>
      <c r="F88" s="24"/>
      <c r="G88" s="24"/>
    </row>
    <row r="89" ht="12.75" customHeight="1">
      <c r="C89" s="24"/>
      <c r="D89" s="24"/>
      <c r="E89" s="24"/>
      <c r="F89" s="24"/>
      <c r="G89" s="24"/>
    </row>
    <row r="90" ht="12.75" customHeight="1">
      <c r="C90" s="24"/>
      <c r="D90" s="24"/>
      <c r="E90" s="24"/>
      <c r="F90" s="24"/>
      <c r="G90" s="24"/>
    </row>
    <row r="91" ht="12.75" customHeight="1">
      <c r="C91" s="24"/>
      <c r="D91" s="22" t="s">
        <v>45</v>
      </c>
      <c r="E91" s="24"/>
      <c r="F91" s="24"/>
      <c r="G91" s="24"/>
    </row>
    <row r="92" ht="12.75" customHeight="1">
      <c r="C92" s="24"/>
      <c r="D92" s="22"/>
      <c r="E92" s="24"/>
      <c r="F92" s="24"/>
      <c r="G92" s="24"/>
    </row>
    <row r="93" ht="12.75" customHeight="1">
      <c r="C93" s="24"/>
      <c r="D93" s="24"/>
      <c r="E93" s="24"/>
      <c r="F93" s="24"/>
      <c r="G93" s="24"/>
    </row>
    <row r="94" ht="30.0" customHeight="1">
      <c r="B94" s="41" t="s">
        <v>46</v>
      </c>
      <c r="C94" s="9"/>
      <c r="D94" s="9"/>
      <c r="E94" s="9"/>
      <c r="F94" s="9"/>
      <c r="G94" s="10"/>
    </row>
    <row r="95" ht="12.75" customHeight="1">
      <c r="B95" s="43"/>
      <c r="C95" s="45" t="s">
        <v>51</v>
      </c>
      <c r="D95" s="47" t="s">
        <v>53</v>
      </c>
      <c r="G95" s="49"/>
    </row>
    <row r="96" ht="12.75" customHeight="1">
      <c r="B96" s="43"/>
      <c r="C96" s="45" t="s">
        <v>61</v>
      </c>
      <c r="D96" s="47" t="s">
        <v>62</v>
      </c>
      <c r="G96" s="49"/>
    </row>
    <row r="97" ht="12.75" customHeight="1">
      <c r="A97" s="23"/>
      <c r="B97" s="43"/>
      <c r="C97" s="45" t="s">
        <v>63</v>
      </c>
      <c r="D97" s="47" t="s">
        <v>64</v>
      </c>
      <c r="E97" s="47"/>
      <c r="F97" s="47"/>
      <c r="G97" s="49"/>
      <c r="H97" s="23"/>
      <c r="I97" s="23"/>
      <c r="J97" s="23"/>
      <c r="K97" s="23"/>
      <c r="L97" s="23"/>
      <c r="M97" s="23"/>
      <c r="N97" s="23"/>
      <c r="O97" s="23"/>
      <c r="P97" s="23"/>
      <c r="Q97" s="23"/>
      <c r="R97" s="23"/>
      <c r="S97" s="23"/>
      <c r="T97" s="23"/>
      <c r="U97" s="23"/>
      <c r="V97" s="23"/>
      <c r="W97" s="23"/>
      <c r="X97" s="23"/>
      <c r="Y97" s="23"/>
      <c r="Z97" s="23"/>
    </row>
    <row r="98" ht="12.75" customHeight="1">
      <c r="B98" s="43"/>
      <c r="C98" s="45" t="s">
        <v>65</v>
      </c>
      <c r="D98" s="47" t="s">
        <v>66</v>
      </c>
      <c r="G98" s="49"/>
    </row>
    <row r="99" ht="12.75" customHeight="1">
      <c r="B99" s="43"/>
      <c r="C99" s="45" t="s">
        <v>67</v>
      </c>
      <c r="D99" s="47" t="s">
        <v>68</v>
      </c>
      <c r="G99" s="49"/>
    </row>
    <row r="100" ht="12.75" customHeight="1">
      <c r="B100" s="43"/>
      <c r="C100" s="45" t="s">
        <v>69</v>
      </c>
      <c r="D100" s="47" t="s">
        <v>70</v>
      </c>
      <c r="G100" s="49"/>
    </row>
    <row r="101" ht="12.75" customHeight="1">
      <c r="B101" s="43"/>
      <c r="C101" s="45" t="s">
        <v>71</v>
      </c>
      <c r="D101" s="47" t="s">
        <v>72</v>
      </c>
      <c r="G101" s="49"/>
    </row>
    <row r="102" ht="12.75" customHeight="1">
      <c r="B102" s="43"/>
      <c r="C102" s="45" t="s">
        <v>73</v>
      </c>
      <c r="D102" s="47" t="s">
        <v>74</v>
      </c>
      <c r="G102" s="49"/>
    </row>
    <row r="103" ht="12.75" customHeight="1">
      <c r="A103" s="23"/>
      <c r="B103" s="43"/>
      <c r="C103" s="45" t="s">
        <v>75</v>
      </c>
      <c r="D103" s="47" t="s">
        <v>76</v>
      </c>
      <c r="F103" s="47"/>
      <c r="G103" s="49"/>
      <c r="H103" s="23"/>
      <c r="I103" s="23"/>
      <c r="J103" s="23"/>
      <c r="K103" s="23"/>
      <c r="L103" s="23"/>
      <c r="M103" s="23"/>
      <c r="N103" s="23"/>
      <c r="O103" s="23"/>
      <c r="P103" s="23"/>
      <c r="Q103" s="23"/>
      <c r="R103" s="23"/>
      <c r="S103" s="23"/>
      <c r="T103" s="23"/>
      <c r="U103" s="23"/>
      <c r="V103" s="23"/>
      <c r="W103" s="23"/>
      <c r="X103" s="23"/>
      <c r="Y103" s="23"/>
      <c r="Z103" s="23"/>
    </row>
    <row r="104" ht="12.75" customHeight="1">
      <c r="B104" s="43"/>
      <c r="C104" s="45" t="s">
        <v>77</v>
      </c>
      <c r="D104" s="47" t="s">
        <v>78</v>
      </c>
      <c r="G104" s="49"/>
    </row>
    <row r="105" ht="12.75" customHeight="1">
      <c r="B105" s="43"/>
      <c r="C105" s="45" t="s">
        <v>79</v>
      </c>
      <c r="D105" s="47" t="s">
        <v>80</v>
      </c>
      <c r="G105" s="49"/>
    </row>
    <row r="106" ht="12.75" customHeight="1">
      <c r="A106" s="23"/>
      <c r="B106" s="43"/>
      <c r="C106" s="45" t="s">
        <v>82</v>
      </c>
      <c r="D106" s="47" t="s">
        <v>83</v>
      </c>
      <c r="G106" s="49"/>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43"/>
      <c r="C107" s="45" t="s">
        <v>84</v>
      </c>
      <c r="D107" s="47" t="s">
        <v>85</v>
      </c>
      <c r="F107" s="47"/>
      <c r="G107" s="49"/>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43"/>
      <c r="C108" s="45" t="s">
        <v>88</v>
      </c>
      <c r="D108" s="47" t="s">
        <v>89</v>
      </c>
      <c r="F108" s="47"/>
      <c r="G108" s="49"/>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43"/>
      <c r="C109" s="45" t="s">
        <v>91</v>
      </c>
      <c r="D109" s="47" t="s">
        <v>92</v>
      </c>
      <c r="F109" s="47"/>
      <c r="G109" s="49"/>
      <c r="H109" s="23"/>
      <c r="I109" s="23"/>
      <c r="J109" s="23"/>
      <c r="K109" s="23"/>
      <c r="L109" s="23"/>
      <c r="M109" s="23"/>
      <c r="N109" s="23"/>
      <c r="O109" s="23"/>
      <c r="P109" s="23"/>
      <c r="Q109" s="23"/>
      <c r="R109" s="23"/>
      <c r="S109" s="23"/>
      <c r="T109" s="23"/>
      <c r="U109" s="23"/>
      <c r="V109" s="23"/>
      <c r="W109" s="23"/>
      <c r="X109" s="23"/>
      <c r="Y109" s="23"/>
      <c r="Z109" s="23"/>
    </row>
    <row r="110" ht="12.75" customHeight="1">
      <c r="B110" s="43"/>
      <c r="C110" s="45" t="s">
        <v>94</v>
      </c>
      <c r="D110" s="47" t="s">
        <v>95</v>
      </c>
      <c r="G110" s="49"/>
    </row>
    <row r="111" ht="13.5" customHeight="1">
      <c r="B111" s="43"/>
      <c r="C111" s="45" t="s">
        <v>96</v>
      </c>
      <c r="D111" s="47" t="s">
        <v>99</v>
      </c>
      <c r="G111" s="49"/>
    </row>
    <row r="112" ht="12.75" customHeight="1">
      <c r="B112" s="43"/>
      <c r="C112" s="45" t="s">
        <v>10</v>
      </c>
      <c r="D112" s="47" t="s">
        <v>100</v>
      </c>
      <c r="G112" s="49"/>
    </row>
    <row r="113" ht="12.75" customHeight="1">
      <c r="B113" s="43"/>
      <c r="C113" s="45" t="s">
        <v>40</v>
      </c>
      <c r="D113" s="47" t="s">
        <v>102</v>
      </c>
      <c r="G113" s="49"/>
    </row>
    <row r="114" ht="12.75" customHeight="1">
      <c r="B114" s="61"/>
      <c r="C114" s="62" t="s">
        <v>106</v>
      </c>
      <c r="D114" s="63" t="s">
        <v>110</v>
      </c>
      <c r="E114" s="35"/>
      <c r="F114" s="35"/>
      <c r="G114" s="64"/>
    </row>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c r="D148" s="22" t="s">
        <v>116</v>
      </c>
    </row>
    <row r="149" ht="12.75" customHeight="1">
      <c r="D149" s="22"/>
    </row>
    <row r="150" ht="12.75" customHeight="1"/>
    <row r="151" ht="26.25" customHeight="1">
      <c r="B151" s="67" t="s">
        <v>119</v>
      </c>
      <c r="C151" s="68"/>
      <c r="D151" s="68"/>
      <c r="E151" s="68"/>
      <c r="F151" s="68"/>
      <c r="G151" s="70"/>
    </row>
    <row r="152">
      <c r="B152" s="72" t="s">
        <v>120</v>
      </c>
      <c r="C152" s="9"/>
      <c r="D152" s="9"/>
      <c r="E152" s="9"/>
      <c r="F152" s="9"/>
      <c r="G152" s="10"/>
    </row>
    <row r="153" ht="12.75" customHeight="1">
      <c r="B153" s="75" t="s">
        <v>124</v>
      </c>
      <c r="C153" s="70"/>
      <c r="D153" s="83"/>
      <c r="E153" s="45" t="s">
        <v>132</v>
      </c>
      <c r="G153" s="87"/>
    </row>
    <row r="154" ht="12.75" customHeight="1">
      <c r="B154" s="88" t="s">
        <v>137</v>
      </c>
      <c r="C154" s="87"/>
      <c r="D154" s="89" t="s">
        <v>141</v>
      </c>
      <c r="E154" s="45" t="s">
        <v>142</v>
      </c>
      <c r="G154" s="87"/>
    </row>
    <row r="155" ht="12.75" customHeight="1">
      <c r="B155" s="88" t="s">
        <v>145</v>
      </c>
      <c r="C155" s="87"/>
      <c r="D155" s="89" t="s">
        <v>147</v>
      </c>
      <c r="E155" s="45" t="s">
        <v>148</v>
      </c>
      <c r="G155" s="87"/>
    </row>
    <row r="156" ht="12.75" customHeight="1">
      <c r="B156" s="88" t="s">
        <v>150</v>
      </c>
      <c r="C156" s="87"/>
      <c r="D156" s="91"/>
      <c r="E156" s="45" t="s">
        <v>152</v>
      </c>
      <c r="G156" s="87"/>
    </row>
    <row r="157" ht="12.75" customHeight="1">
      <c r="B157" s="88" t="s">
        <v>154</v>
      </c>
      <c r="C157" s="87"/>
      <c r="D157" s="89" t="s">
        <v>156</v>
      </c>
      <c r="E157" s="45" t="s">
        <v>157</v>
      </c>
      <c r="G157" s="87"/>
    </row>
    <row r="158" ht="12.75" customHeight="1">
      <c r="B158" s="93" t="s">
        <v>159</v>
      </c>
      <c r="C158" s="94"/>
      <c r="D158" s="95" t="s">
        <v>163</v>
      </c>
      <c r="E158" s="45" t="s">
        <v>166</v>
      </c>
      <c r="G158" s="87"/>
    </row>
    <row r="159">
      <c r="B159" s="72" t="s">
        <v>167</v>
      </c>
      <c r="C159" s="9"/>
      <c r="D159" s="9"/>
      <c r="E159" s="9"/>
      <c r="F159" s="9"/>
      <c r="G159" s="10"/>
    </row>
    <row r="160" ht="12.75" customHeight="1">
      <c r="B160" s="75" t="s">
        <v>168</v>
      </c>
      <c r="C160" s="70"/>
      <c r="D160" s="99" t="s">
        <v>169</v>
      </c>
      <c r="E160" s="45" t="s">
        <v>170</v>
      </c>
      <c r="G160" s="87"/>
    </row>
    <row r="161" ht="12.75" customHeight="1">
      <c r="B161" s="88" t="s">
        <v>171</v>
      </c>
      <c r="C161" s="87"/>
      <c r="D161" s="101" t="s">
        <v>172</v>
      </c>
      <c r="E161" s="45" t="s">
        <v>173</v>
      </c>
      <c r="G161" s="87"/>
    </row>
    <row r="162" ht="12.75" customHeight="1">
      <c r="B162" s="88" t="s">
        <v>174</v>
      </c>
      <c r="C162" s="87"/>
      <c r="D162" s="101" t="s">
        <v>175</v>
      </c>
      <c r="E162" s="45" t="s">
        <v>176</v>
      </c>
      <c r="G162" s="87"/>
    </row>
    <row r="163" ht="12.75" customHeight="1">
      <c r="B163" s="88" t="s">
        <v>177</v>
      </c>
      <c r="C163" s="87"/>
      <c r="D163" s="101" t="s">
        <v>178</v>
      </c>
      <c r="E163" s="45" t="s">
        <v>179</v>
      </c>
      <c r="G163" s="87"/>
    </row>
    <row r="164" ht="12.75" customHeight="1">
      <c r="B164" s="93" t="s">
        <v>180</v>
      </c>
      <c r="C164" s="94"/>
      <c r="D164" s="105" t="s">
        <v>181</v>
      </c>
      <c r="E164" s="45" t="s">
        <v>182</v>
      </c>
      <c r="G164" s="87"/>
    </row>
    <row r="165">
      <c r="B165" s="72" t="s">
        <v>183</v>
      </c>
      <c r="C165" s="9"/>
      <c r="D165" s="9"/>
      <c r="E165" s="9"/>
      <c r="F165" s="9"/>
      <c r="G165" s="10"/>
    </row>
    <row r="166" ht="12.75" customHeight="1">
      <c r="B166" s="75" t="s">
        <v>184</v>
      </c>
      <c r="C166" s="70"/>
      <c r="D166" s="83" t="s">
        <v>186</v>
      </c>
      <c r="E166" s="45" t="s">
        <v>187</v>
      </c>
      <c r="G166" s="87"/>
    </row>
    <row r="167" ht="12.75" customHeight="1">
      <c r="B167" s="88" t="s">
        <v>189</v>
      </c>
      <c r="C167" s="87"/>
      <c r="D167" s="89" t="s">
        <v>190</v>
      </c>
      <c r="E167" s="45" t="s">
        <v>192</v>
      </c>
      <c r="G167" s="87"/>
    </row>
    <row r="168" ht="12.75" customHeight="1">
      <c r="B168" s="88" t="s">
        <v>193</v>
      </c>
      <c r="C168" s="87"/>
      <c r="D168" s="89" t="s">
        <v>195</v>
      </c>
      <c r="E168" s="45" t="s">
        <v>196</v>
      </c>
      <c r="G168" s="87"/>
    </row>
    <row r="169" ht="12.75" customHeight="1">
      <c r="B169" s="88" t="s">
        <v>198</v>
      </c>
      <c r="C169" s="87"/>
      <c r="D169" s="89" t="s">
        <v>199</v>
      </c>
      <c r="E169" s="45" t="s">
        <v>201</v>
      </c>
      <c r="G169" s="87"/>
    </row>
    <row r="170" ht="12.75" customHeight="1">
      <c r="B170" s="88" t="s">
        <v>203</v>
      </c>
      <c r="C170" s="87"/>
      <c r="D170" s="89" t="s">
        <v>204</v>
      </c>
      <c r="E170" s="45" t="s">
        <v>205</v>
      </c>
      <c r="G170" s="87"/>
    </row>
    <row r="171" ht="12.75" customHeight="1">
      <c r="B171" s="93" t="s">
        <v>206</v>
      </c>
      <c r="C171" s="94"/>
      <c r="D171" s="95" t="s">
        <v>207</v>
      </c>
      <c r="E171" s="45" t="s">
        <v>208</v>
      </c>
      <c r="G171" s="87"/>
    </row>
    <row r="172">
      <c r="B172" s="72" t="s">
        <v>210</v>
      </c>
      <c r="C172" s="9"/>
      <c r="D172" s="9"/>
      <c r="E172" s="9"/>
      <c r="F172" s="9"/>
      <c r="G172" s="10"/>
    </row>
    <row r="173" ht="12.75" customHeight="1">
      <c r="B173" s="75" t="s">
        <v>211</v>
      </c>
      <c r="C173" s="70"/>
      <c r="D173" s="83" t="s">
        <v>212</v>
      </c>
      <c r="E173" s="45" t="s">
        <v>213</v>
      </c>
      <c r="G173" s="87"/>
    </row>
    <row r="174" ht="12.75" customHeight="1">
      <c r="B174" s="88" t="s">
        <v>215</v>
      </c>
      <c r="C174" s="87"/>
      <c r="D174" s="89" t="s">
        <v>216</v>
      </c>
      <c r="E174" s="45" t="s">
        <v>217</v>
      </c>
      <c r="G174" s="87"/>
    </row>
    <row r="175" ht="12.75" customHeight="1">
      <c r="B175" s="88" t="s">
        <v>218</v>
      </c>
      <c r="C175" s="87"/>
      <c r="D175" s="89" t="s">
        <v>219</v>
      </c>
      <c r="E175" s="45" t="s">
        <v>220</v>
      </c>
      <c r="G175" s="87"/>
    </row>
    <row r="176" ht="12.75" customHeight="1">
      <c r="B176" s="88" t="s">
        <v>221</v>
      </c>
      <c r="C176" s="87"/>
      <c r="D176" s="89" t="s">
        <v>222</v>
      </c>
      <c r="E176" s="45" t="s">
        <v>223</v>
      </c>
      <c r="G176" s="87"/>
    </row>
    <row r="177" ht="12.75" customHeight="1">
      <c r="B177" s="88" t="s">
        <v>225</v>
      </c>
      <c r="C177" s="87"/>
      <c r="D177" s="89" t="s">
        <v>226</v>
      </c>
      <c r="E177" s="45" t="s">
        <v>227</v>
      </c>
      <c r="G177" s="87"/>
    </row>
    <row r="178" ht="12.75" customHeight="1">
      <c r="B178" s="93" t="s">
        <v>228</v>
      </c>
      <c r="C178" s="94"/>
      <c r="D178" s="95" t="s">
        <v>231</v>
      </c>
      <c r="E178" s="45" t="s">
        <v>232</v>
      </c>
      <c r="G178" s="87"/>
    </row>
    <row r="179">
      <c r="B179" s="72" t="s">
        <v>233</v>
      </c>
      <c r="C179" s="9"/>
      <c r="D179" s="119" t="s">
        <v>234</v>
      </c>
      <c r="E179" s="119"/>
      <c r="F179" s="120"/>
      <c r="G179" s="121"/>
    </row>
    <row r="180" ht="12.75" customHeight="1">
      <c r="B180" s="88" t="s">
        <v>236</v>
      </c>
      <c r="C180" s="87"/>
      <c r="D180" s="123">
        <v>1.094</v>
      </c>
      <c r="E180" s="131"/>
      <c r="F180" s="23"/>
      <c r="G180" s="49"/>
    </row>
    <row r="181" ht="12.75" customHeight="1">
      <c r="B181" s="88" t="s">
        <v>242</v>
      </c>
      <c r="C181" s="87"/>
      <c r="D181" s="123">
        <v>3.281</v>
      </c>
      <c r="E181" s="131"/>
      <c r="F181" s="23"/>
      <c r="G181" s="49"/>
    </row>
    <row r="182" ht="12.75" customHeight="1">
      <c r="B182" s="88" t="s">
        <v>244</v>
      </c>
      <c r="C182" s="87"/>
      <c r="D182" s="123">
        <v>2.471</v>
      </c>
      <c r="E182" s="131"/>
      <c r="F182" s="23"/>
      <c r="G182" s="49"/>
    </row>
    <row r="183" ht="12.75" customHeight="1">
      <c r="B183" s="88" t="s">
        <v>254</v>
      </c>
      <c r="C183" s="87"/>
      <c r="D183" s="47" t="s">
        <v>255</v>
      </c>
      <c r="E183" s="135"/>
      <c r="F183" s="23"/>
      <c r="G183" s="49"/>
    </row>
    <row r="184" ht="12.75" customHeight="1">
      <c r="B184" s="88" t="s">
        <v>257</v>
      </c>
      <c r="C184" s="87"/>
      <c r="D184" s="47" t="s">
        <v>259</v>
      </c>
      <c r="E184" s="135"/>
      <c r="F184" s="23"/>
      <c r="G184" s="49"/>
    </row>
    <row r="185" ht="12.75" customHeight="1">
      <c r="B185" s="88" t="s">
        <v>260</v>
      </c>
      <c r="C185" s="87"/>
      <c r="D185" s="47" t="s">
        <v>261</v>
      </c>
      <c r="E185" s="135"/>
      <c r="F185" s="23"/>
      <c r="G185" s="49"/>
    </row>
    <row r="186" ht="12.75" customHeight="1">
      <c r="B186" s="88" t="s">
        <v>262</v>
      </c>
      <c r="C186" s="87"/>
      <c r="D186" s="47" t="s">
        <v>265</v>
      </c>
      <c r="E186" s="135"/>
      <c r="F186" s="23"/>
      <c r="G186" s="49"/>
    </row>
    <row r="187" ht="12.75" customHeight="1">
      <c r="B187" s="93" t="s">
        <v>266</v>
      </c>
      <c r="C187" s="94"/>
      <c r="D187" s="137">
        <v>2.205</v>
      </c>
      <c r="E187" s="138"/>
      <c r="F187" s="25"/>
      <c r="G187" s="64"/>
    </row>
    <row r="188" ht="12.75" customHeight="1">
      <c r="C188" s="139"/>
      <c r="D188" s="139"/>
      <c r="E188" s="139"/>
      <c r="F188" s="139"/>
    </row>
    <row r="189" ht="12.75" customHeight="1">
      <c r="C189" s="139"/>
      <c r="D189" s="139"/>
      <c r="E189" s="139"/>
      <c r="F189" s="139"/>
    </row>
    <row r="190" ht="12.75" customHeight="1">
      <c r="C190" s="139"/>
      <c r="D190" s="139"/>
      <c r="E190" s="139"/>
      <c r="F190" s="139"/>
    </row>
    <row r="191" ht="12.75" customHeight="1">
      <c r="C191" s="139"/>
      <c r="D191" s="139"/>
      <c r="E191" s="139"/>
      <c r="F191" s="139"/>
    </row>
    <row r="192" ht="12.75" customHeight="1">
      <c r="C192" s="139"/>
      <c r="D192" s="139"/>
      <c r="E192" s="139"/>
      <c r="F192" s="139"/>
    </row>
    <row r="193" ht="12.75" customHeight="1">
      <c r="C193" s="139"/>
      <c r="D193" s="139"/>
      <c r="E193" s="139"/>
      <c r="F193" s="139"/>
    </row>
    <row r="194" ht="12.75" customHeight="1">
      <c r="C194" s="139"/>
      <c r="D194" s="139"/>
      <c r="E194" s="139"/>
      <c r="F194" s="139"/>
    </row>
    <row r="195" ht="12.75" customHeight="1">
      <c r="C195" s="139"/>
      <c r="D195" s="139"/>
      <c r="E195" s="139"/>
      <c r="F195" s="139"/>
    </row>
    <row r="196" ht="12.75" customHeight="1">
      <c r="C196" s="139"/>
      <c r="D196" s="139"/>
      <c r="E196" s="139"/>
      <c r="F196" s="139"/>
    </row>
    <row r="197" ht="12.75" customHeight="1">
      <c r="C197" s="139"/>
      <c r="D197" s="139"/>
      <c r="E197" s="139"/>
      <c r="F197" s="139"/>
    </row>
    <row r="198" ht="12.75" customHeight="1">
      <c r="C198" s="139"/>
      <c r="D198" s="139"/>
      <c r="E198" s="139"/>
      <c r="F198" s="139"/>
    </row>
    <row r="199" ht="12.75" customHeight="1">
      <c r="C199" s="24"/>
      <c r="D199" s="24"/>
      <c r="E199" s="24"/>
      <c r="F199" s="24"/>
      <c r="G199" s="24"/>
    </row>
    <row r="200" ht="12.75" customHeight="1">
      <c r="C200" s="24"/>
      <c r="D200" s="24"/>
      <c r="E200" s="24"/>
      <c r="F200" s="24"/>
      <c r="G200" s="24"/>
    </row>
    <row r="201" ht="12.75" customHeight="1">
      <c r="C201" s="24"/>
      <c r="D201" s="24"/>
      <c r="E201" s="24"/>
      <c r="F201" s="24"/>
      <c r="G201" s="24"/>
    </row>
    <row r="202" ht="12.75" customHeight="1">
      <c r="C202" s="24"/>
      <c r="D202" s="24"/>
      <c r="E202" s="24"/>
      <c r="F202" s="24"/>
      <c r="G202" s="24"/>
    </row>
    <row r="203" ht="12.75" customHeight="1">
      <c r="C203" s="24"/>
      <c r="D203" s="22" t="s">
        <v>273</v>
      </c>
      <c r="E203" s="24"/>
      <c r="F203" s="24"/>
      <c r="G203" s="24"/>
    </row>
    <row r="204" ht="12.75" customHeight="1">
      <c r="C204" s="24"/>
      <c r="D204" s="22"/>
      <c r="E204" s="24"/>
      <c r="F204" s="24"/>
      <c r="G204" s="24"/>
    </row>
    <row r="205" ht="12.75" customHeight="1">
      <c r="C205" s="142"/>
      <c r="D205" s="22"/>
      <c r="E205" s="24"/>
      <c r="F205" s="24"/>
      <c r="G205" s="24"/>
    </row>
    <row r="206" ht="26.25" customHeight="1">
      <c r="B206" s="144"/>
      <c r="C206" s="146" t="s">
        <v>277</v>
      </c>
      <c r="D206" s="9"/>
      <c r="E206" s="147"/>
      <c r="F206" s="149"/>
      <c r="G206" s="10"/>
    </row>
    <row r="207" ht="20.25" customHeight="1">
      <c r="B207" s="72" t="s">
        <v>279</v>
      </c>
      <c r="C207" s="151" t="s">
        <v>280</v>
      </c>
      <c r="D207" s="9"/>
      <c r="E207" s="9"/>
      <c r="F207" s="151" t="s">
        <v>281</v>
      </c>
      <c r="G207" s="10"/>
    </row>
    <row r="208">
      <c r="B208" s="153">
        <v>1.0</v>
      </c>
      <c r="C208" s="155" t="s">
        <v>283</v>
      </c>
      <c r="D208" s="68"/>
      <c r="E208" s="68"/>
      <c r="F208" s="156">
        <v>1.0</v>
      </c>
      <c r="G208" s="70"/>
    </row>
    <row r="209">
      <c r="B209" s="153">
        <v>2.0</v>
      </c>
      <c r="C209" s="158" t="s">
        <v>285</v>
      </c>
      <c r="F209" s="160">
        <v>2.0</v>
      </c>
      <c r="G209" s="87"/>
    </row>
    <row r="210">
      <c r="B210" s="153" t="s">
        <v>286</v>
      </c>
      <c r="C210" s="158" t="s">
        <v>287</v>
      </c>
      <c r="F210" s="160">
        <v>2.0</v>
      </c>
      <c r="G210" s="87"/>
    </row>
    <row r="211">
      <c r="B211" s="153">
        <v>3.0</v>
      </c>
      <c r="C211" s="158" t="s">
        <v>288</v>
      </c>
      <c r="F211" s="160">
        <v>3.0</v>
      </c>
      <c r="G211" s="87"/>
    </row>
    <row r="212">
      <c r="B212" s="153">
        <v>4.0</v>
      </c>
      <c r="C212" s="158" t="s">
        <v>289</v>
      </c>
      <c r="F212" s="160">
        <v>4.0</v>
      </c>
      <c r="G212" s="87"/>
    </row>
    <row r="213">
      <c r="B213" s="153" t="s">
        <v>290</v>
      </c>
      <c r="C213" s="158" t="s">
        <v>291</v>
      </c>
      <c r="F213" s="160">
        <v>4.0</v>
      </c>
      <c r="G213" s="87"/>
    </row>
    <row r="214">
      <c r="B214" s="153">
        <v>5.0</v>
      </c>
      <c r="C214" s="158" t="s">
        <v>292</v>
      </c>
      <c r="F214" s="160">
        <v>5.0</v>
      </c>
      <c r="G214" s="87"/>
    </row>
    <row r="215">
      <c r="B215" s="153">
        <v>6.0</v>
      </c>
      <c r="C215" s="158" t="s">
        <v>293</v>
      </c>
      <c r="F215" s="160"/>
      <c r="G215" s="87"/>
    </row>
    <row r="216">
      <c r="B216" s="163"/>
      <c r="C216" s="165" t="s">
        <v>294</v>
      </c>
      <c r="D216" s="35"/>
      <c r="E216" s="35"/>
      <c r="F216" s="167">
        <v>6.0</v>
      </c>
      <c r="G216" s="94"/>
    </row>
    <row r="217" ht="20.25" customHeight="1">
      <c r="B217" s="170" t="s">
        <v>295</v>
      </c>
      <c r="C217" s="9"/>
      <c r="D217" s="9"/>
      <c r="E217" s="9"/>
      <c r="F217" s="9"/>
      <c r="G217" s="10"/>
    </row>
    <row r="218">
      <c r="B218" s="153">
        <v>7.0</v>
      </c>
      <c r="C218" s="155" t="s">
        <v>296</v>
      </c>
      <c r="D218" s="68"/>
      <c r="E218" s="68"/>
      <c r="F218" s="173">
        <v>7.0</v>
      </c>
      <c r="G218" s="70"/>
    </row>
    <row r="219">
      <c r="B219" s="153">
        <v>8.0</v>
      </c>
      <c r="C219" s="158" t="s">
        <v>297</v>
      </c>
      <c r="F219" s="175">
        <v>8.0</v>
      </c>
      <c r="G219" s="87"/>
    </row>
    <row r="220">
      <c r="B220" s="153">
        <v>9.0</v>
      </c>
      <c r="C220" s="158" t="s">
        <v>298</v>
      </c>
      <c r="F220" s="175">
        <v>9.0</v>
      </c>
      <c r="G220" s="87"/>
    </row>
    <row r="221">
      <c r="B221" s="153">
        <v>10.0</v>
      </c>
      <c r="C221" s="158" t="s">
        <v>299</v>
      </c>
      <c r="F221" s="175">
        <v>10.0</v>
      </c>
      <c r="G221" s="87"/>
    </row>
    <row r="222">
      <c r="B222" s="153">
        <v>11.0</v>
      </c>
      <c r="C222" s="158" t="s">
        <v>300</v>
      </c>
      <c r="F222" s="175">
        <v>11.0</v>
      </c>
      <c r="G222" s="87"/>
    </row>
    <row r="223">
      <c r="B223" s="153">
        <v>12.0</v>
      </c>
      <c r="C223" s="158" t="s">
        <v>301</v>
      </c>
      <c r="F223" s="175">
        <v>12.0</v>
      </c>
      <c r="G223" s="87"/>
    </row>
    <row r="224">
      <c r="B224" s="153">
        <v>13.0</v>
      </c>
      <c r="C224" s="158" t="s">
        <v>302</v>
      </c>
      <c r="F224" s="175">
        <v>13.0</v>
      </c>
      <c r="G224" s="87"/>
    </row>
    <row r="225">
      <c r="B225" s="153">
        <v>14.0</v>
      </c>
      <c r="C225" s="158" t="s">
        <v>303</v>
      </c>
      <c r="F225" s="175">
        <v>14.0</v>
      </c>
      <c r="G225" s="87"/>
    </row>
    <row r="226">
      <c r="B226" s="153">
        <v>15.0</v>
      </c>
      <c r="C226" s="158" t="s">
        <v>304</v>
      </c>
      <c r="F226" s="175">
        <v>15.0</v>
      </c>
      <c r="G226" s="87"/>
    </row>
    <row r="227">
      <c r="B227" s="153">
        <v>16.0</v>
      </c>
      <c r="C227" s="158" t="s">
        <v>305</v>
      </c>
      <c r="F227" s="175">
        <v>16.0</v>
      </c>
      <c r="G227" s="87"/>
    </row>
    <row r="228">
      <c r="B228" s="153">
        <v>17.0</v>
      </c>
      <c r="C228" s="158" t="s">
        <v>306</v>
      </c>
      <c r="F228" s="175">
        <v>17.0</v>
      </c>
      <c r="G228" s="87"/>
    </row>
    <row r="229">
      <c r="B229" s="153">
        <v>18.0</v>
      </c>
      <c r="C229" s="158" t="s">
        <v>307</v>
      </c>
      <c r="F229" s="175">
        <v>18.0</v>
      </c>
      <c r="G229" s="87"/>
    </row>
    <row r="230">
      <c r="B230" s="153">
        <v>19.0</v>
      </c>
      <c r="C230" s="158" t="s">
        <v>308</v>
      </c>
      <c r="F230" s="175">
        <v>19.0</v>
      </c>
      <c r="G230" s="87"/>
    </row>
    <row r="231">
      <c r="B231" s="153">
        <v>20.0</v>
      </c>
      <c r="C231" s="158" t="s">
        <v>309</v>
      </c>
      <c r="F231" s="175">
        <v>20.0</v>
      </c>
      <c r="G231" s="87"/>
    </row>
    <row r="232">
      <c r="B232" s="153">
        <v>21.0</v>
      </c>
      <c r="C232" s="158" t="s">
        <v>310</v>
      </c>
      <c r="F232" s="175"/>
      <c r="G232" s="87"/>
    </row>
    <row r="233">
      <c r="B233" s="153"/>
      <c r="C233" s="158" t="s">
        <v>311</v>
      </c>
      <c r="F233" s="175">
        <v>21.0</v>
      </c>
      <c r="G233" s="87"/>
    </row>
    <row r="234">
      <c r="B234" s="153">
        <v>22.0</v>
      </c>
      <c r="C234" s="158" t="s">
        <v>312</v>
      </c>
      <c r="F234" s="175"/>
      <c r="G234" s="87"/>
    </row>
    <row r="235">
      <c r="B235" s="153"/>
      <c r="C235" s="158" t="s">
        <v>311</v>
      </c>
      <c r="F235" s="175">
        <v>22.0</v>
      </c>
      <c r="G235" s="87"/>
    </row>
    <row r="236">
      <c r="B236" s="153">
        <v>23.0</v>
      </c>
      <c r="C236" s="158" t="s">
        <v>313</v>
      </c>
      <c r="F236" s="175"/>
      <c r="G236" s="87"/>
    </row>
    <row r="237">
      <c r="B237" s="153"/>
      <c r="C237" s="158" t="s">
        <v>311</v>
      </c>
      <c r="F237" s="175">
        <v>23.0</v>
      </c>
      <c r="G237" s="87"/>
    </row>
    <row r="238">
      <c r="B238" s="153">
        <v>24.0</v>
      </c>
      <c r="C238" s="158" t="s">
        <v>314</v>
      </c>
      <c r="F238" s="175">
        <v>24.0</v>
      </c>
      <c r="G238" s="87"/>
    </row>
    <row r="239">
      <c r="B239" s="153">
        <v>25.0</v>
      </c>
      <c r="C239" s="158" t="s">
        <v>315</v>
      </c>
      <c r="F239" s="175">
        <v>25.0</v>
      </c>
      <c r="G239" s="87"/>
    </row>
    <row r="240">
      <c r="B240" s="153">
        <v>26.0</v>
      </c>
      <c r="C240" s="158" t="s">
        <v>316</v>
      </c>
      <c r="F240" s="175">
        <v>26.0</v>
      </c>
      <c r="G240" s="87"/>
    </row>
    <row r="241">
      <c r="B241" s="153">
        <v>27.0</v>
      </c>
      <c r="C241" s="158" t="s">
        <v>317</v>
      </c>
      <c r="F241" s="175"/>
      <c r="G241" s="87"/>
    </row>
    <row r="242">
      <c r="B242" s="153"/>
      <c r="C242" s="158" t="s">
        <v>318</v>
      </c>
      <c r="F242" s="175">
        <v>27.0</v>
      </c>
      <c r="G242" s="87"/>
    </row>
    <row r="243">
      <c r="B243" s="153">
        <v>28.0</v>
      </c>
      <c r="C243" s="158" t="s">
        <v>319</v>
      </c>
      <c r="F243" s="175">
        <v>28.0</v>
      </c>
      <c r="G243" s="87"/>
    </row>
    <row r="244">
      <c r="B244" s="153">
        <v>29.0</v>
      </c>
      <c r="C244" s="158" t="s">
        <v>320</v>
      </c>
      <c r="F244" s="175">
        <v>29.0</v>
      </c>
      <c r="G244" s="87"/>
    </row>
    <row r="245">
      <c r="B245" s="153">
        <v>30.0</v>
      </c>
      <c r="C245" s="158" t="s">
        <v>321</v>
      </c>
      <c r="F245" s="175">
        <v>30.0</v>
      </c>
      <c r="G245" s="87"/>
    </row>
    <row r="246">
      <c r="B246" s="153">
        <v>31.0</v>
      </c>
      <c r="C246" s="158" t="s">
        <v>322</v>
      </c>
      <c r="F246" s="175"/>
      <c r="G246" s="87"/>
    </row>
    <row r="247">
      <c r="B247" s="153"/>
      <c r="C247" s="158" t="s">
        <v>323</v>
      </c>
      <c r="F247" s="175">
        <v>31.0</v>
      </c>
      <c r="G247" s="87"/>
    </row>
    <row r="248">
      <c r="B248" s="153">
        <v>32.0</v>
      </c>
      <c r="C248" s="158" t="s">
        <v>324</v>
      </c>
      <c r="F248" s="175">
        <v>32.0</v>
      </c>
      <c r="G248" s="87"/>
    </row>
    <row r="249">
      <c r="B249" s="182">
        <v>33.0</v>
      </c>
      <c r="C249" s="199" t="s">
        <v>325</v>
      </c>
      <c r="D249" s="35"/>
      <c r="E249" s="35"/>
      <c r="F249" s="201">
        <v>33.0</v>
      </c>
      <c r="G249" s="94"/>
    </row>
    <row r="250">
      <c r="B250" s="203"/>
      <c r="C250" s="158"/>
      <c r="D250" s="158"/>
      <c r="E250" s="158"/>
      <c r="F250" s="175"/>
      <c r="G250" s="175"/>
    </row>
    <row r="251">
      <c r="B251" s="203"/>
      <c r="C251" s="158"/>
      <c r="D251" s="158"/>
      <c r="E251" s="158"/>
      <c r="F251" s="175"/>
      <c r="G251" s="175"/>
    </row>
    <row r="252" ht="12.75" customHeight="1"/>
    <row r="253" ht="12.75" customHeight="1">
      <c r="C253" s="47"/>
      <c r="D253" s="205" t="s">
        <v>362</v>
      </c>
      <c r="E253" s="24"/>
      <c r="F253" s="24"/>
    </row>
    <row r="254" ht="12.75" customHeight="1">
      <c r="C254" s="142"/>
      <c r="D254" s="205"/>
      <c r="E254" s="24"/>
      <c r="F254" s="24"/>
      <c r="G254" s="24"/>
    </row>
    <row r="255">
      <c r="B255" s="207" t="s">
        <v>279</v>
      </c>
      <c r="C255" s="209" t="s">
        <v>363</v>
      </c>
      <c r="D255" s="9"/>
      <c r="E255" s="9"/>
      <c r="F255" s="209" t="s">
        <v>281</v>
      </c>
      <c r="G255" s="10"/>
    </row>
    <row r="256">
      <c r="B256" s="211">
        <v>34.0</v>
      </c>
      <c r="C256" s="213" t="s">
        <v>364</v>
      </c>
      <c r="F256" s="160"/>
      <c r="G256" s="87"/>
    </row>
    <row r="257">
      <c r="B257" s="211"/>
      <c r="C257" s="213" t="s">
        <v>365</v>
      </c>
      <c r="F257" s="160">
        <v>34.0</v>
      </c>
      <c r="G257" s="87"/>
    </row>
    <row r="258">
      <c r="B258" s="211">
        <v>35.0</v>
      </c>
      <c r="C258" s="213" t="s">
        <v>366</v>
      </c>
      <c r="F258" s="160"/>
      <c r="G258" s="87"/>
    </row>
    <row r="259">
      <c r="B259" s="211"/>
      <c r="C259" s="213" t="s">
        <v>365</v>
      </c>
      <c r="F259" s="160">
        <v>35.0</v>
      </c>
      <c r="G259" s="87"/>
    </row>
    <row r="260">
      <c r="B260" s="211">
        <v>36.0</v>
      </c>
      <c r="C260" s="213" t="s">
        <v>367</v>
      </c>
      <c r="F260" s="160"/>
      <c r="G260" s="87"/>
    </row>
    <row r="261">
      <c r="B261" s="211"/>
      <c r="C261" s="213" t="s">
        <v>365</v>
      </c>
      <c r="F261" s="160">
        <v>36.0</v>
      </c>
      <c r="G261" s="87"/>
    </row>
    <row r="262">
      <c r="B262" s="211">
        <v>37.0</v>
      </c>
      <c r="C262" s="213" t="s">
        <v>368</v>
      </c>
      <c r="F262" s="160"/>
      <c r="G262" s="87"/>
    </row>
    <row r="263">
      <c r="B263" s="211"/>
      <c r="C263" s="213" t="s">
        <v>365</v>
      </c>
      <c r="F263" s="160">
        <v>37.0</v>
      </c>
      <c r="G263" s="87"/>
    </row>
    <row r="264">
      <c r="B264" s="211">
        <v>38.0</v>
      </c>
      <c r="C264" s="213" t="s">
        <v>369</v>
      </c>
      <c r="F264" s="160"/>
      <c r="G264" s="87"/>
    </row>
    <row r="265">
      <c r="B265" s="211"/>
      <c r="C265" s="213" t="s">
        <v>365</v>
      </c>
      <c r="F265" s="160">
        <v>38.0</v>
      </c>
      <c r="G265" s="87"/>
    </row>
    <row r="266">
      <c r="B266" s="211">
        <v>39.0</v>
      </c>
      <c r="C266" s="213" t="s">
        <v>370</v>
      </c>
      <c r="F266" s="160"/>
      <c r="G266" s="87"/>
    </row>
    <row r="267">
      <c r="B267" s="211"/>
      <c r="C267" s="213" t="s">
        <v>371</v>
      </c>
      <c r="F267" s="160">
        <v>39.0</v>
      </c>
      <c r="G267" s="87"/>
    </row>
    <row r="268">
      <c r="B268" s="211">
        <v>40.0</v>
      </c>
      <c r="C268" s="213" t="s">
        <v>372</v>
      </c>
      <c r="F268" s="160">
        <v>40.0</v>
      </c>
      <c r="G268" s="87"/>
    </row>
    <row r="269">
      <c r="B269" s="211">
        <v>41.0</v>
      </c>
      <c r="C269" s="213" t="s">
        <v>373</v>
      </c>
      <c r="F269" s="160"/>
      <c r="G269" s="87"/>
    </row>
    <row r="270">
      <c r="B270" s="211"/>
      <c r="C270" s="213" t="s">
        <v>374</v>
      </c>
      <c r="F270" s="160">
        <v>41.0</v>
      </c>
      <c r="G270" s="87"/>
    </row>
    <row r="271">
      <c r="B271" s="211">
        <v>42.0</v>
      </c>
      <c r="C271" s="213" t="s">
        <v>375</v>
      </c>
      <c r="F271" s="160"/>
      <c r="G271" s="87"/>
    </row>
    <row r="272">
      <c r="B272" s="211"/>
      <c r="C272" s="213" t="s">
        <v>376</v>
      </c>
      <c r="F272" s="160">
        <v>42.0</v>
      </c>
      <c r="G272" s="87"/>
    </row>
    <row r="273">
      <c r="B273" s="211">
        <v>43.0</v>
      </c>
      <c r="C273" s="213" t="s">
        <v>377</v>
      </c>
      <c r="F273" s="160">
        <v>43.0</v>
      </c>
      <c r="G273" s="87"/>
    </row>
    <row r="274">
      <c r="B274" s="211">
        <v>44.0</v>
      </c>
      <c r="C274" s="213" t="s">
        <v>378</v>
      </c>
      <c r="F274" s="160">
        <v>44.0</v>
      </c>
      <c r="G274" s="87"/>
    </row>
    <row r="275">
      <c r="B275" s="211">
        <v>45.0</v>
      </c>
      <c r="C275" s="213" t="s">
        <v>379</v>
      </c>
      <c r="F275" s="160">
        <v>45.0</v>
      </c>
      <c r="G275" s="87"/>
    </row>
    <row r="276">
      <c r="B276" s="211">
        <v>46.0</v>
      </c>
      <c r="C276" s="213" t="s">
        <v>380</v>
      </c>
      <c r="F276" s="160">
        <v>46.0</v>
      </c>
      <c r="G276" s="87"/>
    </row>
    <row r="277">
      <c r="B277" s="211">
        <v>47.0</v>
      </c>
      <c r="C277" s="213" t="s">
        <v>381</v>
      </c>
      <c r="F277" s="160">
        <v>47.0</v>
      </c>
      <c r="G277" s="87"/>
    </row>
    <row r="278">
      <c r="B278" s="211">
        <v>48.0</v>
      </c>
      <c r="C278" s="213" t="s">
        <v>382</v>
      </c>
      <c r="F278" s="160">
        <v>48.0</v>
      </c>
      <c r="G278" s="87"/>
    </row>
    <row r="279">
      <c r="B279" s="211">
        <v>49.0</v>
      </c>
      <c r="C279" s="213" t="s">
        <v>383</v>
      </c>
      <c r="F279" s="160">
        <v>49.0</v>
      </c>
      <c r="G279" s="87"/>
    </row>
    <row r="280">
      <c r="B280" s="211">
        <v>50.0</v>
      </c>
      <c r="C280" s="213" t="s">
        <v>384</v>
      </c>
      <c r="F280" s="160">
        <v>50.0</v>
      </c>
      <c r="G280" s="87"/>
    </row>
    <row r="281">
      <c r="B281" s="211">
        <v>51.0</v>
      </c>
      <c r="C281" s="213" t="s">
        <v>385</v>
      </c>
      <c r="F281" s="160">
        <v>51.0</v>
      </c>
      <c r="G281" s="87"/>
    </row>
    <row r="282">
      <c r="B282" s="211">
        <v>52.0</v>
      </c>
      <c r="C282" s="213" t="s">
        <v>386</v>
      </c>
      <c r="F282" s="160">
        <v>52.0</v>
      </c>
      <c r="G282" s="87"/>
    </row>
    <row r="283">
      <c r="B283" s="211">
        <v>53.0</v>
      </c>
      <c r="C283" s="213" t="s">
        <v>387</v>
      </c>
      <c r="F283" s="160">
        <v>53.0</v>
      </c>
      <c r="G283" s="87"/>
    </row>
    <row r="284">
      <c r="B284" s="211">
        <v>54.0</v>
      </c>
      <c r="C284" s="213" t="s">
        <v>388</v>
      </c>
      <c r="F284" s="160">
        <v>54.0</v>
      </c>
      <c r="G284" s="87"/>
    </row>
    <row r="285">
      <c r="B285" s="211">
        <v>55.0</v>
      </c>
      <c r="C285" s="213" t="s">
        <v>389</v>
      </c>
      <c r="F285" s="160">
        <v>55.0</v>
      </c>
      <c r="G285" s="87"/>
    </row>
    <row r="286">
      <c r="B286" s="211">
        <v>56.0</v>
      </c>
      <c r="C286" s="213" t="s">
        <v>390</v>
      </c>
      <c r="F286" s="160">
        <v>56.0</v>
      </c>
      <c r="G286" s="87"/>
    </row>
    <row r="287">
      <c r="B287" s="211">
        <v>57.0</v>
      </c>
      <c r="C287" s="213" t="s">
        <v>391</v>
      </c>
      <c r="F287" s="160">
        <v>57.0</v>
      </c>
      <c r="G287" s="87"/>
    </row>
    <row r="288">
      <c r="B288" s="226" t="s">
        <v>392</v>
      </c>
      <c r="C288" s="9"/>
      <c r="D288" s="9"/>
      <c r="E288" s="9"/>
      <c r="F288" s="9"/>
      <c r="G288" s="10"/>
    </row>
    <row r="289">
      <c r="B289" s="211">
        <v>58.0</v>
      </c>
      <c r="C289" s="213" t="s">
        <v>393</v>
      </c>
      <c r="F289" s="160">
        <v>58.0</v>
      </c>
      <c r="G289" s="87"/>
    </row>
    <row r="290">
      <c r="B290" s="211">
        <v>59.0</v>
      </c>
      <c r="C290" s="213" t="s">
        <v>394</v>
      </c>
      <c r="F290" s="160">
        <v>59.0</v>
      </c>
      <c r="G290" s="87"/>
    </row>
    <row r="291">
      <c r="B291" s="211">
        <v>60.0</v>
      </c>
      <c r="C291" s="213" t="s">
        <v>395</v>
      </c>
      <c r="F291" s="160">
        <v>60.0</v>
      </c>
      <c r="G291" s="87"/>
    </row>
    <row r="292">
      <c r="B292" s="211">
        <v>61.0</v>
      </c>
      <c r="C292" s="213" t="s">
        <v>396</v>
      </c>
      <c r="F292" s="160">
        <v>61.0</v>
      </c>
      <c r="G292" s="87"/>
    </row>
    <row r="293">
      <c r="B293" s="211">
        <v>62.0</v>
      </c>
      <c r="C293" s="213" t="s">
        <v>397</v>
      </c>
      <c r="F293" s="160">
        <v>62.0</v>
      </c>
      <c r="G293" s="87"/>
    </row>
    <row r="294">
      <c r="B294" s="211">
        <v>63.0</v>
      </c>
      <c r="C294" s="213" t="s">
        <v>398</v>
      </c>
      <c r="F294" s="160">
        <v>63.0</v>
      </c>
      <c r="G294" s="87"/>
    </row>
    <row r="295">
      <c r="B295" s="211">
        <v>64.0</v>
      </c>
      <c r="C295" s="213" t="s">
        <v>399</v>
      </c>
      <c r="F295" s="160"/>
      <c r="G295" s="87"/>
    </row>
    <row r="296">
      <c r="B296" s="211"/>
      <c r="C296" s="213" t="s">
        <v>400</v>
      </c>
      <c r="F296" s="160">
        <v>64.0</v>
      </c>
      <c r="G296" s="87"/>
    </row>
    <row r="297">
      <c r="B297" s="211">
        <v>65.0</v>
      </c>
      <c r="C297" s="213" t="s">
        <v>401</v>
      </c>
      <c r="F297" s="160">
        <v>65.0</v>
      </c>
      <c r="G297" s="87"/>
    </row>
    <row r="298">
      <c r="B298" s="211">
        <v>66.0</v>
      </c>
      <c r="C298" s="213" t="s">
        <v>402</v>
      </c>
      <c r="F298" s="160">
        <v>66.0</v>
      </c>
      <c r="G298" s="87"/>
    </row>
    <row r="299">
      <c r="B299" s="229">
        <v>67.0</v>
      </c>
      <c r="C299" s="230" t="s">
        <v>403</v>
      </c>
      <c r="D299" s="35"/>
      <c r="E299" s="35"/>
      <c r="F299" s="167">
        <v>67.0</v>
      </c>
      <c r="G299" s="94"/>
    </row>
    <row r="300" ht="12.75" customHeight="1">
      <c r="B300" s="23"/>
      <c r="C300" s="231"/>
      <c r="D300" s="22"/>
      <c r="E300" s="231"/>
      <c r="F300" s="231"/>
      <c r="G300" s="23"/>
    </row>
    <row r="301" ht="12.75" customHeight="1">
      <c r="B301" s="23"/>
      <c r="C301" s="231"/>
      <c r="D301" s="22"/>
      <c r="E301" s="231"/>
      <c r="F301" s="231"/>
      <c r="G301" s="23"/>
    </row>
    <row r="302" ht="12.75" customHeight="1">
      <c r="B302" s="23"/>
      <c r="C302" s="231"/>
      <c r="D302" s="22" t="s">
        <v>407</v>
      </c>
      <c r="E302" s="231"/>
      <c r="F302" s="231"/>
      <c r="G302" s="23"/>
    </row>
    <row r="303" ht="12.75" customHeight="1">
      <c r="B303" s="23"/>
      <c r="C303" s="231"/>
      <c r="D303" s="22"/>
      <c r="E303" s="231"/>
      <c r="F303" s="231"/>
      <c r="G303" s="23"/>
    </row>
    <row r="304" ht="12.75" customHeight="1">
      <c r="B304" s="23"/>
      <c r="C304" s="23"/>
      <c r="D304" s="22"/>
      <c r="E304" s="23"/>
      <c r="F304" s="23"/>
      <c r="G304" s="23"/>
    </row>
    <row r="305">
      <c r="B305" s="234" t="s">
        <v>279</v>
      </c>
      <c r="C305" s="209" t="s">
        <v>408</v>
      </c>
      <c r="D305" s="9"/>
      <c r="E305" s="9"/>
      <c r="F305" s="209" t="s">
        <v>281</v>
      </c>
      <c r="G305" s="10"/>
    </row>
    <row r="306">
      <c r="B306" s="211">
        <v>68.0</v>
      </c>
      <c r="C306" s="213" t="s">
        <v>409</v>
      </c>
      <c r="F306" s="160">
        <v>68.0</v>
      </c>
      <c r="G306" s="87"/>
    </row>
    <row r="307">
      <c r="B307" s="211">
        <v>69.0</v>
      </c>
      <c r="C307" s="213" t="s">
        <v>410</v>
      </c>
      <c r="F307" s="160"/>
      <c r="G307" s="87"/>
    </row>
    <row r="308">
      <c r="B308" s="211"/>
      <c r="C308" s="213" t="s">
        <v>412</v>
      </c>
      <c r="F308" s="160">
        <v>69.0</v>
      </c>
      <c r="G308" s="87"/>
    </row>
    <row r="309">
      <c r="B309" s="211">
        <v>70.0</v>
      </c>
      <c r="C309" s="213" t="s">
        <v>413</v>
      </c>
      <c r="F309" s="160">
        <v>70.0</v>
      </c>
      <c r="G309" s="87"/>
    </row>
    <row r="310">
      <c r="B310" s="211">
        <v>71.0</v>
      </c>
      <c r="C310" s="213" t="s">
        <v>414</v>
      </c>
      <c r="F310" s="160">
        <v>71.0</v>
      </c>
      <c r="G310" s="87"/>
    </row>
    <row r="311">
      <c r="B311" s="211">
        <v>72.0</v>
      </c>
      <c r="C311" s="213" t="s">
        <v>416</v>
      </c>
      <c r="F311" s="160">
        <v>72.0</v>
      </c>
      <c r="G311" s="87"/>
    </row>
    <row r="312">
      <c r="B312" s="211">
        <v>73.0</v>
      </c>
      <c r="C312" s="213" t="s">
        <v>417</v>
      </c>
      <c r="F312" s="160">
        <v>73.0</v>
      </c>
      <c r="G312" s="87"/>
    </row>
    <row r="313">
      <c r="B313" s="226" t="s">
        <v>418</v>
      </c>
      <c r="C313" s="9"/>
      <c r="D313" s="9"/>
      <c r="E313" s="9"/>
      <c r="F313" s="9"/>
      <c r="G313" s="10"/>
    </row>
    <row r="314">
      <c r="B314" s="211">
        <v>74.0</v>
      </c>
      <c r="C314" s="213" t="s">
        <v>420</v>
      </c>
      <c r="F314" s="160">
        <v>74.0</v>
      </c>
      <c r="G314" s="87"/>
    </row>
    <row r="315">
      <c r="B315" s="211">
        <v>75.0</v>
      </c>
      <c r="C315" s="213" t="s">
        <v>421</v>
      </c>
      <c r="F315" s="160">
        <v>75.0</v>
      </c>
      <c r="G315" s="87"/>
    </row>
    <row r="316">
      <c r="B316" s="211">
        <v>76.0</v>
      </c>
      <c r="C316" s="213" t="s">
        <v>422</v>
      </c>
      <c r="F316" s="160">
        <v>76.0</v>
      </c>
      <c r="G316" s="87"/>
    </row>
    <row r="317">
      <c r="B317" s="211">
        <v>77.0</v>
      </c>
      <c r="C317" s="213" t="s">
        <v>423</v>
      </c>
      <c r="F317" s="160">
        <v>77.0</v>
      </c>
      <c r="G317" s="87"/>
    </row>
    <row r="318">
      <c r="B318" s="211">
        <v>78.0</v>
      </c>
      <c r="C318" s="213" t="s">
        <v>425</v>
      </c>
      <c r="F318" s="160">
        <v>78.0</v>
      </c>
      <c r="G318" s="87"/>
    </row>
    <row r="319">
      <c r="B319" s="211">
        <v>79.0</v>
      </c>
      <c r="C319" s="213" t="s">
        <v>426</v>
      </c>
      <c r="F319" s="160">
        <v>79.0</v>
      </c>
      <c r="G319" s="87"/>
    </row>
    <row r="320">
      <c r="B320" s="211">
        <v>80.0</v>
      </c>
      <c r="C320" s="213" t="s">
        <v>429</v>
      </c>
      <c r="F320" s="160">
        <v>80.0</v>
      </c>
      <c r="G320" s="87"/>
    </row>
    <row r="321">
      <c r="B321" s="226" t="s">
        <v>431</v>
      </c>
      <c r="C321" s="9"/>
      <c r="D321" s="9"/>
      <c r="E321" s="9"/>
      <c r="F321" s="9"/>
      <c r="G321" s="10"/>
    </row>
    <row r="322">
      <c r="B322" s="211">
        <v>81.0</v>
      </c>
      <c r="C322" s="213" t="s">
        <v>433</v>
      </c>
      <c r="F322" s="160">
        <v>81.0</v>
      </c>
      <c r="G322" s="87"/>
    </row>
    <row r="323">
      <c r="B323" s="211">
        <v>82.0</v>
      </c>
      <c r="C323" s="213" t="s">
        <v>434</v>
      </c>
      <c r="F323" s="160">
        <v>82.0</v>
      </c>
      <c r="G323" s="87"/>
    </row>
    <row r="324">
      <c r="B324" s="211">
        <v>83.0</v>
      </c>
      <c r="C324" s="213" t="s">
        <v>435</v>
      </c>
      <c r="F324" s="160">
        <v>83.0</v>
      </c>
      <c r="G324" s="87"/>
    </row>
    <row r="325">
      <c r="B325" s="226" t="s">
        <v>436</v>
      </c>
      <c r="C325" s="9"/>
      <c r="D325" s="9"/>
      <c r="E325" s="9"/>
      <c r="F325" s="9"/>
      <c r="G325" s="10"/>
    </row>
    <row r="326">
      <c r="B326" s="211">
        <v>84.0</v>
      </c>
      <c r="C326" s="213" t="s">
        <v>437</v>
      </c>
      <c r="F326" s="160">
        <v>84.0</v>
      </c>
      <c r="G326" s="87"/>
    </row>
    <row r="327">
      <c r="B327" s="211">
        <v>85.0</v>
      </c>
      <c r="C327" s="213" t="s">
        <v>439</v>
      </c>
      <c r="F327" s="160">
        <v>85.0</v>
      </c>
      <c r="G327" s="87"/>
    </row>
    <row r="328">
      <c r="B328" s="211">
        <v>86.0</v>
      </c>
      <c r="C328" s="213" t="s">
        <v>440</v>
      </c>
      <c r="F328" s="160"/>
      <c r="G328" s="87"/>
    </row>
    <row r="329">
      <c r="B329" s="211"/>
      <c r="C329" s="213" t="s">
        <v>441</v>
      </c>
      <c r="F329" s="160">
        <v>86.0</v>
      </c>
      <c r="G329" s="87"/>
    </row>
    <row r="330">
      <c r="B330" s="211">
        <v>87.0</v>
      </c>
      <c r="C330" s="213" t="s">
        <v>442</v>
      </c>
      <c r="F330" s="160">
        <v>87.0</v>
      </c>
      <c r="G330" s="87"/>
    </row>
    <row r="331">
      <c r="B331" s="211">
        <v>88.0</v>
      </c>
      <c r="C331" s="246" t="s">
        <v>443</v>
      </c>
      <c r="F331" s="160"/>
      <c r="G331" s="247"/>
    </row>
    <row r="332">
      <c r="B332" s="61"/>
      <c r="C332" s="248" t="s">
        <v>444</v>
      </c>
      <c r="D332" s="35"/>
      <c r="E332" s="35"/>
      <c r="F332" s="167">
        <v>88.0</v>
      </c>
      <c r="G332" s="94"/>
    </row>
    <row r="333">
      <c r="B333" s="226" t="s">
        <v>447</v>
      </c>
      <c r="C333" s="9"/>
      <c r="D333" s="9"/>
      <c r="E333" s="9"/>
      <c r="F333" s="9"/>
      <c r="G333" s="10"/>
    </row>
    <row r="334">
      <c r="B334" s="211">
        <v>89.0</v>
      </c>
      <c r="C334" s="213" t="s">
        <v>450</v>
      </c>
      <c r="F334" s="160">
        <v>89.0</v>
      </c>
      <c r="G334" s="87"/>
    </row>
    <row r="335">
      <c r="B335" s="211">
        <v>90.0</v>
      </c>
      <c r="C335" s="213" t="s">
        <v>452</v>
      </c>
      <c r="F335" s="160">
        <v>90.0</v>
      </c>
      <c r="G335" s="87"/>
    </row>
    <row r="336">
      <c r="B336" s="211">
        <v>91.0</v>
      </c>
      <c r="C336" s="213" t="s">
        <v>455</v>
      </c>
      <c r="F336" s="160">
        <v>91.0</v>
      </c>
      <c r="G336" s="87"/>
    </row>
    <row r="337">
      <c r="B337" s="211">
        <v>92.0</v>
      </c>
      <c r="C337" s="213" t="s">
        <v>456</v>
      </c>
      <c r="F337" s="160">
        <v>92.0</v>
      </c>
      <c r="G337" s="87"/>
    </row>
    <row r="338">
      <c r="B338" s="211">
        <v>93.0</v>
      </c>
      <c r="C338" s="213" t="s">
        <v>459</v>
      </c>
      <c r="F338" s="160">
        <v>93.0</v>
      </c>
      <c r="G338" s="87"/>
    </row>
    <row r="339">
      <c r="B339" s="211">
        <v>94.0</v>
      </c>
      <c r="C339" s="213" t="s">
        <v>460</v>
      </c>
      <c r="F339" s="160">
        <v>94.0</v>
      </c>
      <c r="G339" s="87"/>
    </row>
    <row r="340">
      <c r="B340" s="211">
        <v>95.0</v>
      </c>
      <c r="C340" s="213" t="s">
        <v>463</v>
      </c>
      <c r="F340" s="160">
        <v>95.0</v>
      </c>
      <c r="G340" s="87"/>
    </row>
    <row r="341">
      <c r="B341" s="211">
        <v>96.0</v>
      </c>
      <c r="C341" s="213" t="s">
        <v>465</v>
      </c>
      <c r="F341" s="160">
        <v>96.0</v>
      </c>
      <c r="G341" s="87"/>
    </row>
    <row r="342">
      <c r="B342" s="211">
        <v>97.0</v>
      </c>
      <c r="C342" s="213" t="s">
        <v>467</v>
      </c>
      <c r="F342" s="160">
        <v>97.0</v>
      </c>
      <c r="G342" s="87"/>
    </row>
    <row r="343">
      <c r="B343" s="211">
        <v>98.0</v>
      </c>
      <c r="C343" s="213" t="s">
        <v>468</v>
      </c>
      <c r="F343" s="160">
        <v>98.0</v>
      </c>
      <c r="G343" s="87"/>
    </row>
    <row r="344">
      <c r="B344" s="211">
        <v>99.0</v>
      </c>
      <c r="C344" s="213" t="s">
        <v>469</v>
      </c>
      <c r="F344" s="160">
        <v>99.0</v>
      </c>
      <c r="G344" s="87"/>
    </row>
    <row r="345">
      <c r="B345" s="211">
        <v>100.0</v>
      </c>
      <c r="C345" s="213" t="s">
        <v>470</v>
      </c>
      <c r="F345" s="160">
        <v>100.0</v>
      </c>
      <c r="G345" s="87"/>
    </row>
    <row r="346">
      <c r="B346" s="211">
        <v>101.0</v>
      </c>
      <c r="C346" s="213" t="s">
        <v>471</v>
      </c>
      <c r="F346" s="160">
        <v>101.0</v>
      </c>
      <c r="G346" s="87"/>
    </row>
    <row r="347">
      <c r="B347" s="229"/>
      <c r="C347" s="230" t="s">
        <v>472</v>
      </c>
      <c r="D347" s="35"/>
      <c r="E347" s="35"/>
      <c r="F347" s="167"/>
      <c r="G347" s="94"/>
    </row>
    <row r="348">
      <c r="B348" s="251" t="s">
        <v>474</v>
      </c>
      <c r="C348" s="35"/>
      <c r="D348" s="35"/>
      <c r="E348" s="35"/>
      <c r="F348" s="35"/>
      <c r="G348" s="94"/>
    </row>
    <row r="349">
      <c r="B349" s="211">
        <v>102.0</v>
      </c>
      <c r="C349" s="213" t="s">
        <v>476</v>
      </c>
      <c r="F349" s="160">
        <v>102.0</v>
      </c>
      <c r="G349" s="87"/>
    </row>
    <row r="350" ht="12.75" customHeight="1">
      <c r="B350" s="229">
        <v>103.0</v>
      </c>
      <c r="C350" s="230" t="s">
        <v>478</v>
      </c>
      <c r="D350" s="35"/>
      <c r="E350" s="35"/>
      <c r="F350" s="167">
        <v>103.0</v>
      </c>
      <c r="G350" s="94"/>
    </row>
    <row r="351" ht="12.75" customHeight="1"/>
    <row r="352" ht="12.75" customHeight="1"/>
    <row r="353" ht="12.75" customHeight="1"/>
    <row r="354" ht="12.75" customHeight="1">
      <c r="D354" s="22" t="s">
        <v>479</v>
      </c>
    </row>
    <row r="355" ht="12.75" customHeight="1">
      <c r="D355" s="22"/>
    </row>
    <row r="356" ht="12.75" customHeight="1">
      <c r="D356" s="22"/>
    </row>
    <row r="357" ht="19.5" customHeight="1"/>
    <row r="358" ht="12.75" customHeight="1">
      <c r="C358" s="139"/>
      <c r="D358" s="139"/>
      <c r="E358" s="139"/>
      <c r="F358" s="139"/>
    </row>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c r="D410" s="22"/>
    </row>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6">
    <mergeCell ref="C296:E296"/>
    <mergeCell ref="C295:E295"/>
    <mergeCell ref="C309:E309"/>
    <mergeCell ref="C306:E306"/>
    <mergeCell ref="C307:E307"/>
    <mergeCell ref="C308:E308"/>
    <mergeCell ref="C310:E310"/>
    <mergeCell ref="C305:E305"/>
    <mergeCell ref="C297:E297"/>
    <mergeCell ref="C298:E298"/>
    <mergeCell ref="F293:G293"/>
    <mergeCell ref="C293:E293"/>
    <mergeCell ref="F299:G299"/>
    <mergeCell ref="F310:G310"/>
    <mergeCell ref="F309:G309"/>
    <mergeCell ref="C294:E294"/>
    <mergeCell ref="C299:E299"/>
    <mergeCell ref="C318:E318"/>
    <mergeCell ref="C320:E320"/>
    <mergeCell ref="C319:E319"/>
    <mergeCell ref="F315:G315"/>
    <mergeCell ref="F314:G314"/>
    <mergeCell ref="C329:E329"/>
    <mergeCell ref="F329:G329"/>
    <mergeCell ref="C324:E324"/>
    <mergeCell ref="C328:E328"/>
    <mergeCell ref="F326:G326"/>
    <mergeCell ref="F328:G328"/>
    <mergeCell ref="F327:G327"/>
    <mergeCell ref="C317:E317"/>
    <mergeCell ref="C316:E316"/>
    <mergeCell ref="C314:E314"/>
    <mergeCell ref="C315:E315"/>
    <mergeCell ref="F324:G324"/>
    <mergeCell ref="F323:G323"/>
    <mergeCell ref="F320:G320"/>
    <mergeCell ref="F322:G322"/>
    <mergeCell ref="B321:G321"/>
    <mergeCell ref="F316:G316"/>
    <mergeCell ref="F317:G317"/>
    <mergeCell ref="C327:E327"/>
    <mergeCell ref="C326:E326"/>
    <mergeCell ref="B325:G325"/>
    <mergeCell ref="F219:G219"/>
    <mergeCell ref="F220:G220"/>
    <mergeCell ref="F215:G215"/>
    <mergeCell ref="F209:G209"/>
    <mergeCell ref="F213:G213"/>
    <mergeCell ref="F211:G211"/>
    <mergeCell ref="F212:G212"/>
    <mergeCell ref="C210:E210"/>
    <mergeCell ref="C209:E209"/>
    <mergeCell ref="F210:G210"/>
    <mergeCell ref="C211:E211"/>
    <mergeCell ref="C215:E215"/>
    <mergeCell ref="C214:E214"/>
    <mergeCell ref="C212:E212"/>
    <mergeCell ref="C213:E213"/>
    <mergeCell ref="C216:E216"/>
    <mergeCell ref="C269:E269"/>
    <mergeCell ref="C266:E266"/>
    <mergeCell ref="C274:E274"/>
    <mergeCell ref="C275:E275"/>
    <mergeCell ref="C271:E271"/>
    <mergeCell ref="C270:E270"/>
    <mergeCell ref="C272:E272"/>
    <mergeCell ref="C239:E239"/>
    <mergeCell ref="C238:E238"/>
    <mergeCell ref="C258:E258"/>
    <mergeCell ref="C259:E259"/>
    <mergeCell ref="C279:E279"/>
    <mergeCell ref="C278:E278"/>
    <mergeCell ref="C260:E260"/>
    <mergeCell ref="C257:E257"/>
    <mergeCell ref="C256:E256"/>
    <mergeCell ref="C255:E255"/>
    <mergeCell ref="C263:E263"/>
    <mergeCell ref="F275:G275"/>
    <mergeCell ref="F277:G277"/>
    <mergeCell ref="F278:G278"/>
    <mergeCell ref="F276:G276"/>
    <mergeCell ref="F261:G261"/>
    <mergeCell ref="F262:G262"/>
    <mergeCell ref="F271:G271"/>
    <mergeCell ref="F273:G273"/>
    <mergeCell ref="F274:G274"/>
    <mergeCell ref="F269:G269"/>
    <mergeCell ref="F268:G268"/>
    <mergeCell ref="F270:G270"/>
    <mergeCell ref="F265:G265"/>
    <mergeCell ref="C340:E340"/>
    <mergeCell ref="C341:E341"/>
    <mergeCell ref="C342:E342"/>
    <mergeCell ref="B333:G333"/>
    <mergeCell ref="C338:E338"/>
    <mergeCell ref="F339:G339"/>
    <mergeCell ref="F342:G342"/>
    <mergeCell ref="F341:G341"/>
    <mergeCell ref="F337:G337"/>
    <mergeCell ref="F343:G343"/>
    <mergeCell ref="F340:G340"/>
    <mergeCell ref="F345:G345"/>
    <mergeCell ref="F344:G344"/>
    <mergeCell ref="F349:G349"/>
    <mergeCell ref="F338:G338"/>
    <mergeCell ref="F350:G350"/>
    <mergeCell ref="C345:E345"/>
    <mergeCell ref="C344:E344"/>
    <mergeCell ref="C343:E343"/>
    <mergeCell ref="F347:G347"/>
    <mergeCell ref="F346:G346"/>
    <mergeCell ref="C347:E347"/>
    <mergeCell ref="C349:E349"/>
    <mergeCell ref="B348:G348"/>
    <mergeCell ref="C346:E346"/>
    <mergeCell ref="C350:E350"/>
    <mergeCell ref="F308:G308"/>
    <mergeCell ref="F307:G307"/>
    <mergeCell ref="C311:E311"/>
    <mergeCell ref="C312:E312"/>
    <mergeCell ref="F311:G311"/>
    <mergeCell ref="F312:G312"/>
    <mergeCell ref="F305:G305"/>
    <mergeCell ref="F306:G306"/>
    <mergeCell ref="F330:G330"/>
    <mergeCell ref="C330:E330"/>
    <mergeCell ref="C331:E331"/>
    <mergeCell ref="F332:G332"/>
    <mergeCell ref="C332:E332"/>
    <mergeCell ref="F297:G297"/>
    <mergeCell ref="F298:G298"/>
    <mergeCell ref="F290:G290"/>
    <mergeCell ref="F289:G289"/>
    <mergeCell ref="F283:G283"/>
    <mergeCell ref="F284:G284"/>
    <mergeCell ref="F285:G285"/>
    <mergeCell ref="C322:E322"/>
    <mergeCell ref="C323:E323"/>
    <mergeCell ref="F318:G318"/>
    <mergeCell ref="F319:G319"/>
    <mergeCell ref="C283:E283"/>
    <mergeCell ref="C284:E284"/>
    <mergeCell ref="C290:E290"/>
    <mergeCell ref="C289:E289"/>
    <mergeCell ref="C337:E337"/>
    <mergeCell ref="C334:E334"/>
    <mergeCell ref="C335:E335"/>
    <mergeCell ref="F335:G335"/>
    <mergeCell ref="F334:G334"/>
    <mergeCell ref="F336:G336"/>
    <mergeCell ref="C336:E336"/>
    <mergeCell ref="C339:E339"/>
    <mergeCell ref="F245:G245"/>
    <mergeCell ref="C246:E246"/>
    <mergeCell ref="C245:E245"/>
    <mergeCell ref="C247:E247"/>
    <mergeCell ref="F244:G244"/>
    <mergeCell ref="C249:E249"/>
    <mergeCell ref="C248:E248"/>
    <mergeCell ref="F243:G243"/>
    <mergeCell ref="F247:G247"/>
    <mergeCell ref="F249:G249"/>
    <mergeCell ref="F248:G248"/>
    <mergeCell ref="F221:G221"/>
    <mergeCell ref="C222:E222"/>
    <mergeCell ref="C223:E223"/>
    <mergeCell ref="C221:E221"/>
    <mergeCell ref="B217:G217"/>
    <mergeCell ref="F218:G218"/>
    <mergeCell ref="F222:G222"/>
    <mergeCell ref="C242:E242"/>
    <mergeCell ref="C240:E240"/>
    <mergeCell ref="C241:E241"/>
    <mergeCell ref="C236:E236"/>
    <mergeCell ref="C237:E237"/>
    <mergeCell ref="C232:E232"/>
    <mergeCell ref="C235:E235"/>
    <mergeCell ref="C233:E233"/>
    <mergeCell ref="C234:E234"/>
    <mergeCell ref="C262:E262"/>
    <mergeCell ref="C261:E261"/>
    <mergeCell ref="F256:G256"/>
    <mergeCell ref="F257:G257"/>
    <mergeCell ref="F259:G259"/>
    <mergeCell ref="F258:G258"/>
    <mergeCell ref="F260:G260"/>
    <mergeCell ref="F255:G255"/>
    <mergeCell ref="F240:G240"/>
    <mergeCell ref="F242:G242"/>
    <mergeCell ref="E166:G166"/>
    <mergeCell ref="E167:G167"/>
    <mergeCell ref="B163:C163"/>
    <mergeCell ref="E164:G164"/>
    <mergeCell ref="E163:G163"/>
    <mergeCell ref="E169:G169"/>
    <mergeCell ref="E168:G168"/>
    <mergeCell ref="E173:G173"/>
    <mergeCell ref="E175:G175"/>
    <mergeCell ref="E174:G174"/>
    <mergeCell ref="B178:C178"/>
    <mergeCell ref="B179:C179"/>
    <mergeCell ref="B186:C186"/>
    <mergeCell ref="B187:C187"/>
    <mergeCell ref="E170:G170"/>
    <mergeCell ref="E171:G171"/>
    <mergeCell ref="B183:C183"/>
    <mergeCell ref="B185:C185"/>
    <mergeCell ref="B184:C184"/>
    <mergeCell ref="B177:C177"/>
    <mergeCell ref="B176:C176"/>
    <mergeCell ref="C285:E285"/>
    <mergeCell ref="C287:E287"/>
    <mergeCell ref="C286:E286"/>
    <mergeCell ref="F241:G241"/>
    <mergeCell ref="F246:G246"/>
    <mergeCell ref="C244:E244"/>
    <mergeCell ref="C243:E243"/>
    <mergeCell ref="C265:E265"/>
    <mergeCell ref="C264:E264"/>
    <mergeCell ref="C267:E267"/>
    <mergeCell ref="C268:E268"/>
    <mergeCell ref="F263:G263"/>
    <mergeCell ref="F264:G264"/>
    <mergeCell ref="F267:G267"/>
    <mergeCell ref="F266:G266"/>
    <mergeCell ref="C282:E282"/>
    <mergeCell ref="F282:G282"/>
    <mergeCell ref="C207:E207"/>
    <mergeCell ref="C208:E208"/>
    <mergeCell ref="F208:G208"/>
    <mergeCell ref="F207:G207"/>
    <mergeCell ref="F206:G206"/>
    <mergeCell ref="E176:G176"/>
    <mergeCell ref="E177:G177"/>
    <mergeCell ref="E178:G178"/>
    <mergeCell ref="F292:G292"/>
    <mergeCell ref="C291:E291"/>
    <mergeCell ref="C292:E292"/>
    <mergeCell ref="F291:G291"/>
    <mergeCell ref="B288:G288"/>
    <mergeCell ref="F281:G281"/>
    <mergeCell ref="F286:G286"/>
    <mergeCell ref="C277:E277"/>
    <mergeCell ref="F279:G279"/>
    <mergeCell ref="F280:G280"/>
    <mergeCell ref="C280:E280"/>
    <mergeCell ref="F296:G296"/>
    <mergeCell ref="B313:G313"/>
    <mergeCell ref="F294:G294"/>
    <mergeCell ref="F295:G295"/>
    <mergeCell ref="C273:E273"/>
    <mergeCell ref="C276:E276"/>
    <mergeCell ref="F272:G272"/>
    <mergeCell ref="F287:G287"/>
    <mergeCell ref="C281:E281"/>
    <mergeCell ref="B161:C161"/>
    <mergeCell ref="E158:G158"/>
    <mergeCell ref="B158:C158"/>
    <mergeCell ref="E161:G161"/>
    <mergeCell ref="E162:G162"/>
    <mergeCell ref="E154:G154"/>
    <mergeCell ref="E156:G156"/>
    <mergeCell ref="E155:G155"/>
    <mergeCell ref="E157:G157"/>
    <mergeCell ref="E153:G153"/>
    <mergeCell ref="B153:C153"/>
    <mergeCell ref="B151:G151"/>
    <mergeCell ref="B152:G152"/>
    <mergeCell ref="B154:C154"/>
    <mergeCell ref="B156:C156"/>
    <mergeCell ref="B155:C155"/>
    <mergeCell ref="B164:C164"/>
    <mergeCell ref="B162:C162"/>
    <mergeCell ref="D114:F114"/>
    <mergeCell ref="B165:G165"/>
    <mergeCell ref="B166:C166"/>
    <mergeCell ref="B167:C167"/>
    <mergeCell ref="B172:G172"/>
    <mergeCell ref="B171:C171"/>
    <mergeCell ref="B157:C157"/>
    <mergeCell ref="D98:F98"/>
    <mergeCell ref="D99:F99"/>
    <mergeCell ref="B78:F78"/>
    <mergeCell ref="B81:F81"/>
    <mergeCell ref="B79:F79"/>
    <mergeCell ref="B80:F80"/>
    <mergeCell ref="D95:F95"/>
    <mergeCell ref="D96:F96"/>
    <mergeCell ref="B94:G94"/>
    <mergeCell ref="D107:E107"/>
    <mergeCell ref="D108:E108"/>
    <mergeCell ref="D113:F113"/>
    <mergeCell ref="D109:E109"/>
    <mergeCell ref="D111:F111"/>
    <mergeCell ref="D110:F110"/>
    <mergeCell ref="D105:F105"/>
    <mergeCell ref="D106:F106"/>
    <mergeCell ref="D112:F112"/>
    <mergeCell ref="D100:F100"/>
    <mergeCell ref="D101:F101"/>
    <mergeCell ref="B159:G159"/>
    <mergeCell ref="E160:G160"/>
    <mergeCell ref="B160:C160"/>
    <mergeCell ref="B181:C181"/>
    <mergeCell ref="B182:C182"/>
    <mergeCell ref="B168:C168"/>
    <mergeCell ref="B170:C170"/>
    <mergeCell ref="B175:C175"/>
    <mergeCell ref="B174:C174"/>
    <mergeCell ref="B173:C173"/>
    <mergeCell ref="B169:C169"/>
    <mergeCell ref="B180:C180"/>
    <mergeCell ref="D104:F104"/>
    <mergeCell ref="D103:E103"/>
    <mergeCell ref="D102:F102"/>
    <mergeCell ref="F234:G234"/>
    <mergeCell ref="F233:G233"/>
    <mergeCell ref="F228:G228"/>
    <mergeCell ref="F229:G229"/>
    <mergeCell ref="F238:G238"/>
    <mergeCell ref="F237:G237"/>
    <mergeCell ref="F227:G227"/>
    <mergeCell ref="F239:G239"/>
    <mergeCell ref="F235:G235"/>
    <mergeCell ref="F236:G236"/>
    <mergeCell ref="F225:G225"/>
    <mergeCell ref="F226:G226"/>
    <mergeCell ref="F231:G231"/>
    <mergeCell ref="C230:E230"/>
    <mergeCell ref="F230:G230"/>
    <mergeCell ref="C225:E225"/>
    <mergeCell ref="C231:E231"/>
    <mergeCell ref="C228:E228"/>
    <mergeCell ref="C229:E229"/>
    <mergeCell ref="C227:E227"/>
    <mergeCell ref="C226:E226"/>
    <mergeCell ref="F232:G232"/>
    <mergeCell ref="F214:G214"/>
    <mergeCell ref="F216:G216"/>
    <mergeCell ref="F223:G223"/>
    <mergeCell ref="F224:G224"/>
    <mergeCell ref="C220:E220"/>
    <mergeCell ref="C219:E219"/>
    <mergeCell ref="C218:E218"/>
    <mergeCell ref="C224:E224"/>
    <mergeCell ref="C206:E206"/>
  </mergeCells>
  <printOptions/>
  <pageMargins bottom="0.7874015748031497" footer="0.0" header="0.0" left="0.6692913385826772" right="0.6692913385826772"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8.71"/>
    <col customWidth="1" min="3" max="7" width="9.71"/>
    <col customWidth="1" min="8" max="8" width="9.57"/>
    <col customWidth="1" min="9" max="17" width="9.71"/>
    <col customWidth="1" min="18" max="19" width="9.14"/>
    <col customWidth="1" min="20" max="26" width="8.71"/>
  </cols>
  <sheetData>
    <row r="1" ht="11.25" customHeight="1">
      <c r="A1" s="1"/>
      <c r="B1" s="1" t="s">
        <v>0</v>
      </c>
      <c r="C1" s="1"/>
      <c r="D1" s="1"/>
      <c r="E1" s="1"/>
      <c r="F1" s="1"/>
      <c r="G1" s="1"/>
      <c r="H1" s="1"/>
      <c r="I1" s="1"/>
      <c r="J1" s="1"/>
      <c r="K1" s="1"/>
      <c r="L1" s="1"/>
      <c r="M1" s="1"/>
      <c r="N1" s="1"/>
      <c r="O1" s="1"/>
      <c r="P1" s="1"/>
      <c r="Q1" s="1"/>
      <c r="R1" s="1"/>
      <c r="S1" s="1"/>
      <c r="T1" s="1"/>
      <c r="U1" s="1"/>
      <c r="V1" s="1"/>
      <c r="W1" s="1"/>
      <c r="X1" s="1"/>
      <c r="Y1" s="1"/>
      <c r="Z1" s="1"/>
    </row>
    <row r="2" ht="11.25" customHeight="1">
      <c r="A2" s="1"/>
      <c r="B2" s="2" t="s">
        <v>1</v>
      </c>
      <c r="C2" s="3" t="s">
        <v>2</v>
      </c>
      <c r="D2" s="3" t="s">
        <v>3</v>
      </c>
      <c r="E2" s="3" t="s">
        <v>4</v>
      </c>
      <c r="F2" s="3" t="s">
        <v>5</v>
      </c>
      <c r="G2" s="3" t="s">
        <v>6</v>
      </c>
      <c r="H2" s="4" t="s">
        <v>7</v>
      </c>
      <c r="I2" s="1"/>
      <c r="J2" s="1"/>
      <c r="K2" s="1"/>
      <c r="L2" s="1"/>
      <c r="M2" s="1"/>
      <c r="N2" s="1"/>
      <c r="O2" s="1"/>
      <c r="P2" s="1"/>
      <c r="Q2" s="1"/>
      <c r="R2" s="1"/>
      <c r="S2" s="1"/>
      <c r="T2" s="1"/>
      <c r="U2" s="1"/>
      <c r="V2" s="1"/>
      <c r="W2" s="1"/>
      <c r="X2" s="1"/>
      <c r="Y2" s="1"/>
      <c r="Z2" s="1"/>
    </row>
    <row r="3" ht="11.25" customHeight="1">
      <c r="A3" s="1"/>
      <c r="B3" s="5"/>
      <c r="C3" s="6"/>
      <c r="D3" s="6"/>
      <c r="E3" s="6"/>
      <c r="F3" s="6"/>
      <c r="G3" s="6"/>
      <c r="H3" s="7" t="s">
        <v>8</v>
      </c>
      <c r="I3" s="1"/>
      <c r="J3" s="1"/>
      <c r="K3" s="1"/>
      <c r="L3" s="1"/>
      <c r="M3" s="1"/>
      <c r="N3" s="1"/>
      <c r="O3" s="1"/>
      <c r="P3" s="1"/>
      <c r="Q3" s="1"/>
      <c r="R3" s="1"/>
      <c r="S3" s="1"/>
      <c r="T3" s="1"/>
      <c r="U3" s="1"/>
      <c r="V3" s="1"/>
      <c r="W3" s="1"/>
      <c r="X3" s="1"/>
      <c r="Y3" s="1"/>
      <c r="Z3" s="1"/>
    </row>
    <row r="4" ht="11.25" customHeight="1">
      <c r="A4" s="1"/>
      <c r="B4" s="6"/>
      <c r="C4" s="8" t="s">
        <v>9</v>
      </c>
      <c r="D4" s="9"/>
      <c r="E4" s="9"/>
      <c r="F4" s="9"/>
      <c r="G4" s="9"/>
      <c r="H4" s="10"/>
      <c r="I4" s="1"/>
      <c r="J4" s="1"/>
      <c r="K4" s="1"/>
      <c r="L4" s="1"/>
      <c r="M4" s="1"/>
      <c r="N4" s="1"/>
      <c r="O4" s="1"/>
      <c r="P4" s="1"/>
      <c r="Q4" s="1"/>
      <c r="R4" s="1"/>
      <c r="S4" s="1"/>
      <c r="T4" s="1"/>
      <c r="U4" s="1"/>
      <c r="V4" s="1"/>
      <c r="W4" s="1"/>
      <c r="X4" s="1"/>
      <c r="Y4" s="1"/>
      <c r="Z4" s="1"/>
    </row>
    <row r="5" ht="10.5" customHeight="1">
      <c r="A5" s="1"/>
      <c r="B5" s="11">
        <v>1970.0</v>
      </c>
      <c r="C5" s="12">
        <f t="shared" ref="C5:C9" si="1">SUM(D5:H5)</f>
        <v>19211</v>
      </c>
      <c r="D5" s="13">
        <v>3864.0</v>
      </c>
      <c r="E5" s="12">
        <v>2170.0</v>
      </c>
      <c r="F5" s="12">
        <v>652.0</v>
      </c>
      <c r="G5" s="14">
        <v>12525.0</v>
      </c>
      <c r="H5" s="12" t="s">
        <v>10</v>
      </c>
      <c r="I5" s="1"/>
      <c r="J5" s="1"/>
      <c r="K5" s="1"/>
      <c r="L5" s="1"/>
      <c r="M5" s="1"/>
      <c r="N5" s="1"/>
      <c r="O5" s="1"/>
      <c r="P5" s="1"/>
      <c r="Q5" s="1"/>
      <c r="R5" s="1"/>
      <c r="S5" s="1"/>
      <c r="T5" s="1"/>
      <c r="U5" s="1"/>
      <c r="V5" s="1"/>
      <c r="W5" s="1"/>
      <c r="X5" s="1"/>
      <c r="Y5" s="1"/>
      <c r="Z5" s="1"/>
    </row>
    <row r="6" ht="10.5" customHeight="1">
      <c r="A6" s="1"/>
      <c r="B6" s="11">
        <v>1971.0</v>
      </c>
      <c r="C6" s="12">
        <f t="shared" si="1"/>
        <v>19640</v>
      </c>
      <c r="D6" s="13">
        <v>3925.0</v>
      </c>
      <c r="E6" s="12">
        <v>2217.0</v>
      </c>
      <c r="F6" s="12">
        <v>668.0</v>
      </c>
      <c r="G6" s="14">
        <v>12830.0</v>
      </c>
      <c r="H6" s="12" t="s">
        <v>10</v>
      </c>
      <c r="I6" s="1"/>
      <c r="J6" s="1"/>
      <c r="K6" s="1"/>
      <c r="L6" s="1"/>
      <c r="M6" s="1"/>
      <c r="N6" s="1"/>
      <c r="O6" s="1"/>
      <c r="P6" s="1"/>
      <c r="Q6" s="1"/>
      <c r="R6" s="1"/>
      <c r="S6" s="1"/>
      <c r="T6" s="1"/>
      <c r="U6" s="1"/>
      <c r="V6" s="1"/>
      <c r="W6" s="1"/>
      <c r="X6" s="1"/>
      <c r="Y6" s="1"/>
      <c r="Z6" s="1"/>
    </row>
    <row r="7" ht="10.5" customHeight="1">
      <c r="A7" s="1"/>
      <c r="B7" s="11">
        <v>1972.0</v>
      </c>
      <c r="C7" s="12">
        <f t="shared" si="1"/>
        <v>20080</v>
      </c>
      <c r="D7" s="13">
        <v>3987.0</v>
      </c>
      <c r="E7" s="12">
        <v>2266.0</v>
      </c>
      <c r="F7" s="12">
        <v>683.0</v>
      </c>
      <c r="G7" s="14">
        <v>13144.0</v>
      </c>
      <c r="H7" s="12" t="s">
        <v>10</v>
      </c>
      <c r="I7" s="15"/>
      <c r="J7" s="1"/>
      <c r="K7" s="1"/>
      <c r="L7" s="1"/>
      <c r="M7" s="1"/>
      <c r="N7" s="1"/>
      <c r="O7" s="1"/>
      <c r="P7" s="1"/>
      <c r="Q7" s="1"/>
      <c r="R7" s="1"/>
      <c r="S7" s="1"/>
      <c r="T7" s="1"/>
      <c r="U7" s="1"/>
      <c r="V7" s="1"/>
      <c r="W7" s="1"/>
      <c r="X7" s="1"/>
      <c r="Y7" s="1"/>
      <c r="Z7" s="1"/>
    </row>
    <row r="8" ht="10.5" customHeight="1">
      <c r="A8" s="1"/>
      <c r="B8" s="11">
        <v>1973.0</v>
      </c>
      <c r="C8" s="12">
        <f t="shared" si="1"/>
        <v>20524</v>
      </c>
      <c r="D8" s="13">
        <v>4050.0</v>
      </c>
      <c r="E8" s="12">
        <v>2315.0</v>
      </c>
      <c r="F8" s="12">
        <v>699.0</v>
      </c>
      <c r="G8" s="14">
        <v>13460.0</v>
      </c>
      <c r="H8" s="12" t="s">
        <v>10</v>
      </c>
      <c r="I8" s="1"/>
      <c r="J8" s="1"/>
      <c r="K8" s="1"/>
      <c r="L8" s="1"/>
      <c r="M8" s="1"/>
      <c r="N8" s="1"/>
      <c r="O8" s="1"/>
      <c r="P8" s="1"/>
      <c r="Q8" s="1"/>
      <c r="R8" s="1"/>
      <c r="S8" s="1"/>
      <c r="T8" s="1"/>
      <c r="U8" s="1"/>
      <c r="V8" s="1"/>
      <c r="W8" s="1"/>
      <c r="X8" s="1"/>
      <c r="Y8" s="1"/>
      <c r="Z8" s="1"/>
    </row>
    <row r="9" ht="10.5" customHeight="1">
      <c r="A9" s="1"/>
      <c r="B9" s="11">
        <v>1974.0</v>
      </c>
      <c r="C9" s="12">
        <f t="shared" si="1"/>
        <v>20980</v>
      </c>
      <c r="D9" s="13">
        <v>4114.0</v>
      </c>
      <c r="E9" s="12">
        <v>2366.0</v>
      </c>
      <c r="F9" s="12">
        <v>715.0</v>
      </c>
      <c r="G9" s="14">
        <v>13785.0</v>
      </c>
      <c r="H9" s="12" t="s">
        <v>10</v>
      </c>
      <c r="I9" s="1"/>
      <c r="J9" s="1"/>
      <c r="K9" s="1"/>
      <c r="L9" s="1"/>
      <c r="M9" s="1"/>
      <c r="N9" s="1"/>
      <c r="O9" s="1"/>
      <c r="P9" s="1"/>
      <c r="Q9" s="1"/>
      <c r="R9" s="1"/>
      <c r="S9" s="1"/>
      <c r="T9" s="1"/>
      <c r="U9" s="1"/>
      <c r="V9" s="1"/>
      <c r="W9" s="1"/>
      <c r="X9" s="1"/>
      <c r="Y9" s="1"/>
      <c r="Z9" s="1"/>
    </row>
    <row r="10" ht="10.5" customHeight="1">
      <c r="A10" s="1"/>
      <c r="B10" s="11"/>
      <c r="C10" s="12"/>
      <c r="D10" s="13"/>
      <c r="E10" s="12"/>
      <c r="F10" s="12"/>
      <c r="G10" s="12"/>
      <c r="H10" s="13"/>
      <c r="I10" s="1"/>
      <c r="J10" s="1"/>
      <c r="K10" s="1"/>
      <c r="L10" s="1"/>
      <c r="M10" s="1"/>
      <c r="N10" s="1"/>
      <c r="O10" s="1"/>
      <c r="P10" s="1"/>
      <c r="Q10" s="1"/>
      <c r="R10" s="1"/>
      <c r="S10" s="1"/>
      <c r="T10" s="1"/>
      <c r="U10" s="1"/>
      <c r="V10" s="1"/>
      <c r="W10" s="1"/>
      <c r="X10" s="1"/>
      <c r="Y10" s="1"/>
      <c r="Z10" s="1"/>
    </row>
    <row r="11" ht="10.5" customHeight="1">
      <c r="A11" s="1"/>
      <c r="B11" s="11">
        <v>1975.0</v>
      </c>
      <c r="C11" s="12">
        <f t="shared" ref="C11:C15" si="2">SUM(D11:H11)</f>
        <v>21447</v>
      </c>
      <c r="D11" s="13">
        <v>4179.0</v>
      </c>
      <c r="E11" s="12">
        <v>2418.0</v>
      </c>
      <c r="F11" s="12">
        <v>732.0</v>
      </c>
      <c r="G11" s="14">
        <v>14118.0</v>
      </c>
      <c r="H11" s="12" t="s">
        <v>10</v>
      </c>
      <c r="I11" s="1"/>
      <c r="J11" s="1"/>
      <c r="K11" s="1"/>
      <c r="L11" s="1"/>
      <c r="M11" s="1"/>
      <c r="N11" s="1"/>
      <c r="O11" s="1"/>
      <c r="P11" s="1"/>
      <c r="Q11" s="1"/>
      <c r="R11" s="1"/>
      <c r="S11" s="1"/>
      <c r="T11" s="1"/>
      <c r="U11" s="1"/>
      <c r="V11" s="1"/>
      <c r="W11" s="1"/>
      <c r="X11" s="1"/>
      <c r="Y11" s="1"/>
      <c r="Z11" s="1"/>
    </row>
    <row r="12" ht="10.5" customHeight="1">
      <c r="A12" s="1"/>
      <c r="B12" s="11">
        <v>1976.0</v>
      </c>
      <c r="C12" s="12">
        <f t="shared" si="2"/>
        <v>21921</v>
      </c>
      <c r="D12" s="13">
        <v>4245.0</v>
      </c>
      <c r="E12" s="12">
        <v>2470.0</v>
      </c>
      <c r="F12" s="12">
        <v>749.0</v>
      </c>
      <c r="G12" s="14">
        <v>14457.0</v>
      </c>
      <c r="H12" s="12" t="s">
        <v>10</v>
      </c>
      <c r="I12" s="1"/>
      <c r="J12" s="1"/>
      <c r="K12" s="1"/>
      <c r="L12" s="1"/>
      <c r="M12" s="1"/>
      <c r="N12" s="1"/>
      <c r="O12" s="1"/>
      <c r="P12" s="1"/>
      <c r="Q12" s="1"/>
      <c r="R12" s="1"/>
      <c r="S12" s="1"/>
      <c r="T12" s="1"/>
      <c r="U12" s="1"/>
      <c r="V12" s="1"/>
      <c r="W12" s="1"/>
      <c r="X12" s="1"/>
      <c r="Y12" s="1"/>
      <c r="Z12" s="1"/>
    </row>
    <row r="13" ht="10.5" customHeight="1">
      <c r="A13" s="1"/>
      <c r="B13" s="11">
        <v>1977.0</v>
      </c>
      <c r="C13" s="12">
        <f t="shared" si="2"/>
        <v>22410</v>
      </c>
      <c r="D13" s="13">
        <v>4312.0</v>
      </c>
      <c r="E13" s="12">
        <v>2524.0</v>
      </c>
      <c r="F13" s="12">
        <v>768.0</v>
      </c>
      <c r="G13" s="14">
        <v>14806.0</v>
      </c>
      <c r="H13" s="12" t="s">
        <v>10</v>
      </c>
      <c r="I13" s="1"/>
      <c r="J13" s="1"/>
      <c r="K13" s="1"/>
      <c r="L13" s="1"/>
      <c r="M13" s="1"/>
      <c r="N13" s="1"/>
      <c r="O13" s="1"/>
      <c r="P13" s="1"/>
      <c r="Q13" s="1"/>
      <c r="R13" s="1"/>
      <c r="S13" s="1"/>
      <c r="T13" s="1"/>
      <c r="U13" s="1"/>
      <c r="V13" s="1"/>
      <c r="W13" s="1"/>
      <c r="X13" s="1"/>
      <c r="Y13" s="1"/>
      <c r="Z13" s="1"/>
    </row>
    <row r="14" ht="10.5" customHeight="1">
      <c r="A14" s="1"/>
      <c r="B14" s="11">
        <v>1978.0</v>
      </c>
      <c r="C14" s="12">
        <f t="shared" si="2"/>
        <v>22907</v>
      </c>
      <c r="D14" s="13">
        <v>4380.0</v>
      </c>
      <c r="E14" s="12">
        <v>2579.0</v>
      </c>
      <c r="F14" s="12">
        <v>786.0</v>
      </c>
      <c r="G14" s="14">
        <v>15162.0</v>
      </c>
      <c r="H14" s="12" t="s">
        <v>10</v>
      </c>
      <c r="I14" s="1"/>
      <c r="J14" s="1"/>
      <c r="K14" s="1"/>
      <c r="L14" s="1"/>
      <c r="M14" s="1"/>
      <c r="N14" s="1"/>
      <c r="O14" s="1"/>
      <c r="P14" s="1"/>
      <c r="Q14" s="1"/>
      <c r="R14" s="1"/>
      <c r="S14" s="1"/>
      <c r="T14" s="1"/>
      <c r="U14" s="1"/>
      <c r="V14" s="1"/>
      <c r="W14" s="1"/>
      <c r="X14" s="1"/>
      <c r="Y14" s="1"/>
      <c r="Z14" s="1"/>
    </row>
    <row r="15" ht="10.5" customHeight="1">
      <c r="A15" s="1"/>
      <c r="B15" s="11">
        <v>1979.0</v>
      </c>
      <c r="C15" s="12">
        <f t="shared" si="2"/>
        <v>23434</v>
      </c>
      <c r="D15" s="13">
        <v>4449.0</v>
      </c>
      <c r="E15" s="12">
        <v>2636.0</v>
      </c>
      <c r="F15" s="12">
        <v>803.0</v>
      </c>
      <c r="G15" s="14">
        <v>15546.0</v>
      </c>
      <c r="H15" s="12" t="s">
        <v>10</v>
      </c>
      <c r="I15" s="1"/>
      <c r="J15" s="1"/>
      <c r="K15" s="1"/>
      <c r="L15" s="1"/>
      <c r="M15" s="1"/>
      <c r="N15" s="1"/>
      <c r="O15" s="1"/>
      <c r="P15" s="1"/>
      <c r="Q15" s="1"/>
      <c r="R15" s="1"/>
      <c r="S15" s="1"/>
      <c r="T15" s="1"/>
      <c r="U15" s="1"/>
      <c r="V15" s="1"/>
      <c r="W15" s="1"/>
      <c r="X15" s="1"/>
      <c r="Y15" s="1"/>
      <c r="Z15" s="1"/>
    </row>
    <row r="16" ht="10.5" customHeight="1">
      <c r="A16" s="1"/>
      <c r="B16" s="11"/>
      <c r="C16" s="12"/>
      <c r="D16" s="13"/>
      <c r="E16" s="12"/>
      <c r="F16" s="12"/>
      <c r="G16" s="12"/>
      <c r="H16" s="13"/>
      <c r="I16" s="1"/>
      <c r="J16" s="1"/>
      <c r="K16" s="1"/>
      <c r="L16" s="1"/>
      <c r="M16" s="1"/>
      <c r="N16" s="1"/>
      <c r="O16" s="1"/>
      <c r="P16" s="1"/>
      <c r="Q16" s="1"/>
      <c r="R16" s="1"/>
      <c r="S16" s="1"/>
      <c r="T16" s="1"/>
      <c r="U16" s="1"/>
      <c r="V16" s="1"/>
      <c r="W16" s="1"/>
      <c r="X16" s="1"/>
      <c r="Y16" s="1"/>
      <c r="Z16" s="1"/>
    </row>
    <row r="17" ht="10.5" customHeight="1">
      <c r="A17" s="1"/>
      <c r="B17" s="11">
        <v>1980.0</v>
      </c>
      <c r="C17" s="12">
        <f t="shared" ref="C17:C21" si="3">SUM(D17:H17)</f>
        <v>23994</v>
      </c>
      <c r="D17" s="13">
        <v>4522.0</v>
      </c>
      <c r="E17" s="12">
        <v>2695.0</v>
      </c>
      <c r="F17" s="12">
        <v>819.0</v>
      </c>
      <c r="G17" s="14">
        <v>15958.0</v>
      </c>
      <c r="H17" s="12" t="s">
        <v>10</v>
      </c>
      <c r="I17" s="1"/>
      <c r="J17" s="1"/>
      <c r="K17" s="1"/>
      <c r="L17" s="1"/>
      <c r="M17" s="1"/>
      <c r="N17" s="1"/>
      <c r="O17" s="1"/>
      <c r="P17" s="1"/>
      <c r="Q17" s="1"/>
      <c r="R17" s="1"/>
      <c r="S17" s="1"/>
      <c r="T17" s="1"/>
      <c r="U17" s="1"/>
      <c r="V17" s="1"/>
      <c r="W17" s="1"/>
      <c r="X17" s="1"/>
      <c r="Y17" s="1"/>
      <c r="Z17" s="1"/>
    </row>
    <row r="18" ht="10.5" customHeight="1">
      <c r="A18" s="1"/>
      <c r="B18" s="11">
        <v>1981.0</v>
      </c>
      <c r="C18" s="12">
        <f t="shared" si="3"/>
        <v>24591</v>
      </c>
      <c r="D18" s="13">
        <v>4598.0</v>
      </c>
      <c r="E18" s="12">
        <v>2757.0</v>
      </c>
      <c r="F18" s="12">
        <v>836.0</v>
      </c>
      <c r="G18" s="14">
        <v>16400.0</v>
      </c>
      <c r="H18" s="12" t="s">
        <v>10</v>
      </c>
      <c r="I18" s="1"/>
      <c r="J18" s="1"/>
      <c r="K18" s="1"/>
      <c r="L18" s="1"/>
      <c r="M18" s="1"/>
      <c r="N18" s="1"/>
      <c r="O18" s="1"/>
      <c r="P18" s="1"/>
      <c r="Q18" s="1"/>
      <c r="R18" s="1"/>
      <c r="S18" s="1"/>
      <c r="T18" s="1"/>
      <c r="U18" s="1"/>
      <c r="V18" s="1"/>
      <c r="W18" s="1"/>
      <c r="X18" s="1"/>
      <c r="Y18" s="1"/>
      <c r="Z18" s="1"/>
    </row>
    <row r="19" ht="10.5" customHeight="1">
      <c r="A19" s="1"/>
      <c r="B19" s="11">
        <v>1982.0</v>
      </c>
      <c r="C19" s="12">
        <f t="shared" si="3"/>
        <v>25215</v>
      </c>
      <c r="D19" s="13">
        <v>4675.0</v>
      </c>
      <c r="E19" s="12">
        <v>2816.0</v>
      </c>
      <c r="F19" s="12">
        <v>851.0</v>
      </c>
      <c r="G19" s="14">
        <v>16873.0</v>
      </c>
      <c r="H19" s="12" t="s">
        <v>10</v>
      </c>
      <c r="I19" s="1"/>
      <c r="J19" s="1"/>
      <c r="K19" s="1"/>
      <c r="L19" s="1"/>
      <c r="M19" s="1"/>
      <c r="N19" s="1"/>
      <c r="O19" s="1"/>
      <c r="P19" s="1"/>
      <c r="Q19" s="1"/>
      <c r="R19" s="1"/>
      <c r="S19" s="1"/>
      <c r="T19" s="1"/>
      <c r="U19" s="1"/>
      <c r="V19" s="1"/>
      <c r="W19" s="1"/>
      <c r="X19" s="1"/>
      <c r="Y19" s="1"/>
      <c r="Z19" s="1"/>
    </row>
    <row r="20" ht="10.5" customHeight="1">
      <c r="A20" s="1"/>
      <c r="B20" s="11">
        <v>1983.0</v>
      </c>
      <c r="C20" s="12">
        <f t="shared" si="3"/>
        <v>25887</v>
      </c>
      <c r="D20" s="13">
        <v>4747.0</v>
      </c>
      <c r="E20" s="12">
        <v>2872.0</v>
      </c>
      <c r="F20" s="12">
        <v>869.0</v>
      </c>
      <c r="G20" s="14">
        <v>17399.0</v>
      </c>
      <c r="H20" s="12" t="s">
        <v>10</v>
      </c>
      <c r="I20" s="1"/>
      <c r="J20" s="1"/>
      <c r="K20" s="1"/>
      <c r="L20" s="1"/>
      <c r="M20" s="1"/>
      <c r="N20" s="1"/>
      <c r="O20" s="1"/>
      <c r="P20" s="1"/>
      <c r="Q20" s="1"/>
      <c r="R20" s="1"/>
      <c r="S20" s="1"/>
      <c r="T20" s="1"/>
      <c r="U20" s="1"/>
      <c r="V20" s="1"/>
      <c r="W20" s="1"/>
      <c r="X20" s="1"/>
      <c r="Y20" s="1"/>
      <c r="Z20" s="1"/>
    </row>
    <row r="21" ht="10.5" customHeight="1">
      <c r="A21" s="1"/>
      <c r="B21" s="11">
        <v>1984.0</v>
      </c>
      <c r="C21" s="12">
        <f t="shared" si="3"/>
        <v>26564</v>
      </c>
      <c r="D21" s="13">
        <v>4812.0</v>
      </c>
      <c r="E21" s="12">
        <v>2929.0</v>
      </c>
      <c r="F21" s="12">
        <v>886.0</v>
      </c>
      <c r="G21" s="14">
        <v>17937.0</v>
      </c>
      <c r="H21" s="12" t="s">
        <v>10</v>
      </c>
      <c r="I21" s="1"/>
      <c r="J21" s="1"/>
      <c r="K21" s="1"/>
      <c r="L21" s="1"/>
      <c r="M21" s="1"/>
      <c r="N21" s="1"/>
      <c r="O21" s="1"/>
      <c r="P21" s="1"/>
      <c r="Q21" s="1"/>
      <c r="R21" s="1"/>
      <c r="S21" s="1"/>
      <c r="T21" s="1"/>
      <c r="U21" s="1"/>
      <c r="V21" s="1"/>
      <c r="W21" s="1"/>
      <c r="X21" s="1"/>
      <c r="Y21" s="1"/>
      <c r="Z21" s="1"/>
    </row>
    <row r="22" ht="10.5" customHeight="1">
      <c r="A22" s="1"/>
      <c r="B22" s="11"/>
      <c r="C22" s="12"/>
      <c r="D22" s="13"/>
      <c r="E22" s="13"/>
      <c r="F22" s="13"/>
      <c r="G22" s="13"/>
      <c r="H22" s="13"/>
      <c r="I22" s="1"/>
      <c r="J22" s="1"/>
      <c r="K22" s="1"/>
      <c r="L22" s="1"/>
      <c r="M22" s="1"/>
      <c r="N22" s="1"/>
      <c r="O22" s="1"/>
      <c r="P22" s="1"/>
      <c r="Q22" s="1"/>
      <c r="R22" s="1"/>
      <c r="S22" s="1"/>
      <c r="T22" s="1"/>
      <c r="U22" s="1"/>
      <c r="V22" s="1"/>
      <c r="W22" s="1"/>
      <c r="X22" s="1"/>
      <c r="Y22" s="1"/>
      <c r="Z22" s="1"/>
    </row>
    <row r="23" ht="10.5" customHeight="1">
      <c r="A23" s="1"/>
      <c r="B23" s="11">
        <v>1985.0</v>
      </c>
      <c r="C23" s="12">
        <f t="shared" ref="C23:C27" si="4">SUM(D23:H23)</f>
        <v>27241</v>
      </c>
      <c r="D23" s="13">
        <v>4867.0</v>
      </c>
      <c r="E23" s="12">
        <v>2986.0</v>
      </c>
      <c r="F23" s="12">
        <v>902.0</v>
      </c>
      <c r="G23" s="14">
        <v>18486.0</v>
      </c>
      <c r="H23" s="12" t="s">
        <v>10</v>
      </c>
      <c r="I23" s="1"/>
      <c r="J23" s="1"/>
      <c r="K23" s="1"/>
      <c r="L23" s="1"/>
      <c r="M23" s="1"/>
      <c r="N23" s="1"/>
      <c r="O23" s="1"/>
      <c r="P23" s="1"/>
      <c r="Q23" s="1"/>
      <c r="R23" s="1"/>
      <c r="S23" s="1"/>
      <c r="T23" s="1"/>
      <c r="U23" s="1"/>
      <c r="V23" s="1"/>
      <c r="W23" s="1"/>
      <c r="X23" s="1"/>
      <c r="Y23" s="1"/>
      <c r="Z23" s="1"/>
    </row>
    <row r="24" ht="10.5" customHeight="1">
      <c r="A24" s="1"/>
      <c r="B24" s="11">
        <v>1986.0</v>
      </c>
      <c r="C24" s="12">
        <f t="shared" si="4"/>
        <v>27916</v>
      </c>
      <c r="D24" s="13">
        <v>4908.0</v>
      </c>
      <c r="E24" s="12">
        <v>3042.0</v>
      </c>
      <c r="F24" s="12">
        <v>918.0</v>
      </c>
      <c r="G24" s="14">
        <v>19048.0</v>
      </c>
      <c r="H24" s="12" t="s">
        <v>10</v>
      </c>
      <c r="I24" s="1"/>
      <c r="J24" s="1"/>
      <c r="K24" s="1"/>
      <c r="L24" s="1"/>
      <c r="M24" s="1"/>
      <c r="N24" s="1"/>
      <c r="O24" s="1"/>
      <c r="P24" s="1"/>
      <c r="Q24" s="1"/>
      <c r="R24" s="1"/>
      <c r="S24" s="1"/>
      <c r="T24" s="1"/>
      <c r="U24" s="1"/>
      <c r="V24" s="1"/>
      <c r="W24" s="1"/>
      <c r="X24" s="1"/>
      <c r="Y24" s="1"/>
      <c r="Z24" s="1"/>
    </row>
    <row r="25" ht="10.5" customHeight="1">
      <c r="A25" s="1"/>
      <c r="B25" s="11">
        <v>1987.0</v>
      </c>
      <c r="C25" s="12">
        <f t="shared" si="4"/>
        <v>28587</v>
      </c>
      <c r="D25" s="13">
        <v>4938.0</v>
      </c>
      <c r="E25" s="12">
        <v>3095.0</v>
      </c>
      <c r="F25" s="12">
        <v>932.0</v>
      </c>
      <c r="G25" s="14">
        <v>19622.0</v>
      </c>
      <c r="H25" s="12" t="s">
        <v>10</v>
      </c>
      <c r="I25" s="1"/>
      <c r="J25" s="1"/>
      <c r="K25" s="1"/>
      <c r="L25" s="1"/>
      <c r="M25" s="1"/>
      <c r="N25" s="1"/>
      <c r="O25" s="1"/>
      <c r="P25" s="1"/>
      <c r="Q25" s="1"/>
      <c r="R25" s="1"/>
      <c r="S25" s="1"/>
      <c r="T25" s="1"/>
      <c r="U25" s="1"/>
      <c r="V25" s="1"/>
      <c r="W25" s="1"/>
      <c r="X25" s="1"/>
      <c r="Y25" s="1"/>
      <c r="Z25" s="1"/>
    </row>
    <row r="26" ht="10.5" customHeight="1">
      <c r="A26" s="1"/>
      <c r="B26" s="11">
        <v>1988.0</v>
      </c>
      <c r="C26" s="12">
        <f t="shared" si="4"/>
        <v>29249</v>
      </c>
      <c r="D26" s="13">
        <v>4969.0</v>
      </c>
      <c r="E26" s="12">
        <v>3146.0</v>
      </c>
      <c r="F26" s="12">
        <v>947.0</v>
      </c>
      <c r="G26" s="14">
        <v>20187.0</v>
      </c>
      <c r="H26" s="12" t="s">
        <v>10</v>
      </c>
      <c r="I26" s="1"/>
      <c r="J26" s="1"/>
      <c r="K26" s="1"/>
      <c r="L26" s="1"/>
      <c r="M26" s="1"/>
      <c r="N26" s="1"/>
      <c r="O26" s="1"/>
      <c r="P26" s="1"/>
      <c r="Q26" s="1"/>
      <c r="R26" s="1"/>
      <c r="S26" s="1"/>
      <c r="T26" s="1"/>
      <c r="U26" s="1"/>
      <c r="V26" s="1"/>
      <c r="W26" s="1"/>
      <c r="X26" s="1"/>
      <c r="Y26" s="1"/>
      <c r="Z26" s="1"/>
    </row>
    <row r="27" ht="10.5" customHeight="1">
      <c r="A27" s="1"/>
      <c r="B27" s="11">
        <v>1989.0</v>
      </c>
      <c r="C27" s="12">
        <f t="shared" si="4"/>
        <v>29908</v>
      </c>
      <c r="D27" s="13">
        <v>5006.0</v>
      </c>
      <c r="E27" s="12">
        <v>3199.0</v>
      </c>
      <c r="F27" s="12">
        <v>961.0</v>
      </c>
      <c r="G27" s="14">
        <v>20742.0</v>
      </c>
      <c r="H27" s="12" t="s">
        <v>10</v>
      </c>
      <c r="I27" s="1"/>
      <c r="J27" s="1"/>
      <c r="K27" s="1"/>
      <c r="L27" s="1"/>
      <c r="M27" s="1"/>
      <c r="N27" s="1"/>
      <c r="O27" s="1"/>
      <c r="P27" s="1"/>
      <c r="Q27" s="1"/>
      <c r="R27" s="1"/>
      <c r="S27" s="1"/>
      <c r="T27" s="1"/>
      <c r="U27" s="1"/>
      <c r="V27" s="1"/>
      <c r="W27" s="1"/>
      <c r="X27" s="1"/>
      <c r="Y27" s="1"/>
      <c r="Z27" s="1"/>
    </row>
    <row r="28" ht="10.5" customHeight="1">
      <c r="A28" s="1"/>
      <c r="B28" s="11"/>
      <c r="C28" s="12"/>
      <c r="D28" s="13"/>
      <c r="E28" s="13"/>
      <c r="F28" s="13"/>
      <c r="G28" s="13"/>
      <c r="H28" s="13"/>
      <c r="I28" s="1"/>
      <c r="J28" s="1"/>
      <c r="K28" s="1"/>
      <c r="L28" s="1"/>
      <c r="M28" s="1"/>
      <c r="N28" s="1"/>
      <c r="O28" s="1"/>
      <c r="P28" s="1"/>
      <c r="Q28" s="1"/>
      <c r="R28" s="1"/>
      <c r="S28" s="1"/>
      <c r="T28" s="1"/>
      <c r="U28" s="1"/>
      <c r="V28" s="1"/>
      <c r="W28" s="1"/>
      <c r="X28" s="1"/>
      <c r="Y28" s="1"/>
      <c r="Z28" s="1"/>
    </row>
    <row r="29" ht="10.5" customHeight="1">
      <c r="A29" s="1"/>
      <c r="B29" s="11">
        <v>1990.0</v>
      </c>
      <c r="C29" s="12">
        <f t="shared" ref="C29:C33" si="5">SUM(D29:H29)</f>
        <v>30575</v>
      </c>
      <c r="D29" s="13">
        <v>5044.0</v>
      </c>
      <c r="E29" s="12">
        <v>3251.0</v>
      </c>
      <c r="F29" s="12">
        <v>976.0</v>
      </c>
      <c r="G29" s="14">
        <v>21304.0</v>
      </c>
      <c r="H29" s="12" t="s">
        <v>10</v>
      </c>
      <c r="I29" s="1"/>
      <c r="J29" s="1"/>
      <c r="K29" s="1"/>
      <c r="L29" s="1"/>
      <c r="M29" s="1"/>
      <c r="N29" s="1"/>
      <c r="O29" s="1"/>
      <c r="P29" s="1"/>
      <c r="Q29" s="1"/>
      <c r="R29" s="1"/>
      <c r="S29" s="1"/>
      <c r="T29" s="1"/>
      <c r="U29" s="1"/>
      <c r="V29" s="1"/>
      <c r="W29" s="1"/>
      <c r="X29" s="1"/>
      <c r="Y29" s="1"/>
      <c r="Z29" s="1"/>
    </row>
    <row r="30" ht="10.5" customHeight="1">
      <c r="A30" s="1"/>
      <c r="B30" s="11">
        <v>1991.0</v>
      </c>
      <c r="C30" s="12">
        <f t="shared" si="5"/>
        <v>36199</v>
      </c>
      <c r="D30" s="13">
        <v>4238.0</v>
      </c>
      <c r="E30" s="12">
        <v>3254.0</v>
      </c>
      <c r="F30" s="12">
        <v>960.0</v>
      </c>
      <c r="G30" s="14">
        <v>27400.0</v>
      </c>
      <c r="H30" s="12">
        <v>347.0</v>
      </c>
      <c r="I30" s="1"/>
      <c r="J30" s="1"/>
      <c r="K30" s="1"/>
      <c r="L30" s="1"/>
      <c r="M30" s="1"/>
      <c r="N30" s="1"/>
      <c r="O30" s="1"/>
      <c r="P30" s="1"/>
      <c r="Q30" s="1"/>
      <c r="R30" s="1"/>
      <c r="S30" s="1"/>
      <c r="T30" s="1"/>
      <c r="U30" s="1"/>
      <c r="V30" s="1"/>
      <c r="W30" s="1"/>
      <c r="X30" s="1"/>
      <c r="Y30" s="1"/>
      <c r="Z30" s="1"/>
    </row>
    <row r="31" ht="10.5" customHeight="1">
      <c r="A31" s="1"/>
      <c r="B31" s="11">
        <v>1992.0</v>
      </c>
      <c r="C31" s="12">
        <f t="shared" si="5"/>
        <v>36992</v>
      </c>
      <c r="D31" s="13">
        <v>4275.0</v>
      </c>
      <c r="E31" s="12">
        <v>3317.0</v>
      </c>
      <c r="F31" s="12">
        <v>976.0</v>
      </c>
      <c r="G31" s="14">
        <v>28072.0</v>
      </c>
      <c r="H31" s="12">
        <v>352.0</v>
      </c>
      <c r="I31" s="1"/>
      <c r="J31" s="1"/>
      <c r="K31" s="1"/>
      <c r="L31" s="1"/>
      <c r="M31" s="1"/>
      <c r="N31" s="1"/>
      <c r="O31" s="1"/>
      <c r="P31" s="1"/>
      <c r="Q31" s="1"/>
      <c r="R31" s="1"/>
      <c r="S31" s="1"/>
      <c r="T31" s="1"/>
      <c r="U31" s="1"/>
      <c r="V31" s="1"/>
      <c r="W31" s="1"/>
      <c r="X31" s="1"/>
      <c r="Y31" s="1"/>
      <c r="Z31" s="1"/>
    </row>
    <row r="32" ht="10.5" customHeight="1">
      <c r="A32" s="1"/>
      <c r="B32" s="11">
        <v>1993.0</v>
      </c>
      <c r="C32" s="12">
        <f t="shared" si="5"/>
        <v>37802</v>
      </c>
      <c r="D32" s="13">
        <v>4312.0</v>
      </c>
      <c r="E32" s="12">
        <v>3381.0</v>
      </c>
      <c r="F32" s="12">
        <v>992.0</v>
      </c>
      <c r="G32" s="14">
        <v>28760.0</v>
      </c>
      <c r="H32" s="12">
        <v>357.0</v>
      </c>
      <c r="I32" s="1"/>
      <c r="J32" s="1"/>
      <c r="K32" s="1"/>
      <c r="L32" s="1"/>
      <c r="M32" s="1"/>
      <c r="N32" s="1"/>
      <c r="O32" s="1"/>
      <c r="P32" s="1"/>
      <c r="Q32" s="1"/>
      <c r="R32" s="1"/>
      <c r="S32" s="1"/>
      <c r="T32" s="1"/>
      <c r="U32" s="1"/>
      <c r="V32" s="1"/>
      <c r="W32" s="1"/>
      <c r="X32" s="1"/>
      <c r="Y32" s="1"/>
      <c r="Z32" s="1"/>
    </row>
    <row r="33" ht="10.5" customHeight="1">
      <c r="A33" s="1"/>
      <c r="B33" s="11">
        <v>1994.0</v>
      </c>
      <c r="C33" s="12">
        <f t="shared" si="5"/>
        <v>38631</v>
      </c>
      <c r="D33" s="13">
        <v>4349.0</v>
      </c>
      <c r="E33" s="12">
        <v>3447.0</v>
      </c>
      <c r="F33" s="12">
        <v>1008.0</v>
      </c>
      <c r="G33" s="14">
        <v>29464.0</v>
      </c>
      <c r="H33" s="12">
        <v>363.0</v>
      </c>
      <c r="I33" s="1"/>
      <c r="J33" s="1"/>
      <c r="K33" s="1"/>
      <c r="L33" s="1"/>
      <c r="M33" s="1"/>
      <c r="N33" s="1"/>
      <c r="O33" s="1"/>
      <c r="P33" s="1"/>
      <c r="Q33" s="1"/>
      <c r="R33" s="1"/>
      <c r="S33" s="1"/>
      <c r="T33" s="1"/>
      <c r="U33" s="1"/>
      <c r="V33" s="1"/>
      <c r="W33" s="1"/>
      <c r="X33" s="1"/>
      <c r="Y33" s="1"/>
      <c r="Z33" s="1"/>
    </row>
    <row r="34" ht="10.5" customHeight="1">
      <c r="A34" s="1"/>
      <c r="B34" s="11"/>
      <c r="C34" s="12"/>
      <c r="D34" s="13"/>
      <c r="E34" s="13"/>
      <c r="F34" s="13"/>
      <c r="G34" s="13"/>
      <c r="H34" s="13"/>
      <c r="I34" s="1"/>
      <c r="J34" s="1"/>
      <c r="K34" s="1"/>
      <c r="L34" s="1"/>
      <c r="M34" s="1"/>
      <c r="N34" s="1"/>
      <c r="O34" s="1"/>
      <c r="P34" s="1"/>
      <c r="Q34" s="1"/>
      <c r="R34" s="1"/>
      <c r="S34" s="1"/>
      <c r="T34" s="1"/>
      <c r="U34" s="1"/>
      <c r="V34" s="1"/>
      <c r="W34" s="1"/>
      <c r="X34" s="1"/>
      <c r="Y34" s="1"/>
      <c r="Z34" s="1"/>
    </row>
    <row r="35" ht="10.5" customHeight="1">
      <c r="A35" s="1"/>
      <c r="B35" s="11">
        <v>1995.0</v>
      </c>
      <c r="C35" s="12">
        <f t="shared" ref="C35:C39" si="6">SUM(D35:H35)</f>
        <v>39477</v>
      </c>
      <c r="D35" s="13">
        <v>4387.0</v>
      </c>
      <c r="E35" s="12">
        <v>3514.0</v>
      </c>
      <c r="F35" s="12">
        <v>1024.0</v>
      </c>
      <c r="G35" s="14">
        <v>30184.0</v>
      </c>
      <c r="H35" s="12">
        <v>368.0</v>
      </c>
      <c r="I35" s="1"/>
      <c r="J35" s="1"/>
      <c r="K35" s="1"/>
      <c r="L35" s="1"/>
      <c r="M35" s="1"/>
      <c r="N35" s="1"/>
      <c r="O35" s="1"/>
      <c r="P35" s="1"/>
      <c r="Q35" s="1"/>
      <c r="R35" s="1"/>
      <c r="S35" s="1"/>
      <c r="T35" s="1"/>
      <c r="U35" s="1"/>
      <c r="V35" s="1"/>
      <c r="W35" s="1"/>
      <c r="X35" s="1"/>
      <c r="Y35" s="1"/>
      <c r="Z35" s="1"/>
    </row>
    <row r="36" ht="10.5" customHeight="1">
      <c r="A36" s="1"/>
      <c r="B36" s="11">
        <v>1996.0</v>
      </c>
      <c r="C36" s="12">
        <f t="shared" si="6"/>
        <v>40584</v>
      </c>
      <c r="D36" s="13">
        <v>4435.0</v>
      </c>
      <c r="E36" s="12">
        <v>3600.0</v>
      </c>
      <c r="F36" s="12">
        <v>1046.0</v>
      </c>
      <c r="G36" s="14">
        <v>31128.0</v>
      </c>
      <c r="H36" s="12">
        <v>375.0</v>
      </c>
      <c r="I36" s="1"/>
      <c r="J36" s="1"/>
      <c r="K36" s="1"/>
      <c r="L36" s="1"/>
      <c r="M36" s="1"/>
      <c r="N36" s="1"/>
      <c r="O36" s="1"/>
      <c r="P36" s="1"/>
      <c r="Q36" s="1"/>
      <c r="R36" s="1"/>
      <c r="S36" s="1"/>
      <c r="T36" s="1"/>
      <c r="U36" s="1"/>
      <c r="V36" s="1"/>
      <c r="W36" s="1"/>
      <c r="X36" s="1"/>
      <c r="Y36" s="1"/>
      <c r="Z36" s="1"/>
    </row>
    <row r="37" ht="10.5" customHeight="1">
      <c r="A37" s="1"/>
      <c r="B37" s="11">
        <v>1997.0</v>
      </c>
      <c r="C37" s="12">
        <f t="shared" si="6"/>
        <v>41227</v>
      </c>
      <c r="D37" s="13">
        <v>4462.0</v>
      </c>
      <c r="E37" s="12">
        <v>3651.0</v>
      </c>
      <c r="F37" s="12">
        <v>1058.0</v>
      </c>
      <c r="G37" s="14">
        <v>31677.0</v>
      </c>
      <c r="H37" s="12">
        <v>379.0</v>
      </c>
      <c r="I37" s="1"/>
      <c r="J37" s="1"/>
      <c r="K37" s="1"/>
      <c r="L37" s="1"/>
      <c r="M37" s="1"/>
      <c r="N37" s="1"/>
      <c r="O37" s="1"/>
      <c r="P37" s="1"/>
      <c r="Q37" s="1"/>
      <c r="R37" s="1"/>
      <c r="S37" s="1"/>
      <c r="T37" s="1"/>
      <c r="U37" s="1"/>
      <c r="V37" s="1"/>
      <c r="W37" s="1"/>
      <c r="X37" s="1"/>
      <c r="Y37" s="1"/>
      <c r="Z37" s="1"/>
    </row>
    <row r="38" ht="10.5" customHeight="1">
      <c r="A38" s="1"/>
      <c r="B38" s="11">
        <v>1998.0</v>
      </c>
      <c r="C38" s="12">
        <f t="shared" si="6"/>
        <v>42131</v>
      </c>
      <c r="D38" s="13">
        <v>4501.0</v>
      </c>
      <c r="E38" s="12">
        <v>3721.0</v>
      </c>
      <c r="F38" s="12">
        <v>1075.0</v>
      </c>
      <c r="G38" s="14">
        <v>32449.0</v>
      </c>
      <c r="H38" s="12">
        <v>385.0</v>
      </c>
      <c r="I38" s="1"/>
      <c r="J38" s="1"/>
      <c r="K38" s="1"/>
      <c r="L38" s="1"/>
      <c r="M38" s="1"/>
      <c r="N38" s="1"/>
      <c r="O38" s="1"/>
      <c r="P38" s="1"/>
      <c r="Q38" s="1"/>
      <c r="R38" s="1"/>
      <c r="S38" s="1"/>
      <c r="T38" s="1"/>
      <c r="U38" s="1"/>
      <c r="V38" s="1"/>
      <c r="W38" s="1"/>
      <c r="X38" s="1"/>
      <c r="Y38" s="1"/>
      <c r="Z38" s="1"/>
    </row>
    <row r="39" ht="10.5" customHeight="1">
      <c r="A39" s="1"/>
      <c r="B39" s="11">
        <v>1999.0</v>
      </c>
      <c r="C39" s="12">
        <f t="shared" si="6"/>
        <v>43054</v>
      </c>
      <c r="D39" s="13">
        <v>4539.0</v>
      </c>
      <c r="E39" s="12">
        <v>3792.0</v>
      </c>
      <c r="F39" s="12">
        <v>1092.0</v>
      </c>
      <c r="G39" s="14">
        <v>33240.0</v>
      </c>
      <c r="H39" s="12">
        <v>391.0</v>
      </c>
      <c r="I39" s="1"/>
      <c r="J39" s="1"/>
      <c r="K39" s="1"/>
      <c r="L39" s="1"/>
      <c r="M39" s="1"/>
      <c r="N39" s="1"/>
      <c r="O39" s="1"/>
      <c r="P39" s="1"/>
      <c r="Q39" s="1"/>
      <c r="R39" s="1"/>
      <c r="S39" s="1"/>
      <c r="T39" s="1"/>
      <c r="U39" s="1"/>
      <c r="V39" s="1"/>
      <c r="W39" s="1"/>
      <c r="X39" s="1"/>
      <c r="Y39" s="1"/>
      <c r="Z39" s="1"/>
    </row>
    <row r="40" ht="10.5" customHeight="1">
      <c r="A40" s="1"/>
      <c r="B40" s="11"/>
      <c r="C40" s="12"/>
      <c r="D40" s="13"/>
      <c r="E40" s="13"/>
      <c r="F40" s="13"/>
      <c r="G40" s="13"/>
      <c r="H40" s="13"/>
      <c r="I40" s="1"/>
      <c r="J40" s="1"/>
      <c r="K40" s="1"/>
      <c r="L40" s="1"/>
      <c r="M40" s="1"/>
      <c r="N40" s="1"/>
      <c r="O40" s="1"/>
      <c r="P40" s="1"/>
      <c r="Q40" s="1"/>
      <c r="R40" s="1"/>
      <c r="S40" s="1"/>
      <c r="T40" s="1"/>
      <c r="U40" s="1"/>
      <c r="V40" s="1"/>
      <c r="W40" s="1"/>
      <c r="X40" s="1"/>
      <c r="Y40" s="1"/>
      <c r="Z40" s="1"/>
    </row>
    <row r="41" ht="10.5" customHeight="1">
      <c r="A41" s="1"/>
      <c r="B41" s="11">
        <v>2000.0</v>
      </c>
      <c r="C41" s="12">
        <f t="shared" ref="C41:C45" si="7">SUM(D41:H41)</f>
        <v>43686</v>
      </c>
      <c r="D41" s="30">
        <v>4522.0</v>
      </c>
      <c r="E41" s="30">
        <v>3797.0</v>
      </c>
      <c r="F41" s="30">
        <v>1092.0</v>
      </c>
      <c r="G41" s="30">
        <v>33880.0</v>
      </c>
      <c r="H41" s="30">
        <v>395.0</v>
      </c>
      <c r="I41" s="1"/>
      <c r="J41" s="1"/>
      <c r="K41" s="1"/>
      <c r="L41" s="1"/>
      <c r="M41" s="1"/>
      <c r="N41" s="1"/>
      <c r="O41" s="1"/>
      <c r="P41" s="1"/>
      <c r="Q41" s="1"/>
      <c r="R41" s="1"/>
      <c r="S41" s="1"/>
      <c r="T41" s="1"/>
      <c r="U41" s="1"/>
      <c r="V41" s="1"/>
      <c r="W41" s="1"/>
      <c r="X41" s="1"/>
      <c r="Y41" s="1"/>
      <c r="Z41" s="1"/>
    </row>
    <row r="42" ht="10.5" customHeight="1">
      <c r="A42" s="1"/>
      <c r="B42" s="11">
        <v>2001.0</v>
      </c>
      <c r="C42" s="30">
        <f t="shared" si="7"/>
        <v>44561</v>
      </c>
      <c r="D42" s="30">
        <v>4533.0</v>
      </c>
      <c r="E42" s="30">
        <v>3869.0</v>
      </c>
      <c r="F42" s="30">
        <v>1109.0</v>
      </c>
      <c r="G42" s="30">
        <v>34669.0</v>
      </c>
      <c r="H42" s="30">
        <v>381.0</v>
      </c>
      <c r="I42" s="1"/>
      <c r="J42" s="1"/>
      <c r="K42" s="1"/>
      <c r="L42" s="1"/>
      <c r="M42" s="1"/>
      <c r="N42" s="1"/>
      <c r="O42" s="1"/>
      <c r="P42" s="1"/>
      <c r="Q42" s="1"/>
      <c r="R42" s="1"/>
      <c r="S42" s="1"/>
      <c r="T42" s="1"/>
      <c r="U42" s="1"/>
      <c r="V42" s="1"/>
      <c r="W42" s="1"/>
      <c r="X42" s="1"/>
      <c r="Y42" s="1"/>
      <c r="Z42" s="1"/>
    </row>
    <row r="43" ht="10.5" customHeight="1">
      <c r="A43" s="1"/>
      <c r="B43" s="11" t="s">
        <v>36</v>
      </c>
      <c r="C43" s="30">
        <f t="shared" si="7"/>
        <v>45454</v>
      </c>
      <c r="D43" s="33">
        <v>4555.0</v>
      </c>
      <c r="E43" s="33">
        <v>3918.0</v>
      </c>
      <c r="F43" s="33">
        <v>1122.0</v>
      </c>
      <c r="G43" s="33">
        <v>35474.0</v>
      </c>
      <c r="H43" s="30">
        <v>385.0</v>
      </c>
      <c r="I43" s="1"/>
      <c r="J43" s="1"/>
      <c r="K43" s="1"/>
      <c r="L43" s="1"/>
      <c r="M43" s="1"/>
      <c r="N43" s="1"/>
      <c r="O43" s="1"/>
      <c r="P43" s="1"/>
      <c r="Q43" s="1"/>
      <c r="R43" s="1"/>
      <c r="S43" s="1"/>
      <c r="T43" s="1"/>
      <c r="U43" s="1"/>
      <c r="V43" s="1"/>
      <c r="W43" s="1"/>
      <c r="X43" s="1"/>
      <c r="Y43" s="1"/>
      <c r="Z43" s="1"/>
    </row>
    <row r="44" ht="10.5" customHeight="1">
      <c r="A44" s="1"/>
      <c r="B44" s="11">
        <v>2003.0</v>
      </c>
      <c r="C44" s="30">
        <f t="shared" si="7"/>
        <v>46429</v>
      </c>
      <c r="D44" s="33">
        <v>4244.0</v>
      </c>
      <c r="E44" s="33">
        <v>4131.0</v>
      </c>
      <c r="F44" s="33">
        <v>1140.0</v>
      </c>
      <c r="G44" s="33">
        <v>36914.0</v>
      </c>
      <c r="H44" s="33" t="s">
        <v>40</v>
      </c>
      <c r="I44" s="1"/>
      <c r="J44" s="1"/>
      <c r="K44" s="1"/>
      <c r="L44" s="1"/>
      <c r="M44" s="1"/>
      <c r="N44" s="1"/>
      <c r="O44" s="1"/>
      <c r="P44" s="1"/>
      <c r="Q44" s="1"/>
      <c r="R44" s="1"/>
      <c r="S44" s="1"/>
      <c r="T44" s="1"/>
      <c r="U44" s="1"/>
      <c r="V44" s="1"/>
      <c r="W44" s="1"/>
      <c r="X44" s="1"/>
      <c r="Y44" s="1"/>
      <c r="Z44" s="1"/>
    </row>
    <row r="45" ht="10.5" customHeight="1">
      <c r="A45" s="1"/>
      <c r="B45" s="11">
        <v>2004.0</v>
      </c>
      <c r="C45" s="30">
        <f t="shared" si="7"/>
        <v>46586</v>
      </c>
      <c r="D45" s="33">
        <v>4434.0</v>
      </c>
      <c r="E45" s="33">
        <v>4087.0</v>
      </c>
      <c r="F45" s="33">
        <v>1131.0</v>
      </c>
      <c r="G45" s="33">
        <v>36934.0</v>
      </c>
      <c r="H45" s="33" t="s">
        <v>40</v>
      </c>
      <c r="I45" s="1"/>
      <c r="J45" s="1"/>
      <c r="K45" s="1"/>
      <c r="L45" s="1"/>
      <c r="M45" s="1"/>
      <c r="N45" s="1"/>
      <c r="O45" s="1"/>
      <c r="P45" s="1"/>
      <c r="Q45" s="1"/>
      <c r="R45" s="1"/>
      <c r="S45" s="1"/>
      <c r="T45" s="1"/>
      <c r="U45" s="1"/>
      <c r="V45" s="1"/>
      <c r="W45" s="1"/>
      <c r="X45" s="1"/>
      <c r="Y45" s="1"/>
      <c r="Z45" s="1"/>
    </row>
    <row r="46" ht="10.5" customHeight="1">
      <c r="A46" s="1"/>
      <c r="B46" s="11"/>
      <c r="C46" s="33"/>
      <c r="D46" s="33"/>
      <c r="E46" s="33"/>
      <c r="F46" s="33"/>
      <c r="G46" s="33"/>
      <c r="H46" s="33"/>
      <c r="I46" s="1"/>
      <c r="J46" s="1"/>
      <c r="K46" s="1"/>
      <c r="L46" s="1"/>
      <c r="M46" s="1"/>
      <c r="N46" s="1"/>
      <c r="O46" s="1"/>
      <c r="P46" s="1"/>
      <c r="Q46" s="1"/>
      <c r="R46" s="1"/>
      <c r="S46" s="1"/>
      <c r="T46" s="1"/>
      <c r="U46" s="1"/>
      <c r="V46" s="1"/>
      <c r="W46" s="1"/>
      <c r="X46" s="1"/>
      <c r="Y46" s="1"/>
      <c r="Z46" s="1"/>
    </row>
    <row r="47" ht="10.5" customHeight="1">
      <c r="A47" s="1"/>
      <c r="B47" s="11">
        <v>2005.0</v>
      </c>
      <c r="C47" s="30">
        <f t="shared" ref="C47:C51" si="8">SUM(D47:H47)</f>
        <v>46889</v>
      </c>
      <c r="D47" s="33">
        <v>4380.0</v>
      </c>
      <c r="E47" s="33">
        <v>4149.0</v>
      </c>
      <c r="F47" s="33">
        <v>1154.0</v>
      </c>
      <c r="G47" s="33">
        <v>37206.0</v>
      </c>
      <c r="H47" s="33" t="s">
        <v>40</v>
      </c>
      <c r="I47" s="1"/>
      <c r="J47" s="1"/>
      <c r="K47" s="1"/>
      <c r="L47" s="1"/>
      <c r="M47" s="1"/>
      <c r="N47" s="1"/>
      <c r="O47" s="1"/>
      <c r="P47" s="1"/>
      <c r="Q47" s="1"/>
      <c r="R47" s="1"/>
      <c r="S47" s="1"/>
      <c r="T47" s="1"/>
      <c r="U47" s="1"/>
      <c r="V47" s="1"/>
      <c r="W47" s="1"/>
      <c r="X47" s="1"/>
      <c r="Y47" s="1"/>
      <c r="Z47" s="1"/>
    </row>
    <row r="48" ht="10.5" customHeight="1">
      <c r="A48" s="1"/>
      <c r="B48" s="11">
        <v>2006.0</v>
      </c>
      <c r="C48" s="30">
        <f t="shared" si="8"/>
        <v>47391</v>
      </c>
      <c r="D48" s="38">
        <v>4365.0</v>
      </c>
      <c r="E48" s="38">
        <v>4199.0</v>
      </c>
      <c r="F48" s="38">
        <v>1164.0</v>
      </c>
      <c r="G48" s="38">
        <v>37663.0</v>
      </c>
      <c r="H48" s="33" t="s">
        <v>40</v>
      </c>
      <c r="I48" s="1"/>
      <c r="J48" s="1"/>
      <c r="K48" s="1"/>
      <c r="L48" s="1"/>
      <c r="M48" s="1"/>
      <c r="N48" s="1"/>
      <c r="O48" s="1"/>
      <c r="P48" s="1"/>
      <c r="Q48" s="1"/>
      <c r="R48" s="1"/>
      <c r="S48" s="1"/>
      <c r="T48" s="1"/>
      <c r="U48" s="1"/>
      <c r="V48" s="1"/>
      <c r="W48" s="1"/>
      <c r="X48" s="1"/>
      <c r="Y48" s="1"/>
      <c r="Z48" s="1"/>
    </row>
    <row r="49" ht="10.5" customHeight="1">
      <c r="A49" s="1"/>
      <c r="B49" s="11">
        <v>2007.0</v>
      </c>
      <c r="C49" s="30">
        <f t="shared" si="8"/>
        <v>47850</v>
      </c>
      <c r="D49" s="38">
        <v>4352.0</v>
      </c>
      <c r="E49" s="38">
        <v>4245.0</v>
      </c>
      <c r="F49" s="38">
        <v>1173.0</v>
      </c>
      <c r="G49" s="38">
        <v>38080.0</v>
      </c>
      <c r="H49" s="33" t="s">
        <v>40</v>
      </c>
      <c r="I49" s="1"/>
      <c r="J49" s="1"/>
      <c r="K49" s="1"/>
      <c r="L49" s="1"/>
      <c r="M49" s="1"/>
      <c r="N49" s="1"/>
      <c r="O49" s="1"/>
      <c r="P49" s="1"/>
      <c r="Q49" s="1"/>
      <c r="R49" s="1"/>
      <c r="S49" s="1"/>
      <c r="T49" s="1"/>
      <c r="U49" s="1"/>
      <c r="V49" s="1"/>
      <c r="W49" s="1"/>
      <c r="X49" s="1"/>
      <c r="Y49" s="1"/>
      <c r="Z49" s="1"/>
    </row>
    <row r="50" ht="10.5" customHeight="1">
      <c r="A50" s="1"/>
      <c r="B50" s="11">
        <v>2008.0</v>
      </c>
      <c r="C50" s="30">
        <f t="shared" si="8"/>
        <v>48686</v>
      </c>
      <c r="D50" s="38">
        <v>4499.0</v>
      </c>
      <c r="E50" s="38">
        <v>4379.0</v>
      </c>
      <c r="F50" s="38">
        <v>1243.0</v>
      </c>
      <c r="G50" s="38">
        <v>38565.0</v>
      </c>
      <c r="H50" s="33" t="s">
        <v>40</v>
      </c>
      <c r="I50" s="1"/>
      <c r="J50" s="1"/>
      <c r="K50" s="1"/>
      <c r="L50" s="1"/>
      <c r="M50" s="1"/>
      <c r="N50" s="1"/>
      <c r="O50" s="1"/>
      <c r="P50" s="1"/>
      <c r="Q50" s="1"/>
      <c r="R50" s="1"/>
      <c r="S50" s="1"/>
      <c r="T50" s="1"/>
      <c r="U50" s="1"/>
      <c r="V50" s="1"/>
      <c r="W50" s="1"/>
      <c r="X50" s="1"/>
      <c r="Y50" s="1"/>
      <c r="Z50" s="1"/>
    </row>
    <row r="51" ht="10.5" customHeight="1">
      <c r="A51" s="1"/>
      <c r="B51" s="11">
        <v>2009.0</v>
      </c>
      <c r="C51" s="30">
        <f t="shared" si="8"/>
        <v>49321</v>
      </c>
      <c r="D51" s="38">
        <v>4473.0</v>
      </c>
      <c r="E51" s="38">
        <v>4433.0</v>
      </c>
      <c r="F51" s="38">
        <v>1279.0</v>
      </c>
      <c r="G51" s="38">
        <v>39136.0</v>
      </c>
      <c r="H51" s="33" t="s">
        <v>40</v>
      </c>
      <c r="I51" s="1"/>
      <c r="J51" s="1"/>
      <c r="K51" s="1"/>
      <c r="L51" s="1"/>
      <c r="M51" s="1"/>
      <c r="N51" s="1"/>
      <c r="O51" s="1"/>
      <c r="P51" s="1"/>
      <c r="Q51" s="1"/>
      <c r="R51" s="1"/>
      <c r="S51" s="1"/>
      <c r="T51" s="1"/>
      <c r="U51" s="1"/>
      <c r="V51" s="1"/>
      <c r="W51" s="1"/>
      <c r="X51" s="1"/>
      <c r="Y51" s="1"/>
      <c r="Z51" s="1"/>
    </row>
    <row r="52" ht="10.5" customHeight="1">
      <c r="A52" s="1"/>
      <c r="B52" s="11"/>
      <c r="C52" s="38"/>
      <c r="D52" s="38"/>
      <c r="E52" s="38"/>
      <c r="F52" s="38"/>
      <c r="G52" s="38"/>
      <c r="H52" s="33"/>
      <c r="I52" s="1"/>
      <c r="J52" s="1"/>
      <c r="K52" s="1"/>
      <c r="L52" s="1"/>
      <c r="M52" s="1"/>
      <c r="N52" s="1"/>
      <c r="O52" s="1"/>
      <c r="P52" s="1"/>
      <c r="Q52" s="1"/>
      <c r="R52" s="1"/>
      <c r="S52" s="1"/>
      <c r="T52" s="1"/>
      <c r="U52" s="1"/>
      <c r="V52" s="1"/>
      <c r="W52" s="1"/>
      <c r="X52" s="1"/>
      <c r="Y52" s="1"/>
      <c r="Z52" s="1"/>
    </row>
    <row r="53" ht="10.5" customHeight="1">
      <c r="A53" s="1"/>
      <c r="B53" s="11">
        <v>2010.0</v>
      </c>
      <c r="C53" s="30">
        <f t="shared" ref="C53:C56" si="9">SUM(D53:H53)</f>
        <v>49991</v>
      </c>
      <c r="D53" s="38">
        <v>4585.0</v>
      </c>
      <c r="E53" s="38">
        <v>4424.0</v>
      </c>
      <c r="F53" s="38">
        <v>1299.0</v>
      </c>
      <c r="G53" s="38">
        <v>39683.0</v>
      </c>
      <c r="H53" s="33" t="s">
        <v>40</v>
      </c>
      <c r="I53" s="1"/>
      <c r="J53" s="1"/>
      <c r="K53" s="1"/>
      <c r="L53" s="1"/>
      <c r="M53" s="1"/>
      <c r="N53" s="1"/>
      <c r="O53" s="1"/>
      <c r="P53" s="1"/>
      <c r="Q53" s="1"/>
      <c r="R53" s="1"/>
      <c r="S53" s="1"/>
      <c r="T53" s="1"/>
      <c r="U53" s="1"/>
      <c r="V53" s="1"/>
      <c r="W53" s="1"/>
      <c r="X53" s="1"/>
      <c r="Y53" s="1"/>
      <c r="Z53" s="1"/>
    </row>
    <row r="54" ht="10.5" customHeight="1">
      <c r="A54" s="1"/>
      <c r="B54" s="11">
        <v>2011.0</v>
      </c>
      <c r="C54" s="38">
        <f t="shared" si="9"/>
        <v>50587</v>
      </c>
      <c r="D54" s="38">
        <v>4566.0</v>
      </c>
      <c r="E54" s="38">
        <v>4540.0</v>
      </c>
      <c r="F54" s="38">
        <v>1275.0</v>
      </c>
      <c r="G54" s="38">
        <v>40206.0</v>
      </c>
      <c r="H54" s="33" t="s">
        <v>40</v>
      </c>
      <c r="I54" s="1"/>
      <c r="J54" s="1"/>
      <c r="K54" s="1"/>
      <c r="L54" s="1"/>
      <c r="M54" s="1"/>
      <c r="N54" s="1"/>
      <c r="O54" s="1"/>
      <c r="P54" s="1"/>
      <c r="Q54" s="1"/>
      <c r="R54" s="1"/>
      <c r="S54" s="1"/>
      <c r="T54" s="1"/>
      <c r="U54" s="1"/>
      <c r="V54" s="1"/>
      <c r="W54" s="1"/>
      <c r="X54" s="1"/>
      <c r="Y54" s="1"/>
      <c r="Z54" s="1"/>
    </row>
    <row r="55" ht="10.5" customHeight="1">
      <c r="A55" s="1"/>
      <c r="B55" s="11" t="s">
        <v>55</v>
      </c>
      <c r="C55" s="38">
        <f t="shared" si="9"/>
        <v>52982</v>
      </c>
      <c r="D55" s="38">
        <v>4602.0</v>
      </c>
      <c r="E55" s="38">
        <v>4766.0</v>
      </c>
      <c r="F55" s="38">
        <v>1329.0</v>
      </c>
      <c r="G55" s="38">
        <v>42285.0</v>
      </c>
      <c r="H55" s="33" t="s">
        <v>40</v>
      </c>
      <c r="I55" s="1"/>
      <c r="J55" s="1"/>
      <c r="K55" s="1"/>
      <c r="L55" s="1"/>
      <c r="M55" s="1"/>
      <c r="N55" s="1"/>
      <c r="O55" s="1"/>
      <c r="P55" s="1"/>
      <c r="Q55" s="1"/>
      <c r="R55" s="1"/>
      <c r="S55" s="1"/>
      <c r="T55" s="1"/>
      <c r="U55" s="1"/>
      <c r="V55" s="1"/>
      <c r="W55" s="1"/>
      <c r="X55" s="1"/>
      <c r="Y55" s="1"/>
      <c r="Z55" s="1"/>
    </row>
    <row r="56" ht="10.5" customHeight="1">
      <c r="A56" s="1"/>
      <c r="B56" s="11" t="s">
        <v>57</v>
      </c>
      <c r="C56" s="38">
        <f t="shared" si="9"/>
        <v>54002</v>
      </c>
      <c r="D56" s="38">
        <v>4555.0</v>
      </c>
      <c r="E56" s="38">
        <v>4772.0</v>
      </c>
      <c r="F56" s="38">
        <v>1342.0</v>
      </c>
      <c r="G56" s="38">
        <v>43333.0</v>
      </c>
      <c r="H56" s="33" t="s">
        <v>40</v>
      </c>
      <c r="I56" s="1"/>
      <c r="J56" s="1"/>
      <c r="K56" s="1"/>
      <c r="L56" s="1"/>
      <c r="M56" s="1"/>
      <c r="N56" s="1"/>
      <c r="O56" s="1"/>
      <c r="P56" s="1"/>
      <c r="Q56" s="1"/>
      <c r="R56" s="1"/>
      <c r="S56" s="1"/>
      <c r="T56" s="1"/>
      <c r="U56" s="1"/>
      <c r="V56" s="1"/>
      <c r="W56" s="1"/>
      <c r="X56" s="1"/>
      <c r="Y56" s="1"/>
      <c r="Z56" s="1"/>
    </row>
    <row r="57" ht="10.5" customHeight="1">
      <c r="A57" s="1"/>
      <c r="B57" s="11" t="s">
        <v>58</v>
      </c>
      <c r="C57" s="38">
        <v>54957.0</v>
      </c>
      <c r="D57" s="38">
        <v>4534.0</v>
      </c>
      <c r="E57" s="38">
        <v>4833.0</v>
      </c>
      <c r="F57" s="38">
        <v>1362.0</v>
      </c>
      <c r="G57" s="38">
        <v>44228.0</v>
      </c>
      <c r="H57" s="33" t="s">
        <v>40</v>
      </c>
      <c r="I57" s="1"/>
      <c r="J57" s="1"/>
      <c r="K57" s="1"/>
      <c r="L57" s="1"/>
      <c r="M57" s="1"/>
      <c r="N57" s="1"/>
      <c r="O57" s="1"/>
      <c r="P57" s="1"/>
      <c r="Q57" s="1"/>
      <c r="R57" s="1"/>
      <c r="S57" s="1"/>
      <c r="T57" s="1"/>
      <c r="U57" s="1"/>
      <c r="V57" s="1"/>
      <c r="W57" s="1"/>
      <c r="X57" s="1"/>
      <c r="Y57" s="1"/>
      <c r="Z57" s="1"/>
    </row>
    <row r="58" ht="10.5" customHeight="1">
      <c r="A58" s="1"/>
      <c r="B58" s="11"/>
      <c r="C58" s="38"/>
      <c r="D58" s="38"/>
      <c r="E58" s="38"/>
      <c r="F58" s="38"/>
      <c r="G58" s="38"/>
      <c r="H58" s="33"/>
      <c r="I58" s="1"/>
      <c r="J58" s="1"/>
      <c r="K58" s="1"/>
      <c r="L58" s="1"/>
      <c r="M58" s="1"/>
      <c r="N58" s="1"/>
      <c r="O58" s="1"/>
      <c r="P58" s="1"/>
      <c r="Q58" s="1"/>
      <c r="R58" s="1"/>
      <c r="S58" s="1"/>
      <c r="T58" s="1"/>
      <c r="U58" s="1"/>
      <c r="V58" s="1"/>
      <c r="W58" s="1"/>
      <c r="X58" s="1"/>
      <c r="Y58" s="1"/>
      <c r="Z58" s="1"/>
    </row>
    <row r="59" ht="10.5" customHeight="1">
      <c r="A59" s="1"/>
      <c r="B59" s="11" t="s">
        <v>59</v>
      </c>
      <c r="C59" s="38">
        <v>55909.0</v>
      </c>
      <c r="D59" s="38">
        <v>4516.0</v>
      </c>
      <c r="E59" s="38">
        <v>4897.0</v>
      </c>
      <c r="F59" s="38">
        <v>1386.0</v>
      </c>
      <c r="G59" s="38">
        <v>45109.0</v>
      </c>
      <c r="H59" s="33" t="s">
        <v>40</v>
      </c>
      <c r="I59" s="1"/>
      <c r="J59" s="1"/>
      <c r="K59" s="1"/>
      <c r="L59" s="1"/>
      <c r="M59" s="1"/>
      <c r="N59" s="1"/>
      <c r="O59" s="1"/>
      <c r="P59" s="1"/>
      <c r="Q59" s="1"/>
      <c r="R59" s="1"/>
      <c r="S59" s="1"/>
      <c r="T59" s="1"/>
      <c r="U59" s="1"/>
      <c r="V59" s="1"/>
      <c r="W59" s="1"/>
      <c r="X59" s="1"/>
      <c r="Y59" s="1"/>
      <c r="Z59" s="1"/>
    </row>
    <row r="60" ht="10.5" customHeight="1">
      <c r="A60" s="1"/>
      <c r="B60" s="52" t="s">
        <v>60</v>
      </c>
      <c r="C60" s="56">
        <v>56522.0</v>
      </c>
      <c r="D60" s="56">
        <v>4494.0</v>
      </c>
      <c r="E60" s="56">
        <v>4963.0</v>
      </c>
      <c r="F60" s="56">
        <v>1409.0</v>
      </c>
      <c r="G60" s="56">
        <v>45656.0</v>
      </c>
      <c r="H60" s="57" t="s">
        <v>40</v>
      </c>
      <c r="I60" s="1"/>
      <c r="J60" s="1"/>
      <c r="K60" s="1"/>
      <c r="L60" s="1"/>
      <c r="M60" s="1"/>
      <c r="N60" s="1"/>
      <c r="O60" s="1"/>
      <c r="P60" s="1"/>
      <c r="Q60" s="1"/>
      <c r="R60" s="1"/>
      <c r="S60" s="1"/>
      <c r="T60" s="1"/>
      <c r="U60" s="1"/>
      <c r="V60" s="1"/>
      <c r="W60" s="1"/>
      <c r="X60" s="1"/>
      <c r="Y60" s="1"/>
      <c r="Z60" s="1"/>
    </row>
    <row r="61" ht="10.5" customHeight="1">
      <c r="A61" s="1"/>
      <c r="B61" s="1"/>
      <c r="C61" s="1"/>
      <c r="D61" s="1"/>
      <c r="E61" s="1"/>
      <c r="F61" s="1"/>
      <c r="G61" s="1"/>
      <c r="H61" s="58"/>
      <c r="I61" s="59"/>
      <c r="J61" s="1"/>
      <c r="K61" s="1"/>
      <c r="L61" s="1"/>
      <c r="M61" s="1"/>
      <c r="N61" s="1"/>
      <c r="O61" s="1"/>
      <c r="P61" s="1"/>
      <c r="Q61" s="1"/>
      <c r="R61" s="1"/>
      <c r="S61" s="1"/>
      <c r="T61" s="1"/>
      <c r="U61" s="1"/>
      <c r="V61" s="1"/>
      <c r="W61" s="1"/>
      <c r="X61" s="1"/>
      <c r="Y61" s="1"/>
      <c r="Z61" s="1"/>
    </row>
    <row r="62" ht="10.5" customHeight="1">
      <c r="A62" s="1"/>
      <c r="B62" s="60" t="s">
        <v>98</v>
      </c>
      <c r="C62" s="1"/>
      <c r="D62" s="1"/>
      <c r="E62" s="1"/>
      <c r="F62" s="1"/>
      <c r="G62" s="1"/>
      <c r="H62" s="1"/>
      <c r="I62" s="1"/>
      <c r="J62" s="1"/>
      <c r="K62" s="1"/>
      <c r="L62" s="1"/>
      <c r="M62" s="1"/>
      <c r="N62" s="1"/>
      <c r="O62" s="1"/>
      <c r="P62" s="1"/>
      <c r="Q62" s="1"/>
      <c r="R62" s="1"/>
      <c r="S62" s="1"/>
      <c r="T62" s="1"/>
      <c r="U62" s="1"/>
      <c r="V62" s="1"/>
      <c r="W62" s="1"/>
      <c r="X62" s="1"/>
      <c r="Y62" s="1"/>
      <c r="Z62" s="1"/>
    </row>
    <row r="63" ht="10.5" customHeight="1">
      <c r="A63" s="1"/>
      <c r="B63" s="60"/>
      <c r="C63" s="1"/>
      <c r="D63" s="1"/>
      <c r="E63" s="1"/>
      <c r="F63" s="1"/>
      <c r="G63" s="1"/>
      <c r="H63" s="1"/>
      <c r="I63" s="1"/>
      <c r="J63" s="1"/>
      <c r="K63" s="1"/>
      <c r="L63" s="1"/>
      <c r="M63" s="1"/>
      <c r="N63" s="1"/>
      <c r="O63" s="1"/>
      <c r="P63" s="1"/>
      <c r="Q63" s="1"/>
      <c r="R63" s="1"/>
      <c r="S63" s="1"/>
      <c r="T63" s="1"/>
      <c r="U63" s="1"/>
      <c r="V63" s="1"/>
      <c r="W63" s="1"/>
      <c r="X63" s="1"/>
      <c r="Y63" s="1"/>
      <c r="Z63" s="1"/>
    </row>
    <row r="64" ht="10.5" customHeight="1">
      <c r="A64" s="1"/>
      <c r="B64" s="60" t="s">
        <v>105</v>
      </c>
      <c r="C64" s="1"/>
      <c r="D64" s="1"/>
      <c r="E64" s="1"/>
      <c r="F64" s="1"/>
      <c r="G64" s="1"/>
      <c r="H64" s="1"/>
      <c r="I64" s="1"/>
      <c r="J64" s="1"/>
      <c r="K64" s="1"/>
      <c r="L64" s="1"/>
      <c r="M64" s="1"/>
      <c r="N64" s="1"/>
      <c r="O64" s="1"/>
      <c r="P64" s="1"/>
      <c r="Q64" s="1"/>
      <c r="R64" s="1"/>
      <c r="S64" s="1"/>
      <c r="T64" s="1"/>
      <c r="U64" s="1"/>
      <c r="V64" s="1"/>
      <c r="W64" s="1"/>
      <c r="X64" s="1"/>
      <c r="Y64" s="1"/>
      <c r="Z64" s="1"/>
    </row>
    <row r="65" ht="10.5" customHeight="1">
      <c r="A65" s="1"/>
      <c r="B65" s="60" t="s">
        <v>107</v>
      </c>
      <c r="C65" s="1"/>
      <c r="D65" s="1"/>
      <c r="E65" s="1"/>
      <c r="F65" s="1"/>
      <c r="G65" s="1"/>
      <c r="H65" s="1"/>
      <c r="I65" s="1"/>
      <c r="J65" s="1"/>
      <c r="K65" s="1"/>
      <c r="L65" s="1"/>
      <c r="M65" s="1"/>
      <c r="N65" s="1"/>
      <c r="O65" s="1"/>
      <c r="P65" s="1"/>
      <c r="Q65" s="1"/>
      <c r="R65" s="1"/>
      <c r="S65" s="1"/>
      <c r="T65" s="1"/>
      <c r="U65" s="1"/>
      <c r="V65" s="1"/>
      <c r="W65" s="1"/>
      <c r="X65" s="1"/>
      <c r="Y65" s="1"/>
      <c r="Z65" s="1"/>
    </row>
    <row r="66" ht="10.5" customHeight="1">
      <c r="A66" s="1"/>
      <c r="B66" s="60" t="s">
        <v>109</v>
      </c>
      <c r="C66" s="1"/>
      <c r="D66" s="1"/>
      <c r="E66" s="1"/>
      <c r="F66" s="1"/>
      <c r="G66" s="1"/>
      <c r="H66" s="1"/>
      <c r="I66" s="1"/>
      <c r="J66" s="1"/>
      <c r="K66" s="1"/>
      <c r="L66" s="1"/>
      <c r="M66" s="1"/>
      <c r="N66" s="1"/>
      <c r="O66" s="1"/>
      <c r="P66" s="1"/>
      <c r="Q66" s="1"/>
      <c r="R66" s="1"/>
      <c r="S66" s="1"/>
      <c r="T66" s="1"/>
      <c r="U66" s="1"/>
      <c r="V66" s="1"/>
      <c r="W66" s="1"/>
      <c r="X66" s="1"/>
      <c r="Y66" s="1"/>
      <c r="Z66" s="1"/>
    </row>
    <row r="67" ht="10.5" customHeight="1">
      <c r="A67" s="1"/>
      <c r="B67" s="65"/>
      <c r="C67" s="1"/>
      <c r="D67" s="1"/>
      <c r="E67" s="1"/>
      <c r="F67" s="1"/>
      <c r="G67" s="1"/>
      <c r="H67" s="1"/>
      <c r="I67" s="1"/>
      <c r="J67" s="1"/>
      <c r="K67" s="1"/>
      <c r="L67" s="1"/>
      <c r="M67" s="1"/>
      <c r="N67" s="1"/>
      <c r="O67" s="1"/>
      <c r="P67" s="1"/>
      <c r="Q67" s="1"/>
      <c r="R67" s="1"/>
      <c r="S67" s="1"/>
      <c r="T67" s="1"/>
      <c r="U67" s="1"/>
      <c r="V67" s="1"/>
      <c r="W67" s="1"/>
      <c r="X67" s="1"/>
      <c r="Y67" s="1"/>
      <c r="Z67" s="1"/>
    </row>
    <row r="68" ht="10.5" customHeight="1">
      <c r="A68" s="1"/>
      <c r="B68" s="69" t="s">
        <v>118</v>
      </c>
      <c r="C68" s="68"/>
      <c r="D68" s="73"/>
      <c r="E68" s="74"/>
      <c r="F68" s="76"/>
      <c r="G68" s="76"/>
      <c r="H68" s="77"/>
      <c r="I68" s="1"/>
      <c r="J68" s="1"/>
      <c r="K68" s="1"/>
      <c r="L68" s="1"/>
      <c r="M68" s="1"/>
      <c r="N68" s="1"/>
      <c r="O68" s="1"/>
      <c r="P68" s="1"/>
      <c r="Q68" s="1"/>
      <c r="R68" s="1"/>
      <c r="S68" s="1"/>
      <c r="T68" s="1"/>
      <c r="U68" s="1"/>
      <c r="V68" s="1"/>
      <c r="W68" s="1"/>
      <c r="X68" s="1"/>
      <c r="Y68" s="1"/>
      <c r="Z68" s="1"/>
    </row>
    <row r="69" ht="10.5" customHeight="1">
      <c r="A69" s="1"/>
      <c r="B69" s="79" t="s">
        <v>126</v>
      </c>
      <c r="D69" s="80"/>
      <c r="E69" s="80">
        <v>2.1794328E7</v>
      </c>
      <c r="F69" s="84"/>
      <c r="G69" s="60"/>
      <c r="H69" s="86"/>
      <c r="I69" s="1"/>
      <c r="J69" s="1"/>
      <c r="K69" s="1"/>
      <c r="L69" s="1"/>
      <c r="M69" s="1"/>
      <c r="N69" s="1"/>
      <c r="O69" s="1"/>
      <c r="P69" s="1"/>
      <c r="Q69" s="1"/>
      <c r="R69" s="1"/>
      <c r="S69" s="1"/>
      <c r="T69" s="1"/>
      <c r="U69" s="1"/>
      <c r="V69" s="1"/>
      <c r="W69" s="1"/>
      <c r="X69" s="1"/>
      <c r="Y69" s="1"/>
      <c r="Z69" s="1"/>
    </row>
    <row r="70" ht="10.5" customHeight="1">
      <c r="A70" s="1"/>
      <c r="B70" s="79" t="s">
        <v>136</v>
      </c>
      <c r="D70" s="80"/>
      <c r="E70" s="80">
        <v>2.5016525E7</v>
      </c>
      <c r="F70" s="84"/>
      <c r="G70" s="60"/>
      <c r="H70" s="86"/>
      <c r="I70" s="1"/>
      <c r="J70" s="1"/>
      <c r="K70" s="1"/>
      <c r="L70" s="1"/>
      <c r="M70" s="1"/>
      <c r="N70" s="1"/>
      <c r="O70" s="1"/>
      <c r="P70" s="1"/>
      <c r="Q70" s="1"/>
      <c r="R70" s="1"/>
      <c r="S70" s="1"/>
      <c r="T70" s="1"/>
      <c r="U70" s="1"/>
      <c r="V70" s="1"/>
      <c r="W70" s="1"/>
      <c r="X70" s="1"/>
      <c r="Y70" s="1"/>
      <c r="Z70" s="1"/>
    </row>
    <row r="71" ht="10.5" customHeight="1">
      <c r="A71" s="1"/>
      <c r="B71" s="79" t="s">
        <v>140</v>
      </c>
      <c r="D71" s="80"/>
      <c r="E71" s="80">
        <v>2.3385645E7</v>
      </c>
      <c r="F71" s="84"/>
      <c r="G71" s="60"/>
      <c r="H71" s="86"/>
      <c r="I71" s="1"/>
      <c r="J71" s="1"/>
      <c r="K71" s="1"/>
      <c r="L71" s="1"/>
      <c r="M71" s="1"/>
      <c r="N71" s="1"/>
      <c r="O71" s="1"/>
      <c r="P71" s="1"/>
      <c r="Q71" s="1"/>
      <c r="R71" s="1"/>
      <c r="S71" s="1"/>
      <c r="T71" s="1"/>
      <c r="U71" s="1"/>
      <c r="V71" s="1"/>
      <c r="W71" s="1"/>
      <c r="X71" s="1"/>
      <c r="Y71" s="1"/>
      <c r="Z71" s="1"/>
    </row>
    <row r="72" ht="10.5" customHeight="1">
      <c r="A72" s="1"/>
      <c r="B72" s="79" t="s">
        <v>144</v>
      </c>
      <c r="D72" s="80"/>
      <c r="E72" s="80">
        <v>4.1733424E7</v>
      </c>
      <c r="F72" s="90" t="s">
        <v>146</v>
      </c>
      <c r="H72" s="87"/>
      <c r="I72" s="92"/>
      <c r="J72" s="1"/>
      <c r="K72" s="1"/>
      <c r="L72" s="1"/>
      <c r="M72" s="1"/>
      <c r="N72" s="1"/>
      <c r="O72" s="1"/>
      <c r="P72" s="1"/>
      <c r="Q72" s="1"/>
      <c r="R72" s="1"/>
      <c r="S72" s="1"/>
      <c r="T72" s="1"/>
      <c r="U72" s="1"/>
      <c r="V72" s="1"/>
      <c r="W72" s="1"/>
      <c r="X72" s="1"/>
      <c r="Y72" s="1"/>
      <c r="Z72" s="1"/>
    </row>
    <row r="73" ht="10.5" customHeight="1">
      <c r="A73" s="1"/>
      <c r="B73" s="79" t="s">
        <v>158</v>
      </c>
      <c r="D73" s="80"/>
      <c r="E73" s="80">
        <v>4.0583573E7</v>
      </c>
      <c r="F73" s="84"/>
      <c r="G73" s="60"/>
      <c r="H73" s="86"/>
      <c r="I73" s="1"/>
      <c r="J73" s="1"/>
      <c r="K73" s="1"/>
      <c r="L73" s="1"/>
      <c r="M73" s="1"/>
      <c r="N73" s="1"/>
      <c r="O73" s="1"/>
      <c r="P73" s="1"/>
      <c r="Q73" s="1"/>
      <c r="R73" s="1"/>
      <c r="S73" s="1"/>
      <c r="T73" s="1"/>
      <c r="U73" s="1"/>
      <c r="V73" s="1"/>
      <c r="W73" s="1"/>
      <c r="X73" s="1"/>
      <c r="Y73" s="1"/>
      <c r="Z73" s="1"/>
    </row>
    <row r="74" ht="10.5" customHeight="1">
      <c r="A74" s="1"/>
      <c r="B74" s="79" t="s">
        <v>161</v>
      </c>
      <c r="D74" s="80"/>
      <c r="E74" s="80">
        <v>4.4819778E7</v>
      </c>
      <c r="F74" s="84"/>
      <c r="G74" s="60"/>
      <c r="H74" s="86"/>
      <c r="I74" s="1"/>
      <c r="J74" s="1"/>
      <c r="K74" s="1"/>
      <c r="L74" s="1"/>
      <c r="M74" s="1"/>
      <c r="N74" s="1"/>
      <c r="O74" s="1"/>
      <c r="P74" s="1"/>
      <c r="Q74" s="1"/>
      <c r="R74" s="1"/>
      <c r="S74" s="1"/>
      <c r="T74" s="1"/>
      <c r="U74" s="1"/>
      <c r="V74" s="1"/>
      <c r="W74" s="1"/>
      <c r="X74" s="1"/>
      <c r="Y74" s="1"/>
      <c r="Z74" s="1"/>
    </row>
    <row r="75" ht="10.5" customHeight="1">
      <c r="A75" s="1"/>
      <c r="B75" s="97" t="s">
        <v>165</v>
      </c>
      <c r="C75" s="35"/>
      <c r="D75" s="100"/>
      <c r="E75" s="100">
        <v>5.177056E7</v>
      </c>
      <c r="F75" s="102"/>
      <c r="G75" s="103"/>
      <c r="H75" s="104"/>
      <c r="I75" s="1"/>
      <c r="J75" s="1"/>
      <c r="K75" s="1"/>
      <c r="L75" s="1"/>
      <c r="M75" s="1"/>
      <c r="N75" s="1"/>
      <c r="O75" s="1"/>
      <c r="P75" s="1"/>
      <c r="Q75" s="1"/>
      <c r="R75" s="1"/>
      <c r="S75" s="1"/>
      <c r="T75" s="1"/>
      <c r="U75" s="1"/>
      <c r="V75" s="1"/>
      <c r="W75" s="1"/>
      <c r="X75" s="1"/>
      <c r="Y75" s="1"/>
      <c r="Z75" s="1"/>
    </row>
    <row r="76" ht="10.5" customHeight="1">
      <c r="A76" s="1"/>
      <c r="B76" s="92"/>
      <c r="C76" s="92"/>
      <c r="D76" s="92"/>
      <c r="E76" s="92"/>
      <c r="F76" s="92"/>
      <c r="G76" s="1"/>
      <c r="H76" s="1"/>
      <c r="I76" s="1"/>
      <c r="J76" s="1" t="s">
        <v>11</v>
      </c>
      <c r="K76" s="1"/>
      <c r="L76" s="1"/>
      <c r="M76" s="1"/>
      <c r="N76" s="1"/>
      <c r="O76" s="1"/>
      <c r="P76" s="1"/>
      <c r="Q76" s="1"/>
      <c r="R76" s="1"/>
      <c r="S76" s="1"/>
      <c r="T76" s="1"/>
      <c r="U76" s="1"/>
      <c r="V76" s="1"/>
      <c r="W76" s="1"/>
      <c r="X76" s="1"/>
      <c r="Y76" s="1"/>
      <c r="Z76" s="1"/>
    </row>
    <row r="77" ht="10.5" customHeight="1">
      <c r="A77" s="1"/>
      <c r="B77" s="92"/>
      <c r="C77" s="92"/>
      <c r="D77" s="92"/>
      <c r="E77" s="92"/>
      <c r="F77" s="92"/>
      <c r="G77" s="1"/>
      <c r="H77" s="1"/>
      <c r="I77" s="1"/>
      <c r="J77" s="1"/>
      <c r="K77" s="1"/>
      <c r="L77" s="1"/>
      <c r="M77" s="1"/>
      <c r="N77" s="1"/>
      <c r="O77" s="1"/>
      <c r="P77" s="1"/>
      <c r="Q77" s="1"/>
      <c r="R77" s="1"/>
      <c r="S77" s="1"/>
      <c r="T77" s="1"/>
      <c r="U77" s="1"/>
      <c r="V77" s="1"/>
      <c r="W77" s="1"/>
      <c r="X77" s="1"/>
      <c r="Y77" s="1"/>
      <c r="Z77" s="1"/>
    </row>
    <row r="78" ht="10.5" customHeight="1">
      <c r="A78" s="1"/>
      <c r="B78" s="92"/>
      <c r="C78" s="92"/>
      <c r="D78" s="92"/>
      <c r="E78" s="92"/>
      <c r="F78" s="92"/>
      <c r="G78" s="1"/>
      <c r="H78" s="1"/>
      <c r="I78" s="1"/>
      <c r="J78" s="1"/>
      <c r="K78" s="1"/>
      <c r="L78" s="1"/>
      <c r="M78" s="1"/>
      <c r="N78" s="1"/>
      <c r="O78" s="1"/>
      <c r="P78" s="1"/>
      <c r="Q78" s="1"/>
      <c r="R78" s="1"/>
      <c r="S78" s="1"/>
      <c r="T78" s="1"/>
      <c r="U78" s="1"/>
      <c r="V78" s="1"/>
      <c r="W78" s="1"/>
      <c r="X78" s="1"/>
      <c r="Y78" s="1"/>
      <c r="Z78" s="1"/>
    </row>
    <row r="79" ht="10.5" customHeight="1">
      <c r="A79" s="1"/>
      <c r="B79" s="92"/>
      <c r="C79" s="92"/>
      <c r="D79" s="92"/>
      <c r="E79" s="92"/>
      <c r="F79" s="108">
        <v>1.0</v>
      </c>
      <c r="G79" s="1"/>
      <c r="H79" s="1"/>
      <c r="I79" s="1"/>
      <c r="J79" s="1"/>
      <c r="K79" s="1"/>
      <c r="L79" s="1"/>
      <c r="M79" s="1"/>
      <c r="N79" s="1"/>
      <c r="O79" s="1"/>
      <c r="P79" s="1"/>
      <c r="Q79" s="1"/>
      <c r="R79" s="1"/>
      <c r="S79" s="1"/>
      <c r="T79" s="1"/>
      <c r="U79" s="1"/>
      <c r="V79" s="1"/>
      <c r="W79" s="1"/>
      <c r="X79" s="1"/>
      <c r="Y79" s="1"/>
      <c r="Z79" s="1"/>
    </row>
    <row r="80" ht="10.5" customHeight="1">
      <c r="A80" s="1"/>
      <c r="B80" s="109"/>
      <c r="C80" s="1"/>
      <c r="D80" s="1"/>
      <c r="E80" s="1"/>
      <c r="F80" s="110"/>
      <c r="G80" s="1"/>
      <c r="H80" s="1"/>
      <c r="I80" s="1"/>
      <c r="J80" s="1"/>
      <c r="K80" s="1"/>
      <c r="L80" s="1"/>
      <c r="M80" s="1"/>
      <c r="N80" s="1"/>
      <c r="O80" s="1"/>
      <c r="P80" s="1"/>
      <c r="Q80" s="1"/>
      <c r="R80" s="1"/>
      <c r="S80" s="1"/>
      <c r="T80" s="1"/>
      <c r="U80" s="1"/>
      <c r="V80" s="1"/>
      <c r="W80" s="1"/>
      <c r="X80" s="1"/>
      <c r="Y80" s="1"/>
      <c r="Z80" s="1"/>
    </row>
    <row r="81" ht="11.25" customHeight="1">
      <c r="A81" s="1"/>
      <c r="B81" s="111" t="s">
        <v>194</v>
      </c>
      <c r="C81" s="111"/>
      <c r="D81" s="1"/>
      <c r="E81" s="1"/>
      <c r="F81" s="1"/>
      <c r="G81" s="1"/>
      <c r="H81" s="1"/>
      <c r="I81" s="1"/>
      <c r="J81" s="1"/>
      <c r="K81" s="1"/>
      <c r="L81" s="1"/>
      <c r="M81" s="1"/>
      <c r="N81" s="1"/>
      <c r="O81" s="1"/>
      <c r="P81" s="1"/>
      <c r="Q81" s="1"/>
      <c r="R81" s="1"/>
      <c r="S81" s="1"/>
      <c r="T81" s="1"/>
      <c r="U81" s="1"/>
      <c r="V81" s="1"/>
      <c r="W81" s="1"/>
      <c r="X81" s="1"/>
      <c r="Y81" s="1"/>
      <c r="Z81" s="1"/>
    </row>
    <row r="82" ht="11.25" customHeight="1">
      <c r="A82" s="1"/>
      <c r="B82" s="112" t="s">
        <v>202</v>
      </c>
      <c r="C82" s="70"/>
      <c r="D82" s="114" t="s">
        <v>209</v>
      </c>
      <c r="E82" s="9"/>
      <c r="F82" s="9"/>
      <c r="G82" s="9"/>
      <c r="H82" s="10"/>
      <c r="I82" s="29" t="s">
        <v>214</v>
      </c>
      <c r="J82" s="1"/>
      <c r="K82" s="1"/>
      <c r="L82" s="1"/>
      <c r="M82" s="1"/>
      <c r="N82" s="1"/>
      <c r="O82" s="1"/>
      <c r="P82" s="1"/>
      <c r="Q82" s="1"/>
      <c r="R82" s="1"/>
      <c r="S82" s="1"/>
      <c r="T82" s="1"/>
      <c r="U82" s="1"/>
      <c r="V82" s="1"/>
      <c r="W82" s="1"/>
      <c r="X82" s="1"/>
      <c r="Y82" s="1"/>
      <c r="Z82" s="1"/>
    </row>
    <row r="83" ht="23.25" customHeight="1">
      <c r="A83" s="1"/>
      <c r="B83" s="115"/>
      <c r="C83" s="87"/>
      <c r="D83" s="116" t="s">
        <v>224</v>
      </c>
      <c r="E83" s="117" t="s">
        <v>3</v>
      </c>
      <c r="F83" s="117" t="s">
        <v>4</v>
      </c>
      <c r="G83" s="117" t="s">
        <v>229</v>
      </c>
      <c r="H83" s="117" t="s">
        <v>230</v>
      </c>
      <c r="I83" s="6"/>
      <c r="J83" s="1"/>
      <c r="K83" s="1"/>
      <c r="L83" s="1"/>
      <c r="M83" s="1"/>
      <c r="N83" s="1"/>
      <c r="O83" s="1"/>
      <c r="P83" s="1"/>
      <c r="Q83" s="1"/>
      <c r="R83" s="1"/>
      <c r="S83" s="1"/>
      <c r="T83" s="1"/>
      <c r="U83" s="1"/>
      <c r="V83" s="1"/>
      <c r="W83" s="1"/>
      <c r="X83" s="1"/>
      <c r="Y83" s="1"/>
      <c r="Z83" s="1"/>
    </row>
    <row r="84" ht="11.25" customHeight="1">
      <c r="A84" s="1"/>
      <c r="B84" s="118"/>
      <c r="C84" s="94"/>
      <c r="D84" s="114" t="s">
        <v>9</v>
      </c>
      <c r="E84" s="9"/>
      <c r="F84" s="9"/>
      <c r="G84" s="9"/>
      <c r="H84" s="9"/>
      <c r="I84" s="10"/>
      <c r="J84" s="1"/>
      <c r="K84" s="1"/>
      <c r="L84" s="1"/>
      <c r="M84" s="1"/>
      <c r="N84" s="1"/>
      <c r="O84" s="1"/>
      <c r="P84" s="1"/>
      <c r="Q84" s="1"/>
      <c r="R84" s="1"/>
      <c r="S84" s="1"/>
      <c r="T84" s="1"/>
      <c r="U84" s="1"/>
      <c r="V84" s="1"/>
      <c r="W84" s="1"/>
      <c r="X84" s="1"/>
      <c r="Y84" s="1"/>
      <c r="Z84" s="1"/>
    </row>
    <row r="85" ht="10.5" customHeight="1">
      <c r="A85" s="1"/>
      <c r="B85" s="122" t="s">
        <v>235</v>
      </c>
      <c r="C85" s="70"/>
      <c r="D85" s="124">
        <v>94.0</v>
      </c>
      <c r="E85" s="124">
        <v>915.0</v>
      </c>
      <c r="F85" s="124">
        <v>2840.0</v>
      </c>
      <c r="G85" s="124">
        <v>61.0</v>
      </c>
      <c r="H85" s="126">
        <v>1913.0</v>
      </c>
      <c r="I85" s="127">
        <f t="shared" ref="I85:I93" si="10">SUM(D85:H85)</f>
        <v>5823</v>
      </c>
      <c r="J85" s="1"/>
      <c r="K85" s="59"/>
      <c r="L85" s="1"/>
      <c r="M85" s="1"/>
      <c r="N85" s="1"/>
      <c r="O85" s="1"/>
      <c r="P85" s="1"/>
      <c r="Q85" s="1"/>
      <c r="R85" s="1"/>
      <c r="S85" s="1"/>
      <c r="T85" s="1"/>
      <c r="U85" s="1"/>
      <c r="V85" s="1"/>
      <c r="W85" s="1"/>
      <c r="X85" s="1"/>
      <c r="Y85" s="1"/>
      <c r="Z85" s="1"/>
    </row>
    <row r="86" ht="10.5" customHeight="1">
      <c r="A86" s="1"/>
      <c r="B86" s="129" t="s">
        <v>240</v>
      </c>
      <c r="C86" s="87"/>
      <c r="D86" s="130">
        <v>21.0</v>
      </c>
      <c r="E86" s="132">
        <v>311.0</v>
      </c>
      <c r="F86" s="132">
        <v>542.0</v>
      </c>
      <c r="G86" s="132">
        <v>28.0</v>
      </c>
      <c r="H86" s="133">
        <v>5660.0</v>
      </c>
      <c r="I86" s="12">
        <f t="shared" si="10"/>
        <v>6562</v>
      </c>
      <c r="J86" s="1"/>
      <c r="K86" s="59"/>
      <c r="L86" s="1"/>
      <c r="M86" s="1"/>
      <c r="N86" s="1"/>
      <c r="O86" s="1"/>
      <c r="P86" s="1"/>
      <c r="Q86" s="1"/>
      <c r="R86" s="1"/>
      <c r="S86" s="1"/>
      <c r="T86" s="1"/>
      <c r="U86" s="1"/>
      <c r="V86" s="1"/>
      <c r="W86" s="1"/>
      <c r="X86" s="1"/>
      <c r="Y86" s="1"/>
      <c r="Z86" s="1"/>
    </row>
    <row r="87" ht="10.5" customHeight="1">
      <c r="A87" s="1"/>
      <c r="B87" s="129" t="s">
        <v>247</v>
      </c>
      <c r="C87" s="87"/>
      <c r="D87" s="130">
        <v>18.0</v>
      </c>
      <c r="E87" s="132">
        <v>81.0</v>
      </c>
      <c r="F87" s="132">
        <v>462.0</v>
      </c>
      <c r="G87" s="132">
        <v>8.0</v>
      </c>
      <c r="H87" s="133">
        <v>577.0</v>
      </c>
      <c r="I87" s="12">
        <f t="shared" si="10"/>
        <v>1146</v>
      </c>
      <c r="J87" s="1"/>
      <c r="K87" s="59"/>
      <c r="L87" s="1"/>
      <c r="M87" s="1"/>
      <c r="N87" s="1"/>
      <c r="O87" s="1"/>
      <c r="P87" s="1"/>
      <c r="Q87" s="1"/>
      <c r="R87" s="1"/>
      <c r="S87" s="1"/>
      <c r="T87" s="1"/>
      <c r="U87" s="1"/>
      <c r="V87" s="1"/>
      <c r="W87" s="1"/>
      <c r="X87" s="1"/>
      <c r="Y87" s="1"/>
      <c r="Z87" s="1"/>
    </row>
    <row r="88" ht="10.5" customHeight="1">
      <c r="A88" s="1"/>
      <c r="B88" s="129" t="s">
        <v>249</v>
      </c>
      <c r="C88" s="87"/>
      <c r="D88" s="130">
        <v>7.0</v>
      </c>
      <c r="E88" s="132">
        <v>239.0</v>
      </c>
      <c r="F88" s="132">
        <v>84.0</v>
      </c>
      <c r="G88" s="132">
        <v>10.0</v>
      </c>
      <c r="H88" s="133">
        <v>2406.0</v>
      </c>
      <c r="I88" s="12">
        <f t="shared" si="10"/>
        <v>2746</v>
      </c>
      <c r="J88" s="1"/>
      <c r="K88" s="59"/>
      <c r="L88" s="1"/>
      <c r="M88" s="1"/>
      <c r="N88" s="1"/>
      <c r="O88" s="1"/>
      <c r="P88" s="1"/>
      <c r="Q88" s="1"/>
      <c r="R88" s="1"/>
      <c r="S88" s="1"/>
      <c r="T88" s="1"/>
      <c r="U88" s="1"/>
      <c r="V88" s="1"/>
      <c r="W88" s="1"/>
      <c r="X88" s="1"/>
      <c r="Y88" s="1"/>
      <c r="Z88" s="1"/>
    </row>
    <row r="89" ht="10.5" customHeight="1">
      <c r="A89" s="1"/>
      <c r="B89" s="129" t="s">
        <v>252</v>
      </c>
      <c r="C89" s="87"/>
      <c r="D89" s="130">
        <v>27.0</v>
      </c>
      <c r="E89" s="132">
        <v>429.0</v>
      </c>
      <c r="F89" s="132">
        <v>141.0</v>
      </c>
      <c r="G89" s="132">
        <v>757.0</v>
      </c>
      <c r="H89" s="133">
        <v>8913.0</v>
      </c>
      <c r="I89" s="12">
        <f t="shared" si="10"/>
        <v>10267</v>
      </c>
      <c r="J89" s="1"/>
      <c r="K89" s="59"/>
      <c r="L89" s="1"/>
      <c r="M89" s="1"/>
      <c r="N89" s="1"/>
      <c r="O89" s="1"/>
      <c r="P89" s="1"/>
      <c r="Q89" s="1"/>
      <c r="R89" s="1"/>
      <c r="S89" s="1"/>
      <c r="T89" s="1"/>
      <c r="U89" s="1"/>
      <c r="V89" s="1"/>
      <c r="W89" s="1"/>
      <c r="X89" s="1"/>
      <c r="Y89" s="1"/>
      <c r="Z89" s="1"/>
    </row>
    <row r="90" ht="10.5" customHeight="1">
      <c r="A90" s="1"/>
      <c r="B90" s="129" t="s">
        <v>253</v>
      </c>
      <c r="C90" s="87"/>
      <c r="D90" s="130">
        <v>10.0</v>
      </c>
      <c r="E90" s="132">
        <v>255.0</v>
      </c>
      <c r="F90" s="132">
        <v>72.0</v>
      </c>
      <c r="G90" s="132">
        <v>21.0</v>
      </c>
      <c r="H90" s="133">
        <v>3152.0</v>
      </c>
      <c r="I90" s="12">
        <f t="shared" si="10"/>
        <v>3510</v>
      </c>
      <c r="J90" s="1"/>
      <c r="K90" s="59"/>
      <c r="L90" s="1"/>
      <c r="M90" s="1"/>
      <c r="N90" s="1"/>
      <c r="O90" s="1"/>
      <c r="P90" s="1"/>
      <c r="Q90" s="1"/>
      <c r="R90" s="1"/>
      <c r="S90" s="1"/>
      <c r="T90" s="1"/>
      <c r="U90" s="1"/>
      <c r="V90" s="1"/>
      <c r="W90" s="1"/>
      <c r="X90" s="1"/>
      <c r="Y90" s="1"/>
      <c r="Z90" s="1"/>
    </row>
    <row r="91" ht="10.5" customHeight="1">
      <c r="A91" s="1"/>
      <c r="B91" s="129" t="s">
        <v>256</v>
      </c>
      <c r="C91" s="87"/>
      <c r="D91" s="130">
        <v>85.0</v>
      </c>
      <c r="E91" s="132">
        <v>1914.0</v>
      </c>
      <c r="F91" s="132">
        <v>424.0</v>
      </c>
      <c r="G91" s="132">
        <v>356.0</v>
      </c>
      <c r="H91" s="133">
        <v>9493.0</v>
      </c>
      <c r="I91" s="12">
        <f t="shared" si="10"/>
        <v>12272</v>
      </c>
      <c r="J91" s="1"/>
      <c r="K91" s="59"/>
      <c r="L91" s="1"/>
      <c r="M91" s="1"/>
      <c r="N91" s="1"/>
      <c r="O91" s="1"/>
      <c r="P91" s="1"/>
      <c r="Q91" s="1"/>
      <c r="R91" s="1"/>
      <c r="S91" s="1"/>
      <c r="T91" s="1"/>
      <c r="U91" s="1"/>
      <c r="V91" s="1"/>
      <c r="W91" s="1"/>
      <c r="X91" s="1"/>
      <c r="Y91" s="1"/>
      <c r="Z91" s="1"/>
    </row>
    <row r="92" ht="10.5" customHeight="1">
      <c r="A92" s="1"/>
      <c r="B92" s="129" t="s">
        <v>258</v>
      </c>
      <c r="C92" s="87"/>
      <c r="D92" s="130">
        <v>9.0</v>
      </c>
      <c r="E92" s="132">
        <v>304.0</v>
      </c>
      <c r="F92" s="132">
        <v>37.0</v>
      </c>
      <c r="G92" s="132">
        <v>28.0</v>
      </c>
      <c r="H92" s="133">
        <v>3662.0</v>
      </c>
      <c r="I92" s="12">
        <f t="shared" si="10"/>
        <v>4040</v>
      </c>
      <c r="J92" s="1"/>
      <c r="K92" s="59"/>
      <c r="L92" s="1"/>
      <c r="M92" s="1"/>
      <c r="N92" s="1"/>
      <c r="O92" s="1"/>
      <c r="P92" s="1"/>
      <c r="Q92" s="1"/>
      <c r="R92" s="1"/>
      <c r="S92" s="1"/>
      <c r="T92" s="1"/>
      <c r="U92" s="1"/>
      <c r="V92" s="1"/>
      <c r="W92" s="1"/>
      <c r="X92" s="1"/>
      <c r="Y92" s="1"/>
      <c r="Z92" s="1"/>
    </row>
    <row r="93" ht="10.5" customHeight="1">
      <c r="A93" s="1"/>
      <c r="B93" s="140" t="s">
        <v>263</v>
      </c>
      <c r="C93" s="94"/>
      <c r="D93" s="141">
        <v>9.0</v>
      </c>
      <c r="E93" s="141">
        <v>139.0</v>
      </c>
      <c r="F93" s="141">
        <v>14.0</v>
      </c>
      <c r="G93" s="141">
        <v>18.0</v>
      </c>
      <c r="H93" s="143">
        <v>5225.0</v>
      </c>
      <c r="I93" s="145">
        <f t="shared" si="10"/>
        <v>5405</v>
      </c>
      <c r="J93" s="1"/>
      <c r="K93" s="59"/>
      <c r="L93" s="1"/>
      <c r="M93" s="1"/>
      <c r="N93" s="1"/>
      <c r="O93" s="1"/>
      <c r="P93" s="1"/>
      <c r="Q93" s="1"/>
      <c r="R93" s="1"/>
      <c r="S93" s="1"/>
      <c r="T93" s="1"/>
      <c r="U93" s="1"/>
      <c r="V93" s="1"/>
      <c r="W93" s="1"/>
      <c r="X93" s="1"/>
      <c r="Y93" s="1"/>
      <c r="Z93" s="1"/>
    </row>
    <row r="94" ht="10.5" customHeight="1">
      <c r="A94" s="1"/>
      <c r="B94" s="148" t="s">
        <v>278</v>
      </c>
      <c r="C94" s="10"/>
      <c r="D94" s="150">
        <f t="shared" ref="D94:I94" si="11">SUM(D85:D93)</f>
        <v>280</v>
      </c>
      <c r="E94" s="150">
        <f t="shared" si="11"/>
        <v>4587</v>
      </c>
      <c r="F94" s="150">
        <f t="shared" si="11"/>
        <v>4616</v>
      </c>
      <c r="G94" s="150">
        <f t="shared" si="11"/>
        <v>1287</v>
      </c>
      <c r="H94" s="150">
        <f t="shared" si="11"/>
        <v>41001</v>
      </c>
      <c r="I94" s="145">
        <f t="shared" si="11"/>
        <v>51771</v>
      </c>
      <c r="J94" s="1"/>
      <c r="K94" s="1"/>
      <c r="L94" s="1"/>
      <c r="M94" s="1"/>
      <c r="N94" s="1"/>
      <c r="O94" s="1"/>
      <c r="P94" s="1"/>
      <c r="Q94" s="1"/>
      <c r="R94" s="1"/>
      <c r="S94" s="1"/>
      <c r="T94" s="1"/>
      <c r="U94" s="1"/>
      <c r="V94" s="1"/>
      <c r="W94" s="1"/>
      <c r="X94" s="1"/>
      <c r="Y94" s="1"/>
      <c r="Z94" s="1"/>
    </row>
    <row r="95" ht="12.0" customHeight="1">
      <c r="A95" s="1"/>
      <c r="B95" s="152" t="s">
        <v>282</v>
      </c>
      <c r="C95" s="1"/>
      <c r="D95" s="1"/>
      <c r="E95" s="1"/>
      <c r="F95" s="1"/>
      <c r="G95" s="1"/>
      <c r="H95" s="1"/>
      <c r="I95" s="80"/>
      <c r="J95" s="154"/>
      <c r="K95" s="154"/>
      <c r="L95" s="154"/>
      <c r="M95" s="1"/>
      <c r="N95" s="1"/>
      <c r="O95" s="1"/>
      <c r="P95" s="1"/>
      <c r="Q95" s="1"/>
      <c r="R95" s="1"/>
      <c r="S95" s="1"/>
      <c r="T95" s="1"/>
      <c r="U95" s="1"/>
      <c r="V95" s="1"/>
      <c r="W95" s="1"/>
      <c r="X95" s="1"/>
      <c r="Y95" s="1"/>
      <c r="Z95" s="1"/>
    </row>
    <row r="96" ht="10.5" customHeight="1">
      <c r="A96" s="1"/>
      <c r="B96" s="1"/>
      <c r="C96" s="1"/>
      <c r="D96" s="59"/>
      <c r="E96" s="59"/>
      <c r="F96" s="59"/>
      <c r="G96" s="59"/>
      <c r="H96" s="59"/>
      <c r="I96" s="1"/>
      <c r="J96" s="1"/>
      <c r="K96" s="1"/>
      <c r="L96" s="1"/>
      <c r="M96" s="1"/>
      <c r="N96" s="1"/>
      <c r="O96" s="1"/>
      <c r="P96" s="1"/>
      <c r="Q96" s="1"/>
      <c r="R96" s="1"/>
      <c r="S96" s="1"/>
      <c r="T96" s="1"/>
      <c r="U96" s="1"/>
      <c r="V96" s="1"/>
      <c r="W96" s="1"/>
      <c r="X96" s="1"/>
      <c r="Y96" s="1"/>
      <c r="Z96" s="1"/>
    </row>
    <row r="97" ht="11.25" customHeight="1">
      <c r="A97" s="1"/>
      <c r="B97" s="1" t="s">
        <v>284</v>
      </c>
      <c r="H97" s="1"/>
      <c r="I97" s="1"/>
      <c r="J97" s="1"/>
      <c r="K97" s="1"/>
      <c r="L97" s="1"/>
      <c r="M97" s="1"/>
      <c r="N97" s="1"/>
      <c r="O97" s="1"/>
      <c r="P97" s="1"/>
      <c r="Q97" s="1"/>
      <c r="R97" s="1"/>
      <c r="S97" s="1"/>
      <c r="T97" s="1"/>
      <c r="U97" s="1"/>
      <c r="V97" s="1"/>
      <c r="W97" s="1"/>
      <c r="X97" s="1"/>
      <c r="Y97" s="1"/>
      <c r="Z97" s="1"/>
    </row>
    <row r="98" ht="11.25" customHeight="1">
      <c r="A98" s="1"/>
      <c r="B98" s="157" t="s">
        <v>202</v>
      </c>
      <c r="C98" s="70"/>
      <c r="D98" s="159">
        <v>2009.0</v>
      </c>
      <c r="E98" s="159">
        <v>2010.0</v>
      </c>
      <c r="F98" s="159">
        <v>2011.0</v>
      </c>
      <c r="G98" s="159">
        <v>2012.0</v>
      </c>
      <c r="H98" s="159">
        <v>2013.0</v>
      </c>
      <c r="I98" s="159">
        <v>2014.0</v>
      </c>
      <c r="J98" s="159">
        <v>2015.0</v>
      </c>
      <c r="K98" s="159">
        <v>2016.0</v>
      </c>
      <c r="L98" s="159">
        <v>2017.0</v>
      </c>
      <c r="M98" s="1"/>
      <c r="N98" s="1"/>
      <c r="O98" s="1"/>
      <c r="P98" s="1"/>
      <c r="Q98" s="1"/>
      <c r="R98" s="1"/>
      <c r="S98" s="1"/>
      <c r="T98" s="1"/>
      <c r="U98" s="1"/>
      <c r="V98" s="1"/>
      <c r="W98" s="1"/>
      <c r="X98" s="1"/>
      <c r="Y98" s="1"/>
      <c r="Z98" s="1"/>
    </row>
    <row r="99" ht="11.25" customHeight="1">
      <c r="A99" s="1"/>
      <c r="B99" s="118"/>
      <c r="C99" s="94"/>
      <c r="D99" s="161" t="s">
        <v>9</v>
      </c>
      <c r="E99" s="9"/>
      <c r="F99" s="9"/>
      <c r="G99" s="9"/>
      <c r="H99" s="9"/>
      <c r="I99" s="9"/>
      <c r="J99" s="9"/>
      <c r="K99" s="9"/>
      <c r="L99" s="10"/>
      <c r="M99" s="1"/>
      <c r="N99" s="1"/>
      <c r="O99" s="1"/>
      <c r="P99" s="1"/>
      <c r="Q99" s="1"/>
      <c r="R99" s="1"/>
      <c r="S99" s="1"/>
      <c r="T99" s="1"/>
      <c r="U99" s="1"/>
      <c r="V99" s="1"/>
      <c r="W99" s="1"/>
      <c r="X99" s="1"/>
      <c r="Y99" s="1"/>
      <c r="Z99" s="1"/>
    </row>
    <row r="100" ht="10.5" customHeight="1">
      <c r="A100" s="1"/>
      <c r="B100" s="162" t="s">
        <v>235</v>
      </c>
      <c r="C100" s="87"/>
      <c r="D100" s="164">
        <v>5262.0</v>
      </c>
      <c r="E100" s="164">
        <v>5357.0</v>
      </c>
      <c r="F100" s="164">
        <v>5224.0</v>
      </c>
      <c r="G100" s="166">
        <v>5288.0</v>
      </c>
      <c r="H100" s="171">
        <v>6017.0</v>
      </c>
      <c r="I100" s="171">
        <v>6116.0</v>
      </c>
      <c r="J100" s="178">
        <v>6200.0</v>
      </c>
      <c r="K100" s="178">
        <v>6293.0</v>
      </c>
      <c r="L100" s="178">
        <v>6510.0</v>
      </c>
      <c r="M100" s="1"/>
      <c r="N100" s="1"/>
      <c r="O100" s="1"/>
      <c r="P100" s="1"/>
      <c r="Q100" s="1"/>
      <c r="R100" s="1"/>
      <c r="S100" s="1"/>
      <c r="T100" s="1"/>
      <c r="U100" s="1"/>
      <c r="V100" s="1"/>
      <c r="W100" s="1"/>
      <c r="X100" s="1"/>
      <c r="Y100" s="1"/>
      <c r="Z100" s="1"/>
    </row>
    <row r="101" ht="10.5" customHeight="1">
      <c r="A101" s="1"/>
      <c r="B101" s="162" t="s">
        <v>240</v>
      </c>
      <c r="C101" s="87"/>
      <c r="D101" s="164">
        <v>6579.0</v>
      </c>
      <c r="E101" s="164">
        <v>6649.0</v>
      </c>
      <c r="F101" s="164">
        <v>6744.0</v>
      </c>
      <c r="G101" s="164">
        <v>6830.0</v>
      </c>
      <c r="H101" s="197">
        <v>6620.0</v>
      </c>
      <c r="I101" s="197">
        <v>6787.0</v>
      </c>
      <c r="J101" s="178">
        <v>6916.0</v>
      </c>
      <c r="K101" s="178">
        <v>7062.0</v>
      </c>
      <c r="L101" s="178">
        <v>6499.0</v>
      </c>
      <c r="M101" s="1"/>
      <c r="N101" s="1"/>
      <c r="O101" s="1"/>
      <c r="P101" s="1"/>
      <c r="Q101" s="1"/>
      <c r="R101" s="1"/>
      <c r="S101" s="1"/>
      <c r="T101" s="1"/>
      <c r="U101" s="1"/>
      <c r="V101" s="1"/>
      <c r="W101" s="1"/>
      <c r="X101" s="1"/>
      <c r="Y101" s="1"/>
      <c r="Z101" s="1"/>
    </row>
    <row r="102" ht="10.5" customHeight="1">
      <c r="A102" s="1"/>
      <c r="B102" s="162" t="s">
        <v>247</v>
      </c>
      <c r="C102" s="87"/>
      <c r="D102" s="164">
        <v>1126.0</v>
      </c>
      <c r="E102" s="164">
        <v>1148.0</v>
      </c>
      <c r="F102" s="164">
        <v>1104.0</v>
      </c>
      <c r="G102" s="164">
        <v>1097.0</v>
      </c>
      <c r="H102" s="197">
        <v>1163.0</v>
      </c>
      <c r="I102" s="197">
        <v>1167.0</v>
      </c>
      <c r="J102" s="178">
        <v>1186.0</v>
      </c>
      <c r="K102" s="178">
        <v>1192.0</v>
      </c>
      <c r="L102" s="178">
        <v>1214.0</v>
      </c>
      <c r="M102" s="1"/>
      <c r="N102" s="1"/>
      <c r="O102" s="1"/>
      <c r="P102" s="1"/>
      <c r="Q102" s="1"/>
      <c r="R102" s="1"/>
      <c r="S102" s="1"/>
      <c r="T102" s="1"/>
      <c r="U102" s="1"/>
      <c r="V102" s="1"/>
      <c r="W102" s="1"/>
      <c r="X102" s="1"/>
      <c r="Y102" s="1"/>
      <c r="Z102" s="1"/>
    </row>
    <row r="103" ht="10.5" customHeight="1">
      <c r="A103" s="1"/>
      <c r="B103" s="162" t="s">
        <v>249</v>
      </c>
      <c r="C103" s="87"/>
      <c r="D103" s="164">
        <v>2878.0</v>
      </c>
      <c r="E103" s="164">
        <v>2903.0</v>
      </c>
      <c r="F103" s="164">
        <v>2823.0</v>
      </c>
      <c r="G103" s="164">
        <v>2760.0</v>
      </c>
      <c r="H103" s="197">
        <v>2753.0</v>
      </c>
      <c r="I103" s="197">
        <v>2787.0</v>
      </c>
      <c r="J103" s="178">
        <v>2818.0</v>
      </c>
      <c r="K103" s="178">
        <v>2862.0</v>
      </c>
      <c r="L103" s="178">
        <v>2867.0</v>
      </c>
      <c r="M103" s="1"/>
      <c r="N103" s="1"/>
      <c r="O103" s="1"/>
      <c r="P103" s="1"/>
      <c r="Q103" s="1"/>
      <c r="R103" s="1"/>
      <c r="S103" s="1"/>
      <c r="T103" s="1"/>
      <c r="U103" s="1"/>
      <c r="V103" s="1"/>
      <c r="W103" s="1"/>
      <c r="X103" s="1"/>
      <c r="Y103" s="1"/>
      <c r="Z103" s="1"/>
    </row>
    <row r="104" ht="10.5" customHeight="1">
      <c r="A104" s="1"/>
      <c r="B104" s="162" t="s">
        <v>252</v>
      </c>
      <c r="C104" s="87"/>
      <c r="D104" s="164">
        <v>10105.0</v>
      </c>
      <c r="E104" s="164">
        <v>10449.0</v>
      </c>
      <c r="F104" s="164">
        <v>10645.0</v>
      </c>
      <c r="G104" s="164">
        <v>10819.0</v>
      </c>
      <c r="H104" s="197">
        <v>10457.0</v>
      </c>
      <c r="I104" s="197">
        <v>10694.0</v>
      </c>
      <c r="J104" s="178">
        <v>10919.0</v>
      </c>
      <c r="K104" s="178">
        <v>11080.0</v>
      </c>
      <c r="L104" s="178">
        <v>11075.0</v>
      </c>
      <c r="M104" s="1"/>
      <c r="N104" s="1"/>
      <c r="O104" s="1"/>
      <c r="P104" s="1"/>
      <c r="Q104" s="1"/>
      <c r="R104" s="1"/>
      <c r="S104" s="1"/>
      <c r="T104" s="1"/>
      <c r="U104" s="1"/>
      <c r="V104" s="1"/>
      <c r="W104" s="1"/>
      <c r="X104" s="1"/>
      <c r="Y104" s="1"/>
      <c r="Z104" s="1"/>
    </row>
    <row r="105" ht="10.5" customHeight="1">
      <c r="A105" s="1"/>
      <c r="B105" s="162" t="s">
        <v>253</v>
      </c>
      <c r="C105" s="87"/>
      <c r="D105" s="164">
        <v>3425.0</v>
      </c>
      <c r="E105" s="164">
        <v>3450.0</v>
      </c>
      <c r="F105" s="164">
        <v>3201.0</v>
      </c>
      <c r="G105" s="164">
        <v>3253.0</v>
      </c>
      <c r="H105" s="197">
        <v>3598.0</v>
      </c>
      <c r="I105" s="197">
        <v>3676.0</v>
      </c>
      <c r="J105" s="178">
        <v>3707.0</v>
      </c>
      <c r="K105" s="178">
        <v>3791.0</v>
      </c>
      <c r="L105" s="178">
        <v>3856.0</v>
      </c>
      <c r="M105" s="1"/>
      <c r="N105" s="1"/>
      <c r="O105" s="1"/>
      <c r="P105" s="1"/>
      <c r="Q105" s="1"/>
      <c r="R105" s="1"/>
      <c r="S105" s="1"/>
      <c r="T105" s="1"/>
      <c r="U105" s="1"/>
      <c r="V105" s="1"/>
      <c r="W105" s="1"/>
      <c r="X105" s="1"/>
      <c r="Y105" s="1"/>
      <c r="Z105" s="1"/>
    </row>
    <row r="106" ht="10.5" customHeight="1">
      <c r="A106" s="1"/>
      <c r="B106" s="162" t="s">
        <v>256</v>
      </c>
      <c r="C106" s="87"/>
      <c r="D106" s="164">
        <v>10447.0</v>
      </c>
      <c r="E106" s="164">
        <v>10531.0</v>
      </c>
      <c r="F106" s="164">
        <v>11192.0</v>
      </c>
      <c r="G106" s="164">
        <v>11328.0</v>
      </c>
      <c r="H106" s="197">
        <v>12728.0</v>
      </c>
      <c r="I106" s="197">
        <v>12915.0</v>
      </c>
      <c r="J106" s="178">
        <v>13200.0</v>
      </c>
      <c r="K106" s="178">
        <v>13498.0</v>
      </c>
      <c r="L106" s="178">
        <v>14279.0</v>
      </c>
      <c r="M106" s="1"/>
      <c r="N106" s="1"/>
      <c r="O106" s="1"/>
      <c r="P106" s="1"/>
      <c r="Q106" s="1"/>
      <c r="R106" s="1"/>
      <c r="S106" s="1"/>
      <c r="T106" s="1"/>
      <c r="U106" s="1"/>
      <c r="V106" s="1"/>
      <c r="W106" s="1"/>
      <c r="X106" s="1"/>
      <c r="Y106" s="1"/>
      <c r="Z106" s="1"/>
    </row>
    <row r="107" ht="10.5" customHeight="1">
      <c r="A107" s="1"/>
      <c r="B107" s="162" t="s">
        <v>258</v>
      </c>
      <c r="C107" s="87"/>
      <c r="D107" s="164">
        <v>3590.0</v>
      </c>
      <c r="E107" s="164">
        <v>3607.0</v>
      </c>
      <c r="F107" s="164">
        <v>3618.0</v>
      </c>
      <c r="G107" s="164">
        <v>3657.0</v>
      </c>
      <c r="H107" s="197">
        <v>4128.0</v>
      </c>
      <c r="I107" s="197">
        <v>4229.0</v>
      </c>
      <c r="J107" s="178">
        <v>4284.0</v>
      </c>
      <c r="K107" s="178">
        <v>4328.0</v>
      </c>
      <c r="L107" s="178">
        <v>4444.0</v>
      </c>
      <c r="M107" s="1"/>
      <c r="N107" s="1"/>
      <c r="O107" s="1"/>
      <c r="P107" s="1"/>
      <c r="Q107" s="1"/>
      <c r="R107" s="1"/>
      <c r="S107" s="1"/>
      <c r="T107" s="1"/>
      <c r="U107" s="1"/>
      <c r="V107" s="1"/>
      <c r="W107" s="1"/>
      <c r="X107" s="1"/>
      <c r="Y107" s="1"/>
      <c r="Z107" s="1"/>
    </row>
    <row r="108" ht="10.5" customHeight="1">
      <c r="A108" s="1"/>
      <c r="B108" s="206" t="s">
        <v>263</v>
      </c>
      <c r="C108" s="94"/>
      <c r="D108" s="210">
        <v>5275.0</v>
      </c>
      <c r="E108" s="210">
        <v>5227.0</v>
      </c>
      <c r="F108" s="210">
        <v>5440.0</v>
      </c>
      <c r="G108" s="210">
        <v>5555.0</v>
      </c>
      <c r="H108" s="212">
        <v>5518.0</v>
      </c>
      <c r="I108" s="212">
        <v>5631.0</v>
      </c>
      <c r="J108" s="184">
        <v>5727.0</v>
      </c>
      <c r="K108" s="184">
        <v>5804.0</v>
      </c>
      <c r="L108" s="184">
        <v>5778.0</v>
      </c>
      <c r="M108" s="1"/>
      <c r="N108" s="1"/>
      <c r="O108" s="1"/>
      <c r="P108" s="1"/>
      <c r="Q108" s="1"/>
      <c r="R108" s="1"/>
      <c r="S108" s="1"/>
      <c r="T108" s="1"/>
      <c r="U108" s="1"/>
      <c r="V108" s="1"/>
      <c r="W108" s="1"/>
      <c r="X108" s="1"/>
      <c r="Y108" s="1"/>
      <c r="Z108" s="1"/>
    </row>
    <row r="109" ht="10.5" customHeight="1">
      <c r="A109" s="1"/>
      <c r="B109" s="215" t="s">
        <v>2</v>
      </c>
      <c r="C109" s="10"/>
      <c r="D109" s="218">
        <v>48687.0</v>
      </c>
      <c r="E109" s="218">
        <v>49321.0</v>
      </c>
      <c r="F109" s="218">
        <v>49991.0</v>
      </c>
      <c r="G109" s="218">
        <v>50587.0</v>
      </c>
      <c r="H109" s="219">
        <v>52982.0</v>
      </c>
      <c r="I109" s="219">
        <v>54002.0</v>
      </c>
      <c r="J109" s="219">
        <v>54957.0</v>
      </c>
      <c r="K109" s="219">
        <v>55909.0</v>
      </c>
      <c r="L109" s="219">
        <v>56522.0</v>
      </c>
      <c r="M109" s="1"/>
      <c r="N109" s="1"/>
      <c r="O109" s="1"/>
      <c r="P109" s="1"/>
      <c r="Q109" s="1"/>
      <c r="R109" s="1"/>
      <c r="S109" s="1"/>
      <c r="T109" s="1"/>
      <c r="U109" s="1"/>
      <c r="V109" s="1"/>
      <c r="W109" s="1"/>
      <c r="X109" s="1"/>
      <c r="Y109" s="1"/>
      <c r="Z109" s="1"/>
    </row>
    <row r="110" ht="12.0" customHeight="1">
      <c r="A110" s="1"/>
      <c r="B110" s="60" t="s">
        <v>282</v>
      </c>
      <c r="C110" s="1"/>
      <c r="D110" s="220"/>
      <c r="E110" s="220"/>
      <c r="F110" s="220"/>
      <c r="G110" s="220"/>
      <c r="H110" s="220"/>
      <c r="I110" s="113"/>
      <c r="J110" s="1"/>
      <c r="K110" s="1"/>
      <c r="L110" s="1"/>
      <c r="M110" s="1"/>
      <c r="N110" s="1"/>
      <c r="O110" s="1"/>
      <c r="P110" s="1"/>
      <c r="Q110" s="1"/>
      <c r="R110" s="1"/>
      <c r="S110" s="1"/>
      <c r="T110" s="1"/>
      <c r="U110" s="1"/>
      <c r="V110" s="1"/>
      <c r="W110" s="1"/>
      <c r="X110" s="1"/>
      <c r="Y110" s="1"/>
      <c r="Z110" s="1"/>
    </row>
    <row r="111" ht="10.5" customHeight="1">
      <c r="A111" s="1"/>
      <c r="B111" s="221"/>
      <c r="C111" s="221"/>
      <c r="D111" s="220"/>
      <c r="E111" s="220"/>
      <c r="F111" s="220"/>
      <c r="G111" s="220"/>
      <c r="H111" s="220"/>
      <c r="I111" s="1"/>
      <c r="J111" s="1"/>
      <c r="K111" s="1"/>
      <c r="L111" s="1"/>
      <c r="M111" s="1"/>
      <c r="N111" s="1"/>
      <c r="O111" s="1"/>
      <c r="P111" s="1"/>
      <c r="Q111" s="1"/>
      <c r="R111" s="1"/>
      <c r="S111" s="1"/>
      <c r="T111" s="1"/>
      <c r="U111" s="1"/>
      <c r="V111" s="1"/>
      <c r="W111" s="1"/>
      <c r="X111" s="1"/>
      <c r="Y111" s="1"/>
      <c r="Z111" s="1"/>
    </row>
    <row r="112" ht="10.5" customHeight="1">
      <c r="A112" s="1"/>
      <c r="B112" s="221"/>
      <c r="C112" s="221"/>
      <c r="D112" s="220"/>
      <c r="E112" s="220"/>
      <c r="F112" s="220"/>
      <c r="G112" s="220"/>
      <c r="H112" s="220"/>
      <c r="I112" s="1"/>
      <c r="J112" s="1"/>
      <c r="K112" s="1"/>
      <c r="L112" s="1"/>
      <c r="M112" s="1"/>
      <c r="N112" s="1"/>
      <c r="O112" s="1"/>
      <c r="P112" s="1"/>
      <c r="Q112" s="1"/>
      <c r="R112" s="1"/>
      <c r="S112" s="1"/>
      <c r="T112" s="1"/>
      <c r="U112" s="1"/>
      <c r="V112" s="1"/>
      <c r="W112" s="1"/>
      <c r="X112" s="1"/>
      <c r="Y112" s="1"/>
      <c r="Z112" s="1"/>
    </row>
    <row r="113" ht="10.5" customHeight="1">
      <c r="A113" s="1"/>
      <c r="B113" s="221"/>
      <c r="C113" s="221"/>
      <c r="D113" s="220"/>
      <c r="E113" s="220"/>
      <c r="F113" s="220"/>
      <c r="G113" s="220"/>
      <c r="H113" s="220"/>
      <c r="I113" s="1"/>
      <c r="J113" s="1"/>
      <c r="K113" s="1"/>
      <c r="L113" s="1"/>
      <c r="M113" s="1"/>
      <c r="N113" s="1"/>
      <c r="O113" s="1"/>
      <c r="P113" s="1"/>
      <c r="Q113" s="1"/>
      <c r="R113" s="1"/>
      <c r="S113" s="1"/>
      <c r="T113" s="1"/>
      <c r="U113" s="1"/>
      <c r="V113" s="1"/>
      <c r="W113" s="1"/>
      <c r="X113" s="1"/>
      <c r="Y113" s="1"/>
      <c r="Z113" s="1"/>
    </row>
    <row r="114" ht="10.5" customHeight="1">
      <c r="A114" s="1"/>
      <c r="B114" s="221"/>
      <c r="C114" s="221"/>
      <c r="D114" s="220"/>
      <c r="E114" s="220"/>
      <c r="F114" s="220"/>
      <c r="G114" s="220"/>
      <c r="H114" s="220"/>
      <c r="I114" s="1"/>
      <c r="J114" s="1"/>
      <c r="K114" s="1"/>
      <c r="L114" s="1"/>
      <c r="M114" s="1"/>
      <c r="N114" s="1"/>
      <c r="O114" s="1"/>
      <c r="P114" s="1"/>
      <c r="Q114" s="1"/>
      <c r="R114" s="1"/>
      <c r="S114" s="1"/>
      <c r="T114" s="1"/>
      <c r="U114" s="1"/>
      <c r="V114" s="1"/>
      <c r="W114" s="1"/>
      <c r="X114" s="1"/>
      <c r="Y114" s="1"/>
      <c r="Z114" s="1"/>
    </row>
    <row r="115" ht="10.5" customHeight="1">
      <c r="A115" s="1"/>
      <c r="B115" s="221"/>
      <c r="C115" s="221"/>
      <c r="D115" s="220"/>
      <c r="E115" s="220"/>
      <c r="F115" s="220"/>
      <c r="G115" s="220"/>
      <c r="H115" s="220"/>
      <c r="I115" s="1"/>
      <c r="J115" s="1"/>
      <c r="K115" s="1"/>
      <c r="L115" s="1"/>
      <c r="M115" s="1"/>
      <c r="N115" s="1"/>
      <c r="O115" s="1"/>
      <c r="P115" s="1"/>
      <c r="Q115" s="1"/>
      <c r="R115" s="1"/>
      <c r="S115" s="1"/>
      <c r="T115" s="1"/>
      <c r="U115" s="1"/>
      <c r="V115" s="1"/>
      <c r="W115" s="1"/>
      <c r="X115" s="1"/>
      <c r="Y115" s="1"/>
      <c r="Z115" s="1"/>
    </row>
    <row r="116" ht="10.5" customHeight="1">
      <c r="A116" s="1"/>
      <c r="B116" s="221"/>
      <c r="C116" s="221"/>
      <c r="D116" s="220"/>
      <c r="E116" s="220"/>
      <c r="F116" s="220"/>
      <c r="G116" s="220"/>
      <c r="H116" s="220"/>
      <c r="I116" s="1"/>
      <c r="J116" s="1"/>
      <c r="K116" s="1"/>
      <c r="L116" s="1"/>
      <c r="M116" s="1"/>
      <c r="N116" s="1"/>
      <c r="O116" s="1"/>
      <c r="P116" s="1"/>
      <c r="Q116" s="1"/>
      <c r="R116" s="1"/>
      <c r="S116" s="1"/>
      <c r="T116" s="1"/>
      <c r="U116" s="1"/>
      <c r="V116" s="1"/>
      <c r="W116" s="1"/>
      <c r="X116" s="1"/>
      <c r="Y116" s="1"/>
      <c r="Z116" s="1"/>
    </row>
    <row r="117" ht="10.5" customHeight="1">
      <c r="A117" s="1"/>
      <c r="B117" s="221"/>
      <c r="C117" s="221"/>
      <c r="D117" s="220"/>
      <c r="E117" s="220"/>
      <c r="F117" s="220"/>
      <c r="G117" s="220"/>
      <c r="H117" s="220"/>
      <c r="I117" s="1"/>
      <c r="J117" s="1"/>
      <c r="K117" s="1"/>
      <c r="L117" s="1"/>
      <c r="M117" s="1"/>
      <c r="N117" s="1"/>
      <c r="O117" s="1"/>
      <c r="P117" s="1"/>
      <c r="Q117" s="1"/>
      <c r="R117" s="1"/>
      <c r="S117" s="1"/>
      <c r="T117" s="1"/>
      <c r="U117" s="1"/>
      <c r="V117" s="1"/>
      <c r="W117" s="1"/>
      <c r="X117" s="1"/>
      <c r="Y117" s="1"/>
      <c r="Z117" s="1"/>
    </row>
    <row r="118" ht="10.5" customHeight="1">
      <c r="A118" s="1"/>
      <c r="B118" s="221"/>
      <c r="C118" s="221"/>
      <c r="D118" s="220"/>
      <c r="E118" s="220"/>
      <c r="F118" s="220"/>
      <c r="G118" s="220"/>
      <c r="H118" s="220"/>
      <c r="I118" s="1"/>
      <c r="J118" s="1"/>
      <c r="K118" s="1"/>
      <c r="L118" s="1"/>
      <c r="M118" s="1"/>
      <c r="N118" s="1"/>
      <c r="O118" s="1"/>
      <c r="P118" s="1"/>
      <c r="Q118" s="1"/>
      <c r="R118" s="1"/>
      <c r="S118" s="1"/>
      <c r="T118" s="1"/>
      <c r="U118" s="1"/>
      <c r="V118" s="1"/>
      <c r="W118" s="1"/>
      <c r="X118" s="1"/>
      <c r="Y118" s="1"/>
      <c r="Z118" s="1"/>
    </row>
    <row r="119" ht="10.5" customHeight="1">
      <c r="A119" s="1"/>
      <c r="B119" s="221"/>
      <c r="C119" s="221"/>
      <c r="D119" s="220"/>
      <c r="E119" s="220"/>
      <c r="F119" s="220"/>
      <c r="G119" s="220"/>
      <c r="H119" s="220"/>
      <c r="I119" s="1"/>
      <c r="J119" s="1"/>
      <c r="K119" s="1"/>
      <c r="L119" s="1"/>
      <c r="M119" s="1"/>
      <c r="N119" s="1"/>
      <c r="O119" s="1"/>
      <c r="P119" s="1"/>
      <c r="Q119" s="1"/>
      <c r="R119" s="1"/>
      <c r="S119" s="1"/>
      <c r="T119" s="1"/>
      <c r="U119" s="1"/>
      <c r="V119" s="1"/>
      <c r="W119" s="1"/>
      <c r="X119" s="1"/>
      <c r="Y119" s="1"/>
      <c r="Z119" s="1"/>
    </row>
    <row r="120" ht="10.5" customHeight="1">
      <c r="A120" s="1"/>
      <c r="B120" s="221"/>
      <c r="C120" s="221"/>
      <c r="D120" s="220"/>
      <c r="E120" s="220"/>
      <c r="F120" s="220"/>
      <c r="G120" s="220"/>
      <c r="H120" s="220"/>
      <c r="I120" s="1"/>
      <c r="J120" s="1"/>
      <c r="K120" s="1"/>
      <c r="L120" s="1"/>
      <c r="M120" s="1"/>
      <c r="N120" s="1"/>
      <c r="O120" s="1"/>
      <c r="P120" s="1"/>
      <c r="Q120" s="1"/>
      <c r="R120" s="1"/>
      <c r="S120" s="1"/>
      <c r="T120" s="1"/>
      <c r="U120" s="1"/>
      <c r="V120" s="1"/>
      <c r="W120" s="1"/>
      <c r="X120" s="1"/>
      <c r="Y120" s="1"/>
      <c r="Z120" s="1"/>
    </row>
    <row r="121" ht="10.5" customHeight="1">
      <c r="A121" s="1"/>
      <c r="B121" s="221"/>
      <c r="C121" s="221"/>
      <c r="D121" s="220"/>
      <c r="E121" s="220"/>
      <c r="F121" s="220"/>
      <c r="G121" s="220"/>
      <c r="H121" s="220"/>
      <c r="I121" s="1"/>
      <c r="J121" s="1"/>
      <c r="K121" s="1"/>
      <c r="L121" s="1"/>
      <c r="M121" s="1"/>
      <c r="N121" s="1"/>
      <c r="O121" s="1"/>
      <c r="P121" s="1"/>
      <c r="Q121" s="1"/>
      <c r="R121" s="1"/>
      <c r="S121" s="1"/>
      <c r="T121" s="1"/>
      <c r="U121" s="1"/>
      <c r="V121" s="1"/>
      <c r="W121" s="1"/>
      <c r="X121" s="1"/>
      <c r="Y121" s="1"/>
      <c r="Z121" s="1"/>
    </row>
    <row r="122" ht="10.5" customHeight="1">
      <c r="A122" s="1"/>
      <c r="B122" s="221"/>
      <c r="C122" s="221"/>
      <c r="D122" s="220"/>
      <c r="E122" s="220"/>
      <c r="F122" s="220"/>
      <c r="G122" s="220"/>
      <c r="H122" s="220"/>
      <c r="I122" s="1"/>
      <c r="J122" s="1"/>
      <c r="K122" s="1"/>
      <c r="L122" s="1"/>
      <c r="M122" s="1"/>
      <c r="N122" s="1"/>
      <c r="O122" s="1"/>
      <c r="P122" s="1"/>
      <c r="Q122" s="1"/>
      <c r="R122" s="1"/>
      <c r="S122" s="1"/>
      <c r="T122" s="1"/>
      <c r="U122" s="1"/>
      <c r="V122" s="1"/>
      <c r="W122" s="1"/>
      <c r="X122" s="1"/>
      <c r="Y122" s="1"/>
      <c r="Z122" s="1"/>
    </row>
    <row r="123" ht="10.5" customHeight="1">
      <c r="A123" s="1"/>
      <c r="B123" s="221"/>
      <c r="C123" s="221"/>
      <c r="D123" s="220"/>
      <c r="E123" s="220"/>
      <c r="F123" s="220"/>
      <c r="G123" s="220"/>
      <c r="H123" s="220"/>
      <c r="I123" s="1"/>
      <c r="J123" s="1"/>
      <c r="K123" s="1"/>
      <c r="L123" s="1"/>
      <c r="M123" s="1"/>
      <c r="N123" s="1"/>
      <c r="O123" s="1"/>
      <c r="P123" s="1"/>
      <c r="Q123" s="1"/>
      <c r="R123" s="1"/>
      <c r="S123" s="1"/>
      <c r="T123" s="1"/>
      <c r="U123" s="1"/>
      <c r="V123" s="1"/>
      <c r="W123" s="1"/>
      <c r="X123" s="1"/>
      <c r="Y123" s="1"/>
      <c r="Z123" s="1"/>
    </row>
    <row r="124" ht="10.5" customHeight="1">
      <c r="A124" s="1"/>
      <c r="B124" s="221"/>
      <c r="C124" s="221"/>
      <c r="D124" s="220"/>
      <c r="E124" s="220"/>
      <c r="F124" s="220"/>
      <c r="G124" s="220"/>
      <c r="H124" s="220"/>
      <c r="I124" s="1"/>
      <c r="J124" s="1"/>
      <c r="K124" s="1"/>
      <c r="L124" s="1"/>
      <c r="M124" s="1"/>
      <c r="N124" s="1"/>
      <c r="O124" s="1"/>
      <c r="P124" s="1"/>
      <c r="Q124" s="1"/>
      <c r="R124" s="1"/>
      <c r="S124" s="1"/>
      <c r="T124" s="1"/>
      <c r="U124" s="1"/>
      <c r="V124" s="1"/>
      <c r="W124" s="1"/>
      <c r="X124" s="1"/>
      <c r="Y124" s="1"/>
      <c r="Z124" s="1"/>
    </row>
    <row r="125" ht="10.5" customHeight="1">
      <c r="A125" s="1"/>
      <c r="B125" s="221"/>
      <c r="C125" s="221"/>
      <c r="D125" s="220"/>
      <c r="E125" s="220"/>
      <c r="F125" s="220"/>
      <c r="G125" s="220"/>
      <c r="H125" s="220"/>
      <c r="I125" s="1"/>
      <c r="J125" s="1"/>
      <c r="K125" s="1"/>
      <c r="L125" s="1"/>
      <c r="M125" s="1"/>
      <c r="N125" s="1"/>
      <c r="O125" s="1"/>
      <c r="P125" s="1"/>
      <c r="Q125" s="1"/>
      <c r="R125" s="1"/>
      <c r="S125" s="1"/>
      <c r="T125" s="1"/>
      <c r="U125" s="1"/>
      <c r="V125" s="1"/>
      <c r="W125" s="1"/>
      <c r="X125" s="1"/>
      <c r="Y125" s="1"/>
      <c r="Z125" s="1"/>
    </row>
    <row r="126" ht="10.5" customHeight="1">
      <c r="A126" s="1"/>
      <c r="B126" s="221"/>
      <c r="C126" s="221"/>
      <c r="D126" s="220"/>
      <c r="E126" s="220"/>
      <c r="F126" s="220"/>
      <c r="G126" s="220"/>
      <c r="H126" s="220"/>
      <c r="I126" s="1"/>
      <c r="J126" s="1"/>
      <c r="K126" s="1"/>
      <c r="L126" s="1"/>
      <c r="M126" s="1"/>
      <c r="N126" s="1"/>
      <c r="O126" s="1"/>
      <c r="P126" s="1"/>
      <c r="Q126" s="1"/>
      <c r="R126" s="1"/>
      <c r="S126" s="1"/>
      <c r="T126" s="1"/>
      <c r="U126" s="1"/>
      <c r="V126" s="1"/>
      <c r="W126" s="1"/>
      <c r="X126" s="1"/>
      <c r="Y126" s="1"/>
      <c r="Z126" s="1"/>
    </row>
    <row r="127" ht="10.5" customHeight="1">
      <c r="A127" s="1"/>
      <c r="B127" s="221"/>
      <c r="C127" s="221"/>
      <c r="D127" s="220"/>
      <c r="E127" s="220"/>
      <c r="F127" s="220"/>
      <c r="G127" s="220"/>
      <c r="H127" s="220"/>
      <c r="I127" s="1"/>
      <c r="J127" s="1"/>
      <c r="K127" s="1"/>
      <c r="L127" s="1"/>
      <c r="M127" s="1"/>
      <c r="N127" s="1"/>
      <c r="O127" s="1"/>
      <c r="P127" s="1"/>
      <c r="Q127" s="1"/>
      <c r="R127" s="1"/>
      <c r="S127" s="1"/>
      <c r="T127" s="1"/>
      <c r="U127" s="1"/>
      <c r="V127" s="1"/>
      <c r="W127" s="1"/>
      <c r="X127" s="1"/>
      <c r="Y127" s="1"/>
      <c r="Z127" s="1"/>
    </row>
    <row r="128" ht="10.5" customHeight="1">
      <c r="A128" s="1"/>
      <c r="B128" s="221"/>
      <c r="C128" s="221"/>
      <c r="D128" s="220"/>
      <c r="E128" s="220"/>
      <c r="F128" s="220"/>
      <c r="G128" s="220"/>
      <c r="H128" s="220"/>
      <c r="I128" s="1"/>
      <c r="J128" s="1"/>
      <c r="K128" s="1"/>
      <c r="L128" s="1"/>
      <c r="M128" s="1"/>
      <c r="N128" s="1"/>
      <c r="O128" s="1"/>
      <c r="P128" s="1"/>
      <c r="Q128" s="1"/>
      <c r="R128" s="1"/>
      <c r="S128" s="1"/>
      <c r="T128" s="1"/>
      <c r="U128" s="1"/>
      <c r="V128" s="1"/>
      <c r="W128" s="1"/>
      <c r="X128" s="1"/>
      <c r="Y128" s="1"/>
      <c r="Z128" s="1"/>
    </row>
    <row r="129" ht="10.5" customHeight="1">
      <c r="A129" s="1"/>
      <c r="B129" s="221"/>
      <c r="C129" s="221"/>
      <c r="D129" s="220"/>
      <c r="E129" s="220"/>
      <c r="F129" s="220"/>
      <c r="G129" s="220"/>
      <c r="H129" s="220"/>
      <c r="I129" s="1"/>
      <c r="J129" s="1"/>
      <c r="K129" s="1"/>
      <c r="L129" s="1"/>
      <c r="M129" s="1"/>
      <c r="N129" s="1"/>
      <c r="O129" s="1"/>
      <c r="P129" s="1"/>
      <c r="Q129" s="1"/>
      <c r="R129" s="1"/>
      <c r="S129" s="1"/>
      <c r="T129" s="1"/>
      <c r="U129" s="1"/>
      <c r="V129" s="1"/>
      <c r="W129" s="1"/>
      <c r="X129" s="1"/>
      <c r="Y129" s="1"/>
      <c r="Z129" s="1"/>
    </row>
    <row r="130" ht="10.5" customHeight="1">
      <c r="A130" s="1"/>
      <c r="B130" s="221"/>
      <c r="C130" s="221"/>
      <c r="D130" s="220"/>
      <c r="E130" s="220"/>
      <c r="F130" s="220"/>
      <c r="G130" s="220"/>
      <c r="H130" s="220"/>
      <c r="I130" s="1"/>
      <c r="J130" s="1"/>
      <c r="K130" s="1"/>
      <c r="L130" s="1"/>
      <c r="M130" s="1"/>
      <c r="N130" s="1"/>
      <c r="O130" s="1"/>
      <c r="P130" s="1"/>
      <c r="Q130" s="1"/>
      <c r="R130" s="1"/>
      <c r="S130" s="1"/>
      <c r="T130" s="1"/>
      <c r="U130" s="1"/>
      <c r="V130" s="1"/>
      <c r="W130" s="1"/>
      <c r="X130" s="1"/>
      <c r="Y130" s="1"/>
      <c r="Z130" s="1"/>
    </row>
    <row r="131" ht="10.5" customHeight="1">
      <c r="A131" s="1"/>
      <c r="B131" s="221"/>
      <c r="C131" s="221"/>
      <c r="D131" s="220"/>
      <c r="E131" s="220"/>
      <c r="F131" s="220"/>
      <c r="G131" s="220"/>
      <c r="H131" s="220"/>
      <c r="I131" s="1"/>
      <c r="J131" s="1"/>
      <c r="K131" s="1"/>
      <c r="L131" s="1"/>
      <c r="M131" s="1"/>
      <c r="N131" s="1"/>
      <c r="O131" s="1"/>
      <c r="P131" s="1"/>
      <c r="Q131" s="1"/>
      <c r="R131" s="1"/>
      <c r="S131" s="1"/>
      <c r="T131" s="1"/>
      <c r="U131" s="1"/>
      <c r="V131" s="1"/>
      <c r="W131" s="1"/>
      <c r="X131" s="1"/>
      <c r="Y131" s="1"/>
      <c r="Z131" s="1"/>
    </row>
    <row r="132" ht="10.5" customHeight="1">
      <c r="A132" s="1"/>
      <c r="B132" s="221"/>
      <c r="C132" s="221"/>
      <c r="D132" s="220"/>
      <c r="E132" s="220"/>
      <c r="F132" s="220"/>
      <c r="G132" s="220"/>
      <c r="H132" s="220"/>
      <c r="I132" s="1"/>
      <c r="J132" s="1"/>
      <c r="K132" s="1"/>
      <c r="L132" s="1"/>
      <c r="M132" s="1"/>
      <c r="N132" s="1"/>
      <c r="O132" s="1"/>
      <c r="P132" s="1"/>
      <c r="Q132" s="1"/>
      <c r="R132" s="1"/>
      <c r="S132" s="1"/>
      <c r="T132" s="1"/>
      <c r="U132" s="1"/>
      <c r="V132" s="1"/>
      <c r="W132" s="1"/>
      <c r="X132" s="1"/>
      <c r="Y132" s="1"/>
      <c r="Z132" s="1"/>
    </row>
    <row r="133" ht="10.5" customHeight="1">
      <c r="A133" s="1"/>
      <c r="B133" s="221"/>
      <c r="C133" s="221"/>
      <c r="D133" s="220"/>
      <c r="E133" s="220"/>
      <c r="F133" s="220"/>
      <c r="G133" s="220"/>
      <c r="H133" s="220"/>
      <c r="I133" s="1"/>
      <c r="J133" s="1"/>
      <c r="K133" s="1"/>
      <c r="L133" s="1"/>
      <c r="M133" s="1"/>
      <c r="N133" s="1"/>
      <c r="O133" s="1"/>
      <c r="P133" s="1"/>
      <c r="Q133" s="1"/>
      <c r="R133" s="1"/>
      <c r="S133" s="1"/>
      <c r="T133" s="1"/>
      <c r="U133" s="1"/>
      <c r="V133" s="1"/>
      <c r="W133" s="1"/>
      <c r="X133" s="1"/>
      <c r="Y133" s="1"/>
      <c r="Z133" s="1"/>
    </row>
    <row r="134" ht="10.5" customHeight="1">
      <c r="A134" s="1"/>
      <c r="B134" s="221"/>
      <c r="C134" s="221"/>
      <c r="D134" s="220"/>
      <c r="E134" s="220"/>
      <c r="F134" s="220"/>
      <c r="G134" s="220"/>
      <c r="H134" s="220"/>
      <c r="I134" s="1"/>
      <c r="J134" s="1"/>
      <c r="K134" s="1"/>
      <c r="L134" s="1"/>
      <c r="M134" s="1"/>
      <c r="N134" s="1"/>
      <c r="O134" s="1"/>
      <c r="P134" s="1"/>
      <c r="Q134" s="1"/>
      <c r="R134" s="1"/>
      <c r="S134" s="1"/>
      <c r="T134" s="1"/>
      <c r="U134" s="1"/>
      <c r="V134" s="1"/>
      <c r="W134" s="1"/>
      <c r="X134" s="1"/>
      <c r="Y134" s="1"/>
      <c r="Z134" s="1"/>
    </row>
    <row r="135" ht="10.5" customHeight="1">
      <c r="A135" s="1"/>
      <c r="B135" s="221"/>
      <c r="C135" s="221"/>
      <c r="D135" s="220"/>
      <c r="E135" s="220"/>
      <c r="F135" s="220"/>
      <c r="G135" s="220"/>
      <c r="H135" s="220"/>
      <c r="I135" s="1"/>
      <c r="J135" s="1"/>
      <c r="K135" s="1"/>
      <c r="L135" s="1"/>
      <c r="M135" s="1"/>
      <c r="N135" s="1"/>
      <c r="O135" s="1"/>
      <c r="P135" s="1"/>
      <c r="Q135" s="1"/>
      <c r="R135" s="1"/>
      <c r="S135" s="1"/>
      <c r="T135" s="1"/>
      <c r="U135" s="1"/>
      <c r="V135" s="1"/>
      <c r="W135" s="1"/>
      <c r="X135" s="1"/>
      <c r="Y135" s="1"/>
      <c r="Z135" s="1"/>
    </row>
    <row r="136" ht="10.5" customHeight="1">
      <c r="A136" s="1"/>
      <c r="B136" s="221"/>
      <c r="C136" s="221"/>
      <c r="D136" s="220"/>
      <c r="E136" s="220"/>
      <c r="F136" s="220"/>
      <c r="G136" s="220"/>
      <c r="H136" s="220"/>
      <c r="I136" s="1"/>
      <c r="J136" s="1"/>
      <c r="K136" s="1"/>
      <c r="L136" s="1"/>
      <c r="M136" s="1"/>
      <c r="N136" s="1"/>
      <c r="O136" s="1"/>
      <c r="P136" s="1"/>
      <c r="Q136" s="1"/>
      <c r="R136" s="1"/>
      <c r="S136" s="1"/>
      <c r="T136" s="1"/>
      <c r="U136" s="1"/>
      <c r="V136" s="1"/>
      <c r="W136" s="1"/>
      <c r="X136" s="1"/>
      <c r="Y136" s="1"/>
      <c r="Z136" s="1"/>
    </row>
    <row r="137" ht="10.5" customHeight="1">
      <c r="A137" s="1"/>
      <c r="B137" s="221"/>
      <c r="C137" s="221"/>
      <c r="D137" s="220"/>
      <c r="E137" s="220"/>
      <c r="F137" s="220"/>
      <c r="G137" s="220"/>
      <c r="H137" s="220"/>
      <c r="I137" s="1"/>
      <c r="J137" s="1"/>
      <c r="K137" s="1"/>
      <c r="L137" s="1"/>
      <c r="M137" s="1"/>
      <c r="N137" s="1"/>
      <c r="O137" s="1"/>
      <c r="P137" s="1"/>
      <c r="Q137" s="1"/>
      <c r="R137" s="1"/>
      <c r="S137" s="1"/>
      <c r="T137" s="1"/>
      <c r="U137" s="1"/>
      <c r="V137" s="1"/>
      <c r="W137" s="1"/>
      <c r="X137" s="1"/>
      <c r="Y137" s="1"/>
      <c r="Z137" s="1"/>
    </row>
    <row r="138" ht="10.5" customHeight="1">
      <c r="A138" s="1"/>
      <c r="B138" s="221"/>
      <c r="C138" s="221"/>
      <c r="D138" s="220"/>
      <c r="E138" s="220"/>
      <c r="F138" s="220"/>
      <c r="G138" s="220"/>
      <c r="H138" s="220"/>
      <c r="I138" s="1"/>
      <c r="J138" s="1"/>
      <c r="K138" s="1"/>
      <c r="L138" s="1"/>
      <c r="M138" s="1"/>
      <c r="N138" s="1"/>
      <c r="O138" s="1"/>
      <c r="P138" s="1"/>
      <c r="Q138" s="1"/>
      <c r="R138" s="1"/>
      <c r="S138" s="1"/>
      <c r="T138" s="1"/>
      <c r="U138" s="1"/>
      <c r="V138" s="1"/>
      <c r="W138" s="1"/>
      <c r="X138" s="1"/>
      <c r="Y138" s="1"/>
      <c r="Z138" s="1"/>
    </row>
    <row r="139" ht="10.5" customHeight="1">
      <c r="A139" s="1"/>
      <c r="B139" s="221"/>
      <c r="C139" s="221"/>
      <c r="D139" s="220"/>
      <c r="E139" s="220"/>
      <c r="F139" s="220"/>
      <c r="G139" s="220"/>
      <c r="H139" s="220"/>
      <c r="I139" s="1"/>
      <c r="J139" s="1"/>
      <c r="K139" s="1"/>
      <c r="L139" s="1"/>
      <c r="M139" s="1"/>
      <c r="N139" s="1"/>
      <c r="O139" s="1"/>
      <c r="P139" s="1"/>
      <c r="Q139" s="1"/>
      <c r="R139" s="1"/>
      <c r="S139" s="1"/>
      <c r="T139" s="1"/>
      <c r="U139" s="1"/>
      <c r="V139" s="1"/>
      <c r="W139" s="1"/>
      <c r="X139" s="1"/>
      <c r="Y139" s="1"/>
      <c r="Z139" s="1"/>
    </row>
    <row r="140" ht="10.5" customHeight="1">
      <c r="A140" s="1"/>
      <c r="B140" s="221"/>
      <c r="C140" s="221"/>
      <c r="D140" s="220"/>
      <c r="E140" s="220"/>
      <c r="F140" s="220"/>
      <c r="G140" s="220"/>
      <c r="H140" s="220"/>
      <c r="I140" s="1"/>
      <c r="J140" s="1"/>
      <c r="K140" s="1"/>
      <c r="L140" s="1"/>
      <c r="M140" s="1"/>
      <c r="N140" s="1"/>
      <c r="O140" s="1"/>
      <c r="P140" s="1"/>
      <c r="Q140" s="1"/>
      <c r="R140" s="1"/>
      <c r="S140" s="1"/>
      <c r="T140" s="1"/>
      <c r="U140" s="1"/>
      <c r="V140" s="1"/>
      <c r="W140" s="1"/>
      <c r="X140" s="1"/>
      <c r="Y140" s="1"/>
      <c r="Z140" s="1"/>
    </row>
    <row r="141" ht="10.5" customHeight="1">
      <c r="A141" s="1"/>
      <c r="B141" s="221"/>
      <c r="C141" s="221"/>
      <c r="D141" s="220"/>
      <c r="E141" s="220"/>
      <c r="F141" s="220"/>
      <c r="G141" s="220"/>
      <c r="H141" s="220"/>
      <c r="I141" s="1"/>
      <c r="J141" s="1"/>
      <c r="K141" s="1"/>
      <c r="L141" s="1"/>
      <c r="M141" s="1"/>
      <c r="N141" s="1"/>
      <c r="O141" s="1"/>
      <c r="P141" s="1"/>
      <c r="Q141" s="1"/>
      <c r="R141" s="1"/>
      <c r="S141" s="1"/>
      <c r="T141" s="1"/>
      <c r="U141" s="1"/>
      <c r="V141" s="1"/>
      <c r="W141" s="1"/>
      <c r="X141" s="1"/>
      <c r="Y141" s="1"/>
      <c r="Z141" s="1"/>
    </row>
    <row r="142" ht="10.5" customHeight="1">
      <c r="A142" s="1"/>
      <c r="B142" s="221"/>
      <c r="C142" s="221"/>
      <c r="D142" s="220"/>
      <c r="E142" s="220"/>
      <c r="F142" s="220"/>
      <c r="G142" s="220"/>
      <c r="H142" s="220"/>
      <c r="I142" s="1"/>
      <c r="J142" s="1"/>
      <c r="K142" s="1"/>
      <c r="L142" s="1"/>
      <c r="M142" s="1"/>
      <c r="N142" s="1"/>
      <c r="O142" s="1"/>
      <c r="P142" s="1"/>
      <c r="Q142" s="1"/>
      <c r="R142" s="1"/>
      <c r="S142" s="1"/>
      <c r="T142" s="1"/>
      <c r="U142" s="1"/>
      <c r="V142" s="1"/>
      <c r="W142" s="1"/>
      <c r="X142" s="1"/>
      <c r="Y142" s="1"/>
      <c r="Z142" s="1"/>
    </row>
    <row r="143" ht="10.5" customHeight="1">
      <c r="A143" s="1"/>
      <c r="B143" s="221"/>
      <c r="C143" s="221"/>
      <c r="D143" s="220"/>
      <c r="E143" s="220"/>
      <c r="F143" s="220"/>
      <c r="G143" s="220"/>
      <c r="H143" s="220"/>
      <c r="I143" s="1"/>
      <c r="J143" s="1"/>
      <c r="K143" s="1"/>
      <c r="L143" s="1"/>
      <c r="M143" s="1"/>
      <c r="N143" s="1"/>
      <c r="O143" s="1"/>
      <c r="P143" s="1"/>
      <c r="Q143" s="1"/>
      <c r="R143" s="1"/>
      <c r="S143" s="1"/>
      <c r="T143" s="1"/>
      <c r="U143" s="1"/>
      <c r="V143" s="1"/>
      <c r="W143" s="1"/>
      <c r="X143" s="1"/>
      <c r="Y143" s="1"/>
      <c r="Z143" s="1"/>
    </row>
    <row r="144" ht="10.5" customHeight="1">
      <c r="A144" s="1"/>
      <c r="B144" s="221"/>
      <c r="C144" s="221"/>
      <c r="D144" s="220"/>
      <c r="E144" s="220"/>
      <c r="F144" s="220"/>
      <c r="G144" s="220"/>
      <c r="H144" s="220"/>
      <c r="I144" s="1"/>
      <c r="J144" s="1"/>
      <c r="K144" s="1"/>
      <c r="L144" s="1"/>
      <c r="M144" s="1"/>
      <c r="N144" s="1"/>
      <c r="O144" s="1"/>
      <c r="P144" s="1"/>
      <c r="Q144" s="1"/>
      <c r="R144" s="1"/>
      <c r="S144" s="1"/>
      <c r="T144" s="1"/>
      <c r="U144" s="1"/>
      <c r="V144" s="1"/>
      <c r="W144" s="1"/>
      <c r="X144" s="1"/>
      <c r="Y144" s="1"/>
      <c r="Z144" s="1"/>
    </row>
    <row r="145" ht="10.5" customHeight="1">
      <c r="A145" s="1"/>
      <c r="B145" s="221"/>
      <c r="C145" s="221"/>
      <c r="D145" s="220"/>
      <c r="E145" s="220"/>
      <c r="F145" s="220"/>
      <c r="G145" s="220"/>
      <c r="H145" s="220"/>
      <c r="I145" s="1"/>
      <c r="J145" s="1"/>
      <c r="K145" s="1"/>
      <c r="L145" s="1"/>
      <c r="M145" s="1"/>
      <c r="N145" s="1"/>
      <c r="O145" s="1"/>
      <c r="P145" s="1"/>
      <c r="Q145" s="1"/>
      <c r="R145" s="1"/>
      <c r="S145" s="1"/>
      <c r="T145" s="1"/>
      <c r="U145" s="1"/>
      <c r="V145" s="1"/>
      <c r="W145" s="1"/>
      <c r="X145" s="1"/>
      <c r="Y145" s="1"/>
      <c r="Z145" s="1"/>
    </row>
    <row r="146" ht="10.5" customHeight="1">
      <c r="A146" s="1"/>
      <c r="B146" s="221"/>
      <c r="C146" s="221"/>
      <c r="D146" s="220"/>
      <c r="E146" s="220"/>
      <c r="F146" s="220"/>
      <c r="G146" s="220"/>
      <c r="H146" s="220"/>
      <c r="I146" s="1"/>
      <c r="J146" s="1"/>
      <c r="K146" s="1"/>
      <c r="L146" s="1"/>
      <c r="M146" s="1"/>
      <c r="N146" s="1"/>
      <c r="O146" s="1"/>
      <c r="P146" s="1"/>
      <c r="Q146" s="1"/>
      <c r="R146" s="1"/>
      <c r="S146" s="1"/>
      <c r="T146" s="1"/>
      <c r="U146" s="1"/>
      <c r="V146" s="1"/>
      <c r="W146" s="1"/>
      <c r="X146" s="1"/>
      <c r="Y146" s="1"/>
      <c r="Z146" s="1"/>
    </row>
    <row r="147" ht="10.5" customHeight="1">
      <c r="A147" s="1"/>
      <c r="B147" s="221"/>
      <c r="C147" s="221"/>
      <c r="D147" s="220"/>
      <c r="E147" s="220"/>
      <c r="F147" s="220"/>
      <c r="G147" s="220"/>
      <c r="H147" s="220"/>
      <c r="I147" s="1"/>
      <c r="J147" s="1"/>
      <c r="K147" s="1"/>
      <c r="L147" s="1"/>
      <c r="M147" s="1"/>
      <c r="N147" s="1"/>
      <c r="O147" s="1"/>
      <c r="P147" s="1"/>
      <c r="Q147" s="1"/>
      <c r="R147" s="1"/>
      <c r="S147" s="1"/>
      <c r="T147" s="1"/>
      <c r="U147" s="1"/>
      <c r="V147" s="1"/>
      <c r="W147" s="1"/>
      <c r="X147" s="1"/>
      <c r="Y147" s="1"/>
      <c r="Z147" s="1"/>
    </row>
    <row r="148" ht="10.5" customHeight="1">
      <c r="A148" s="1"/>
      <c r="B148" s="221"/>
      <c r="C148" s="221"/>
      <c r="D148" s="220"/>
      <c r="E148" s="220"/>
      <c r="F148" s="220"/>
      <c r="G148" s="220"/>
      <c r="H148" s="220"/>
      <c r="I148" s="1"/>
      <c r="J148" s="1"/>
      <c r="K148" s="1"/>
      <c r="L148" s="1"/>
      <c r="M148" s="1"/>
      <c r="N148" s="1"/>
      <c r="O148" s="1"/>
      <c r="P148" s="1"/>
      <c r="Q148" s="1"/>
      <c r="R148" s="1"/>
      <c r="S148" s="1"/>
      <c r="T148" s="1"/>
      <c r="U148" s="1"/>
      <c r="V148" s="1"/>
      <c r="W148" s="1"/>
      <c r="X148" s="1"/>
      <c r="Y148" s="1"/>
      <c r="Z148" s="1"/>
    </row>
    <row r="149" ht="10.5" customHeight="1">
      <c r="A149" s="1"/>
      <c r="B149" s="1"/>
      <c r="C149" s="1"/>
      <c r="D149" s="1"/>
      <c r="E149" s="1"/>
      <c r="F149" s="108">
        <v>2.0</v>
      </c>
      <c r="G149" s="1"/>
      <c r="H149" s="1"/>
      <c r="I149" s="1"/>
      <c r="J149" s="1"/>
      <c r="K149" s="1"/>
      <c r="L149" s="1"/>
      <c r="M149" s="1"/>
      <c r="N149" s="1"/>
      <c r="O149" s="1"/>
      <c r="P149" s="1"/>
      <c r="Q149" s="1"/>
      <c r="R149" s="1"/>
      <c r="S149" s="1"/>
      <c r="T149" s="1"/>
      <c r="U149" s="1"/>
      <c r="V149" s="1"/>
      <c r="W149" s="1"/>
      <c r="X149" s="1"/>
      <c r="Y149" s="1"/>
      <c r="Z149" s="1"/>
    </row>
    <row r="150" ht="10.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t="s">
        <v>404</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3.25" customHeight="1">
      <c r="A152" s="1"/>
      <c r="B152" s="112" t="s">
        <v>405</v>
      </c>
      <c r="C152" s="70"/>
      <c r="D152" s="232" t="s">
        <v>406</v>
      </c>
      <c r="E152" s="233" t="s">
        <v>2</v>
      </c>
      <c r="F152" s="233" t="s">
        <v>3</v>
      </c>
      <c r="G152" s="233" t="s">
        <v>4</v>
      </c>
      <c r="H152" s="233" t="s">
        <v>229</v>
      </c>
      <c r="I152" s="233" t="s">
        <v>230</v>
      </c>
      <c r="J152" s="233" t="s">
        <v>224</v>
      </c>
      <c r="K152" s="1"/>
      <c r="L152" s="1"/>
      <c r="M152" s="1"/>
      <c r="N152" s="1"/>
      <c r="O152" s="1"/>
      <c r="P152" s="1"/>
      <c r="Q152" s="1"/>
      <c r="R152" s="1"/>
      <c r="S152" s="1"/>
      <c r="T152" s="1"/>
      <c r="U152" s="1"/>
      <c r="V152" s="1"/>
      <c r="W152" s="1"/>
      <c r="X152" s="1"/>
      <c r="Y152" s="1"/>
      <c r="Z152" s="1"/>
    </row>
    <row r="153" ht="11.25" customHeight="1">
      <c r="A153" s="1"/>
      <c r="B153" s="118"/>
      <c r="C153" s="94"/>
      <c r="D153" s="94"/>
      <c r="E153" s="114" t="s">
        <v>9</v>
      </c>
      <c r="F153" s="9"/>
      <c r="G153" s="9"/>
      <c r="H153" s="9"/>
      <c r="I153" s="9"/>
      <c r="J153" s="10"/>
      <c r="K153" s="235"/>
      <c r="L153" s="236"/>
      <c r="M153" s="1"/>
      <c r="N153" s="1"/>
      <c r="O153" s="1"/>
      <c r="P153" s="1"/>
      <c r="Q153" s="1"/>
      <c r="R153" s="1"/>
      <c r="S153" s="1"/>
      <c r="T153" s="1"/>
      <c r="U153" s="1"/>
      <c r="V153" s="1"/>
      <c r="W153" s="1"/>
      <c r="X153" s="1"/>
      <c r="Y153" s="1"/>
      <c r="Z153" s="1"/>
    </row>
    <row r="154" ht="9.75" customHeight="1">
      <c r="A154" s="1"/>
      <c r="B154" s="237" t="s">
        <v>411</v>
      </c>
      <c r="C154" s="87"/>
      <c r="D154" s="238">
        <v>2001.0</v>
      </c>
      <c r="E154" s="12">
        <f>SUM(F154:I154)</f>
        <v>960</v>
      </c>
      <c r="F154" s="12">
        <v>85.0</v>
      </c>
      <c r="G154" s="12">
        <v>195.0</v>
      </c>
      <c r="H154" s="12">
        <v>4.0</v>
      </c>
      <c r="I154" s="12">
        <v>676.0</v>
      </c>
      <c r="J154" s="12" t="s">
        <v>40</v>
      </c>
      <c r="K154" s="1"/>
      <c r="L154" s="1"/>
      <c r="M154" s="1"/>
      <c r="N154" s="1"/>
      <c r="O154" s="1"/>
      <c r="P154" s="1"/>
      <c r="Q154" s="1"/>
      <c r="R154" s="1"/>
      <c r="S154" s="1"/>
      <c r="T154" s="1"/>
      <c r="U154" s="1"/>
      <c r="V154" s="1"/>
      <c r="W154" s="1"/>
      <c r="X154" s="1"/>
      <c r="Y154" s="1"/>
      <c r="Z154" s="1"/>
    </row>
    <row r="155" ht="9.75" customHeight="1">
      <c r="A155" s="1"/>
      <c r="B155" s="129" t="s">
        <v>419</v>
      </c>
      <c r="C155" s="87"/>
      <c r="D155" s="238">
        <v>1996.0</v>
      </c>
      <c r="E155" s="12">
        <f>SUM(F155:J155)</f>
        <v>814</v>
      </c>
      <c r="F155" s="12">
        <v>73.0</v>
      </c>
      <c r="G155" s="12">
        <v>176.0</v>
      </c>
      <c r="H155" s="12">
        <v>3.0</v>
      </c>
      <c r="I155" s="12">
        <v>558.0</v>
      </c>
      <c r="J155" s="12">
        <v>4.0</v>
      </c>
      <c r="K155" s="1"/>
      <c r="L155" s="1"/>
      <c r="M155" s="1"/>
      <c r="N155" s="1"/>
      <c r="O155" s="1"/>
      <c r="P155" s="1"/>
      <c r="Q155" s="1"/>
      <c r="R155" s="1"/>
      <c r="S155" s="1"/>
      <c r="T155" s="1"/>
      <c r="U155" s="1"/>
      <c r="V155" s="1"/>
      <c r="W155" s="1"/>
      <c r="X155" s="1"/>
      <c r="Y155" s="1"/>
      <c r="Z155" s="1"/>
    </row>
    <row r="156" ht="9.75" customHeight="1">
      <c r="A156" s="1"/>
      <c r="B156" s="129"/>
      <c r="C156" s="87"/>
      <c r="D156" s="238">
        <v>1991.0</v>
      </c>
      <c r="E156" s="12">
        <f>SUM(F156:I156)</f>
        <v>1224</v>
      </c>
      <c r="F156" s="12">
        <v>107.0</v>
      </c>
      <c r="G156" s="12">
        <v>202.0</v>
      </c>
      <c r="H156" s="12">
        <v>5.0</v>
      </c>
      <c r="I156" s="12">
        <v>910.0</v>
      </c>
      <c r="J156" s="12" t="s">
        <v>10</v>
      </c>
      <c r="K156" s="1"/>
      <c r="L156" s="1"/>
      <c r="M156" s="1"/>
      <c r="N156" s="1"/>
      <c r="O156" s="1"/>
      <c r="P156" s="1"/>
      <c r="Q156" s="1"/>
      <c r="R156" s="1"/>
      <c r="S156" s="1"/>
      <c r="T156" s="1"/>
      <c r="U156" s="1"/>
      <c r="V156" s="1"/>
      <c r="W156" s="1"/>
      <c r="X156" s="1"/>
      <c r="Y156" s="1"/>
      <c r="Z156" s="1"/>
    </row>
    <row r="157" ht="9.75" customHeight="1">
      <c r="A157" s="1"/>
      <c r="B157" s="129"/>
      <c r="C157" s="90"/>
      <c r="D157" s="238">
        <v>1985.0</v>
      </c>
      <c r="E157" s="12">
        <f>SUM(F157:J157)</f>
        <v>1181</v>
      </c>
      <c r="F157" s="12">
        <v>89.0</v>
      </c>
      <c r="G157" s="12">
        <v>178.0</v>
      </c>
      <c r="H157" s="12">
        <v>6.0</v>
      </c>
      <c r="I157" s="12">
        <v>908.0</v>
      </c>
      <c r="J157" s="12" t="s">
        <v>10</v>
      </c>
      <c r="K157" s="1"/>
      <c r="L157" s="1"/>
      <c r="M157" s="1"/>
      <c r="N157" s="1"/>
      <c r="O157" s="1"/>
      <c r="P157" s="1"/>
      <c r="Q157" s="1"/>
      <c r="R157" s="1"/>
      <c r="S157" s="1"/>
      <c r="T157" s="1"/>
      <c r="U157" s="1"/>
      <c r="V157" s="1"/>
      <c r="W157" s="1"/>
      <c r="X157" s="1"/>
      <c r="Y157" s="1"/>
      <c r="Z157" s="1"/>
    </row>
    <row r="158" ht="9.75" customHeight="1">
      <c r="A158" s="1"/>
      <c r="B158" s="237"/>
      <c r="C158" s="87"/>
      <c r="D158" s="238"/>
      <c r="E158" s="12"/>
      <c r="F158" s="12"/>
      <c r="G158" s="12"/>
      <c r="H158" s="12"/>
      <c r="I158" s="12"/>
      <c r="J158" s="12"/>
      <c r="K158" s="1"/>
      <c r="L158" s="1"/>
      <c r="M158" s="1"/>
      <c r="N158" s="1"/>
      <c r="O158" s="1"/>
      <c r="P158" s="1"/>
      <c r="Q158" s="1"/>
      <c r="R158" s="1"/>
      <c r="S158" s="1"/>
      <c r="T158" s="1"/>
      <c r="U158" s="1"/>
      <c r="V158" s="1"/>
      <c r="W158" s="1"/>
      <c r="X158" s="1"/>
      <c r="Y158" s="1"/>
      <c r="Z158" s="1"/>
    </row>
    <row r="159" ht="9.75" customHeight="1">
      <c r="A159" s="1"/>
      <c r="B159" s="129" t="s">
        <v>428</v>
      </c>
      <c r="C159" s="87"/>
      <c r="D159" s="238">
        <v>2001.0</v>
      </c>
      <c r="E159" s="12">
        <f t="shared" ref="E159:E162" si="12">SUM(F159:J159)</f>
        <v>384</v>
      </c>
      <c r="F159" s="12">
        <v>57.0</v>
      </c>
      <c r="G159" s="12">
        <v>10.0</v>
      </c>
      <c r="H159" s="12">
        <v>2.0</v>
      </c>
      <c r="I159" s="12">
        <v>315.0</v>
      </c>
      <c r="J159" s="12" t="s">
        <v>10</v>
      </c>
      <c r="K159" s="1"/>
      <c r="L159" s="1"/>
      <c r="M159" s="1"/>
      <c r="N159" s="1"/>
      <c r="O159" s="1"/>
      <c r="P159" s="1"/>
      <c r="Q159" s="1"/>
      <c r="R159" s="1"/>
      <c r="S159" s="1"/>
      <c r="T159" s="1"/>
      <c r="U159" s="1"/>
      <c r="V159" s="1"/>
      <c r="W159" s="1"/>
      <c r="X159" s="1"/>
      <c r="Y159" s="1"/>
      <c r="Z159" s="1"/>
    </row>
    <row r="160" ht="9.75" customHeight="1">
      <c r="A160" s="1"/>
      <c r="B160" s="129"/>
      <c r="C160" s="87"/>
      <c r="D160" s="238">
        <v>1996.0</v>
      </c>
      <c r="E160" s="12">
        <f t="shared" si="12"/>
        <v>542</v>
      </c>
      <c r="F160" s="12">
        <v>66.0</v>
      </c>
      <c r="G160" s="12">
        <v>12.0</v>
      </c>
      <c r="H160" s="12">
        <v>2.0</v>
      </c>
      <c r="I160" s="12">
        <v>459.0</v>
      </c>
      <c r="J160" s="12">
        <v>3.0</v>
      </c>
      <c r="K160" s="1"/>
      <c r="L160" s="1"/>
      <c r="M160" s="1"/>
      <c r="N160" s="1"/>
      <c r="O160" s="1"/>
      <c r="P160" s="1"/>
      <c r="Q160" s="1"/>
      <c r="R160" s="1"/>
      <c r="S160" s="1"/>
      <c r="T160" s="1"/>
      <c r="U160" s="1"/>
      <c r="V160" s="1"/>
      <c r="W160" s="1"/>
      <c r="X160" s="1"/>
      <c r="Y160" s="1"/>
      <c r="Z160" s="1"/>
    </row>
    <row r="161" ht="9.75" customHeight="1">
      <c r="A161" s="1"/>
      <c r="B161" s="129"/>
      <c r="C161" s="87"/>
      <c r="D161" s="238">
        <v>1991.0</v>
      </c>
      <c r="E161" s="12">
        <f t="shared" si="12"/>
        <v>841</v>
      </c>
      <c r="F161" s="12">
        <v>105.0</v>
      </c>
      <c r="G161" s="12">
        <v>14.0</v>
      </c>
      <c r="H161" s="12">
        <v>2.0</v>
      </c>
      <c r="I161" s="12">
        <v>720.0</v>
      </c>
      <c r="J161" s="12" t="s">
        <v>10</v>
      </c>
      <c r="K161" s="1"/>
      <c r="L161" s="1"/>
      <c r="M161" s="1"/>
      <c r="N161" s="1"/>
      <c r="O161" s="1"/>
      <c r="P161" s="1"/>
      <c r="Q161" s="1"/>
      <c r="R161" s="1"/>
      <c r="S161" s="1"/>
      <c r="T161" s="1"/>
      <c r="U161" s="1"/>
      <c r="V161" s="1"/>
      <c r="W161" s="1"/>
      <c r="X161" s="1"/>
      <c r="Y161" s="1"/>
      <c r="Z161" s="1"/>
    </row>
    <row r="162" ht="9.75" customHeight="1">
      <c r="A162" s="1"/>
      <c r="B162" s="129"/>
      <c r="C162" s="90"/>
      <c r="D162" s="238">
        <v>1985.0</v>
      </c>
      <c r="E162" s="12">
        <f t="shared" si="12"/>
        <v>744</v>
      </c>
      <c r="F162" s="12">
        <v>88.0</v>
      </c>
      <c r="G162" s="12">
        <v>12.0</v>
      </c>
      <c r="H162" s="12">
        <v>2.0</v>
      </c>
      <c r="I162" s="12">
        <v>642.0</v>
      </c>
      <c r="J162" s="12" t="s">
        <v>10</v>
      </c>
      <c r="K162" s="1"/>
      <c r="L162" s="1"/>
      <c r="M162" s="1"/>
      <c r="N162" s="1"/>
      <c r="O162" s="1"/>
      <c r="P162" s="1"/>
      <c r="Q162" s="1"/>
      <c r="R162" s="1"/>
      <c r="S162" s="1"/>
      <c r="T162" s="1"/>
      <c r="U162" s="1"/>
      <c r="V162" s="1"/>
      <c r="W162" s="1"/>
      <c r="X162" s="1"/>
      <c r="Y162" s="1"/>
      <c r="Z162" s="1"/>
    </row>
    <row r="163" ht="9.75" customHeight="1">
      <c r="A163" s="1"/>
      <c r="B163" s="129"/>
      <c r="C163" s="87"/>
      <c r="D163" s="238"/>
      <c r="E163" s="12"/>
      <c r="F163" s="12"/>
      <c r="G163" s="12"/>
      <c r="H163" s="12"/>
      <c r="I163" s="12"/>
      <c r="J163" s="12"/>
      <c r="K163" s="1"/>
      <c r="L163" s="1"/>
      <c r="M163" s="1"/>
      <c r="N163" s="1"/>
      <c r="O163" s="1"/>
      <c r="P163" s="1"/>
      <c r="Q163" s="1"/>
      <c r="R163" s="1"/>
      <c r="S163" s="1"/>
      <c r="T163" s="1"/>
      <c r="U163" s="1"/>
      <c r="V163" s="1"/>
      <c r="W163" s="1"/>
      <c r="X163" s="1"/>
      <c r="Y163" s="1"/>
      <c r="Z163" s="1"/>
    </row>
    <row r="164" ht="9.75" customHeight="1">
      <c r="A164" s="1"/>
      <c r="B164" s="129" t="s">
        <v>438</v>
      </c>
      <c r="C164" s="87"/>
      <c r="D164" s="238">
        <v>2001.0</v>
      </c>
      <c r="E164" s="12">
        <f t="shared" ref="E164:E167" si="13">SUM(F164:J164)</f>
        <v>1207</v>
      </c>
      <c r="F164" s="12">
        <v>235.0</v>
      </c>
      <c r="G164" s="12">
        <v>190.0</v>
      </c>
      <c r="H164" s="12">
        <v>90.0</v>
      </c>
      <c r="I164" s="12">
        <v>692.0</v>
      </c>
      <c r="J164" s="12" t="s">
        <v>10</v>
      </c>
      <c r="K164" s="1"/>
      <c r="L164" s="1"/>
      <c r="M164" s="1"/>
      <c r="N164" s="1"/>
      <c r="O164" s="1"/>
      <c r="P164" s="1"/>
      <c r="Q164" s="1"/>
      <c r="R164" s="1"/>
      <c r="S164" s="1"/>
      <c r="T164" s="1"/>
      <c r="U164" s="1"/>
      <c r="V164" s="1"/>
      <c r="W164" s="1"/>
      <c r="X164" s="1"/>
      <c r="Y164" s="1"/>
      <c r="Z164" s="1"/>
    </row>
    <row r="165" ht="9.75" customHeight="1">
      <c r="A165" s="1"/>
      <c r="B165" s="129"/>
      <c r="C165" s="87"/>
      <c r="D165" s="238">
        <v>1996.0</v>
      </c>
      <c r="E165" s="12">
        <f t="shared" si="13"/>
        <v>1120</v>
      </c>
      <c r="F165" s="12">
        <v>215.0</v>
      </c>
      <c r="G165" s="12">
        <v>208.0</v>
      </c>
      <c r="H165" s="12">
        <v>97.0</v>
      </c>
      <c r="I165" s="12">
        <v>588.0</v>
      </c>
      <c r="J165" s="12">
        <v>12.0</v>
      </c>
      <c r="K165" s="1"/>
      <c r="L165" s="1"/>
      <c r="M165" s="1"/>
      <c r="N165" s="1"/>
      <c r="O165" s="1"/>
      <c r="P165" s="1"/>
      <c r="Q165" s="1"/>
      <c r="R165" s="1"/>
      <c r="S165" s="1"/>
      <c r="T165" s="1"/>
      <c r="U165" s="1"/>
      <c r="V165" s="1"/>
      <c r="W165" s="1"/>
      <c r="X165" s="1"/>
      <c r="Y165" s="1"/>
      <c r="Z165" s="1"/>
    </row>
    <row r="166" ht="9.75" customHeight="1">
      <c r="A166" s="1"/>
      <c r="B166" s="129"/>
      <c r="C166" s="87"/>
      <c r="D166" s="238">
        <v>1991.0</v>
      </c>
      <c r="E166" s="12">
        <f t="shared" si="13"/>
        <v>1417</v>
      </c>
      <c r="F166" s="12">
        <v>349.0</v>
      </c>
      <c r="G166" s="12">
        <v>236.0</v>
      </c>
      <c r="H166" s="12">
        <v>102.0</v>
      </c>
      <c r="I166" s="12">
        <v>730.0</v>
      </c>
      <c r="J166" s="12" t="s">
        <v>10</v>
      </c>
      <c r="K166" s="1"/>
      <c r="L166" s="1"/>
      <c r="M166" s="1"/>
      <c r="N166" s="1"/>
      <c r="O166" s="1"/>
      <c r="P166" s="1"/>
      <c r="Q166" s="1"/>
      <c r="R166" s="1"/>
      <c r="S166" s="1"/>
      <c r="T166" s="1"/>
      <c r="U166" s="1"/>
      <c r="V166" s="1"/>
      <c r="W166" s="1"/>
      <c r="X166" s="1"/>
      <c r="Y166" s="1"/>
      <c r="Z166" s="1"/>
    </row>
    <row r="167" ht="9.75" customHeight="1">
      <c r="A167" s="1"/>
      <c r="B167" s="129"/>
      <c r="C167" s="90"/>
      <c r="D167" s="238">
        <v>1985.0</v>
      </c>
      <c r="E167" s="12">
        <f t="shared" si="13"/>
        <v>1380</v>
      </c>
      <c r="F167" s="12">
        <v>362.0</v>
      </c>
      <c r="G167" s="12">
        <v>250.0</v>
      </c>
      <c r="H167" s="12">
        <v>97.0</v>
      </c>
      <c r="I167" s="12">
        <v>671.0</v>
      </c>
      <c r="J167" s="12" t="s">
        <v>10</v>
      </c>
      <c r="K167" s="1"/>
      <c r="L167" s="1"/>
      <c r="M167" s="1"/>
      <c r="N167" s="1"/>
      <c r="O167" s="1"/>
      <c r="P167" s="1"/>
      <c r="Q167" s="1"/>
      <c r="R167" s="1"/>
      <c r="S167" s="1"/>
      <c r="T167" s="1"/>
      <c r="U167" s="1"/>
      <c r="V167" s="1"/>
      <c r="W167" s="1"/>
      <c r="X167" s="1"/>
      <c r="Y167" s="1"/>
      <c r="Z167" s="1"/>
    </row>
    <row r="168" ht="9.75" customHeight="1">
      <c r="A168" s="1"/>
      <c r="B168" s="129"/>
      <c r="C168" s="87"/>
      <c r="D168" s="238"/>
      <c r="E168" s="12"/>
      <c r="F168" s="12"/>
      <c r="G168" s="12"/>
      <c r="H168" s="12"/>
      <c r="I168" s="12"/>
      <c r="J168" s="12"/>
      <c r="K168" s="1"/>
      <c r="L168" s="1"/>
      <c r="M168" s="1"/>
      <c r="N168" s="1"/>
      <c r="O168" s="1"/>
      <c r="P168" s="1"/>
      <c r="Q168" s="1"/>
      <c r="R168" s="1"/>
      <c r="S168" s="1"/>
      <c r="T168" s="1"/>
      <c r="U168" s="1"/>
      <c r="V168" s="1"/>
      <c r="W168" s="1"/>
      <c r="X168" s="1"/>
      <c r="Y168" s="1"/>
      <c r="Z168" s="1"/>
    </row>
    <row r="169" ht="9.75" customHeight="1">
      <c r="A169" s="1"/>
      <c r="B169" s="129" t="s">
        <v>445</v>
      </c>
      <c r="C169" s="87"/>
      <c r="D169" s="238">
        <v>2001.0</v>
      </c>
      <c r="E169" s="12">
        <f t="shared" ref="E169:E172" si="14">SUM(F169:J169)</f>
        <v>72</v>
      </c>
      <c r="F169" s="12">
        <v>16.0</v>
      </c>
      <c r="G169" s="12">
        <v>6.0</v>
      </c>
      <c r="H169" s="12">
        <v>3.0</v>
      </c>
      <c r="I169" s="12">
        <v>47.0</v>
      </c>
      <c r="J169" s="12" t="s">
        <v>10</v>
      </c>
      <c r="K169" s="1"/>
      <c r="L169" s="1"/>
      <c r="M169" s="1"/>
      <c r="N169" s="1"/>
      <c r="O169" s="1"/>
      <c r="P169" s="1"/>
      <c r="Q169" s="1"/>
      <c r="R169" s="1"/>
      <c r="S169" s="1"/>
      <c r="T169" s="1"/>
      <c r="U169" s="1"/>
      <c r="V169" s="1"/>
      <c r="W169" s="1"/>
      <c r="X169" s="1"/>
      <c r="Y169" s="1"/>
      <c r="Z169" s="1"/>
    </row>
    <row r="170" ht="9.75" customHeight="1">
      <c r="A170" s="1"/>
      <c r="B170" s="129" t="s">
        <v>449</v>
      </c>
      <c r="C170" s="87"/>
      <c r="D170" s="238">
        <v>1996.0</v>
      </c>
      <c r="E170" s="12">
        <f t="shared" si="14"/>
        <v>109</v>
      </c>
      <c r="F170" s="12">
        <v>36.0</v>
      </c>
      <c r="G170" s="12">
        <v>9.0</v>
      </c>
      <c r="H170" s="12">
        <v>3.0</v>
      </c>
      <c r="I170" s="12">
        <v>60.0</v>
      </c>
      <c r="J170" s="12">
        <v>1.0</v>
      </c>
      <c r="K170" s="1"/>
      <c r="L170" s="1"/>
      <c r="M170" s="1"/>
      <c r="N170" s="1"/>
      <c r="O170" s="1"/>
      <c r="P170" s="1"/>
      <c r="Q170" s="1"/>
      <c r="R170" s="1"/>
      <c r="S170" s="1"/>
      <c r="T170" s="1"/>
      <c r="U170" s="1"/>
      <c r="V170" s="1"/>
      <c r="W170" s="1"/>
      <c r="X170" s="1"/>
      <c r="Y170" s="1"/>
      <c r="Z170" s="1"/>
    </row>
    <row r="171" ht="9.75" customHeight="1">
      <c r="A171" s="1"/>
      <c r="B171" s="129"/>
      <c r="C171" s="87"/>
      <c r="D171" s="238">
        <v>1991.0</v>
      </c>
      <c r="E171" s="12">
        <f t="shared" si="14"/>
        <v>103</v>
      </c>
      <c r="F171" s="12">
        <v>35.0</v>
      </c>
      <c r="G171" s="12">
        <v>7.0</v>
      </c>
      <c r="H171" s="12">
        <v>1.0</v>
      </c>
      <c r="I171" s="12">
        <v>60.0</v>
      </c>
      <c r="J171" s="12" t="s">
        <v>10</v>
      </c>
      <c r="K171" s="1"/>
      <c r="L171" s="1"/>
      <c r="M171" s="1"/>
      <c r="N171" s="1"/>
      <c r="O171" s="1"/>
      <c r="P171" s="1"/>
      <c r="Q171" s="1"/>
      <c r="R171" s="1"/>
      <c r="S171" s="1"/>
      <c r="T171" s="1"/>
      <c r="U171" s="1"/>
      <c r="V171" s="1"/>
      <c r="W171" s="1"/>
      <c r="X171" s="1"/>
      <c r="Y171" s="1"/>
      <c r="Z171" s="1"/>
    </row>
    <row r="172" ht="9.75" customHeight="1">
      <c r="A172" s="1"/>
      <c r="B172" s="129"/>
      <c r="C172" s="90"/>
      <c r="D172" s="238">
        <v>1985.0</v>
      </c>
      <c r="E172" s="12">
        <f t="shared" si="14"/>
        <v>94</v>
      </c>
      <c r="F172" s="12">
        <v>33.0</v>
      </c>
      <c r="G172" s="12">
        <v>8.0</v>
      </c>
      <c r="H172" s="12">
        <v>1.0</v>
      </c>
      <c r="I172" s="12">
        <v>52.0</v>
      </c>
      <c r="J172" s="12" t="s">
        <v>10</v>
      </c>
      <c r="K172" s="1"/>
      <c r="L172" s="1"/>
      <c r="M172" s="1"/>
      <c r="N172" s="1"/>
      <c r="O172" s="1"/>
      <c r="P172" s="1"/>
      <c r="Q172" s="1"/>
      <c r="R172" s="1"/>
      <c r="S172" s="1"/>
      <c r="T172" s="1"/>
      <c r="U172" s="1"/>
      <c r="V172" s="1"/>
      <c r="W172" s="1"/>
      <c r="X172" s="1"/>
      <c r="Y172" s="1"/>
      <c r="Z172" s="1"/>
    </row>
    <row r="173" ht="9.75" customHeight="1">
      <c r="A173" s="1"/>
      <c r="B173" s="129"/>
      <c r="C173" s="87"/>
      <c r="D173" s="238"/>
      <c r="E173" s="12"/>
      <c r="F173" s="12"/>
      <c r="G173" s="12"/>
      <c r="H173" s="12"/>
      <c r="I173" s="12"/>
      <c r="J173" s="12"/>
      <c r="K173" s="1"/>
      <c r="L173" s="1"/>
      <c r="M173" s="1"/>
      <c r="N173" s="1"/>
      <c r="O173" s="1"/>
      <c r="P173" s="1"/>
      <c r="Q173" s="1"/>
      <c r="R173" s="1"/>
      <c r="S173" s="1"/>
      <c r="T173" s="1"/>
      <c r="U173" s="1"/>
      <c r="V173" s="1"/>
      <c r="W173" s="1"/>
      <c r="X173" s="1"/>
      <c r="Y173" s="1"/>
      <c r="Z173" s="1"/>
    </row>
    <row r="174" ht="9.75" customHeight="1">
      <c r="A174" s="1"/>
      <c r="B174" s="129" t="s">
        <v>462</v>
      </c>
      <c r="C174" s="87"/>
      <c r="D174" s="238">
        <v>2001.0</v>
      </c>
      <c r="E174" s="12">
        <f t="shared" ref="E174:E177" si="15">SUM(F174:J174)</f>
        <v>520</v>
      </c>
      <c r="F174" s="12">
        <v>79.0</v>
      </c>
      <c r="G174" s="12">
        <v>76.0</v>
      </c>
      <c r="H174" s="12">
        <v>13.0</v>
      </c>
      <c r="I174" s="12">
        <v>352.0</v>
      </c>
      <c r="J174" s="12" t="s">
        <v>10</v>
      </c>
      <c r="K174" s="1"/>
      <c r="L174" s="1"/>
      <c r="M174" s="1"/>
      <c r="N174" s="1"/>
      <c r="O174" s="1"/>
      <c r="P174" s="1"/>
      <c r="Q174" s="1"/>
      <c r="R174" s="1"/>
      <c r="S174" s="1"/>
      <c r="T174" s="1"/>
      <c r="U174" s="1"/>
      <c r="V174" s="1"/>
      <c r="W174" s="1"/>
      <c r="X174" s="1"/>
      <c r="Y174" s="1"/>
      <c r="Z174" s="1"/>
    </row>
    <row r="175" ht="9.75" customHeight="1">
      <c r="A175" s="1"/>
      <c r="B175" s="129"/>
      <c r="C175" s="87"/>
      <c r="D175" s="238">
        <v>1996.0</v>
      </c>
      <c r="E175" s="12">
        <f t="shared" si="15"/>
        <v>555</v>
      </c>
      <c r="F175" s="12">
        <v>71.0</v>
      </c>
      <c r="G175" s="12">
        <v>79.0</v>
      </c>
      <c r="H175" s="12">
        <v>12.0</v>
      </c>
      <c r="I175" s="12">
        <v>388.0</v>
      </c>
      <c r="J175" s="12">
        <v>5.0</v>
      </c>
      <c r="K175" s="1"/>
      <c r="L175" s="1"/>
      <c r="M175" s="1"/>
      <c r="N175" s="1"/>
      <c r="O175" s="1"/>
      <c r="P175" s="1"/>
      <c r="Q175" s="1"/>
      <c r="R175" s="1"/>
      <c r="S175" s="1"/>
      <c r="T175" s="1"/>
      <c r="U175" s="1"/>
      <c r="V175" s="1"/>
      <c r="W175" s="1"/>
      <c r="X175" s="1"/>
      <c r="Y175" s="1"/>
      <c r="Z175" s="1"/>
    </row>
    <row r="176" ht="9.75" customHeight="1">
      <c r="A176" s="1"/>
      <c r="B176" s="129"/>
      <c r="C176" s="87"/>
      <c r="D176" s="238">
        <v>1991.0</v>
      </c>
      <c r="E176" s="12">
        <f t="shared" si="15"/>
        <v>527</v>
      </c>
      <c r="F176" s="12">
        <v>103.0</v>
      </c>
      <c r="G176" s="12">
        <v>85.0</v>
      </c>
      <c r="H176" s="12">
        <v>13.0</v>
      </c>
      <c r="I176" s="12">
        <v>326.0</v>
      </c>
      <c r="J176" s="12" t="s">
        <v>10</v>
      </c>
      <c r="K176" s="1"/>
      <c r="L176" s="1"/>
      <c r="M176" s="1"/>
      <c r="N176" s="1"/>
      <c r="O176" s="1"/>
      <c r="P176" s="1"/>
      <c r="Q176" s="1"/>
      <c r="R176" s="1"/>
      <c r="S176" s="1"/>
      <c r="T176" s="1"/>
      <c r="U176" s="1"/>
      <c r="V176" s="1"/>
      <c r="W176" s="1"/>
      <c r="X176" s="1"/>
      <c r="Y176" s="1"/>
      <c r="Z176" s="1"/>
    </row>
    <row r="177" ht="9.75" customHeight="1">
      <c r="A177" s="1"/>
      <c r="B177" s="129"/>
      <c r="C177" s="55"/>
      <c r="D177" s="238">
        <v>1985.0</v>
      </c>
      <c r="E177" s="12">
        <f t="shared" si="15"/>
        <v>557</v>
      </c>
      <c r="F177" s="12">
        <v>105.0</v>
      </c>
      <c r="G177" s="12">
        <v>107.0</v>
      </c>
      <c r="H177" s="12">
        <v>14.0</v>
      </c>
      <c r="I177" s="12">
        <v>331.0</v>
      </c>
      <c r="J177" s="12" t="s">
        <v>10</v>
      </c>
      <c r="K177" s="1"/>
      <c r="L177" s="1"/>
      <c r="M177" s="1"/>
      <c r="N177" s="1"/>
      <c r="O177" s="1"/>
      <c r="P177" s="1"/>
      <c r="Q177" s="1"/>
      <c r="R177" s="1"/>
      <c r="S177" s="1"/>
      <c r="T177" s="1"/>
      <c r="U177" s="1"/>
      <c r="V177" s="1"/>
      <c r="W177" s="1"/>
      <c r="X177" s="1"/>
      <c r="Y177" s="1"/>
      <c r="Z177" s="1"/>
    </row>
    <row r="178" ht="9.75" customHeight="1">
      <c r="A178" s="1"/>
      <c r="B178" s="129"/>
      <c r="C178" s="87"/>
      <c r="D178" s="238"/>
      <c r="E178" s="12"/>
      <c r="F178" s="12"/>
      <c r="G178" s="12"/>
      <c r="H178" s="12"/>
      <c r="I178" s="12"/>
      <c r="J178" s="12"/>
      <c r="K178" s="1"/>
      <c r="L178" s="1"/>
      <c r="M178" s="1"/>
      <c r="N178" s="1"/>
      <c r="O178" s="1"/>
      <c r="P178" s="1"/>
      <c r="Q178" s="1"/>
      <c r="R178" s="1"/>
      <c r="S178" s="1"/>
      <c r="T178" s="1"/>
      <c r="U178" s="1"/>
      <c r="V178" s="1"/>
      <c r="W178" s="1"/>
      <c r="X178" s="1"/>
      <c r="Y178" s="1"/>
      <c r="Z178" s="1"/>
    </row>
    <row r="179" ht="9.75" customHeight="1">
      <c r="A179" s="1"/>
      <c r="B179" s="129" t="s">
        <v>473</v>
      </c>
      <c r="C179" s="87"/>
      <c r="D179" s="238">
        <v>2001.0</v>
      </c>
      <c r="E179" s="12">
        <f t="shared" ref="E179:E182" si="16">SUM(F179:J179)</f>
        <v>1454</v>
      </c>
      <c r="F179" s="12">
        <v>302.0</v>
      </c>
      <c r="G179" s="12">
        <v>190.0</v>
      </c>
      <c r="H179" s="12">
        <v>100.0</v>
      </c>
      <c r="I179" s="12">
        <v>862.0</v>
      </c>
      <c r="J179" s="12" t="s">
        <v>10</v>
      </c>
      <c r="K179" s="1"/>
      <c r="L179" s="1"/>
      <c r="M179" s="1"/>
      <c r="N179" s="1"/>
      <c r="O179" s="1"/>
      <c r="P179" s="1"/>
      <c r="Q179" s="1"/>
      <c r="R179" s="1"/>
      <c r="S179" s="1"/>
      <c r="T179" s="1"/>
      <c r="U179" s="1"/>
      <c r="V179" s="1"/>
      <c r="W179" s="1"/>
      <c r="X179" s="1"/>
      <c r="Y179" s="1"/>
      <c r="Z179" s="1"/>
    </row>
    <row r="180" ht="9.75" customHeight="1">
      <c r="A180" s="1"/>
      <c r="B180" s="129" t="s">
        <v>475</v>
      </c>
      <c r="C180" s="87"/>
      <c r="D180" s="238">
        <v>1996.0</v>
      </c>
      <c r="E180" s="12">
        <f t="shared" si="16"/>
        <v>1098</v>
      </c>
      <c r="F180" s="12">
        <v>251.0</v>
      </c>
      <c r="G180" s="12">
        <v>146.0</v>
      </c>
      <c r="H180" s="12">
        <v>75.0</v>
      </c>
      <c r="I180" s="12">
        <v>615.0</v>
      </c>
      <c r="J180" s="12">
        <v>11.0</v>
      </c>
      <c r="K180" s="1"/>
      <c r="L180" s="1"/>
      <c r="M180" s="1"/>
      <c r="N180" s="1"/>
      <c r="O180" s="1"/>
      <c r="P180" s="1"/>
      <c r="Q180" s="1"/>
      <c r="R180" s="1"/>
      <c r="S180" s="1"/>
      <c r="T180" s="1"/>
      <c r="U180" s="1"/>
      <c r="V180" s="1"/>
      <c r="W180" s="1"/>
      <c r="X180" s="1"/>
      <c r="Y180" s="1"/>
      <c r="Z180" s="1"/>
    </row>
    <row r="181" ht="9.75" customHeight="1">
      <c r="A181" s="1"/>
      <c r="B181" s="129" t="s">
        <v>477</v>
      </c>
      <c r="C181" s="87"/>
      <c r="D181" s="238">
        <v>1991.0</v>
      </c>
      <c r="E181" s="12">
        <f t="shared" si="16"/>
        <v>1358</v>
      </c>
      <c r="F181" s="12">
        <v>408.0</v>
      </c>
      <c r="G181" s="12">
        <v>167.0</v>
      </c>
      <c r="H181" s="12">
        <v>96.0</v>
      </c>
      <c r="I181" s="12">
        <v>687.0</v>
      </c>
      <c r="J181" s="12" t="s">
        <v>10</v>
      </c>
      <c r="K181" s="1"/>
      <c r="L181" s="1"/>
      <c r="M181" s="1"/>
      <c r="N181" s="1"/>
      <c r="O181" s="1"/>
      <c r="P181" s="1"/>
      <c r="Q181" s="1"/>
      <c r="R181" s="1"/>
      <c r="S181" s="1"/>
      <c r="T181" s="1"/>
      <c r="U181" s="1"/>
      <c r="V181" s="1"/>
      <c r="W181" s="1"/>
      <c r="X181" s="1"/>
      <c r="Y181" s="1"/>
      <c r="Z181" s="1"/>
    </row>
    <row r="182" ht="9.75" customHeight="1">
      <c r="A182" s="1"/>
      <c r="B182" s="129"/>
      <c r="C182" s="55"/>
      <c r="D182" s="238">
        <v>1985.0</v>
      </c>
      <c r="E182" s="12">
        <f t="shared" si="16"/>
        <v>942</v>
      </c>
      <c r="F182" s="12">
        <v>304.0</v>
      </c>
      <c r="G182" s="12">
        <v>129.0</v>
      </c>
      <c r="H182" s="12">
        <v>70.0</v>
      </c>
      <c r="I182" s="12">
        <v>439.0</v>
      </c>
      <c r="J182" s="12" t="s">
        <v>10</v>
      </c>
      <c r="K182" s="1"/>
      <c r="L182" s="1"/>
      <c r="M182" s="1"/>
      <c r="N182" s="1"/>
      <c r="O182" s="1"/>
      <c r="P182" s="1"/>
      <c r="Q182" s="1"/>
      <c r="R182" s="1"/>
      <c r="S182" s="1"/>
      <c r="T182" s="1"/>
      <c r="U182" s="1"/>
      <c r="V182" s="1"/>
      <c r="W182" s="1"/>
      <c r="X182" s="1"/>
      <c r="Y182" s="1"/>
      <c r="Z182" s="1"/>
    </row>
    <row r="183" ht="9.75" customHeight="1">
      <c r="A183" s="1"/>
      <c r="B183" s="129"/>
      <c r="C183" s="87"/>
      <c r="D183" s="238"/>
      <c r="E183" s="12"/>
      <c r="F183" s="12"/>
      <c r="G183" s="12"/>
      <c r="H183" s="12"/>
      <c r="I183" s="12"/>
      <c r="J183" s="12"/>
      <c r="K183" s="1"/>
      <c r="L183" s="1"/>
      <c r="M183" s="1"/>
      <c r="N183" s="1"/>
      <c r="O183" s="1"/>
      <c r="P183" s="1"/>
      <c r="Q183" s="1"/>
      <c r="R183" s="1"/>
      <c r="S183" s="1"/>
      <c r="T183" s="1"/>
      <c r="U183" s="1"/>
      <c r="V183" s="1"/>
      <c r="W183" s="1"/>
      <c r="X183" s="1"/>
      <c r="Y183" s="1"/>
      <c r="Z183" s="1"/>
    </row>
    <row r="184" ht="9.75" customHeight="1">
      <c r="A184" s="1"/>
      <c r="B184" s="129" t="s">
        <v>480</v>
      </c>
      <c r="C184" s="87"/>
      <c r="D184" s="238">
        <v>2001.0</v>
      </c>
      <c r="E184" s="12">
        <f t="shared" ref="E184:E187" si="17">SUM(F184:J184)</f>
        <v>443</v>
      </c>
      <c r="F184" s="12">
        <v>104.0</v>
      </c>
      <c r="G184" s="12">
        <v>46.0</v>
      </c>
      <c r="H184" s="12">
        <v>25.0</v>
      </c>
      <c r="I184" s="12">
        <v>268.0</v>
      </c>
      <c r="J184" s="12" t="s">
        <v>10</v>
      </c>
      <c r="K184" s="1"/>
      <c r="L184" s="1"/>
      <c r="M184" s="1"/>
      <c r="N184" s="1"/>
      <c r="O184" s="1"/>
      <c r="P184" s="1"/>
      <c r="Q184" s="1"/>
      <c r="R184" s="1"/>
      <c r="S184" s="1"/>
      <c r="T184" s="1"/>
      <c r="U184" s="1"/>
      <c r="V184" s="1"/>
      <c r="W184" s="1"/>
      <c r="X184" s="1"/>
      <c r="Y184" s="1"/>
      <c r="Z184" s="1"/>
    </row>
    <row r="185" ht="9.75" customHeight="1">
      <c r="A185" s="1"/>
      <c r="B185" s="129" t="s">
        <v>481</v>
      </c>
      <c r="C185" s="87"/>
      <c r="D185" s="238">
        <v>1996.0</v>
      </c>
      <c r="E185" s="12">
        <f t="shared" si="17"/>
        <v>484</v>
      </c>
      <c r="F185" s="12">
        <v>119.0</v>
      </c>
      <c r="G185" s="12">
        <v>49.0</v>
      </c>
      <c r="H185" s="12">
        <v>20.0</v>
      </c>
      <c r="I185" s="12">
        <v>292.0</v>
      </c>
      <c r="J185" s="12">
        <v>4.0</v>
      </c>
      <c r="K185" s="1"/>
      <c r="L185" s="1"/>
      <c r="M185" s="1"/>
      <c r="N185" s="1"/>
      <c r="O185" s="1"/>
      <c r="P185" s="1"/>
      <c r="Q185" s="1"/>
      <c r="R185" s="1"/>
      <c r="S185" s="1"/>
      <c r="T185" s="1"/>
      <c r="U185" s="1"/>
      <c r="V185" s="1"/>
      <c r="W185" s="1"/>
      <c r="X185" s="1"/>
      <c r="Y185" s="1"/>
      <c r="Z185" s="1"/>
    </row>
    <row r="186" ht="9.75" customHeight="1">
      <c r="A186" s="1"/>
      <c r="B186" s="129"/>
      <c r="C186" s="87"/>
      <c r="D186" s="238">
        <v>1991.0</v>
      </c>
      <c r="E186" s="12">
        <f t="shared" si="17"/>
        <v>496</v>
      </c>
      <c r="F186" s="12">
        <v>180.0</v>
      </c>
      <c r="G186" s="12">
        <v>45.0</v>
      </c>
      <c r="H186" s="12">
        <v>17.0</v>
      </c>
      <c r="I186" s="12">
        <v>254.0</v>
      </c>
      <c r="J186" s="12" t="s">
        <v>10</v>
      </c>
      <c r="K186" s="1"/>
      <c r="L186" s="1"/>
      <c r="M186" s="1"/>
      <c r="N186" s="1"/>
      <c r="O186" s="1"/>
      <c r="P186" s="1"/>
      <c r="Q186" s="1"/>
      <c r="R186" s="1"/>
      <c r="S186" s="1"/>
      <c r="T186" s="1"/>
      <c r="U186" s="1"/>
      <c r="V186" s="1"/>
      <c r="W186" s="1"/>
      <c r="X186" s="1"/>
      <c r="Y186" s="1"/>
      <c r="Z186" s="1"/>
    </row>
    <row r="187" ht="9.75" customHeight="1">
      <c r="A187" s="1"/>
      <c r="B187" s="129"/>
      <c r="C187" s="55"/>
      <c r="D187" s="238">
        <v>1985.0</v>
      </c>
      <c r="E187" s="12">
        <f t="shared" si="17"/>
        <v>419</v>
      </c>
      <c r="F187" s="12">
        <v>182.0</v>
      </c>
      <c r="G187" s="12">
        <v>42.0</v>
      </c>
      <c r="H187" s="12">
        <v>14.0</v>
      </c>
      <c r="I187" s="12">
        <v>181.0</v>
      </c>
      <c r="J187" s="12" t="s">
        <v>10</v>
      </c>
      <c r="K187" s="1"/>
      <c r="L187" s="1"/>
      <c r="M187" s="1"/>
      <c r="N187" s="1"/>
      <c r="O187" s="1"/>
      <c r="P187" s="1"/>
      <c r="Q187" s="1"/>
      <c r="R187" s="1"/>
      <c r="S187" s="1"/>
      <c r="T187" s="1"/>
      <c r="U187" s="1"/>
      <c r="V187" s="1"/>
      <c r="W187" s="1"/>
      <c r="X187" s="1"/>
      <c r="Y187" s="1"/>
      <c r="Z187" s="1"/>
    </row>
    <row r="188" ht="9.75" customHeight="1">
      <c r="A188" s="1"/>
      <c r="B188" s="129"/>
      <c r="C188" s="87"/>
      <c r="D188" s="238"/>
      <c r="E188" s="12"/>
      <c r="F188" s="12"/>
      <c r="G188" s="12"/>
      <c r="H188" s="12"/>
      <c r="I188" s="12"/>
      <c r="J188" s="12"/>
      <c r="K188" s="1"/>
      <c r="L188" s="1"/>
      <c r="M188" s="1"/>
      <c r="N188" s="1"/>
      <c r="O188" s="1"/>
      <c r="P188" s="1"/>
      <c r="Q188" s="1"/>
      <c r="R188" s="1"/>
      <c r="S188" s="1"/>
      <c r="T188" s="1"/>
      <c r="U188" s="1"/>
      <c r="V188" s="1"/>
      <c r="W188" s="1"/>
      <c r="X188" s="1"/>
      <c r="Y188" s="1"/>
      <c r="Z188" s="1"/>
    </row>
    <row r="189" ht="9.75" customHeight="1">
      <c r="A189" s="1"/>
      <c r="B189" s="129" t="s">
        <v>482</v>
      </c>
      <c r="C189" s="87"/>
      <c r="D189" s="238">
        <v>2001.0</v>
      </c>
      <c r="E189" s="12">
        <f t="shared" ref="E189:E192" si="18">SUM(F189:J189)</f>
        <v>905</v>
      </c>
      <c r="F189" s="12">
        <v>360.0</v>
      </c>
      <c r="G189" s="12">
        <v>97.0</v>
      </c>
      <c r="H189" s="12">
        <v>51.0</v>
      </c>
      <c r="I189" s="12">
        <v>397.0</v>
      </c>
      <c r="J189" s="12" t="s">
        <v>10</v>
      </c>
      <c r="K189" s="1"/>
      <c r="L189" s="1"/>
      <c r="M189" s="1"/>
      <c r="N189" s="1"/>
      <c r="O189" s="1"/>
      <c r="P189" s="1"/>
      <c r="Q189" s="1"/>
      <c r="R189" s="1"/>
      <c r="S189" s="1"/>
      <c r="T189" s="1"/>
      <c r="U189" s="1"/>
      <c r="V189" s="1"/>
      <c r="W189" s="1"/>
      <c r="X189" s="1"/>
      <c r="Y189" s="1"/>
      <c r="Z189" s="1"/>
    </row>
    <row r="190" ht="9.75" customHeight="1">
      <c r="A190" s="1"/>
      <c r="B190" s="129" t="s">
        <v>483</v>
      </c>
      <c r="C190" s="87"/>
      <c r="D190" s="238">
        <v>1996.0</v>
      </c>
      <c r="E190" s="12">
        <f t="shared" si="18"/>
        <v>680</v>
      </c>
      <c r="F190" s="12">
        <v>328.0</v>
      </c>
      <c r="G190" s="12">
        <v>70.0</v>
      </c>
      <c r="H190" s="12">
        <v>35.0</v>
      </c>
      <c r="I190" s="12">
        <v>240.0</v>
      </c>
      <c r="J190" s="12">
        <v>7.0</v>
      </c>
      <c r="K190" s="1"/>
      <c r="L190" s="1"/>
      <c r="M190" s="1"/>
      <c r="N190" s="1"/>
      <c r="O190" s="1"/>
      <c r="P190" s="1"/>
      <c r="Q190" s="1"/>
      <c r="R190" s="1"/>
      <c r="S190" s="1"/>
      <c r="T190" s="1"/>
      <c r="U190" s="1"/>
      <c r="V190" s="1"/>
      <c r="W190" s="1"/>
      <c r="X190" s="1"/>
      <c r="Y190" s="1"/>
      <c r="Z190" s="1"/>
    </row>
    <row r="191" ht="9.75" customHeight="1">
      <c r="A191" s="1"/>
      <c r="B191" s="253"/>
      <c r="C191" s="87"/>
      <c r="D191" s="238">
        <v>1991.0</v>
      </c>
      <c r="E191" s="12">
        <f t="shared" si="18"/>
        <v>503</v>
      </c>
      <c r="F191" s="12">
        <v>338.0</v>
      </c>
      <c r="G191" s="12">
        <v>44.0</v>
      </c>
      <c r="H191" s="12">
        <v>24.0</v>
      </c>
      <c r="I191" s="12">
        <v>97.0</v>
      </c>
      <c r="J191" s="12" t="s">
        <v>10</v>
      </c>
      <c r="K191" s="1"/>
      <c r="L191" s="1"/>
      <c r="M191" s="1"/>
      <c r="N191" s="1"/>
      <c r="O191" s="1"/>
      <c r="P191" s="1"/>
      <c r="Q191" s="1"/>
      <c r="R191" s="1"/>
      <c r="S191" s="1"/>
      <c r="T191" s="1"/>
      <c r="U191" s="1"/>
      <c r="V191" s="1"/>
      <c r="W191" s="1"/>
      <c r="X191" s="1"/>
      <c r="Y191" s="1"/>
      <c r="Z191" s="1"/>
    </row>
    <row r="192" ht="9.75" customHeight="1">
      <c r="A192" s="1"/>
      <c r="B192" s="253"/>
      <c r="C192" s="180"/>
      <c r="D192" s="238">
        <v>1985.0</v>
      </c>
      <c r="E192" s="12">
        <f t="shared" si="18"/>
        <v>339</v>
      </c>
      <c r="F192" s="12">
        <v>240.0</v>
      </c>
      <c r="G192" s="12">
        <v>24.0</v>
      </c>
      <c r="H192" s="12">
        <v>13.0</v>
      </c>
      <c r="I192" s="12">
        <v>62.0</v>
      </c>
      <c r="J192" s="12" t="s">
        <v>10</v>
      </c>
      <c r="K192" s="1"/>
      <c r="L192" s="1"/>
      <c r="M192" s="1"/>
      <c r="N192" s="1"/>
      <c r="O192" s="1"/>
      <c r="P192" s="1"/>
      <c r="Q192" s="1"/>
      <c r="R192" s="1"/>
      <c r="S192" s="1"/>
      <c r="T192" s="1"/>
      <c r="U192" s="1"/>
      <c r="V192" s="1"/>
      <c r="W192" s="1"/>
      <c r="X192" s="1"/>
      <c r="Y192" s="1"/>
      <c r="Z192" s="1"/>
    </row>
    <row r="193" ht="9.75" customHeight="1">
      <c r="A193" s="1"/>
      <c r="B193" s="129"/>
      <c r="C193" s="87"/>
      <c r="D193" s="238"/>
      <c r="E193" s="12"/>
      <c r="F193" s="12"/>
      <c r="G193" s="12"/>
      <c r="H193" s="12"/>
      <c r="I193" s="12"/>
      <c r="J193" s="12"/>
      <c r="K193" s="1"/>
      <c r="L193" s="1"/>
      <c r="M193" s="1"/>
      <c r="N193" s="1"/>
      <c r="O193" s="1"/>
      <c r="P193" s="1"/>
      <c r="Q193" s="1"/>
      <c r="R193" s="1"/>
      <c r="S193" s="1"/>
      <c r="T193" s="1"/>
      <c r="U193" s="1"/>
      <c r="V193" s="1"/>
      <c r="W193" s="1"/>
      <c r="X193" s="1"/>
      <c r="Y193" s="1"/>
      <c r="Z193" s="1"/>
    </row>
    <row r="194" ht="9.75" customHeight="1">
      <c r="A194" s="1"/>
      <c r="B194" s="129" t="s">
        <v>484</v>
      </c>
      <c r="C194" s="87"/>
      <c r="D194" s="238">
        <v>2001.0</v>
      </c>
      <c r="E194" s="12">
        <f t="shared" ref="E194:E197" si="19">SUM(F194:J194)</f>
        <v>1842</v>
      </c>
      <c r="F194" s="12">
        <v>424.0</v>
      </c>
      <c r="G194" s="12">
        <v>200.0</v>
      </c>
      <c r="H194" s="12">
        <v>71.0</v>
      </c>
      <c r="I194" s="12">
        <v>1147.0</v>
      </c>
      <c r="J194" s="12" t="s">
        <v>10</v>
      </c>
      <c r="K194" s="1"/>
      <c r="L194" s="1"/>
      <c r="M194" s="1"/>
      <c r="N194" s="1"/>
      <c r="O194" s="1"/>
      <c r="P194" s="1"/>
      <c r="Q194" s="1"/>
      <c r="R194" s="1"/>
      <c r="S194" s="1"/>
      <c r="T194" s="1"/>
      <c r="U194" s="1"/>
      <c r="V194" s="1"/>
      <c r="W194" s="1"/>
      <c r="X194" s="1"/>
      <c r="Y194" s="1"/>
      <c r="Z194" s="1"/>
    </row>
    <row r="195" ht="9.75" customHeight="1">
      <c r="A195" s="1"/>
      <c r="B195" s="253" t="s">
        <v>485</v>
      </c>
      <c r="C195" s="87"/>
      <c r="D195" s="238">
        <v>1996.0</v>
      </c>
      <c r="E195" s="12">
        <f t="shared" si="19"/>
        <v>1581</v>
      </c>
      <c r="F195" s="12">
        <v>426.0</v>
      </c>
      <c r="G195" s="12">
        <v>183.0</v>
      </c>
      <c r="H195" s="12">
        <v>59.0</v>
      </c>
      <c r="I195" s="12">
        <v>897.0</v>
      </c>
      <c r="J195" s="12">
        <v>16.0</v>
      </c>
      <c r="K195" s="1"/>
      <c r="L195" s="1"/>
      <c r="M195" s="1"/>
      <c r="N195" s="1"/>
      <c r="O195" s="1"/>
      <c r="P195" s="1"/>
      <c r="Q195" s="1"/>
      <c r="R195" s="1"/>
      <c r="S195" s="1"/>
      <c r="T195" s="1"/>
      <c r="U195" s="1"/>
      <c r="V195" s="1"/>
      <c r="W195" s="1"/>
      <c r="X195" s="1"/>
      <c r="Y195" s="1"/>
      <c r="Z195" s="1"/>
    </row>
    <row r="196" ht="9.75" customHeight="1">
      <c r="A196" s="1"/>
      <c r="B196" s="129"/>
      <c r="C196" s="87"/>
      <c r="D196" s="238">
        <v>1991.0</v>
      </c>
      <c r="E196" s="12">
        <f t="shared" si="19"/>
        <v>2641</v>
      </c>
      <c r="F196" s="12">
        <v>593.0</v>
      </c>
      <c r="G196" s="12">
        <v>278.0</v>
      </c>
      <c r="H196" s="12">
        <v>54.0</v>
      </c>
      <c r="I196" s="12">
        <v>1716.0</v>
      </c>
      <c r="J196" s="12" t="s">
        <v>10</v>
      </c>
      <c r="K196" s="1"/>
      <c r="L196" s="1"/>
      <c r="M196" s="1"/>
      <c r="N196" s="1"/>
      <c r="O196" s="1"/>
      <c r="P196" s="1"/>
      <c r="Q196" s="1"/>
      <c r="R196" s="1"/>
      <c r="S196" s="1"/>
      <c r="T196" s="1"/>
      <c r="U196" s="1"/>
      <c r="V196" s="1"/>
      <c r="W196" s="1"/>
      <c r="X196" s="1"/>
      <c r="Y196" s="1"/>
      <c r="Z196" s="1"/>
    </row>
    <row r="197" ht="9.75" customHeight="1">
      <c r="A197" s="1"/>
      <c r="B197" s="129"/>
      <c r="C197" s="90"/>
      <c r="D197" s="238">
        <v>1985.0</v>
      </c>
      <c r="E197" s="12">
        <f t="shared" si="19"/>
        <v>1965</v>
      </c>
      <c r="F197" s="12">
        <v>507.0</v>
      </c>
      <c r="G197" s="12">
        <v>235.0</v>
      </c>
      <c r="H197" s="12">
        <v>39.0</v>
      </c>
      <c r="I197" s="12">
        <v>1184.0</v>
      </c>
      <c r="J197" s="12" t="s">
        <v>10</v>
      </c>
      <c r="K197" s="1"/>
      <c r="L197" s="1"/>
      <c r="M197" s="1"/>
      <c r="N197" s="1"/>
      <c r="O197" s="1"/>
      <c r="P197" s="1"/>
      <c r="Q197" s="1"/>
      <c r="R197" s="1"/>
      <c r="S197" s="1"/>
      <c r="T197" s="1"/>
      <c r="U197" s="1"/>
      <c r="V197" s="1"/>
      <c r="W197" s="1"/>
      <c r="X197" s="1"/>
      <c r="Y197" s="1"/>
      <c r="Z197" s="1"/>
    </row>
    <row r="198" ht="9.75" customHeight="1">
      <c r="A198" s="1"/>
      <c r="B198" s="129"/>
      <c r="C198" s="87"/>
      <c r="D198" s="238"/>
      <c r="E198" s="12"/>
      <c r="F198" s="12"/>
      <c r="G198" s="12"/>
      <c r="H198" s="12"/>
      <c r="I198" s="12"/>
      <c r="J198" s="12"/>
      <c r="K198" s="1"/>
      <c r="L198" s="1"/>
      <c r="M198" s="1"/>
      <c r="N198" s="1"/>
      <c r="O198" s="1"/>
      <c r="P198" s="1"/>
      <c r="Q198" s="1"/>
      <c r="R198" s="1"/>
      <c r="S198" s="1"/>
      <c r="T198" s="1"/>
      <c r="U198" s="1"/>
      <c r="V198" s="1"/>
      <c r="W198" s="1"/>
      <c r="X198" s="1"/>
      <c r="Y198" s="1"/>
      <c r="Z198" s="1"/>
    </row>
    <row r="199" ht="9.75" customHeight="1">
      <c r="A199" s="1"/>
      <c r="B199" s="129" t="s">
        <v>488</v>
      </c>
      <c r="C199" s="87"/>
      <c r="D199" s="238">
        <v>2001.0</v>
      </c>
      <c r="E199" s="12">
        <f t="shared" ref="E199:E200" si="20">SUM(F199:J199)</f>
        <v>940</v>
      </c>
      <c r="F199" s="12">
        <v>11.0</v>
      </c>
      <c r="G199" s="12">
        <v>76.0</v>
      </c>
      <c r="H199" s="12">
        <v>2.0</v>
      </c>
      <c r="I199" s="12">
        <v>851.0</v>
      </c>
      <c r="J199" s="12" t="s">
        <v>10</v>
      </c>
      <c r="K199" s="1"/>
      <c r="L199" s="1"/>
      <c r="M199" s="1"/>
      <c r="N199" s="1"/>
      <c r="O199" s="1"/>
      <c r="P199" s="1"/>
      <c r="Q199" s="1"/>
      <c r="R199" s="1"/>
      <c r="S199" s="1"/>
      <c r="T199" s="1"/>
      <c r="U199" s="1"/>
      <c r="V199" s="1"/>
      <c r="W199" s="1"/>
      <c r="X199" s="1"/>
      <c r="Y199" s="1"/>
      <c r="Z199" s="1"/>
    </row>
    <row r="200" ht="9.75" customHeight="1">
      <c r="A200" s="1"/>
      <c r="B200" s="129"/>
      <c r="C200" s="87"/>
      <c r="D200" s="238">
        <v>1996.0</v>
      </c>
      <c r="E200" s="12">
        <f t="shared" si="20"/>
        <v>1053</v>
      </c>
      <c r="F200" s="13">
        <v>24.0</v>
      </c>
      <c r="G200" s="13">
        <v>85.0</v>
      </c>
      <c r="H200" s="13">
        <v>5.0</v>
      </c>
      <c r="I200" s="13">
        <v>933.0</v>
      </c>
      <c r="J200" s="13">
        <v>6.0</v>
      </c>
      <c r="K200" s="1"/>
      <c r="L200" s="1"/>
      <c r="M200" s="1"/>
      <c r="N200" s="1"/>
      <c r="O200" s="1"/>
      <c r="P200" s="1"/>
      <c r="Q200" s="1"/>
      <c r="R200" s="1"/>
      <c r="S200" s="1"/>
      <c r="T200" s="1"/>
      <c r="U200" s="1"/>
      <c r="V200" s="1"/>
      <c r="W200" s="1"/>
      <c r="X200" s="1"/>
      <c r="Y200" s="1"/>
      <c r="Z200" s="1"/>
    </row>
    <row r="201" ht="9.75" customHeight="1">
      <c r="A201" s="1"/>
      <c r="B201" s="129"/>
      <c r="C201" s="87"/>
      <c r="D201" s="238">
        <v>1991.0</v>
      </c>
      <c r="E201" s="13" t="s">
        <v>106</v>
      </c>
      <c r="F201" s="13" t="s">
        <v>106</v>
      </c>
      <c r="G201" s="13" t="s">
        <v>106</v>
      </c>
      <c r="H201" s="13" t="s">
        <v>106</v>
      </c>
      <c r="I201" s="13" t="s">
        <v>106</v>
      </c>
      <c r="J201" s="13" t="s">
        <v>106</v>
      </c>
      <c r="K201" s="1"/>
      <c r="L201" s="1"/>
      <c r="M201" s="1"/>
      <c r="N201" s="1"/>
      <c r="O201" s="1"/>
      <c r="P201" s="1"/>
      <c r="Q201" s="1"/>
      <c r="R201" s="1"/>
      <c r="S201" s="1"/>
      <c r="T201" s="1"/>
      <c r="U201" s="1"/>
      <c r="V201" s="1"/>
      <c r="W201" s="1"/>
      <c r="X201" s="1"/>
      <c r="Y201" s="1"/>
      <c r="Z201" s="1"/>
    </row>
    <row r="202" ht="9.75" customHeight="1">
      <c r="A202" s="1"/>
      <c r="B202" s="129"/>
      <c r="C202" s="55"/>
      <c r="D202" s="238">
        <v>1985.0</v>
      </c>
      <c r="E202" s="13" t="s">
        <v>106</v>
      </c>
      <c r="F202" s="13" t="s">
        <v>106</v>
      </c>
      <c r="G202" s="13" t="s">
        <v>106</v>
      </c>
      <c r="H202" s="13" t="s">
        <v>106</v>
      </c>
      <c r="I202" s="13" t="s">
        <v>106</v>
      </c>
      <c r="J202" s="13" t="s">
        <v>106</v>
      </c>
      <c r="K202" s="1"/>
      <c r="L202" s="1"/>
      <c r="M202" s="1"/>
      <c r="N202" s="1"/>
      <c r="O202" s="1"/>
      <c r="P202" s="1"/>
      <c r="Q202" s="1"/>
      <c r="R202" s="1"/>
      <c r="S202" s="1"/>
      <c r="T202" s="1"/>
      <c r="U202" s="1"/>
      <c r="V202" s="1"/>
      <c r="W202" s="1"/>
      <c r="X202" s="1"/>
      <c r="Y202" s="1"/>
      <c r="Z202" s="1"/>
    </row>
    <row r="203" ht="9.75" customHeight="1">
      <c r="A203" s="1"/>
      <c r="B203" s="129"/>
      <c r="C203" s="87"/>
      <c r="D203" s="238"/>
      <c r="E203" s="12"/>
      <c r="F203" s="12"/>
      <c r="G203" s="12"/>
      <c r="H203" s="12"/>
      <c r="I203" s="12"/>
      <c r="J203" s="12"/>
      <c r="K203" s="1"/>
      <c r="L203" s="1"/>
      <c r="M203" s="1"/>
      <c r="N203" s="1"/>
      <c r="O203" s="1"/>
      <c r="P203" s="1"/>
      <c r="Q203" s="1"/>
      <c r="R203" s="1"/>
      <c r="S203" s="1"/>
      <c r="T203" s="1"/>
      <c r="U203" s="1"/>
      <c r="V203" s="1"/>
      <c r="W203" s="1"/>
      <c r="X203" s="1"/>
      <c r="Y203" s="1"/>
      <c r="Z203" s="1"/>
    </row>
    <row r="204" ht="9.75" customHeight="1">
      <c r="A204" s="1"/>
      <c r="B204" s="129" t="s">
        <v>491</v>
      </c>
      <c r="C204" s="87"/>
      <c r="D204" s="238">
        <v>2001.0</v>
      </c>
      <c r="E204" s="12">
        <f t="shared" ref="E204:E207" si="21">SUM(F204:J204)</f>
        <v>857</v>
      </c>
      <c r="F204" s="12">
        <v>190.0</v>
      </c>
      <c r="G204" s="12">
        <v>122.0</v>
      </c>
      <c r="H204" s="12">
        <v>37.0</v>
      </c>
      <c r="I204" s="12">
        <v>508.0</v>
      </c>
      <c r="J204" s="12" t="s">
        <v>10</v>
      </c>
      <c r="K204" s="1"/>
      <c r="L204" s="1"/>
      <c r="M204" s="1"/>
      <c r="N204" s="1"/>
      <c r="O204" s="1"/>
      <c r="P204" s="1"/>
      <c r="Q204" s="1"/>
      <c r="R204" s="1"/>
      <c r="S204" s="1"/>
      <c r="T204" s="1"/>
      <c r="U204" s="1"/>
      <c r="V204" s="1"/>
      <c r="W204" s="1"/>
      <c r="X204" s="1"/>
      <c r="Y204" s="1"/>
      <c r="Z204" s="1"/>
    </row>
    <row r="205" ht="9.75" customHeight="1">
      <c r="A205" s="1"/>
      <c r="B205" s="264"/>
      <c r="C205" s="87"/>
      <c r="D205" s="238">
        <v>1996.0</v>
      </c>
      <c r="E205" s="12">
        <f t="shared" si="21"/>
        <v>1078</v>
      </c>
      <c r="F205" s="12">
        <v>247.0</v>
      </c>
      <c r="G205" s="12">
        <v>114.0</v>
      </c>
      <c r="H205" s="12">
        <v>52.0</v>
      </c>
      <c r="I205" s="12">
        <v>652.0</v>
      </c>
      <c r="J205" s="12">
        <v>13.0</v>
      </c>
      <c r="K205" s="1"/>
      <c r="L205" s="1"/>
      <c r="M205" s="1"/>
      <c r="N205" s="1"/>
      <c r="O205" s="1"/>
      <c r="P205" s="1"/>
      <c r="Q205" s="1"/>
      <c r="R205" s="1"/>
      <c r="S205" s="1"/>
      <c r="T205" s="1"/>
      <c r="U205" s="1"/>
      <c r="V205" s="1"/>
      <c r="W205" s="1"/>
      <c r="X205" s="1"/>
      <c r="Y205" s="1"/>
      <c r="Z205" s="1"/>
    </row>
    <row r="206" ht="9.75" customHeight="1">
      <c r="A206" s="1"/>
      <c r="B206" s="264"/>
      <c r="C206" s="87"/>
      <c r="D206" s="238">
        <v>1991.0</v>
      </c>
      <c r="E206" s="12">
        <f t="shared" si="21"/>
        <v>2514</v>
      </c>
      <c r="F206" s="12">
        <v>170.0</v>
      </c>
      <c r="G206" s="12">
        <v>280.0</v>
      </c>
      <c r="H206" s="12">
        <v>67.0</v>
      </c>
      <c r="I206" s="12">
        <v>1997.0</v>
      </c>
      <c r="J206" s="12" t="s">
        <v>10</v>
      </c>
      <c r="K206" s="1"/>
      <c r="L206" s="1"/>
      <c r="M206" s="1"/>
      <c r="N206" s="1"/>
      <c r="O206" s="1"/>
      <c r="P206" s="1"/>
      <c r="Q206" s="1"/>
      <c r="R206" s="1"/>
      <c r="S206" s="1"/>
      <c r="T206" s="1"/>
      <c r="U206" s="1"/>
      <c r="V206" s="1"/>
      <c r="W206" s="1"/>
      <c r="X206" s="1"/>
      <c r="Y206" s="1"/>
      <c r="Z206" s="1"/>
    </row>
    <row r="207" ht="9.75" customHeight="1">
      <c r="A207" s="1"/>
      <c r="B207" s="264"/>
      <c r="C207" s="87"/>
      <c r="D207" s="238">
        <v>1985.0</v>
      </c>
      <c r="E207" s="12">
        <f t="shared" si="21"/>
        <v>1076</v>
      </c>
      <c r="F207" s="12">
        <v>65.0</v>
      </c>
      <c r="G207" s="12">
        <v>137.0</v>
      </c>
      <c r="H207" s="12">
        <v>38.0</v>
      </c>
      <c r="I207" s="12">
        <v>836.0</v>
      </c>
      <c r="J207" s="12" t="s">
        <v>10</v>
      </c>
      <c r="K207" s="1"/>
      <c r="L207" s="1"/>
      <c r="M207" s="1"/>
      <c r="N207" s="1"/>
      <c r="O207" s="1"/>
      <c r="P207" s="1"/>
      <c r="Q207" s="1"/>
      <c r="R207" s="1"/>
      <c r="S207" s="1"/>
      <c r="T207" s="1"/>
      <c r="U207" s="1"/>
      <c r="V207" s="1"/>
      <c r="W207" s="1"/>
      <c r="X207" s="1"/>
      <c r="Y207" s="1"/>
      <c r="Z207" s="1"/>
    </row>
    <row r="208" ht="9.75" customHeight="1">
      <c r="A208" s="1"/>
      <c r="B208" s="129"/>
      <c r="C208" s="87"/>
      <c r="D208" s="238"/>
      <c r="E208" s="12"/>
      <c r="F208" s="12"/>
      <c r="G208" s="12"/>
      <c r="H208" s="12"/>
      <c r="I208" s="12"/>
      <c r="J208" s="12"/>
      <c r="K208" s="1"/>
      <c r="L208" s="1"/>
      <c r="M208" s="1"/>
      <c r="N208" s="1"/>
      <c r="O208" s="1"/>
      <c r="P208" s="1"/>
      <c r="Q208" s="1"/>
      <c r="R208" s="1"/>
      <c r="S208" s="1"/>
      <c r="T208" s="1"/>
      <c r="U208" s="1"/>
      <c r="V208" s="1"/>
      <c r="W208" s="1"/>
      <c r="X208" s="1"/>
      <c r="Y208" s="1"/>
      <c r="Z208" s="1"/>
    </row>
    <row r="209" ht="9.75" customHeight="1">
      <c r="A209" s="1"/>
      <c r="B209" s="129" t="s">
        <v>493</v>
      </c>
      <c r="C209" s="87"/>
      <c r="D209" s="238">
        <v>2001.0</v>
      </c>
      <c r="E209" s="12">
        <f t="shared" ref="E209:E212" si="22">SUM(F209:J209)</f>
        <v>16408</v>
      </c>
      <c r="F209" s="12">
        <v>1988.0</v>
      </c>
      <c r="G209" s="12">
        <v>1655.0</v>
      </c>
      <c r="H209" s="12">
        <v>478.0</v>
      </c>
      <c r="I209" s="12">
        <v>12287.0</v>
      </c>
      <c r="J209" s="12" t="s">
        <v>10</v>
      </c>
      <c r="K209" s="1"/>
      <c r="L209" s="1"/>
      <c r="M209" s="1"/>
      <c r="N209" s="1"/>
      <c r="O209" s="1"/>
      <c r="P209" s="1"/>
      <c r="Q209" s="1"/>
      <c r="R209" s="1"/>
      <c r="S209" s="1"/>
      <c r="T209" s="1"/>
      <c r="U209" s="1"/>
      <c r="V209" s="1"/>
      <c r="W209" s="1"/>
      <c r="X209" s="1"/>
      <c r="Y209" s="1"/>
      <c r="Z209" s="1"/>
    </row>
    <row r="210" ht="9.75" customHeight="1">
      <c r="A210" s="1"/>
      <c r="B210" s="129" t="s">
        <v>496</v>
      </c>
      <c r="C210" s="87"/>
      <c r="D210" s="238">
        <v>1996.0</v>
      </c>
      <c r="E210" s="12">
        <f t="shared" si="22"/>
        <v>13785</v>
      </c>
      <c r="F210" s="12">
        <v>1945.0</v>
      </c>
      <c r="G210" s="12">
        <v>1429.0</v>
      </c>
      <c r="H210" s="12">
        <v>414.0</v>
      </c>
      <c r="I210" s="12">
        <v>9888.0</v>
      </c>
      <c r="J210" s="12">
        <v>109.0</v>
      </c>
      <c r="K210" s="1"/>
      <c r="L210" s="1"/>
      <c r="M210" s="1"/>
      <c r="N210" s="1"/>
      <c r="O210" s="1"/>
      <c r="P210" s="1"/>
      <c r="Q210" s="1"/>
      <c r="R210" s="1"/>
      <c r="S210" s="1"/>
      <c r="T210" s="1"/>
      <c r="U210" s="1"/>
      <c r="V210" s="1"/>
      <c r="W210" s="1"/>
      <c r="X210" s="1"/>
      <c r="Y210" s="1"/>
      <c r="Z210" s="1"/>
    </row>
    <row r="211" ht="9.75" customHeight="1">
      <c r="A211" s="1"/>
      <c r="B211" s="271"/>
      <c r="C211" s="87"/>
      <c r="D211" s="238">
        <v>1991.0</v>
      </c>
      <c r="E211" s="12">
        <f t="shared" si="22"/>
        <v>11624</v>
      </c>
      <c r="F211" s="12">
        <v>2388.0</v>
      </c>
      <c r="G211" s="12">
        <v>1359.0</v>
      </c>
      <c r="H211" s="12">
        <v>380.0</v>
      </c>
      <c r="I211" s="12">
        <v>7497.0</v>
      </c>
      <c r="J211" s="12" t="s">
        <v>10</v>
      </c>
      <c r="K211" s="1"/>
      <c r="L211" s="1"/>
      <c r="M211" s="1"/>
      <c r="N211" s="1"/>
      <c r="O211" s="1"/>
      <c r="P211" s="1"/>
      <c r="Q211" s="1"/>
      <c r="R211" s="1"/>
      <c r="S211" s="1"/>
      <c r="T211" s="1"/>
      <c r="U211" s="1"/>
      <c r="V211" s="1"/>
      <c r="W211" s="1"/>
      <c r="X211" s="1"/>
      <c r="Y211" s="1"/>
      <c r="Z211" s="1"/>
    </row>
    <row r="212" ht="9.75" customHeight="1">
      <c r="A212" s="1"/>
      <c r="B212" s="271"/>
      <c r="C212" s="272"/>
      <c r="D212" s="238">
        <v>1985.0</v>
      </c>
      <c r="E212" s="12">
        <f t="shared" si="22"/>
        <v>8693</v>
      </c>
      <c r="F212" s="12">
        <v>1973.0</v>
      </c>
      <c r="G212" s="12">
        <v>1122.0</v>
      </c>
      <c r="H212" s="12">
        <v>293.0</v>
      </c>
      <c r="I212" s="12">
        <v>5305.0</v>
      </c>
      <c r="J212" s="12" t="s">
        <v>10</v>
      </c>
      <c r="K212" s="1"/>
      <c r="L212" s="1"/>
      <c r="M212" s="1"/>
      <c r="N212" s="1"/>
      <c r="O212" s="1"/>
      <c r="P212" s="1"/>
      <c r="Q212" s="1"/>
      <c r="R212" s="1"/>
      <c r="S212" s="1"/>
      <c r="T212" s="1"/>
      <c r="U212" s="1"/>
      <c r="V212" s="1"/>
      <c r="W212" s="1"/>
      <c r="X212" s="1"/>
      <c r="Y212" s="1"/>
      <c r="Z212" s="1"/>
    </row>
    <row r="213" ht="9.75" customHeight="1">
      <c r="A213" s="1"/>
      <c r="B213" s="129"/>
      <c r="C213" s="87"/>
      <c r="D213" s="238"/>
      <c r="E213" s="12"/>
      <c r="F213" s="12"/>
      <c r="G213" s="12"/>
      <c r="H213" s="12"/>
      <c r="I213" s="12"/>
      <c r="J213" s="12"/>
      <c r="K213" s="1"/>
      <c r="L213" s="1"/>
      <c r="M213" s="1"/>
      <c r="N213" s="1"/>
      <c r="O213" s="1"/>
      <c r="P213" s="1"/>
      <c r="Q213" s="1"/>
      <c r="R213" s="1"/>
      <c r="S213" s="1"/>
      <c r="T213" s="1"/>
      <c r="U213" s="1"/>
      <c r="V213" s="1"/>
      <c r="W213" s="1"/>
      <c r="X213" s="1"/>
      <c r="Y213" s="1"/>
      <c r="Z213" s="1"/>
    </row>
    <row r="214" ht="9.75" customHeight="1">
      <c r="A214" s="1"/>
      <c r="B214" s="129" t="s">
        <v>507</v>
      </c>
      <c r="C214" s="87"/>
      <c r="D214" s="238">
        <v>2001.0</v>
      </c>
      <c r="E214" s="12">
        <f t="shared" ref="E214:E217" si="23">SUM(F214:J214)</f>
        <v>12019</v>
      </c>
      <c r="F214" s="12">
        <v>1046.0</v>
      </c>
      <c r="G214" s="12">
        <v>966.0</v>
      </c>
      <c r="H214" s="12">
        <v>330.0</v>
      </c>
      <c r="I214" s="12">
        <v>9677.0</v>
      </c>
      <c r="J214" s="12" t="s">
        <v>10</v>
      </c>
      <c r="K214" s="1"/>
      <c r="L214" s="1"/>
      <c r="M214" s="1"/>
      <c r="N214" s="1"/>
      <c r="O214" s="1"/>
      <c r="P214" s="1"/>
      <c r="Q214" s="1"/>
      <c r="R214" s="1"/>
      <c r="S214" s="1"/>
      <c r="T214" s="1"/>
      <c r="U214" s="1"/>
      <c r="V214" s="1"/>
      <c r="W214" s="1"/>
      <c r="X214" s="1"/>
      <c r="Y214" s="1"/>
      <c r="Z214" s="1"/>
    </row>
    <row r="215" ht="9.75" customHeight="1">
      <c r="A215" s="1"/>
      <c r="B215" s="129" t="s">
        <v>496</v>
      </c>
      <c r="C215" s="87"/>
      <c r="D215" s="238">
        <v>1996.0</v>
      </c>
      <c r="E215" s="12">
        <f t="shared" si="23"/>
        <v>10201</v>
      </c>
      <c r="F215" s="12">
        <v>975.0</v>
      </c>
      <c r="G215" s="12">
        <v>774.0</v>
      </c>
      <c r="H215" s="12">
        <v>294.0</v>
      </c>
      <c r="I215" s="12">
        <v>8074.0</v>
      </c>
      <c r="J215" s="12">
        <v>84.0</v>
      </c>
      <c r="K215" s="1"/>
      <c r="L215" s="1"/>
      <c r="M215" s="1"/>
      <c r="N215" s="1"/>
      <c r="O215" s="1"/>
      <c r="P215" s="1"/>
      <c r="Q215" s="1"/>
      <c r="R215" s="1"/>
      <c r="S215" s="1"/>
      <c r="T215" s="1"/>
      <c r="U215" s="1"/>
      <c r="V215" s="1"/>
      <c r="W215" s="1"/>
      <c r="X215" s="1"/>
      <c r="Y215" s="1"/>
      <c r="Z215" s="1"/>
    </row>
    <row r="216" ht="9.75" customHeight="1">
      <c r="A216" s="1"/>
      <c r="B216" s="274"/>
      <c r="C216" s="87"/>
      <c r="D216" s="238">
        <v>1991.0</v>
      </c>
      <c r="E216" s="12">
        <f t="shared" si="23"/>
        <v>19363</v>
      </c>
      <c r="F216" s="12">
        <v>2680.0</v>
      </c>
      <c r="G216" s="12">
        <v>1927.0</v>
      </c>
      <c r="H216" s="12">
        <v>607.0</v>
      </c>
      <c r="I216" s="12">
        <v>14149.0</v>
      </c>
      <c r="J216" s="12" t="s">
        <v>10</v>
      </c>
      <c r="K216" s="1"/>
      <c r="L216" s="1"/>
      <c r="M216" s="1"/>
      <c r="N216" s="1"/>
      <c r="O216" s="1"/>
      <c r="P216" s="1"/>
      <c r="Q216" s="1"/>
      <c r="R216" s="1"/>
      <c r="S216" s="1"/>
      <c r="T216" s="1"/>
      <c r="U216" s="1"/>
      <c r="V216" s="1"/>
      <c r="W216" s="1"/>
      <c r="X216" s="1"/>
      <c r="Y216" s="1"/>
      <c r="Z216" s="1"/>
    </row>
    <row r="217" ht="9.75" customHeight="1">
      <c r="A217" s="1"/>
      <c r="B217" s="274"/>
      <c r="C217" s="275"/>
      <c r="D217" s="238">
        <v>1985.0</v>
      </c>
      <c r="E217" s="12">
        <f t="shared" si="23"/>
        <v>14694</v>
      </c>
      <c r="F217" s="12">
        <v>2596.0</v>
      </c>
      <c r="G217" s="12">
        <v>1711.0</v>
      </c>
      <c r="H217" s="12">
        <v>529.0</v>
      </c>
      <c r="I217" s="12">
        <v>9858.0</v>
      </c>
      <c r="J217" s="12" t="s">
        <v>10</v>
      </c>
      <c r="K217" s="1"/>
      <c r="L217" s="1"/>
      <c r="M217" s="1"/>
      <c r="N217" s="1"/>
      <c r="O217" s="1"/>
      <c r="P217" s="1"/>
      <c r="Q217" s="1"/>
      <c r="R217" s="1"/>
      <c r="S217" s="1"/>
      <c r="T217" s="1"/>
      <c r="U217" s="1"/>
      <c r="V217" s="1"/>
      <c r="W217" s="1"/>
      <c r="X217" s="1"/>
      <c r="Y217" s="1"/>
      <c r="Z217" s="1"/>
    </row>
    <row r="218" ht="9.75" customHeight="1">
      <c r="A218" s="1"/>
      <c r="B218" s="129"/>
      <c r="C218" s="87"/>
      <c r="D218" s="238"/>
      <c r="E218" s="12"/>
      <c r="F218" s="12"/>
      <c r="G218" s="12"/>
      <c r="H218" s="12"/>
      <c r="I218" s="12"/>
      <c r="J218" s="12"/>
      <c r="K218" s="1"/>
      <c r="L218" s="1"/>
      <c r="M218" s="1"/>
      <c r="N218" s="1"/>
      <c r="O218" s="1"/>
      <c r="P218" s="1"/>
      <c r="Q218" s="1"/>
      <c r="R218" s="1"/>
      <c r="S218" s="1"/>
      <c r="T218" s="1"/>
      <c r="U218" s="1"/>
      <c r="V218" s="1"/>
      <c r="W218" s="1"/>
      <c r="X218" s="1"/>
      <c r="Y218" s="1"/>
      <c r="Z218" s="1"/>
    </row>
    <row r="219" ht="9.75" customHeight="1">
      <c r="A219" s="1"/>
      <c r="B219" s="129" t="s">
        <v>521</v>
      </c>
      <c r="C219" s="87"/>
      <c r="D219" s="238">
        <v>2001.0</v>
      </c>
      <c r="E219" s="12">
        <f t="shared" ref="E219:E222" si="24">SUM(F219:J219)</f>
        <v>44820</v>
      </c>
      <c r="F219" s="12">
        <v>4294.0</v>
      </c>
      <c r="G219" s="12">
        <v>3995.0</v>
      </c>
      <c r="H219" s="12">
        <v>1115.0</v>
      </c>
      <c r="I219" s="12">
        <v>35416.0</v>
      </c>
      <c r="J219" s="12" t="s">
        <v>10</v>
      </c>
      <c r="K219" s="1"/>
      <c r="L219" s="1"/>
      <c r="M219" s="1"/>
      <c r="N219" s="1"/>
      <c r="O219" s="1"/>
      <c r="P219" s="1"/>
      <c r="Q219" s="1"/>
      <c r="R219" s="1"/>
      <c r="S219" s="1"/>
      <c r="T219" s="1"/>
      <c r="U219" s="1"/>
      <c r="V219" s="1"/>
      <c r="W219" s="1"/>
      <c r="X219" s="1"/>
      <c r="Y219" s="1"/>
      <c r="Z219" s="1"/>
    </row>
    <row r="220" ht="9.75" customHeight="1">
      <c r="A220" s="1"/>
      <c r="B220" s="271"/>
      <c r="C220" s="87"/>
      <c r="D220" s="238">
        <v>1996.0</v>
      </c>
      <c r="E220" s="12">
        <f t="shared" si="24"/>
        <v>40584</v>
      </c>
      <c r="F220" s="12">
        <v>4435.0</v>
      </c>
      <c r="G220" s="12">
        <v>3600.0</v>
      </c>
      <c r="H220" s="12">
        <v>1046.0</v>
      </c>
      <c r="I220" s="12">
        <v>31128.0</v>
      </c>
      <c r="J220" s="12">
        <v>375.0</v>
      </c>
      <c r="K220" s="1"/>
      <c r="L220" s="1"/>
      <c r="M220" s="1"/>
      <c r="N220" s="1"/>
      <c r="O220" s="1"/>
      <c r="P220" s="1"/>
      <c r="Q220" s="1"/>
      <c r="R220" s="1"/>
      <c r="S220" s="1"/>
      <c r="T220" s="1"/>
      <c r="U220" s="1"/>
      <c r="V220" s="1"/>
      <c r="W220" s="1"/>
      <c r="X220" s="1"/>
      <c r="Y220" s="1"/>
      <c r="Z220" s="1"/>
    </row>
    <row r="221" ht="9.75" customHeight="1">
      <c r="A221" s="1"/>
      <c r="B221" s="271"/>
      <c r="C221" s="277"/>
      <c r="D221" s="238">
        <v>1991.0</v>
      </c>
      <c r="E221" s="12">
        <f t="shared" si="24"/>
        <v>30987</v>
      </c>
      <c r="F221" s="12">
        <v>5068.0</v>
      </c>
      <c r="G221" s="12">
        <v>3286.0</v>
      </c>
      <c r="H221" s="12">
        <v>987.0</v>
      </c>
      <c r="I221" s="12">
        <v>21646.0</v>
      </c>
      <c r="J221" s="12" t="s">
        <v>10</v>
      </c>
      <c r="K221" s="1"/>
      <c r="L221" s="1"/>
      <c r="M221" s="1"/>
      <c r="N221" s="1"/>
      <c r="O221" s="1"/>
      <c r="P221" s="1"/>
      <c r="Q221" s="1"/>
      <c r="R221" s="1"/>
      <c r="S221" s="1"/>
      <c r="T221" s="1"/>
      <c r="U221" s="1"/>
      <c r="V221" s="1"/>
      <c r="W221" s="1"/>
      <c r="X221" s="1"/>
      <c r="Y221" s="1"/>
      <c r="Z221" s="1"/>
    </row>
    <row r="222" ht="9.75" customHeight="1">
      <c r="A222" s="1"/>
      <c r="B222" s="202"/>
      <c r="C222" s="94"/>
      <c r="D222" s="279">
        <v>1985.0</v>
      </c>
      <c r="E222" s="145">
        <f t="shared" si="24"/>
        <v>23386</v>
      </c>
      <c r="F222" s="145">
        <v>4569.0</v>
      </c>
      <c r="G222" s="145">
        <v>2833.0</v>
      </c>
      <c r="H222" s="145">
        <v>821.0</v>
      </c>
      <c r="I222" s="145">
        <v>15163.0</v>
      </c>
      <c r="J222" s="145" t="s">
        <v>10</v>
      </c>
      <c r="K222" s="1"/>
      <c r="L222" s="1"/>
      <c r="M222" s="1"/>
      <c r="N222" s="1"/>
      <c r="O222" s="1"/>
      <c r="P222" s="1"/>
      <c r="Q222" s="1"/>
      <c r="R222" s="1"/>
      <c r="S222" s="1"/>
      <c r="T222" s="1"/>
      <c r="U222" s="1"/>
      <c r="V222" s="1"/>
      <c r="W222" s="1"/>
      <c r="X222" s="1"/>
      <c r="Y222" s="1"/>
      <c r="Z222" s="1"/>
    </row>
    <row r="223" ht="12.0" customHeight="1">
      <c r="A223" s="1"/>
      <c r="B223" s="60" t="s">
        <v>530</v>
      </c>
      <c r="C223" s="186"/>
      <c r="D223" s="186"/>
      <c r="E223" s="186"/>
      <c r="F223" s="186"/>
      <c r="G223" s="1"/>
      <c r="H223" s="1"/>
      <c r="I223" s="1"/>
      <c r="J223" s="1"/>
      <c r="K223" s="1"/>
      <c r="L223" s="1"/>
      <c r="M223" s="1"/>
      <c r="N223" s="1"/>
      <c r="O223" s="1"/>
      <c r="P223" s="1"/>
      <c r="Q223" s="1"/>
      <c r="R223" s="1"/>
      <c r="S223" s="1"/>
      <c r="T223" s="1"/>
      <c r="U223" s="1"/>
      <c r="V223" s="1"/>
      <c r="W223" s="1"/>
      <c r="X223" s="1"/>
      <c r="Y223" s="1"/>
      <c r="Z223" s="1"/>
    </row>
    <row r="224" ht="6.0" customHeight="1">
      <c r="A224" s="1"/>
      <c r="B224" s="60"/>
      <c r="C224" s="186"/>
      <c r="D224" s="186"/>
      <c r="E224" s="186"/>
      <c r="F224" s="186"/>
      <c r="G224" s="1"/>
      <c r="H224" s="1"/>
      <c r="I224" s="1"/>
      <c r="J224" s="1"/>
      <c r="K224" s="1"/>
      <c r="L224" s="1"/>
      <c r="M224" s="1"/>
      <c r="N224" s="1"/>
      <c r="O224" s="1"/>
      <c r="P224" s="1"/>
      <c r="Q224" s="1"/>
      <c r="R224" s="1"/>
      <c r="S224" s="1"/>
      <c r="T224" s="1"/>
      <c r="U224" s="1"/>
      <c r="V224" s="1"/>
      <c r="W224" s="1"/>
      <c r="X224" s="1"/>
      <c r="Y224" s="1"/>
      <c r="Z224" s="1"/>
    </row>
    <row r="225" ht="9.75" customHeight="1">
      <c r="A225" s="1"/>
      <c r="B225" s="60" t="s">
        <v>531</v>
      </c>
      <c r="C225" s="186"/>
      <c r="D225" s="186"/>
      <c r="E225" s="186"/>
      <c r="F225" s="186"/>
      <c r="G225" s="1"/>
      <c r="H225" s="1"/>
      <c r="I225" s="1"/>
      <c r="J225" s="1"/>
      <c r="K225" s="1"/>
      <c r="L225" s="1"/>
      <c r="M225" s="1"/>
      <c r="N225" s="1"/>
      <c r="O225" s="1"/>
      <c r="P225" s="1"/>
      <c r="Q225" s="1"/>
      <c r="R225" s="1"/>
      <c r="S225" s="1"/>
      <c r="T225" s="1"/>
      <c r="U225" s="1"/>
      <c r="V225" s="1"/>
      <c r="W225" s="1"/>
      <c r="X225" s="1"/>
      <c r="Y225" s="1"/>
      <c r="Z225" s="1"/>
    </row>
    <row r="226" ht="9.75" customHeight="1">
      <c r="A226" s="1"/>
      <c r="B226" s="60" t="s">
        <v>532</v>
      </c>
      <c r="C226" s="186"/>
      <c r="D226" s="186"/>
      <c r="E226" s="186"/>
      <c r="F226" s="186"/>
      <c r="G226" s="1"/>
      <c r="H226" s="1"/>
      <c r="I226" s="1"/>
      <c r="J226" s="1"/>
      <c r="K226" s="1"/>
      <c r="L226" s="1"/>
      <c r="M226" s="1"/>
      <c r="N226" s="1"/>
      <c r="O226" s="1"/>
      <c r="P226" s="1"/>
      <c r="Q226" s="1"/>
      <c r="R226" s="1"/>
      <c r="S226" s="1"/>
      <c r="T226" s="1"/>
      <c r="U226" s="1"/>
      <c r="V226" s="1"/>
      <c r="W226" s="1"/>
      <c r="X226" s="1"/>
      <c r="Y226" s="1"/>
      <c r="Z226" s="1"/>
    </row>
    <row r="227" ht="9.75" customHeight="1">
      <c r="A227" s="1"/>
      <c r="B227" s="60" t="s">
        <v>533</v>
      </c>
      <c r="C227" s="186"/>
      <c r="D227" s="186"/>
      <c r="E227" s="186"/>
      <c r="F227" s="186"/>
      <c r="G227" s="1"/>
      <c r="H227" s="1"/>
      <c r="I227" s="1"/>
      <c r="J227" s="1"/>
      <c r="K227" s="1"/>
      <c r="L227" s="1"/>
      <c r="M227" s="1"/>
      <c r="N227" s="1"/>
      <c r="O227" s="1"/>
      <c r="P227" s="1"/>
      <c r="Q227" s="1"/>
      <c r="R227" s="1"/>
      <c r="S227" s="1"/>
      <c r="T227" s="1"/>
      <c r="U227" s="1"/>
      <c r="V227" s="1"/>
      <c r="W227" s="1"/>
      <c r="X227" s="1"/>
      <c r="Y227" s="1"/>
      <c r="Z227" s="1"/>
    </row>
    <row r="228" ht="9.75" customHeight="1">
      <c r="A228" s="1"/>
      <c r="B228" s="60" t="s">
        <v>534</v>
      </c>
      <c r="C228" s="186"/>
      <c r="D228" s="186"/>
      <c r="E228" s="186"/>
      <c r="F228" s="186"/>
      <c r="G228" s="1"/>
      <c r="H228" s="1"/>
      <c r="I228" s="1"/>
      <c r="J228" s="1"/>
      <c r="K228" s="1"/>
      <c r="L228" s="1"/>
      <c r="M228" s="1"/>
      <c r="N228" s="1"/>
      <c r="O228" s="1"/>
      <c r="P228" s="1"/>
      <c r="Q228" s="1"/>
      <c r="R228" s="1"/>
      <c r="S228" s="1"/>
      <c r="T228" s="1"/>
      <c r="U228" s="1"/>
      <c r="V228" s="1"/>
      <c r="W228" s="1"/>
      <c r="X228" s="1"/>
      <c r="Y228" s="1"/>
      <c r="Z228" s="1"/>
    </row>
    <row r="229" ht="9.75" customHeight="1">
      <c r="A229" s="1"/>
      <c r="B229" s="60" t="s">
        <v>535</v>
      </c>
      <c r="C229" s="186"/>
      <c r="D229" s="186"/>
      <c r="E229" s="186"/>
      <c r="F229" s="186"/>
      <c r="G229" s="1"/>
      <c r="H229" s="1"/>
      <c r="I229" s="1"/>
      <c r="J229" s="1"/>
      <c r="K229" s="1"/>
      <c r="L229" s="1"/>
      <c r="M229" s="1"/>
      <c r="N229" s="1"/>
      <c r="O229" s="1"/>
      <c r="P229" s="1"/>
      <c r="Q229" s="1"/>
      <c r="R229" s="1"/>
      <c r="S229" s="1"/>
      <c r="T229" s="1"/>
      <c r="U229" s="1"/>
      <c r="V229" s="1"/>
      <c r="W229" s="1"/>
      <c r="X229" s="1"/>
      <c r="Y229" s="1"/>
      <c r="Z229" s="1"/>
    </row>
    <row r="230" ht="9.75" customHeight="1">
      <c r="A230" s="1"/>
      <c r="B230" s="60" t="s">
        <v>536</v>
      </c>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6.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9.75" customHeight="1">
      <c r="A232" s="1"/>
      <c r="B232" s="1"/>
      <c r="C232" s="1"/>
      <c r="D232" s="1"/>
      <c r="E232" s="1"/>
      <c r="F232" s="108">
        <v>3.0</v>
      </c>
      <c r="G232" s="1"/>
      <c r="H232" s="1"/>
      <c r="I232" s="1"/>
      <c r="J232" s="1"/>
      <c r="K232" s="1"/>
      <c r="L232" s="1"/>
      <c r="M232" s="1"/>
      <c r="N232" s="1"/>
      <c r="O232" s="1"/>
      <c r="P232" s="1"/>
      <c r="Q232" s="1"/>
      <c r="R232" s="1"/>
      <c r="S232" s="1"/>
      <c r="T232" s="1"/>
      <c r="U232" s="1"/>
      <c r="V232" s="1"/>
      <c r="W232" s="1"/>
      <c r="X232" s="1"/>
      <c r="Y232" s="1"/>
      <c r="Z232" s="1"/>
    </row>
    <row r="233" ht="9.75" customHeight="1">
      <c r="A233" s="1"/>
      <c r="B233" s="1"/>
      <c r="C233" s="1"/>
      <c r="D233" s="1"/>
      <c r="E233" s="1"/>
      <c r="F233" s="1"/>
      <c r="G233" s="125"/>
      <c r="H233" s="1"/>
      <c r="I233" s="1"/>
      <c r="J233" s="1"/>
      <c r="K233" s="1"/>
      <c r="L233" s="1"/>
      <c r="M233" s="1"/>
      <c r="N233" s="1"/>
      <c r="O233" s="1"/>
      <c r="P233" s="1"/>
      <c r="Q233" s="1"/>
      <c r="R233" s="1"/>
      <c r="S233" s="1"/>
      <c r="T233" s="1"/>
      <c r="U233" s="1"/>
      <c r="V233" s="1"/>
      <c r="W233" s="1"/>
      <c r="X233" s="1"/>
      <c r="Y233" s="1"/>
      <c r="Z233" s="1"/>
    </row>
    <row r="234" ht="11.25" customHeight="1">
      <c r="A234" s="1"/>
      <c r="B234" s="1" t="s">
        <v>537</v>
      </c>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1.25" customHeight="1">
      <c r="A235" s="281"/>
      <c r="B235" s="31" t="s">
        <v>538</v>
      </c>
      <c r="C235" s="282" t="s">
        <v>2</v>
      </c>
      <c r="D235" s="283"/>
      <c r="E235" s="282" t="s">
        <v>3</v>
      </c>
      <c r="F235" s="283"/>
      <c r="G235" s="8" t="s">
        <v>539</v>
      </c>
      <c r="H235" s="10"/>
      <c r="I235" s="282" t="s">
        <v>230</v>
      </c>
      <c r="J235" s="196"/>
      <c r="K235" s="281"/>
      <c r="L235" s="281"/>
      <c r="M235" s="281"/>
      <c r="N235" s="281"/>
      <c r="O235" s="281"/>
      <c r="P235" s="281"/>
      <c r="Q235" s="281"/>
      <c r="R235" s="281"/>
      <c r="S235" s="281"/>
      <c r="T235" s="281"/>
      <c r="U235" s="281"/>
      <c r="V235" s="281"/>
      <c r="W235" s="281"/>
      <c r="X235" s="281"/>
      <c r="Y235" s="281"/>
      <c r="Z235" s="281"/>
    </row>
    <row r="236" ht="11.25" customHeight="1">
      <c r="A236" s="281"/>
      <c r="B236" s="6"/>
      <c r="C236" s="8" t="s">
        <v>9</v>
      </c>
      <c r="D236" s="9"/>
      <c r="E236" s="9"/>
      <c r="F236" s="9"/>
      <c r="G236" s="9"/>
      <c r="H236" s="9"/>
      <c r="I236" s="9"/>
      <c r="J236" s="10"/>
      <c r="K236" s="281"/>
      <c r="L236" s="281"/>
      <c r="M236" s="281"/>
      <c r="N236" s="281"/>
      <c r="O236" s="281"/>
      <c r="P236" s="281"/>
      <c r="Q236" s="281"/>
      <c r="R236" s="281"/>
      <c r="S236" s="281"/>
      <c r="T236" s="281"/>
      <c r="U236" s="281"/>
      <c r="V236" s="281"/>
      <c r="W236" s="281"/>
      <c r="X236" s="281"/>
      <c r="Y236" s="281"/>
      <c r="Z236" s="281"/>
    </row>
    <row r="237" ht="10.5" customHeight="1">
      <c r="A237" s="281"/>
      <c r="B237" s="238" t="s">
        <v>540</v>
      </c>
      <c r="C237" s="284">
        <f t="shared" ref="C237:C238" si="25">SUM(D237:I237)</f>
        <v>1433.5</v>
      </c>
      <c r="D237" s="285"/>
      <c r="E237" s="284">
        <v>13.7</v>
      </c>
      <c r="F237" s="285"/>
      <c r="G237" s="287">
        <v>223.9</v>
      </c>
      <c r="H237" s="285"/>
      <c r="I237" s="284">
        <v>1195.9</v>
      </c>
      <c r="J237" s="288"/>
      <c r="K237" s="281"/>
      <c r="L237" s="281"/>
      <c r="M237" s="281"/>
      <c r="N237" s="281"/>
      <c r="O237" s="281"/>
      <c r="P237" s="281"/>
      <c r="Q237" s="281"/>
      <c r="R237" s="281"/>
      <c r="S237" s="281"/>
      <c r="T237" s="281"/>
      <c r="U237" s="281"/>
      <c r="V237" s="281"/>
      <c r="W237" s="281"/>
      <c r="X237" s="281"/>
      <c r="Y237" s="281"/>
      <c r="Z237" s="281"/>
    </row>
    <row r="238" ht="10.5" customHeight="1">
      <c r="A238" s="281"/>
      <c r="B238" s="238" t="s">
        <v>541</v>
      </c>
      <c r="C238" s="284">
        <f t="shared" si="25"/>
        <v>1280</v>
      </c>
      <c r="D238" s="285"/>
      <c r="E238" s="284">
        <v>14.7</v>
      </c>
      <c r="F238" s="285"/>
      <c r="G238" s="284">
        <v>204.2</v>
      </c>
      <c r="H238" s="285"/>
      <c r="I238" s="284">
        <v>1061.1</v>
      </c>
      <c r="J238" s="180"/>
      <c r="K238" s="281"/>
      <c r="L238" s="281"/>
      <c r="M238" s="281"/>
      <c r="N238" s="281"/>
      <c r="O238" s="281"/>
      <c r="P238" s="281"/>
      <c r="Q238" s="281"/>
      <c r="R238" s="281"/>
      <c r="S238" s="281"/>
      <c r="T238" s="281"/>
      <c r="U238" s="281"/>
      <c r="V238" s="281"/>
      <c r="W238" s="281"/>
      <c r="X238" s="281"/>
      <c r="Y238" s="281"/>
      <c r="Z238" s="281"/>
    </row>
    <row r="239" ht="10.5" customHeight="1">
      <c r="A239" s="281"/>
      <c r="B239" s="238" t="s">
        <v>542</v>
      </c>
      <c r="C239" s="284">
        <v>1247.0</v>
      </c>
      <c r="D239" s="285"/>
      <c r="E239" s="284" t="s">
        <v>10</v>
      </c>
      <c r="F239" s="285"/>
      <c r="G239" s="284" t="s">
        <v>10</v>
      </c>
      <c r="H239" s="285"/>
      <c r="I239" s="284" t="s">
        <v>10</v>
      </c>
      <c r="J239" s="180"/>
      <c r="K239" s="281"/>
      <c r="L239" s="281"/>
      <c r="M239" s="281"/>
      <c r="N239" s="281"/>
      <c r="O239" s="281"/>
      <c r="P239" s="281"/>
      <c r="Q239" s="281"/>
      <c r="R239" s="281"/>
      <c r="S239" s="281"/>
      <c r="T239" s="281"/>
      <c r="U239" s="281"/>
      <c r="V239" s="281"/>
      <c r="W239" s="281"/>
      <c r="X239" s="281"/>
      <c r="Y239" s="281"/>
      <c r="Z239" s="281"/>
    </row>
    <row r="240" ht="10.5" customHeight="1">
      <c r="A240" s="281"/>
      <c r="B240" s="238" t="s">
        <v>543</v>
      </c>
      <c r="C240" s="284">
        <f t="shared" ref="C240:C255" si="26">SUM(D240:I240)</f>
        <v>1292.9</v>
      </c>
      <c r="D240" s="285"/>
      <c r="E240" s="284">
        <v>14.8</v>
      </c>
      <c r="F240" s="285"/>
      <c r="G240" s="284">
        <v>213.6</v>
      </c>
      <c r="H240" s="285"/>
      <c r="I240" s="284">
        <v>1064.5</v>
      </c>
      <c r="J240" s="180"/>
      <c r="K240" s="281"/>
      <c r="L240" s="281"/>
      <c r="M240" s="281"/>
      <c r="N240" s="281"/>
      <c r="O240" s="281"/>
      <c r="P240" s="281"/>
      <c r="Q240" s="281"/>
      <c r="R240" s="281"/>
      <c r="S240" s="281"/>
      <c r="T240" s="281"/>
      <c r="U240" s="281"/>
      <c r="V240" s="281"/>
      <c r="W240" s="281"/>
      <c r="X240" s="281"/>
      <c r="Y240" s="281"/>
      <c r="Z240" s="281"/>
    </row>
    <row r="241" ht="10.5" customHeight="1">
      <c r="A241" s="281"/>
      <c r="B241" s="238" t="s">
        <v>544</v>
      </c>
      <c r="C241" s="284">
        <f t="shared" si="26"/>
        <v>1320</v>
      </c>
      <c r="D241" s="285"/>
      <c r="E241" s="284">
        <v>15.3</v>
      </c>
      <c r="F241" s="285"/>
      <c r="G241" s="284">
        <v>221.6</v>
      </c>
      <c r="H241" s="285"/>
      <c r="I241" s="284">
        <v>1083.1</v>
      </c>
      <c r="J241" s="180"/>
      <c r="K241" s="281"/>
      <c r="L241" s="281"/>
      <c r="M241" s="281"/>
      <c r="N241" s="281"/>
      <c r="O241" s="281"/>
      <c r="P241" s="281"/>
      <c r="Q241" s="281"/>
      <c r="R241" s="281"/>
      <c r="S241" s="281"/>
      <c r="T241" s="281"/>
      <c r="U241" s="281"/>
      <c r="V241" s="281"/>
      <c r="W241" s="281"/>
      <c r="X241" s="281"/>
      <c r="Y241" s="281"/>
      <c r="Z241" s="281"/>
    </row>
    <row r="242" ht="10.5" customHeight="1">
      <c r="A242" s="281"/>
      <c r="B242" s="238" t="s">
        <v>545</v>
      </c>
      <c r="C242" s="284">
        <f t="shared" si="26"/>
        <v>1235.2</v>
      </c>
      <c r="D242" s="285"/>
      <c r="E242" s="284">
        <v>14.2</v>
      </c>
      <c r="F242" s="285"/>
      <c r="G242" s="284">
        <v>210.3</v>
      </c>
      <c r="H242" s="285"/>
      <c r="I242" s="284">
        <v>1010.7</v>
      </c>
      <c r="J242" s="180"/>
      <c r="K242" s="281"/>
      <c r="L242" s="281"/>
      <c r="M242" s="281"/>
      <c r="N242" s="281"/>
      <c r="O242" s="281"/>
      <c r="P242" s="281"/>
      <c r="Q242" s="281"/>
      <c r="R242" s="281"/>
      <c r="S242" s="281"/>
      <c r="T242" s="281"/>
      <c r="U242" s="281"/>
      <c r="V242" s="281"/>
      <c r="W242" s="281"/>
      <c r="X242" s="281"/>
      <c r="Y242" s="281"/>
      <c r="Z242" s="281"/>
    </row>
    <row r="243" ht="10.5" customHeight="1">
      <c r="A243" s="281"/>
      <c r="B243" s="238" t="s">
        <v>546</v>
      </c>
      <c r="C243" s="284">
        <f t="shared" si="26"/>
        <v>1146.3</v>
      </c>
      <c r="D243" s="285"/>
      <c r="E243" s="284">
        <v>13.6</v>
      </c>
      <c r="F243" s="285"/>
      <c r="G243" s="284">
        <v>202.3</v>
      </c>
      <c r="H243" s="285"/>
      <c r="I243" s="284">
        <v>930.4</v>
      </c>
      <c r="J243" s="180"/>
      <c r="K243" s="281"/>
      <c r="L243" s="281"/>
      <c r="M243" s="281"/>
      <c r="N243" s="281"/>
      <c r="O243" s="281"/>
      <c r="P243" s="281"/>
      <c r="Q243" s="281"/>
      <c r="R243" s="281"/>
      <c r="S243" s="281"/>
      <c r="T243" s="281"/>
      <c r="U243" s="281"/>
      <c r="V243" s="281"/>
      <c r="W243" s="281"/>
      <c r="X243" s="281"/>
      <c r="Y243" s="281"/>
      <c r="Z243" s="281"/>
    </row>
    <row r="244" ht="10.5" customHeight="1">
      <c r="A244" s="281"/>
      <c r="B244" s="238" t="s">
        <v>547</v>
      </c>
      <c r="C244" s="284">
        <f t="shared" si="26"/>
        <v>1131.6</v>
      </c>
      <c r="D244" s="285"/>
      <c r="E244" s="284">
        <v>13.8</v>
      </c>
      <c r="F244" s="285"/>
      <c r="G244" s="284">
        <v>206.1</v>
      </c>
      <c r="H244" s="285"/>
      <c r="I244" s="284">
        <v>911.7</v>
      </c>
      <c r="J244" s="180"/>
      <c r="K244" s="281"/>
      <c r="L244" s="281"/>
      <c r="M244" s="281"/>
      <c r="N244" s="281"/>
      <c r="O244" s="281"/>
      <c r="P244" s="281"/>
      <c r="Q244" s="281"/>
      <c r="R244" s="281"/>
      <c r="S244" s="281"/>
      <c r="T244" s="281"/>
      <c r="U244" s="281"/>
      <c r="V244" s="281"/>
      <c r="W244" s="281"/>
      <c r="X244" s="281"/>
      <c r="Y244" s="281"/>
      <c r="Z244" s="281"/>
    </row>
    <row r="245" ht="10.5" customHeight="1">
      <c r="A245" s="281"/>
      <c r="B245" s="238" t="s">
        <v>548</v>
      </c>
      <c r="C245" s="284">
        <f t="shared" si="26"/>
        <v>1323.7</v>
      </c>
      <c r="D245" s="285"/>
      <c r="E245" s="284">
        <v>17.3</v>
      </c>
      <c r="F245" s="285"/>
      <c r="G245" s="284">
        <v>229.9</v>
      </c>
      <c r="H245" s="285"/>
      <c r="I245" s="284">
        <v>1076.5</v>
      </c>
      <c r="J245" s="180"/>
      <c r="K245" s="281"/>
      <c r="L245" s="281"/>
      <c r="M245" s="281"/>
      <c r="N245" s="281"/>
      <c r="O245" s="281"/>
      <c r="P245" s="281"/>
      <c r="Q245" s="281"/>
      <c r="R245" s="281"/>
      <c r="S245" s="281"/>
      <c r="T245" s="281"/>
      <c r="U245" s="281"/>
      <c r="V245" s="281"/>
      <c r="W245" s="281"/>
      <c r="X245" s="281"/>
      <c r="Y245" s="281"/>
      <c r="Z245" s="281"/>
    </row>
    <row r="246" ht="10.5" customHeight="1">
      <c r="A246" s="281"/>
      <c r="B246" s="238" t="s">
        <v>549</v>
      </c>
      <c r="C246" s="284">
        <f t="shared" si="26"/>
        <v>1351.6</v>
      </c>
      <c r="D246" s="285"/>
      <c r="E246" s="284">
        <v>18.7</v>
      </c>
      <c r="F246" s="285"/>
      <c r="G246" s="284">
        <v>251.1</v>
      </c>
      <c r="H246" s="285"/>
      <c r="I246" s="284">
        <v>1081.8</v>
      </c>
      <c r="J246" s="180"/>
      <c r="K246" s="281"/>
      <c r="L246" s="281"/>
      <c r="M246" s="281"/>
      <c r="N246" s="281"/>
      <c r="O246" s="281"/>
      <c r="P246" s="281"/>
      <c r="Q246" s="281"/>
      <c r="R246" s="281"/>
      <c r="S246" s="281"/>
      <c r="T246" s="281"/>
      <c r="U246" s="281"/>
      <c r="V246" s="281"/>
      <c r="W246" s="281"/>
      <c r="X246" s="281"/>
      <c r="Y246" s="281"/>
      <c r="Z246" s="281"/>
    </row>
    <row r="247" ht="10.5" customHeight="1">
      <c r="A247" s="281"/>
      <c r="B247" s="238" t="s">
        <v>550</v>
      </c>
      <c r="C247" s="284">
        <f t="shared" si="26"/>
        <v>1354.6</v>
      </c>
      <c r="D247" s="285"/>
      <c r="E247" s="284">
        <v>17.8</v>
      </c>
      <c r="F247" s="285"/>
      <c r="G247" s="284">
        <v>254.7</v>
      </c>
      <c r="H247" s="285"/>
      <c r="I247" s="284">
        <v>1082.1</v>
      </c>
      <c r="J247" s="180"/>
      <c r="K247" s="281"/>
      <c r="L247" s="281"/>
      <c r="M247" s="281"/>
      <c r="N247" s="281"/>
      <c r="O247" s="281"/>
      <c r="P247" s="281"/>
      <c r="Q247" s="281"/>
      <c r="R247" s="281"/>
      <c r="S247" s="281"/>
      <c r="T247" s="281"/>
      <c r="U247" s="281"/>
      <c r="V247" s="281"/>
      <c r="W247" s="281"/>
      <c r="X247" s="281"/>
      <c r="Y247" s="281"/>
      <c r="Z247" s="281"/>
    </row>
    <row r="248" ht="10.5" customHeight="1">
      <c r="A248" s="281"/>
      <c r="B248" s="238" t="s">
        <v>551</v>
      </c>
      <c r="C248" s="284">
        <f t="shared" si="26"/>
        <v>1219.6</v>
      </c>
      <c r="D248" s="285"/>
      <c r="E248" s="284">
        <v>16.7</v>
      </c>
      <c r="F248" s="285"/>
      <c r="G248" s="284">
        <v>221.4</v>
      </c>
      <c r="H248" s="285"/>
      <c r="I248" s="284">
        <v>981.5</v>
      </c>
      <c r="J248" s="180"/>
      <c r="K248" s="281"/>
      <c r="L248" s="281"/>
      <c r="M248" s="281"/>
      <c r="N248" s="281"/>
      <c r="O248" s="281"/>
      <c r="P248" s="281"/>
      <c r="Q248" s="281"/>
      <c r="R248" s="281"/>
      <c r="S248" s="281"/>
      <c r="T248" s="281"/>
      <c r="U248" s="281"/>
      <c r="V248" s="281"/>
      <c r="W248" s="281"/>
      <c r="X248" s="281"/>
      <c r="Y248" s="281"/>
      <c r="Z248" s="281"/>
    </row>
    <row r="249" ht="10.5" customHeight="1">
      <c r="A249" s="281"/>
      <c r="B249" s="238" t="s">
        <v>552</v>
      </c>
      <c r="C249" s="284">
        <f t="shared" si="26"/>
        <v>1184.7</v>
      </c>
      <c r="D249" s="285"/>
      <c r="E249" s="284">
        <v>16.8</v>
      </c>
      <c r="F249" s="285"/>
      <c r="G249" s="284">
        <v>255.3</v>
      </c>
      <c r="H249" s="285"/>
      <c r="I249" s="284">
        <v>912.6</v>
      </c>
      <c r="J249" s="180"/>
      <c r="K249" s="281"/>
      <c r="L249" s="281"/>
      <c r="M249" s="281"/>
      <c r="N249" s="281"/>
      <c r="O249" s="281"/>
      <c r="P249" s="281"/>
      <c r="Q249" s="281"/>
      <c r="R249" s="281"/>
      <c r="S249" s="281"/>
      <c r="T249" s="281"/>
      <c r="U249" s="281"/>
      <c r="V249" s="281"/>
      <c r="W249" s="281"/>
      <c r="X249" s="281"/>
      <c r="Y249" s="281"/>
      <c r="Z249" s="281"/>
    </row>
    <row r="250" ht="10.5" customHeight="1">
      <c r="A250" s="281"/>
      <c r="B250" s="238" t="s">
        <v>553</v>
      </c>
      <c r="C250" s="284">
        <f t="shared" si="26"/>
        <v>1115.3</v>
      </c>
      <c r="D250" s="285"/>
      <c r="E250" s="284">
        <v>16.1</v>
      </c>
      <c r="F250" s="285"/>
      <c r="G250" s="284">
        <v>216.8</v>
      </c>
      <c r="H250" s="285"/>
      <c r="I250" s="284">
        <v>882.4</v>
      </c>
      <c r="J250" s="180"/>
      <c r="K250" s="281"/>
      <c r="L250" s="281"/>
      <c r="M250" s="281"/>
      <c r="N250" s="281"/>
      <c r="O250" s="281"/>
      <c r="P250" s="281"/>
      <c r="Q250" s="281"/>
      <c r="R250" s="281"/>
      <c r="S250" s="281"/>
      <c r="T250" s="281"/>
      <c r="U250" s="281"/>
      <c r="V250" s="281"/>
      <c r="W250" s="281"/>
      <c r="X250" s="281"/>
      <c r="Y250" s="281"/>
      <c r="Z250" s="281"/>
    </row>
    <row r="251" ht="10.5" customHeight="1">
      <c r="A251" s="281"/>
      <c r="B251" s="238" t="s">
        <v>555</v>
      </c>
      <c r="C251" s="284">
        <f t="shared" si="26"/>
        <v>1051.2</v>
      </c>
      <c r="D251" s="285"/>
      <c r="E251" s="284">
        <v>14.9</v>
      </c>
      <c r="F251" s="285"/>
      <c r="G251" s="284">
        <v>210.9</v>
      </c>
      <c r="H251" s="285"/>
      <c r="I251" s="284">
        <v>825.4</v>
      </c>
      <c r="J251" s="180"/>
      <c r="K251" s="281"/>
      <c r="L251" s="281"/>
      <c r="M251" s="281"/>
      <c r="N251" s="281"/>
      <c r="O251" s="281"/>
      <c r="P251" s="281"/>
      <c r="Q251" s="281"/>
      <c r="R251" s="281"/>
      <c r="S251" s="281"/>
      <c r="T251" s="281"/>
      <c r="U251" s="281"/>
      <c r="V251" s="281"/>
      <c r="W251" s="281"/>
      <c r="X251" s="281"/>
      <c r="Y251" s="281"/>
      <c r="Z251" s="281"/>
    </row>
    <row r="252" ht="10.5" customHeight="1">
      <c r="A252" s="281"/>
      <c r="B252" s="238" t="s">
        <v>556</v>
      </c>
      <c r="C252" s="284">
        <f t="shared" si="26"/>
        <v>1093.3</v>
      </c>
      <c r="D252" s="285"/>
      <c r="E252" s="284">
        <v>16.0</v>
      </c>
      <c r="F252" s="285"/>
      <c r="G252" s="284">
        <v>236.5</v>
      </c>
      <c r="H252" s="285"/>
      <c r="I252" s="284">
        <v>840.8</v>
      </c>
      <c r="J252" s="180"/>
      <c r="K252" s="281"/>
      <c r="L252" s="281"/>
      <c r="M252" s="281"/>
      <c r="N252" s="281"/>
      <c r="O252" s="281"/>
      <c r="P252" s="281"/>
      <c r="Q252" s="281"/>
      <c r="R252" s="281"/>
      <c r="S252" s="281"/>
      <c r="T252" s="281"/>
      <c r="U252" s="281"/>
      <c r="V252" s="281"/>
      <c r="W252" s="281"/>
      <c r="X252" s="281"/>
      <c r="Y252" s="281"/>
      <c r="Z252" s="281"/>
    </row>
    <row r="253" ht="10.5" customHeight="1">
      <c r="A253" s="281"/>
      <c r="B253" s="238" t="s">
        <v>558</v>
      </c>
      <c r="C253" s="284">
        <f t="shared" si="26"/>
        <v>921.7</v>
      </c>
      <c r="D253" s="285"/>
      <c r="E253" s="284">
        <v>20.2</v>
      </c>
      <c r="F253" s="285"/>
      <c r="G253" s="284">
        <v>209.4</v>
      </c>
      <c r="H253" s="285"/>
      <c r="I253" s="284">
        <v>692.1</v>
      </c>
      <c r="J253" s="180"/>
      <c r="K253" s="281"/>
      <c r="L253" s="281"/>
      <c r="M253" s="281"/>
      <c r="N253" s="281"/>
      <c r="O253" s="281"/>
      <c r="P253" s="281"/>
      <c r="Q253" s="281"/>
      <c r="R253" s="281"/>
      <c r="S253" s="281"/>
      <c r="T253" s="281"/>
      <c r="U253" s="281"/>
      <c r="V253" s="281"/>
      <c r="W253" s="281"/>
      <c r="X253" s="281"/>
      <c r="Y253" s="281"/>
      <c r="Z253" s="281"/>
    </row>
    <row r="254" ht="10.5" customHeight="1">
      <c r="A254" s="281"/>
      <c r="B254" s="238" t="s">
        <v>562</v>
      </c>
      <c r="C254" s="284">
        <f t="shared" si="26"/>
        <v>891</v>
      </c>
      <c r="D254" s="285"/>
      <c r="E254" s="284">
        <v>19.7</v>
      </c>
      <c r="F254" s="285"/>
      <c r="G254" s="284">
        <v>197.4</v>
      </c>
      <c r="H254" s="285"/>
      <c r="I254" s="284">
        <v>673.9</v>
      </c>
      <c r="J254" s="180"/>
      <c r="K254" s="281"/>
      <c r="L254" s="281"/>
      <c r="M254" s="281"/>
      <c r="N254" s="281"/>
      <c r="O254" s="281"/>
      <c r="P254" s="281"/>
      <c r="Q254" s="281"/>
      <c r="R254" s="281"/>
      <c r="S254" s="281"/>
      <c r="T254" s="281"/>
      <c r="U254" s="281"/>
      <c r="V254" s="281"/>
      <c r="W254" s="281"/>
      <c r="X254" s="281"/>
      <c r="Y254" s="281"/>
      <c r="Z254" s="281"/>
    </row>
    <row r="255" ht="10.5" customHeight="1">
      <c r="A255" s="281"/>
      <c r="B255" s="238" t="s">
        <v>565</v>
      </c>
      <c r="C255" s="284">
        <f t="shared" si="26"/>
        <v>914.5</v>
      </c>
      <c r="D255" s="285"/>
      <c r="E255" s="284">
        <v>20.3</v>
      </c>
      <c r="F255" s="285"/>
      <c r="G255" s="284">
        <v>205.2</v>
      </c>
      <c r="H255" s="285"/>
      <c r="I255" s="284">
        <v>689.0</v>
      </c>
      <c r="J255" s="180"/>
      <c r="K255" s="281"/>
      <c r="L255" s="281"/>
      <c r="M255" s="281"/>
      <c r="N255" s="281"/>
      <c r="O255" s="281"/>
      <c r="P255" s="281"/>
      <c r="Q255" s="281"/>
      <c r="R255" s="281"/>
      <c r="S255" s="281"/>
      <c r="T255" s="281"/>
      <c r="U255" s="281"/>
      <c r="V255" s="281"/>
      <c r="W255" s="281"/>
      <c r="X255" s="281"/>
      <c r="Y255" s="281"/>
      <c r="Z255" s="281"/>
    </row>
    <row r="256" ht="10.5" customHeight="1">
      <c r="A256" s="281"/>
      <c r="B256" s="238">
        <v>2002.0</v>
      </c>
      <c r="C256" s="284">
        <v>940.8</v>
      </c>
      <c r="D256" s="294"/>
      <c r="E256" s="295" t="s">
        <v>10</v>
      </c>
      <c r="F256" s="294"/>
      <c r="G256" s="295" t="s">
        <v>10</v>
      </c>
      <c r="H256" s="294"/>
      <c r="I256" s="295" t="s">
        <v>10</v>
      </c>
      <c r="J256" s="180"/>
      <c r="K256" s="281"/>
      <c r="L256" s="281"/>
      <c r="M256" s="281"/>
      <c r="N256" s="281"/>
      <c r="O256" s="281"/>
      <c r="P256" s="281"/>
      <c r="Q256" s="281"/>
      <c r="R256" s="281"/>
      <c r="S256" s="281"/>
      <c r="T256" s="281"/>
      <c r="U256" s="281"/>
      <c r="V256" s="281"/>
      <c r="W256" s="281"/>
      <c r="X256" s="281"/>
      <c r="Y256" s="281"/>
      <c r="Z256" s="281"/>
    </row>
    <row r="257" ht="10.5" customHeight="1">
      <c r="A257" s="281"/>
      <c r="B257" s="238">
        <v>2005.0</v>
      </c>
      <c r="C257" s="284">
        <v>628.2</v>
      </c>
      <c r="D257" s="294"/>
      <c r="E257" s="295" t="s">
        <v>10</v>
      </c>
      <c r="F257" s="294"/>
      <c r="G257" s="295" t="s">
        <v>10</v>
      </c>
      <c r="H257" s="294"/>
      <c r="I257" s="295" t="s">
        <v>10</v>
      </c>
      <c r="J257" s="180"/>
      <c r="K257" s="281"/>
      <c r="L257" s="281"/>
      <c r="M257" s="281"/>
      <c r="N257" s="281"/>
      <c r="O257" s="281"/>
      <c r="P257" s="281"/>
      <c r="Q257" s="281"/>
      <c r="R257" s="281"/>
      <c r="S257" s="281"/>
      <c r="T257" s="281"/>
      <c r="U257" s="281"/>
      <c r="V257" s="281"/>
      <c r="W257" s="281"/>
      <c r="X257" s="281"/>
      <c r="Y257" s="281"/>
      <c r="Z257" s="281"/>
    </row>
    <row r="258" ht="10.5" customHeight="1">
      <c r="A258" s="281"/>
      <c r="B258" s="279" t="s">
        <v>569</v>
      </c>
      <c r="C258" s="296">
        <v>773.9</v>
      </c>
      <c r="D258" s="297"/>
      <c r="E258" s="296" t="s">
        <v>10</v>
      </c>
      <c r="F258" s="297"/>
      <c r="G258" s="296" t="s">
        <v>10</v>
      </c>
      <c r="H258" s="297"/>
      <c r="I258" s="296" t="s">
        <v>10</v>
      </c>
      <c r="J258" s="298"/>
      <c r="K258" s="281"/>
      <c r="L258" s="281"/>
      <c r="M258" s="281"/>
      <c r="N258" s="281"/>
      <c r="O258" s="281"/>
      <c r="P258" s="281"/>
      <c r="Q258" s="281"/>
      <c r="R258" s="281"/>
      <c r="S258" s="281"/>
      <c r="T258" s="281"/>
      <c r="U258" s="281"/>
      <c r="V258" s="281"/>
      <c r="W258" s="281"/>
      <c r="X258" s="281"/>
      <c r="Y258" s="281"/>
      <c r="Z258" s="281"/>
    </row>
    <row r="259" ht="12.0" customHeight="1">
      <c r="A259" s="281"/>
      <c r="B259" s="152" t="s">
        <v>570</v>
      </c>
      <c r="C259" s="299"/>
      <c r="D259" s="281"/>
      <c r="E259" s="281"/>
      <c r="F259" s="281"/>
      <c r="G259" s="281"/>
      <c r="H259" s="281"/>
      <c r="I259" s="281"/>
      <c r="J259" s="281"/>
      <c r="K259" s="300" t="s">
        <v>11</v>
      </c>
      <c r="L259" s="281"/>
      <c r="M259" s="281"/>
      <c r="N259" s="281"/>
      <c r="O259" s="281"/>
      <c r="P259" s="281"/>
      <c r="Q259" s="281"/>
      <c r="R259" s="281"/>
      <c r="S259" s="281"/>
      <c r="T259" s="281"/>
      <c r="U259" s="281"/>
      <c r="V259" s="281"/>
      <c r="W259" s="281"/>
      <c r="X259" s="281"/>
      <c r="Y259" s="281"/>
      <c r="Z259" s="281"/>
    </row>
    <row r="260" ht="10.5" customHeight="1">
      <c r="A260" s="281" t="s">
        <v>11</v>
      </c>
      <c r="B260" s="30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row>
    <row r="261" ht="10.5" customHeight="1">
      <c r="A261" s="281"/>
      <c r="B261" s="301" t="s">
        <v>571</v>
      </c>
      <c r="C261" s="281"/>
      <c r="D261" s="281"/>
      <c r="E261" s="281"/>
      <c r="F261" s="281"/>
      <c r="G261" s="281"/>
      <c r="H261" s="302"/>
      <c r="I261" s="302"/>
      <c r="J261" s="281"/>
      <c r="K261" s="281"/>
      <c r="L261" s="281"/>
      <c r="M261" s="281"/>
      <c r="N261" s="281"/>
      <c r="O261" s="281"/>
      <c r="P261" s="281"/>
      <c r="Q261" s="281"/>
      <c r="R261" s="281"/>
      <c r="S261" s="281"/>
      <c r="T261" s="281"/>
      <c r="U261" s="281"/>
      <c r="V261" s="281"/>
      <c r="W261" s="281"/>
      <c r="X261" s="281"/>
      <c r="Y261" s="281"/>
      <c r="Z261" s="281"/>
    </row>
    <row r="262" ht="11.25" customHeight="1">
      <c r="A262" s="281"/>
      <c r="B262" s="304" t="s">
        <v>573</v>
      </c>
      <c r="C262" s="70"/>
      <c r="D262" s="305" t="s">
        <v>575</v>
      </c>
      <c r="E262" s="305" t="s">
        <v>577</v>
      </c>
      <c r="F262" s="305" t="s">
        <v>578</v>
      </c>
      <c r="G262" s="305" t="s">
        <v>579</v>
      </c>
      <c r="H262" s="307" t="s">
        <v>580</v>
      </c>
      <c r="I262" s="307" t="s">
        <v>582</v>
      </c>
      <c r="J262" s="305" t="s">
        <v>583</v>
      </c>
      <c r="K262" s="305" t="s">
        <v>584</v>
      </c>
      <c r="L262" s="308" t="s">
        <v>585</v>
      </c>
      <c r="M262" s="308" t="s">
        <v>588</v>
      </c>
      <c r="N262" s="308" t="s">
        <v>589</v>
      </c>
      <c r="O262" s="281"/>
      <c r="P262" s="281"/>
      <c r="Q262" s="281"/>
      <c r="R262" s="281"/>
      <c r="S262" s="281"/>
      <c r="T262" s="281"/>
      <c r="U262" s="281"/>
      <c r="V262" s="281"/>
      <c r="W262" s="281"/>
      <c r="X262" s="281"/>
      <c r="Y262" s="281"/>
      <c r="Z262" s="281"/>
    </row>
    <row r="263" ht="11.25" customHeight="1">
      <c r="A263" s="281"/>
      <c r="B263" s="118"/>
      <c r="C263" s="94"/>
      <c r="D263" s="310" t="s">
        <v>9</v>
      </c>
      <c r="E263" s="9"/>
      <c r="F263" s="9"/>
      <c r="G263" s="9"/>
      <c r="H263" s="9"/>
      <c r="I263" s="9"/>
      <c r="J263" s="9"/>
      <c r="K263" s="9"/>
      <c r="L263" s="9"/>
      <c r="M263" s="9"/>
      <c r="N263" s="10"/>
      <c r="O263" s="281"/>
      <c r="P263" s="281"/>
      <c r="Q263" s="281"/>
      <c r="R263" s="281"/>
      <c r="S263" s="281"/>
      <c r="T263" s="281"/>
      <c r="U263" s="281"/>
      <c r="V263" s="281"/>
      <c r="W263" s="281"/>
      <c r="X263" s="281"/>
      <c r="Y263" s="281"/>
      <c r="Z263" s="281"/>
    </row>
    <row r="264" ht="20.25" customHeight="1">
      <c r="A264" s="1"/>
      <c r="B264" s="313" t="s">
        <v>593</v>
      </c>
      <c r="C264" s="10"/>
      <c r="D264" s="314">
        <v>1041.0</v>
      </c>
      <c r="E264" s="315">
        <v>767.0</v>
      </c>
      <c r="F264" s="315">
        <v>653.0</v>
      </c>
      <c r="G264" s="317">
        <v>640.0</v>
      </c>
      <c r="H264" s="315">
        <v>624.0</v>
      </c>
      <c r="I264" s="315">
        <v>661.0</v>
      </c>
      <c r="J264" s="315">
        <v>740.0</v>
      </c>
      <c r="K264" s="315">
        <v>686.0</v>
      </c>
      <c r="L264" s="318">
        <v>897.0</v>
      </c>
      <c r="M264" s="318">
        <v>881.0</v>
      </c>
      <c r="N264" s="318">
        <v>849.0</v>
      </c>
      <c r="O264" s="1"/>
      <c r="P264" s="1"/>
      <c r="Q264" s="1"/>
      <c r="R264" s="1"/>
      <c r="S264" s="1"/>
      <c r="T264" s="1"/>
      <c r="U264" s="1"/>
      <c r="V264" s="1"/>
      <c r="W264" s="1"/>
      <c r="X264" s="1"/>
      <c r="Y264" s="1"/>
      <c r="Z264" s="1"/>
    </row>
    <row r="265" ht="10.5" customHeight="1">
      <c r="A265" s="281"/>
      <c r="B265" s="313" t="s">
        <v>599</v>
      </c>
      <c r="C265" s="10"/>
      <c r="D265" s="314">
        <v>341.0</v>
      </c>
      <c r="E265" s="184">
        <v>99.0</v>
      </c>
      <c r="F265" s="184">
        <v>72.0</v>
      </c>
      <c r="G265" s="184">
        <v>76.0</v>
      </c>
      <c r="H265" s="184">
        <v>61.0</v>
      </c>
      <c r="I265" s="315">
        <v>67.0</v>
      </c>
      <c r="J265" s="315">
        <v>67.0</v>
      </c>
      <c r="K265" s="315">
        <v>86.0</v>
      </c>
      <c r="L265" s="265">
        <v>99.0</v>
      </c>
      <c r="M265" s="265">
        <v>72.0</v>
      </c>
      <c r="N265" s="265">
        <v>83.0</v>
      </c>
      <c r="O265" s="281"/>
      <c r="P265" s="281"/>
      <c r="Q265" s="281"/>
      <c r="R265" s="281"/>
      <c r="S265" s="281"/>
      <c r="T265" s="281"/>
      <c r="U265" s="281"/>
      <c r="V265" s="281"/>
      <c r="W265" s="281"/>
      <c r="X265" s="281"/>
      <c r="Y265" s="281"/>
      <c r="Z265" s="281"/>
    </row>
    <row r="266" ht="10.5" customHeight="1">
      <c r="A266" s="281"/>
      <c r="B266" s="319" t="s">
        <v>601</v>
      </c>
      <c r="C266" s="94"/>
      <c r="D266" s="261">
        <v>13306.0</v>
      </c>
      <c r="E266" s="184">
        <v>13655.0</v>
      </c>
      <c r="F266" s="184">
        <v>13844.0</v>
      </c>
      <c r="G266" s="184">
        <v>12975.0</v>
      </c>
      <c r="H266" s="184">
        <v>13318.0</v>
      </c>
      <c r="I266" s="315" t="s">
        <v>604</v>
      </c>
      <c r="J266" s="315">
        <v>15036.0</v>
      </c>
      <c r="K266" s="315">
        <v>15117.0</v>
      </c>
      <c r="L266" s="320">
        <v>15828.0</v>
      </c>
      <c r="M266" s="321">
        <v>15833.0</v>
      </c>
      <c r="N266" s="321">
        <v>16171.0</v>
      </c>
      <c r="O266" s="281"/>
      <c r="P266" s="281"/>
      <c r="Q266" s="281"/>
      <c r="R266" s="281"/>
      <c r="S266" s="281"/>
      <c r="T266" s="281"/>
      <c r="U266" s="281"/>
      <c r="V266" s="281"/>
      <c r="W266" s="281"/>
      <c r="X266" s="281"/>
      <c r="Y266" s="281"/>
      <c r="Z266" s="281"/>
    </row>
    <row r="267" ht="12.0" customHeight="1">
      <c r="A267" s="322"/>
      <c r="B267" s="323" t="s">
        <v>605</v>
      </c>
      <c r="G267" s="60"/>
      <c r="H267" s="60"/>
      <c r="I267" s="60"/>
      <c r="J267" s="281"/>
      <c r="K267" s="281"/>
      <c r="L267" s="281"/>
      <c r="M267" s="281"/>
      <c r="N267" s="281"/>
      <c r="O267" s="281"/>
      <c r="P267" s="281"/>
      <c r="Q267" s="281"/>
      <c r="R267" s="281"/>
      <c r="S267" s="281"/>
      <c r="T267" s="281"/>
      <c r="U267" s="281"/>
      <c r="V267" s="281"/>
      <c r="W267" s="281"/>
      <c r="X267" s="281"/>
      <c r="Y267" s="281"/>
      <c r="Z267" s="281"/>
    </row>
    <row r="268" ht="6.0" customHeight="1">
      <c r="A268" s="322"/>
      <c r="B268" s="323"/>
      <c r="C268" s="323"/>
      <c r="D268" s="323"/>
      <c r="E268" s="323"/>
      <c r="F268" s="323"/>
      <c r="G268" s="60"/>
      <c r="H268" s="60"/>
      <c r="I268" s="60"/>
      <c r="J268" s="281"/>
      <c r="K268" s="281"/>
      <c r="L268" s="281"/>
      <c r="M268" s="281"/>
      <c r="N268" s="281"/>
      <c r="O268" s="281"/>
      <c r="P268" s="281"/>
      <c r="Q268" s="281"/>
      <c r="R268" s="281"/>
      <c r="S268" s="281"/>
      <c r="T268" s="281"/>
      <c r="U268" s="281"/>
      <c r="V268" s="281"/>
      <c r="W268" s="281"/>
      <c r="X268" s="281"/>
      <c r="Y268" s="281"/>
      <c r="Z268" s="281"/>
    </row>
    <row r="269" ht="10.5" customHeight="1">
      <c r="A269" s="322"/>
      <c r="B269" s="326" t="s">
        <v>606</v>
      </c>
      <c r="J269" s="281"/>
      <c r="K269" s="281"/>
      <c r="L269" s="281"/>
      <c r="M269" s="281"/>
      <c r="N269" s="281"/>
      <c r="O269" s="281"/>
      <c r="P269" s="281"/>
      <c r="Q269" s="281"/>
      <c r="R269" s="281"/>
      <c r="S269" s="281"/>
      <c r="T269" s="281"/>
      <c r="U269" s="281"/>
      <c r="V269" s="281"/>
      <c r="W269" s="281"/>
      <c r="X269" s="281"/>
      <c r="Y269" s="281"/>
      <c r="Z269" s="281"/>
    </row>
    <row r="270" ht="10.5" customHeight="1">
      <c r="A270" s="322"/>
      <c r="B270" s="328" t="s">
        <v>607</v>
      </c>
      <c r="C270" s="328"/>
      <c r="D270" s="328"/>
      <c r="E270" s="328"/>
      <c r="F270" s="328"/>
      <c r="G270" s="330"/>
      <c r="H270" s="60"/>
      <c r="I270" s="60"/>
      <c r="J270" s="281"/>
      <c r="K270" s="281"/>
      <c r="L270" s="281"/>
      <c r="M270" s="281"/>
      <c r="N270" s="281"/>
      <c r="O270" s="281"/>
      <c r="P270" s="281"/>
      <c r="Q270" s="281"/>
      <c r="R270" s="281"/>
      <c r="S270" s="281"/>
      <c r="T270" s="281"/>
      <c r="U270" s="281"/>
      <c r="V270" s="281"/>
      <c r="W270" s="281"/>
      <c r="X270" s="281"/>
      <c r="Y270" s="281"/>
      <c r="Z270" s="281"/>
    </row>
    <row r="271" ht="10.5" customHeight="1">
      <c r="A271" s="322"/>
      <c r="B271" s="331"/>
      <c r="C271" s="331"/>
      <c r="D271" s="331"/>
      <c r="E271" s="322"/>
      <c r="F271" s="322"/>
      <c r="G271" s="333"/>
      <c r="H271" s="281"/>
      <c r="I271" s="281"/>
      <c r="J271" s="281"/>
      <c r="K271" s="281"/>
      <c r="L271" s="281"/>
      <c r="M271" s="281"/>
      <c r="N271" s="281"/>
      <c r="O271" s="281"/>
      <c r="P271" s="281"/>
      <c r="Q271" s="281"/>
      <c r="R271" s="281"/>
      <c r="S271" s="281"/>
      <c r="T271" s="281"/>
      <c r="U271" s="281"/>
      <c r="V271" s="281"/>
      <c r="W271" s="281"/>
      <c r="X271" s="281"/>
      <c r="Y271" s="281"/>
      <c r="Z271" s="281"/>
    </row>
    <row r="272" ht="10.5" customHeight="1">
      <c r="A272" s="322"/>
      <c r="B272" s="331"/>
      <c r="C272" s="331"/>
      <c r="D272" s="331"/>
      <c r="E272" s="322"/>
      <c r="F272" s="322"/>
      <c r="G272" s="333"/>
      <c r="H272" s="281"/>
      <c r="I272" s="281"/>
      <c r="J272" s="281"/>
      <c r="K272" s="281"/>
      <c r="L272" s="281"/>
      <c r="M272" s="281"/>
      <c r="N272" s="281"/>
      <c r="O272" s="281"/>
      <c r="P272" s="281"/>
      <c r="Q272" s="281"/>
      <c r="R272" s="281"/>
      <c r="S272" s="281"/>
      <c r="T272" s="281"/>
      <c r="U272" s="281"/>
      <c r="V272" s="281"/>
      <c r="W272" s="281"/>
      <c r="X272" s="281"/>
      <c r="Y272" s="281"/>
      <c r="Z272" s="281"/>
    </row>
    <row r="273" ht="10.5" customHeight="1">
      <c r="A273" s="322"/>
      <c r="B273" s="331"/>
      <c r="C273" s="331"/>
      <c r="D273" s="331"/>
      <c r="E273" s="322"/>
      <c r="F273" s="322"/>
      <c r="G273" s="333"/>
      <c r="H273" s="281"/>
      <c r="I273" s="281"/>
      <c r="J273" s="281"/>
      <c r="K273" s="281"/>
      <c r="L273" s="281"/>
      <c r="M273" s="281"/>
      <c r="N273" s="281"/>
      <c r="O273" s="281"/>
      <c r="P273" s="281"/>
      <c r="Q273" s="281"/>
      <c r="R273" s="281"/>
      <c r="S273" s="281"/>
      <c r="T273" s="281"/>
      <c r="U273" s="281"/>
      <c r="V273" s="281"/>
      <c r="W273" s="281"/>
      <c r="X273" s="281"/>
      <c r="Y273" s="281"/>
      <c r="Z273" s="281"/>
    </row>
    <row r="274" ht="10.5" customHeight="1">
      <c r="A274" s="322"/>
      <c r="B274" s="331"/>
      <c r="C274" s="331"/>
      <c r="D274" s="331"/>
      <c r="E274" s="322"/>
      <c r="F274" s="322"/>
      <c r="G274" s="333"/>
      <c r="H274" s="281"/>
      <c r="I274" s="281"/>
      <c r="J274" s="281"/>
      <c r="K274" s="281"/>
      <c r="L274" s="281"/>
      <c r="M274" s="281"/>
      <c r="N274" s="281"/>
      <c r="O274" s="281"/>
      <c r="P274" s="281"/>
      <c r="Q274" s="281"/>
      <c r="R274" s="281"/>
      <c r="S274" s="281"/>
      <c r="T274" s="281"/>
      <c r="U274" s="281"/>
      <c r="V274" s="281"/>
      <c r="W274" s="281"/>
      <c r="X274" s="281"/>
      <c r="Y274" s="281"/>
      <c r="Z274" s="281"/>
    </row>
    <row r="275" ht="10.5" customHeight="1">
      <c r="A275" s="322"/>
      <c r="B275" s="331"/>
      <c r="C275" s="331"/>
      <c r="D275" s="331"/>
      <c r="E275" s="322"/>
      <c r="F275" s="322"/>
      <c r="G275" s="333"/>
      <c r="H275" s="281"/>
      <c r="I275" s="281"/>
      <c r="J275" s="281"/>
      <c r="K275" s="281"/>
      <c r="L275" s="281"/>
      <c r="M275" s="281"/>
      <c r="N275" s="281"/>
      <c r="O275" s="281"/>
      <c r="P275" s="281"/>
      <c r="Q275" s="281"/>
      <c r="R275" s="281"/>
      <c r="S275" s="281"/>
      <c r="T275" s="281"/>
      <c r="U275" s="281"/>
      <c r="V275" s="281"/>
      <c r="W275" s="281"/>
      <c r="X275" s="281"/>
      <c r="Y275" s="281"/>
      <c r="Z275" s="281"/>
    </row>
    <row r="276" ht="10.5" customHeight="1">
      <c r="A276" s="322"/>
      <c r="B276" s="331"/>
      <c r="C276" s="331"/>
      <c r="D276" s="331"/>
      <c r="E276" s="322"/>
      <c r="F276" s="322"/>
      <c r="G276" s="333"/>
      <c r="H276" s="281"/>
      <c r="I276" s="281"/>
      <c r="J276" s="281"/>
      <c r="K276" s="281"/>
      <c r="L276" s="281"/>
      <c r="M276" s="281"/>
      <c r="N276" s="281"/>
      <c r="O276" s="281"/>
      <c r="P276" s="281"/>
      <c r="Q276" s="281"/>
      <c r="R276" s="281"/>
      <c r="S276" s="281"/>
      <c r="T276" s="281"/>
      <c r="U276" s="281"/>
      <c r="V276" s="281"/>
      <c r="W276" s="281"/>
      <c r="X276" s="281"/>
      <c r="Y276" s="281"/>
      <c r="Z276" s="281"/>
    </row>
    <row r="277" ht="10.5" customHeight="1">
      <c r="A277" s="322"/>
      <c r="B277" s="331"/>
      <c r="C277" s="331"/>
      <c r="D277" s="331"/>
      <c r="E277" s="322"/>
      <c r="F277" s="322"/>
      <c r="G277" s="333"/>
      <c r="H277" s="281"/>
      <c r="I277" s="281"/>
      <c r="J277" s="281"/>
      <c r="K277" s="281"/>
      <c r="L277" s="281"/>
      <c r="M277" s="281"/>
      <c r="N277" s="281"/>
      <c r="O277" s="281"/>
      <c r="P277" s="281"/>
      <c r="Q277" s="281"/>
      <c r="R277" s="281"/>
      <c r="S277" s="281"/>
      <c r="T277" s="281"/>
      <c r="U277" s="281"/>
      <c r="V277" s="281"/>
      <c r="W277" s="281"/>
      <c r="X277" s="281"/>
      <c r="Y277" s="281"/>
      <c r="Z277" s="281"/>
    </row>
    <row r="278" ht="10.5" customHeight="1">
      <c r="A278" s="322"/>
      <c r="B278" s="331"/>
      <c r="C278" s="331"/>
      <c r="D278" s="331"/>
      <c r="E278" s="322"/>
      <c r="F278" s="322"/>
      <c r="G278" s="333"/>
      <c r="H278" s="281"/>
      <c r="I278" s="281"/>
      <c r="J278" s="281"/>
      <c r="K278" s="281"/>
      <c r="L278" s="281"/>
      <c r="M278" s="281"/>
      <c r="N278" s="281"/>
      <c r="O278" s="281"/>
      <c r="P278" s="281"/>
      <c r="Q278" s="281"/>
      <c r="R278" s="281"/>
      <c r="S278" s="281"/>
      <c r="T278" s="281"/>
      <c r="U278" s="281"/>
      <c r="V278" s="281"/>
      <c r="W278" s="281"/>
      <c r="X278" s="281"/>
      <c r="Y278" s="281"/>
      <c r="Z278" s="281"/>
    </row>
    <row r="279" ht="10.5" customHeight="1">
      <c r="A279" s="322"/>
      <c r="B279" s="331"/>
      <c r="C279" s="331"/>
      <c r="D279" s="331"/>
      <c r="E279" s="322"/>
      <c r="F279" s="322"/>
      <c r="G279" s="333"/>
      <c r="H279" s="281"/>
      <c r="I279" s="281"/>
      <c r="J279" s="281"/>
      <c r="K279" s="281"/>
      <c r="L279" s="281"/>
      <c r="M279" s="281"/>
      <c r="N279" s="281"/>
      <c r="O279" s="281"/>
      <c r="P279" s="281"/>
      <c r="Q279" s="281"/>
      <c r="R279" s="281"/>
      <c r="S279" s="281"/>
      <c r="T279" s="281"/>
      <c r="U279" s="281"/>
      <c r="V279" s="281"/>
      <c r="W279" s="281"/>
      <c r="X279" s="281"/>
      <c r="Y279" s="281"/>
      <c r="Z279" s="281"/>
    </row>
    <row r="280" ht="10.5" customHeight="1">
      <c r="A280" s="322"/>
      <c r="B280" s="331"/>
      <c r="C280" s="331"/>
      <c r="D280" s="331"/>
      <c r="E280" s="322"/>
      <c r="F280" s="322"/>
      <c r="G280" s="333"/>
      <c r="H280" s="281"/>
      <c r="I280" s="281"/>
      <c r="J280" s="281"/>
      <c r="K280" s="281"/>
      <c r="L280" s="281"/>
      <c r="M280" s="281"/>
      <c r="N280" s="281"/>
      <c r="O280" s="281"/>
      <c r="P280" s="281"/>
      <c r="Q280" s="281"/>
      <c r="R280" s="281"/>
      <c r="S280" s="281"/>
      <c r="T280" s="281"/>
      <c r="U280" s="281"/>
      <c r="V280" s="281"/>
      <c r="W280" s="281"/>
      <c r="X280" s="281"/>
      <c r="Y280" s="281"/>
      <c r="Z280" s="281"/>
    </row>
    <row r="281" ht="10.5" customHeight="1">
      <c r="A281" s="322"/>
      <c r="B281" s="331"/>
      <c r="C281" s="331"/>
      <c r="D281" s="331"/>
      <c r="E281" s="322"/>
      <c r="F281" s="322"/>
      <c r="G281" s="333"/>
      <c r="H281" s="281"/>
      <c r="I281" s="281"/>
      <c r="J281" s="281"/>
      <c r="K281" s="281"/>
      <c r="L281" s="281"/>
      <c r="M281" s="281"/>
      <c r="N281" s="281"/>
      <c r="O281" s="281"/>
      <c r="P281" s="281"/>
      <c r="Q281" s="281"/>
      <c r="R281" s="281"/>
      <c r="S281" s="281"/>
      <c r="T281" s="281"/>
      <c r="U281" s="281"/>
      <c r="V281" s="281"/>
      <c r="W281" s="281"/>
      <c r="X281" s="281"/>
      <c r="Y281" s="281"/>
      <c r="Z281" s="281"/>
    </row>
    <row r="282" ht="10.5" customHeight="1">
      <c r="A282" s="322"/>
      <c r="B282" s="331"/>
      <c r="C282" s="331"/>
      <c r="D282" s="331"/>
      <c r="E282" s="322"/>
      <c r="F282" s="322"/>
      <c r="G282" s="333"/>
      <c r="H282" s="281"/>
      <c r="I282" s="281"/>
      <c r="J282" s="281"/>
      <c r="K282" s="281"/>
      <c r="L282" s="281"/>
      <c r="M282" s="281"/>
      <c r="N282" s="281"/>
      <c r="O282" s="281"/>
      <c r="P282" s="281"/>
      <c r="Q282" s="281"/>
      <c r="R282" s="281"/>
      <c r="S282" s="281"/>
      <c r="T282" s="281"/>
      <c r="U282" s="281"/>
      <c r="V282" s="281"/>
      <c r="W282" s="281"/>
      <c r="X282" s="281"/>
      <c r="Y282" s="281"/>
      <c r="Z282" s="281"/>
    </row>
    <row r="283" ht="10.5" customHeight="1">
      <c r="A283" s="322"/>
      <c r="B283" s="331"/>
      <c r="C283" s="331"/>
      <c r="D283" s="331"/>
      <c r="E283" s="322"/>
      <c r="F283" s="322"/>
      <c r="G283" s="333"/>
      <c r="H283" s="281"/>
      <c r="I283" s="281"/>
      <c r="J283" s="281"/>
      <c r="K283" s="281"/>
      <c r="L283" s="281"/>
      <c r="M283" s="281"/>
      <c r="N283" s="281"/>
      <c r="O283" s="281"/>
      <c r="P283" s="281"/>
      <c r="Q283" s="281"/>
      <c r="R283" s="281"/>
      <c r="S283" s="281"/>
      <c r="T283" s="281"/>
      <c r="U283" s="281"/>
      <c r="V283" s="281"/>
      <c r="W283" s="281"/>
      <c r="X283" s="281"/>
      <c r="Y283" s="281"/>
      <c r="Z283" s="281"/>
    </row>
    <row r="284" ht="10.5" customHeight="1">
      <c r="A284" s="322"/>
      <c r="B284" s="331"/>
      <c r="C284" s="331"/>
      <c r="D284" s="331"/>
      <c r="E284" s="322"/>
      <c r="F284" s="322"/>
      <c r="G284" s="333"/>
      <c r="H284" s="281"/>
      <c r="I284" s="281"/>
      <c r="J284" s="281"/>
      <c r="K284" s="281"/>
      <c r="L284" s="281"/>
      <c r="M284" s="281"/>
      <c r="N284" s="281"/>
      <c r="O284" s="281"/>
      <c r="P284" s="281"/>
      <c r="Q284" s="281"/>
      <c r="R284" s="281"/>
      <c r="S284" s="281"/>
      <c r="T284" s="281"/>
      <c r="U284" s="281"/>
      <c r="V284" s="281"/>
      <c r="W284" s="281"/>
      <c r="X284" s="281"/>
      <c r="Y284" s="281"/>
      <c r="Z284" s="281"/>
    </row>
    <row r="285" ht="10.5" customHeight="1">
      <c r="A285" s="322"/>
      <c r="B285" s="331"/>
      <c r="C285" s="331"/>
      <c r="D285" s="331"/>
      <c r="E285" s="322"/>
      <c r="F285" s="322"/>
      <c r="G285" s="333"/>
      <c r="H285" s="281"/>
      <c r="I285" s="281"/>
      <c r="J285" s="281"/>
      <c r="K285" s="281"/>
      <c r="L285" s="281"/>
      <c r="M285" s="281"/>
      <c r="N285" s="281"/>
      <c r="O285" s="281"/>
      <c r="P285" s="281"/>
      <c r="Q285" s="281"/>
      <c r="R285" s="281"/>
      <c r="S285" s="281"/>
      <c r="T285" s="281"/>
      <c r="U285" s="281"/>
      <c r="V285" s="281"/>
      <c r="W285" s="281"/>
      <c r="X285" s="281"/>
      <c r="Y285" s="281"/>
      <c r="Z285" s="281"/>
    </row>
    <row r="286" ht="10.5" customHeight="1">
      <c r="A286" s="322"/>
      <c r="B286" s="331"/>
      <c r="C286" s="331"/>
      <c r="D286" s="331"/>
      <c r="E286" s="322"/>
      <c r="F286" s="322"/>
      <c r="G286" s="333"/>
      <c r="H286" s="281"/>
      <c r="I286" s="281"/>
      <c r="J286" s="281"/>
      <c r="K286" s="281"/>
      <c r="L286" s="281"/>
      <c r="M286" s="281"/>
      <c r="N286" s="281"/>
      <c r="O286" s="281"/>
      <c r="P286" s="281"/>
      <c r="Q286" s="281"/>
      <c r="R286" s="281"/>
      <c r="S286" s="281"/>
      <c r="T286" s="281"/>
      <c r="U286" s="281"/>
      <c r="V286" s="281"/>
      <c r="W286" s="281"/>
      <c r="X286" s="281"/>
      <c r="Y286" s="281"/>
      <c r="Z286" s="281"/>
    </row>
    <row r="287" ht="10.5" customHeight="1">
      <c r="A287" s="322"/>
      <c r="B287" s="331"/>
      <c r="C287" s="331"/>
      <c r="D287" s="331"/>
      <c r="E287" s="322"/>
      <c r="F287" s="322"/>
      <c r="G287" s="333"/>
      <c r="H287" s="281"/>
      <c r="I287" s="281"/>
      <c r="J287" s="281"/>
      <c r="K287" s="281"/>
      <c r="L287" s="281"/>
      <c r="M287" s="281"/>
      <c r="N287" s="281"/>
      <c r="O287" s="281"/>
      <c r="P287" s="281"/>
      <c r="Q287" s="281"/>
      <c r="R287" s="281"/>
      <c r="S287" s="281"/>
      <c r="T287" s="281"/>
      <c r="U287" s="281"/>
      <c r="V287" s="281"/>
      <c r="W287" s="281"/>
      <c r="X287" s="281"/>
      <c r="Y287" s="281"/>
      <c r="Z287" s="281"/>
    </row>
    <row r="288" ht="10.5" customHeight="1">
      <c r="A288" s="322"/>
      <c r="B288" s="331"/>
      <c r="C288" s="331"/>
      <c r="D288" s="331"/>
      <c r="E288" s="322"/>
      <c r="F288" s="341">
        <v>4.0</v>
      </c>
      <c r="G288" s="333"/>
      <c r="H288" s="281"/>
      <c r="I288" s="281"/>
      <c r="J288" s="281"/>
      <c r="K288" s="281"/>
      <c r="L288" s="281"/>
      <c r="M288" s="281"/>
      <c r="N288" s="281"/>
      <c r="O288" s="281"/>
      <c r="P288" s="281"/>
      <c r="Q288" s="281"/>
      <c r="R288" s="281"/>
      <c r="S288" s="281"/>
      <c r="T288" s="281"/>
      <c r="U288" s="281"/>
      <c r="V288" s="281"/>
      <c r="W288" s="281"/>
      <c r="X288" s="281"/>
      <c r="Y288" s="281"/>
      <c r="Z288" s="281"/>
    </row>
    <row r="289" ht="10.5" customHeight="1">
      <c r="A289" s="322"/>
      <c r="B289" s="331"/>
      <c r="C289" s="331"/>
      <c r="D289" s="331"/>
      <c r="E289" s="322"/>
      <c r="F289" s="341"/>
      <c r="G289" s="333"/>
      <c r="H289" s="281"/>
      <c r="I289" s="281"/>
      <c r="J289" s="281"/>
      <c r="K289" s="281"/>
      <c r="L289" s="281"/>
      <c r="M289" s="281"/>
      <c r="N289" s="281"/>
      <c r="O289" s="281"/>
      <c r="P289" s="281"/>
      <c r="Q289" s="281"/>
      <c r="R289" s="281"/>
      <c r="S289" s="281"/>
      <c r="T289" s="281"/>
      <c r="U289" s="281"/>
      <c r="V289" s="281"/>
      <c r="W289" s="281"/>
      <c r="X289" s="281"/>
      <c r="Y289" s="281"/>
      <c r="Z289" s="281"/>
    </row>
    <row r="290" ht="11.25" customHeight="1">
      <c r="B290" s="344" t="s">
        <v>610</v>
      </c>
      <c r="C290" s="345"/>
      <c r="D290" s="345"/>
      <c r="E290" s="345"/>
      <c r="G290" s="1"/>
      <c r="H290" s="1"/>
      <c r="I290" s="1"/>
      <c r="J290" s="1"/>
      <c r="K290" s="1"/>
      <c r="L290" s="1"/>
      <c r="M290" s="1"/>
      <c r="N290" s="1"/>
      <c r="O290" s="1"/>
      <c r="P290" s="1"/>
      <c r="Q290" s="1"/>
      <c r="R290" s="1"/>
      <c r="S290" s="1"/>
      <c r="T290" s="1"/>
      <c r="U290" s="1"/>
      <c r="V290" s="1"/>
      <c r="W290" s="1"/>
      <c r="X290" s="1"/>
      <c r="Y290" s="1"/>
      <c r="Z290" s="1"/>
    </row>
    <row r="291" ht="46.5" customHeight="1">
      <c r="B291" s="157" t="s">
        <v>202</v>
      </c>
      <c r="C291" s="70"/>
      <c r="D291" s="347" t="s">
        <v>611</v>
      </c>
      <c r="E291" s="347" t="s">
        <v>612</v>
      </c>
      <c r="F291" s="348" t="s">
        <v>613</v>
      </c>
      <c r="G291" s="273" t="s">
        <v>614</v>
      </c>
      <c r="H291" s="273" t="s">
        <v>615</v>
      </c>
      <c r="I291" s="273" t="s">
        <v>616</v>
      </c>
      <c r="J291" s="273" t="s">
        <v>617</v>
      </c>
      <c r="K291" s="273" t="s">
        <v>618</v>
      </c>
      <c r="L291" s="273" t="s">
        <v>619</v>
      </c>
      <c r="M291" s="273" t="s">
        <v>620</v>
      </c>
      <c r="N291" s="273" t="s">
        <v>621</v>
      </c>
      <c r="O291" s="273" t="s">
        <v>622</v>
      </c>
      <c r="P291" s="273" t="s">
        <v>623</v>
      </c>
      <c r="Q291" s="273" t="s">
        <v>624</v>
      </c>
      <c r="R291" s="1"/>
      <c r="S291" s="1"/>
      <c r="T291" s="1"/>
      <c r="U291" s="1"/>
      <c r="V291" s="1"/>
      <c r="W291" s="1"/>
      <c r="X291" s="1"/>
      <c r="Y291" s="1"/>
      <c r="Z291" s="1"/>
    </row>
    <row r="292" ht="11.25" customHeight="1">
      <c r="B292" s="118"/>
      <c r="C292" s="94"/>
      <c r="D292" s="349" t="s">
        <v>67</v>
      </c>
      <c r="E292" s="10"/>
      <c r="F292" s="350" t="s">
        <v>625</v>
      </c>
      <c r="G292" s="351" t="s">
        <v>67</v>
      </c>
      <c r="H292" s="134" t="s">
        <v>625</v>
      </c>
      <c r="I292" s="8" t="s">
        <v>67</v>
      </c>
      <c r="J292" s="10"/>
      <c r="K292" s="134" t="s">
        <v>625</v>
      </c>
      <c r="L292" s="134" t="s">
        <v>67</v>
      </c>
      <c r="M292" s="134" t="s">
        <v>625</v>
      </c>
      <c r="N292" s="134" t="s">
        <v>67</v>
      </c>
      <c r="O292" s="134" t="s">
        <v>625</v>
      </c>
      <c r="P292" s="134" t="s">
        <v>626</v>
      </c>
      <c r="Q292" s="134" t="s">
        <v>625</v>
      </c>
      <c r="R292" s="1"/>
      <c r="S292" s="1"/>
      <c r="T292" s="1"/>
      <c r="U292" s="1"/>
      <c r="V292" s="1"/>
      <c r="W292" s="1"/>
      <c r="X292" s="1"/>
      <c r="Y292" s="1"/>
      <c r="Z292" s="1"/>
    </row>
    <row r="293" ht="10.5" customHeight="1">
      <c r="B293" s="352" t="s">
        <v>627</v>
      </c>
      <c r="C293" s="70"/>
      <c r="D293" s="353">
        <f t="shared" ref="D293:E293" si="27">SUM(D294:D302)</f>
        <v>122320100</v>
      </c>
      <c r="E293" s="353">
        <f t="shared" si="27"/>
        <v>100665792</v>
      </c>
      <c r="F293" s="354">
        <f t="shared" ref="F293:F303" si="28">+(E293/D293)*100</f>
        <v>82.29701578</v>
      </c>
      <c r="G293" s="353">
        <v>1.6737672E7</v>
      </c>
      <c r="H293" s="355">
        <f t="shared" ref="H293:H303" si="29">+(G293/D293)*100</f>
        <v>13.68350091</v>
      </c>
      <c r="I293" s="353" t="s">
        <v>10</v>
      </c>
      <c r="J293" s="353">
        <f>SUM(J294:J302)</f>
        <v>83928120</v>
      </c>
      <c r="K293" s="358">
        <f t="shared" ref="K293:K303" si="30">+(J293/D293)*100</f>
        <v>68.61351487</v>
      </c>
      <c r="L293" s="353">
        <f>SUM(L294:L302)</f>
        <v>11785999</v>
      </c>
      <c r="M293" s="360">
        <f t="shared" ref="M293:M303" si="31">+(L293/D293)*100</f>
        <v>9.635373908</v>
      </c>
      <c r="N293" s="353">
        <f>SUM(N294:N302)</f>
        <v>1433964</v>
      </c>
      <c r="O293" s="360">
        <f t="shared" ref="O293:O294" si="32">+(N293/D293)*100</f>
        <v>1.17230447</v>
      </c>
      <c r="P293" s="353">
        <f>SUM(P294:P302)</f>
        <v>8434345</v>
      </c>
      <c r="Q293" s="360">
        <f t="shared" ref="Q293:Q303" si="33">+(P293/D293)*100</f>
        <v>6.895305841</v>
      </c>
      <c r="R293" s="1"/>
      <c r="S293" s="1"/>
      <c r="T293" s="1"/>
      <c r="U293" s="1"/>
      <c r="V293" s="1"/>
      <c r="W293" s="1"/>
      <c r="X293" s="1"/>
      <c r="Y293" s="1"/>
      <c r="Z293" s="1"/>
    </row>
    <row r="294" ht="10.5" customHeight="1">
      <c r="B294" s="361" t="s">
        <v>235</v>
      </c>
      <c r="C294" s="87"/>
      <c r="D294" s="362">
        <v>1.29386E7</v>
      </c>
      <c r="E294" s="362">
        <f t="shared" ref="E294:E295" si="34">+E314</f>
        <v>11560609</v>
      </c>
      <c r="F294" s="363">
        <f t="shared" si="28"/>
        <v>89.34976736</v>
      </c>
      <c r="G294" s="362">
        <f t="shared" ref="G294:G295" si="35">+G314</f>
        <v>2454788</v>
      </c>
      <c r="H294" s="364">
        <f t="shared" si="29"/>
        <v>18.97259363</v>
      </c>
      <c r="I294" s="30" t="s">
        <v>40</v>
      </c>
      <c r="J294" s="362">
        <f t="shared" ref="J294:J295" si="36">+J314</f>
        <v>9105821</v>
      </c>
      <c r="K294" s="365">
        <f t="shared" si="30"/>
        <v>70.37717373</v>
      </c>
      <c r="L294" s="362">
        <f t="shared" ref="L294:L295" si="37">+L314</f>
        <v>730731</v>
      </c>
      <c r="M294" s="366">
        <f t="shared" si="31"/>
        <v>5.647682129</v>
      </c>
      <c r="N294" s="362">
        <f>+N314</f>
        <v>198938</v>
      </c>
      <c r="O294" s="366">
        <f t="shared" si="32"/>
        <v>1.537554295</v>
      </c>
      <c r="P294" s="362">
        <f t="shared" ref="P294:P295" si="38">+P314</f>
        <v>448322</v>
      </c>
      <c r="Q294" s="366">
        <f t="shared" si="33"/>
        <v>3.464996213</v>
      </c>
      <c r="R294" s="1"/>
      <c r="S294" s="1"/>
      <c r="T294" s="1"/>
      <c r="U294" s="1"/>
      <c r="V294" s="1"/>
      <c r="W294" s="1"/>
      <c r="X294" s="1"/>
      <c r="Y294" s="1"/>
      <c r="Z294" s="1"/>
    </row>
    <row r="295" ht="10.5" customHeight="1">
      <c r="B295" s="361" t="s">
        <v>247</v>
      </c>
      <c r="C295" s="87"/>
      <c r="D295" s="362">
        <v>3.63389E7</v>
      </c>
      <c r="E295" s="362">
        <f t="shared" si="34"/>
        <v>29543832</v>
      </c>
      <c r="F295" s="363">
        <f t="shared" si="28"/>
        <v>81.3008429</v>
      </c>
      <c r="G295" s="362">
        <f t="shared" si="35"/>
        <v>454465</v>
      </c>
      <c r="H295" s="364">
        <f t="shared" si="29"/>
        <v>1.250629491</v>
      </c>
      <c r="I295" s="30" t="s">
        <v>40</v>
      </c>
      <c r="J295" s="362">
        <f t="shared" si="36"/>
        <v>29089367</v>
      </c>
      <c r="K295" s="365">
        <f t="shared" si="30"/>
        <v>80.05021341</v>
      </c>
      <c r="L295" s="362">
        <f t="shared" si="37"/>
        <v>4295068</v>
      </c>
      <c r="M295" s="366">
        <f t="shared" si="31"/>
        <v>11.8194772</v>
      </c>
      <c r="N295" s="30" t="s">
        <v>40</v>
      </c>
      <c r="O295" s="366" t="s">
        <v>40</v>
      </c>
      <c r="P295" s="362">
        <f t="shared" si="38"/>
        <v>2500000</v>
      </c>
      <c r="Q295" s="366">
        <f t="shared" si="33"/>
        <v>6.879679902</v>
      </c>
      <c r="R295" s="1"/>
      <c r="S295" s="1"/>
      <c r="T295" s="1"/>
      <c r="U295" s="1"/>
      <c r="V295" s="1"/>
      <c r="W295" s="1"/>
      <c r="X295" s="1"/>
      <c r="Y295" s="1"/>
      <c r="Z295" s="1"/>
    </row>
    <row r="296" ht="10.5" customHeight="1">
      <c r="B296" s="361" t="s">
        <v>249</v>
      </c>
      <c r="C296" s="87"/>
      <c r="D296" s="362">
        <v>1.29437E7</v>
      </c>
      <c r="E296" s="362">
        <f t="shared" ref="E296:E300" si="39">+E306+E316</f>
        <v>11760100</v>
      </c>
      <c r="F296" s="363">
        <f t="shared" si="28"/>
        <v>90.85578312</v>
      </c>
      <c r="G296" s="362">
        <f t="shared" ref="G296:G300" si="40">+G306+G316</f>
        <v>4221423</v>
      </c>
      <c r="H296" s="364">
        <f t="shared" si="29"/>
        <v>32.61372714</v>
      </c>
      <c r="I296" s="30" t="s">
        <v>10</v>
      </c>
      <c r="J296" s="362">
        <f t="shared" ref="J296:J300" si="41">+J306+J316</f>
        <v>7538677</v>
      </c>
      <c r="K296" s="365">
        <f t="shared" si="30"/>
        <v>58.24205598</v>
      </c>
      <c r="L296" s="362">
        <f t="shared" ref="L296:L300" si="42">+L306+L316</f>
        <v>272500</v>
      </c>
      <c r="M296" s="366">
        <f t="shared" si="31"/>
        <v>2.10527129</v>
      </c>
      <c r="N296" s="362">
        <f>+N306</f>
        <v>400</v>
      </c>
      <c r="O296" s="366" t="s">
        <v>40</v>
      </c>
      <c r="P296" s="362">
        <f t="shared" ref="P296:P300" si="43">+P306+P316</f>
        <v>910700</v>
      </c>
      <c r="Q296" s="366">
        <f t="shared" si="33"/>
        <v>7.035855281</v>
      </c>
      <c r="R296" s="1"/>
      <c r="S296" s="1"/>
      <c r="T296" s="1"/>
      <c r="U296" s="1"/>
      <c r="V296" s="1"/>
      <c r="W296" s="1"/>
      <c r="X296" s="1"/>
      <c r="Y296" s="1"/>
      <c r="Z296" s="1"/>
    </row>
    <row r="297" ht="10.5" customHeight="1">
      <c r="B297" s="361" t="s">
        <v>240</v>
      </c>
      <c r="C297" s="87"/>
      <c r="D297" s="362">
        <v>1.70616E7</v>
      </c>
      <c r="E297" s="362">
        <f t="shared" si="39"/>
        <v>14817723</v>
      </c>
      <c r="F297" s="363">
        <f t="shared" si="28"/>
        <v>86.84837882</v>
      </c>
      <c r="G297" s="362">
        <f t="shared" si="40"/>
        <v>1172901</v>
      </c>
      <c r="H297" s="364">
        <f t="shared" si="29"/>
        <v>6.874507666</v>
      </c>
      <c r="I297" s="30" t="s">
        <v>10</v>
      </c>
      <c r="J297" s="362">
        <f t="shared" si="41"/>
        <v>13644822</v>
      </c>
      <c r="K297" s="365">
        <f t="shared" si="30"/>
        <v>79.97387115</v>
      </c>
      <c r="L297" s="362">
        <f t="shared" si="42"/>
        <v>623400</v>
      </c>
      <c r="M297" s="366">
        <f t="shared" si="31"/>
        <v>3.653819103</v>
      </c>
      <c r="N297" s="362">
        <f t="shared" ref="N297:N300" si="44">+N307+N317</f>
        <v>133520</v>
      </c>
      <c r="O297" s="366">
        <f t="shared" ref="O297:O301" si="45">+(N297/D297)*100</f>
        <v>0.7825760773</v>
      </c>
      <c r="P297" s="362">
        <f t="shared" si="43"/>
        <v>1486957</v>
      </c>
      <c r="Q297" s="366">
        <f t="shared" si="33"/>
        <v>8.715226005</v>
      </c>
      <c r="R297" s="1"/>
      <c r="S297" s="1"/>
      <c r="T297" s="1"/>
      <c r="U297" s="1"/>
      <c r="V297" s="1"/>
      <c r="W297" s="1"/>
      <c r="X297" s="1"/>
      <c r="Y297" s="1"/>
      <c r="Z297" s="1"/>
    </row>
    <row r="298" ht="10.5" customHeight="1">
      <c r="B298" s="361" t="s">
        <v>252</v>
      </c>
      <c r="C298" s="87"/>
      <c r="D298" s="362">
        <v>9148100.0</v>
      </c>
      <c r="E298" s="362">
        <f t="shared" si="39"/>
        <v>6529315</v>
      </c>
      <c r="F298" s="363">
        <f t="shared" si="28"/>
        <v>71.3734546</v>
      </c>
      <c r="G298" s="362">
        <f t="shared" si="40"/>
        <v>1199675</v>
      </c>
      <c r="H298" s="364">
        <f t="shared" si="29"/>
        <v>13.1139253</v>
      </c>
      <c r="I298" s="30" t="s">
        <v>10</v>
      </c>
      <c r="J298" s="362">
        <f t="shared" si="41"/>
        <v>5329640</v>
      </c>
      <c r="K298" s="365">
        <f t="shared" si="30"/>
        <v>58.2595293</v>
      </c>
      <c r="L298" s="362">
        <f t="shared" si="42"/>
        <v>1377900</v>
      </c>
      <c r="M298" s="366">
        <f t="shared" si="31"/>
        <v>15.06214405</v>
      </c>
      <c r="N298" s="362">
        <f t="shared" si="44"/>
        <v>465688</v>
      </c>
      <c r="O298" s="366">
        <f t="shared" si="45"/>
        <v>5.090543392</v>
      </c>
      <c r="P298" s="362">
        <f t="shared" si="43"/>
        <v>775197</v>
      </c>
      <c r="Q298" s="366">
        <f t="shared" si="33"/>
        <v>8.47385796</v>
      </c>
      <c r="R298" s="1"/>
      <c r="S298" s="1"/>
      <c r="T298" s="1"/>
      <c r="U298" s="1"/>
      <c r="V298" s="1"/>
      <c r="W298" s="1"/>
      <c r="X298" s="1"/>
      <c r="Y298" s="1"/>
      <c r="Z298" s="1"/>
    </row>
    <row r="299" ht="10.5" customHeight="1">
      <c r="B299" s="361" t="s">
        <v>258</v>
      </c>
      <c r="C299" s="87"/>
      <c r="D299" s="362">
        <v>8181600.0</v>
      </c>
      <c r="E299" s="362">
        <f t="shared" si="39"/>
        <v>4978827</v>
      </c>
      <c r="F299" s="363">
        <f t="shared" si="28"/>
        <v>60.85395277</v>
      </c>
      <c r="G299" s="362">
        <f t="shared" si="40"/>
        <v>1734896</v>
      </c>
      <c r="H299" s="364">
        <f t="shared" si="29"/>
        <v>21.20484991</v>
      </c>
      <c r="I299" s="30" t="s">
        <v>10</v>
      </c>
      <c r="J299" s="362">
        <f t="shared" si="41"/>
        <v>3243931</v>
      </c>
      <c r="K299" s="365">
        <f t="shared" si="30"/>
        <v>39.64910286</v>
      </c>
      <c r="L299" s="362">
        <f t="shared" si="42"/>
        <v>2331900</v>
      </c>
      <c r="M299" s="366">
        <f t="shared" si="31"/>
        <v>28.50176005</v>
      </c>
      <c r="N299" s="362">
        <f t="shared" si="44"/>
        <v>549818</v>
      </c>
      <c r="O299" s="366">
        <f t="shared" si="45"/>
        <v>6.720176982</v>
      </c>
      <c r="P299" s="362">
        <f t="shared" si="43"/>
        <v>321055</v>
      </c>
      <c r="Q299" s="366">
        <f t="shared" si="33"/>
        <v>3.924110198</v>
      </c>
      <c r="R299" s="1"/>
      <c r="S299" s="1"/>
      <c r="T299" s="1"/>
      <c r="U299" s="1"/>
      <c r="V299" s="1"/>
      <c r="W299" s="1"/>
      <c r="X299" s="1"/>
      <c r="Y299" s="1"/>
      <c r="Z299" s="1"/>
    </row>
    <row r="300" ht="10.5" customHeight="1">
      <c r="B300" s="361" t="s">
        <v>655</v>
      </c>
      <c r="C300" s="87"/>
      <c r="D300" s="362">
        <v>1.19606E7</v>
      </c>
      <c r="E300" s="362">
        <f t="shared" si="39"/>
        <v>10548290</v>
      </c>
      <c r="F300" s="363">
        <f t="shared" si="28"/>
        <v>88.19198034</v>
      </c>
      <c r="G300" s="362">
        <f t="shared" si="40"/>
        <v>1700442</v>
      </c>
      <c r="H300" s="364">
        <f t="shared" si="29"/>
        <v>14.21702925</v>
      </c>
      <c r="I300" s="30" t="s">
        <v>10</v>
      </c>
      <c r="J300" s="362">
        <f t="shared" si="41"/>
        <v>8847848</v>
      </c>
      <c r="K300" s="365">
        <f t="shared" si="30"/>
        <v>73.97495109</v>
      </c>
      <c r="L300" s="362">
        <f t="shared" si="42"/>
        <v>1161600</v>
      </c>
      <c r="M300" s="366">
        <f t="shared" si="31"/>
        <v>9.711887364</v>
      </c>
      <c r="N300" s="362">
        <f t="shared" si="44"/>
        <v>65410</v>
      </c>
      <c r="O300" s="366">
        <f t="shared" si="45"/>
        <v>0.5468789191</v>
      </c>
      <c r="P300" s="362">
        <f t="shared" si="43"/>
        <v>185300</v>
      </c>
      <c r="Q300" s="366">
        <f t="shared" si="33"/>
        <v>1.549253382</v>
      </c>
      <c r="R300" s="1"/>
      <c r="S300" s="1"/>
      <c r="T300" s="1"/>
      <c r="U300" s="1"/>
      <c r="V300" s="1"/>
      <c r="W300" s="1"/>
      <c r="X300" s="1"/>
      <c r="Y300" s="1"/>
      <c r="Z300" s="1"/>
    </row>
    <row r="301" ht="10.5" customHeight="1">
      <c r="B301" s="361" t="s">
        <v>256</v>
      </c>
      <c r="C301" s="87"/>
      <c r="D301" s="362">
        <v>1876000.0</v>
      </c>
      <c r="E301" s="362">
        <f>+E321</f>
        <v>828623</v>
      </c>
      <c r="F301" s="363">
        <f t="shared" si="28"/>
        <v>44.16966951</v>
      </c>
      <c r="G301" s="362">
        <f>+G321</f>
        <v>438623</v>
      </c>
      <c r="H301" s="364">
        <f t="shared" si="29"/>
        <v>23.38075693</v>
      </c>
      <c r="I301" s="30" t="s">
        <v>40</v>
      </c>
      <c r="J301" s="362">
        <f>+J321</f>
        <v>390000</v>
      </c>
      <c r="K301" s="365">
        <f t="shared" si="30"/>
        <v>20.78891258</v>
      </c>
      <c r="L301" s="362">
        <f>+L321</f>
        <v>228400</v>
      </c>
      <c r="M301" s="366">
        <f t="shared" si="31"/>
        <v>12.17484009</v>
      </c>
      <c r="N301" s="362">
        <f>+N321</f>
        <v>20190</v>
      </c>
      <c r="O301" s="366">
        <f t="shared" si="45"/>
        <v>1.076226013</v>
      </c>
      <c r="P301" s="362">
        <f>+P321</f>
        <v>798787</v>
      </c>
      <c r="Q301" s="366">
        <f t="shared" si="33"/>
        <v>42.57926439</v>
      </c>
      <c r="R301" s="1"/>
      <c r="S301" s="1"/>
      <c r="T301" s="1"/>
      <c r="U301" s="1"/>
      <c r="V301" s="1"/>
      <c r="W301" s="1"/>
      <c r="X301" s="1"/>
      <c r="Y301" s="1"/>
      <c r="Z301" s="1"/>
    </row>
    <row r="302" ht="10.5" customHeight="1">
      <c r="B302" s="361" t="s">
        <v>253</v>
      </c>
      <c r="C302" s="87"/>
      <c r="D302" s="362">
        <v>1.1871E7</v>
      </c>
      <c r="E302" s="362">
        <f>+E312+E322</f>
        <v>10098473</v>
      </c>
      <c r="F302" s="363">
        <f t="shared" si="28"/>
        <v>85.06842726</v>
      </c>
      <c r="G302" s="362">
        <f>+G312+G322</f>
        <v>3360459</v>
      </c>
      <c r="H302" s="364">
        <f t="shared" si="29"/>
        <v>28.30813748</v>
      </c>
      <c r="I302" s="30" t="s">
        <v>10</v>
      </c>
      <c r="J302" s="362">
        <f>+J312+J322</f>
        <v>6738014</v>
      </c>
      <c r="K302" s="365">
        <f t="shared" si="30"/>
        <v>56.76028978</v>
      </c>
      <c r="L302" s="362">
        <f>+L312+L322</f>
        <v>764500</v>
      </c>
      <c r="M302" s="366">
        <f t="shared" si="31"/>
        <v>6.440064022</v>
      </c>
      <c r="N302" s="30" t="s">
        <v>40</v>
      </c>
      <c r="O302" s="366" t="s">
        <v>40</v>
      </c>
      <c r="P302" s="362">
        <f>+P312+P322</f>
        <v>1008027</v>
      </c>
      <c r="Q302" s="366">
        <f t="shared" si="33"/>
        <v>8.491508719</v>
      </c>
      <c r="R302" s="1"/>
      <c r="S302" s="1"/>
      <c r="T302" s="1"/>
      <c r="U302" s="1"/>
      <c r="V302" s="1"/>
      <c r="W302" s="1"/>
      <c r="X302" s="1"/>
      <c r="Y302" s="1"/>
      <c r="Z302" s="1"/>
    </row>
    <row r="303" ht="22.5" customHeight="1">
      <c r="A303" s="180"/>
      <c r="B303" s="381" t="s">
        <v>658</v>
      </c>
      <c r="C303" s="87"/>
      <c r="D303" s="353">
        <f t="shared" ref="D303:E303" si="46">+D306+D307+D308+D309+D310+D312</f>
        <v>17112800</v>
      </c>
      <c r="E303" s="353">
        <f t="shared" si="46"/>
        <v>14479766</v>
      </c>
      <c r="F303" s="384">
        <f t="shared" si="28"/>
        <v>84.61365761</v>
      </c>
      <c r="G303" s="353">
        <f>+G306+G307+G308+G309+G310+G312</f>
        <v>2545573</v>
      </c>
      <c r="H303" s="355">
        <f t="shared" si="29"/>
        <v>14.87525712</v>
      </c>
      <c r="I303" s="385" t="s">
        <v>10</v>
      </c>
      <c r="J303" s="353">
        <f>+J306+J307+J308+J309+J310+J312</f>
        <v>11934193</v>
      </c>
      <c r="K303" s="358">
        <f t="shared" si="30"/>
        <v>69.7384005</v>
      </c>
      <c r="L303" s="353">
        <f>+L306+L307+L308+L309+L310+L312</f>
        <v>780200</v>
      </c>
      <c r="M303" s="360">
        <f t="shared" si="31"/>
        <v>4.559160395</v>
      </c>
      <c r="N303" s="353">
        <f>+N306+N307+N308+N309+N310</f>
        <v>256268</v>
      </c>
      <c r="O303" s="360">
        <f>+(N303/D303)*100</f>
        <v>1.497522322</v>
      </c>
      <c r="P303" s="353">
        <f>+P306+P307+P308+P309+P310+P312</f>
        <v>1596566</v>
      </c>
      <c r="Q303" s="360">
        <f t="shared" si="33"/>
        <v>9.32965967</v>
      </c>
      <c r="R303" s="1"/>
      <c r="S303" s="1"/>
      <c r="T303" s="1"/>
      <c r="U303" s="1"/>
      <c r="V303" s="1"/>
      <c r="W303" s="1"/>
      <c r="X303" s="1"/>
      <c r="Y303" s="1"/>
      <c r="Z303" s="1"/>
    </row>
    <row r="304" ht="10.5" customHeight="1">
      <c r="A304" s="1"/>
      <c r="B304" s="390" t="s">
        <v>235</v>
      </c>
      <c r="C304" s="87"/>
      <c r="D304" s="33" t="s">
        <v>40</v>
      </c>
      <c r="E304" s="30" t="s">
        <v>40</v>
      </c>
      <c r="F304" s="366" t="s">
        <v>40</v>
      </c>
      <c r="G304" s="30" t="s">
        <v>40</v>
      </c>
      <c r="H304" s="364" t="s">
        <v>40</v>
      </c>
      <c r="I304" s="30" t="s">
        <v>40</v>
      </c>
      <c r="J304" s="30" t="s">
        <v>40</v>
      </c>
      <c r="K304" s="365" t="s">
        <v>40</v>
      </c>
      <c r="L304" s="30" t="s">
        <v>40</v>
      </c>
      <c r="M304" s="366" t="s">
        <v>40</v>
      </c>
      <c r="N304" s="30" t="s">
        <v>40</v>
      </c>
      <c r="O304" s="366" t="s">
        <v>40</v>
      </c>
      <c r="P304" s="30" t="s">
        <v>40</v>
      </c>
      <c r="Q304" s="366" t="s">
        <v>40</v>
      </c>
      <c r="R304" s="253"/>
      <c r="S304" s="1"/>
      <c r="T304" s="1"/>
      <c r="U304" s="1"/>
      <c r="V304" s="1"/>
      <c r="W304" s="1"/>
      <c r="X304" s="1"/>
      <c r="Y304" s="1"/>
      <c r="Z304" s="1"/>
    </row>
    <row r="305" ht="10.5" customHeight="1">
      <c r="A305" s="1"/>
      <c r="B305" s="390" t="s">
        <v>247</v>
      </c>
      <c r="C305" s="87"/>
      <c r="D305" s="33" t="s">
        <v>40</v>
      </c>
      <c r="E305" s="30" t="s">
        <v>40</v>
      </c>
      <c r="F305" s="366" t="s">
        <v>40</v>
      </c>
      <c r="G305" s="30" t="s">
        <v>40</v>
      </c>
      <c r="H305" s="364" t="s">
        <v>40</v>
      </c>
      <c r="I305" s="30" t="s">
        <v>40</v>
      </c>
      <c r="J305" s="30" t="s">
        <v>40</v>
      </c>
      <c r="K305" s="365" t="s">
        <v>40</v>
      </c>
      <c r="L305" s="30" t="s">
        <v>40</v>
      </c>
      <c r="M305" s="366" t="s">
        <v>40</v>
      </c>
      <c r="N305" s="30" t="s">
        <v>40</v>
      </c>
      <c r="O305" s="366" t="s">
        <v>40</v>
      </c>
      <c r="P305" s="30" t="s">
        <v>40</v>
      </c>
      <c r="Q305" s="366" t="s">
        <v>40</v>
      </c>
      <c r="R305" s="253"/>
      <c r="S305" s="1"/>
      <c r="T305" s="1"/>
      <c r="U305" s="1"/>
      <c r="V305" s="1"/>
      <c r="W305" s="1"/>
      <c r="X305" s="1"/>
      <c r="Y305" s="1"/>
      <c r="Z305" s="1"/>
    </row>
    <row r="306" ht="10.5" customHeight="1">
      <c r="A306" s="1"/>
      <c r="B306" s="390" t="s">
        <v>249</v>
      </c>
      <c r="C306" s="87"/>
      <c r="D306" s="33">
        <v>232200.0</v>
      </c>
      <c r="E306" s="30">
        <v>188100.0</v>
      </c>
      <c r="F306" s="363">
        <f t="shared" ref="F306:F310" si="47">+(E306/D306)*100</f>
        <v>81.00775194</v>
      </c>
      <c r="G306" s="30">
        <v>34900.0</v>
      </c>
      <c r="H306" s="364">
        <f t="shared" ref="H306:H310" si="48">+(G306/D306)*100</f>
        <v>15.03014643</v>
      </c>
      <c r="I306" s="30" t="s">
        <v>10</v>
      </c>
      <c r="J306" s="30">
        <v>153200.0</v>
      </c>
      <c r="K306" s="365">
        <f t="shared" ref="K306:K310" si="49">+(J306/D306)*100</f>
        <v>65.97760551</v>
      </c>
      <c r="L306" s="30">
        <v>33000.0</v>
      </c>
      <c r="M306" s="366">
        <f t="shared" ref="M306:M310" si="50">+(L306/D306)*100</f>
        <v>14.2118863</v>
      </c>
      <c r="N306" s="30">
        <v>400.0</v>
      </c>
      <c r="O306" s="366">
        <f t="shared" ref="O306:O310" si="51">+(N306/D306)*100</f>
        <v>0.1722652885</v>
      </c>
      <c r="P306" s="30">
        <v>10700.0</v>
      </c>
      <c r="Q306" s="366">
        <f t="shared" ref="Q306:Q310" si="52">+(P306/D306)*100</f>
        <v>4.608096469</v>
      </c>
      <c r="R306" s="253"/>
      <c r="S306" s="1"/>
      <c r="T306" s="1"/>
      <c r="U306" s="1"/>
      <c r="V306" s="1"/>
      <c r="W306" s="1"/>
      <c r="X306" s="1"/>
      <c r="Y306" s="1"/>
      <c r="Z306" s="1"/>
    </row>
    <row r="307" ht="10.5" customHeight="1">
      <c r="A307" s="1"/>
      <c r="B307" s="390" t="s">
        <v>240</v>
      </c>
      <c r="C307" s="87"/>
      <c r="D307" s="33">
        <v>5175400.0</v>
      </c>
      <c r="E307" s="30">
        <v>4001856.0</v>
      </c>
      <c r="F307" s="363">
        <f t="shared" si="47"/>
        <v>77.32457395</v>
      </c>
      <c r="G307" s="30">
        <v>529400.0</v>
      </c>
      <c r="H307" s="364">
        <f t="shared" si="48"/>
        <v>10.22916103</v>
      </c>
      <c r="I307" s="30" t="s">
        <v>10</v>
      </c>
      <c r="J307" s="30">
        <v>3472456.0</v>
      </c>
      <c r="K307" s="365">
        <f t="shared" si="49"/>
        <v>67.09541291</v>
      </c>
      <c r="L307" s="30">
        <v>100400.0</v>
      </c>
      <c r="M307" s="366">
        <f t="shared" si="50"/>
        <v>1.939946671</v>
      </c>
      <c r="N307" s="30">
        <v>86187.0</v>
      </c>
      <c r="O307" s="366">
        <f t="shared" si="51"/>
        <v>1.665320555</v>
      </c>
      <c r="P307" s="30">
        <v>986957.0</v>
      </c>
      <c r="Q307" s="366">
        <f t="shared" si="52"/>
        <v>19.07015883</v>
      </c>
      <c r="R307" s="253"/>
      <c r="S307" s="1"/>
      <c r="T307" s="1"/>
      <c r="U307" s="1"/>
      <c r="V307" s="1"/>
      <c r="W307" s="1"/>
      <c r="X307" s="1"/>
      <c r="Y307" s="1"/>
      <c r="Z307" s="1"/>
    </row>
    <row r="308" ht="10.5" customHeight="1">
      <c r="A308" s="1"/>
      <c r="B308" s="390" t="s">
        <v>252</v>
      </c>
      <c r="C308" s="87"/>
      <c r="D308" s="33">
        <v>3607400.0</v>
      </c>
      <c r="E308" s="30">
        <v>3089912.0</v>
      </c>
      <c r="F308" s="363">
        <f t="shared" si="47"/>
        <v>85.65482065</v>
      </c>
      <c r="G308" s="30">
        <v>360700.0</v>
      </c>
      <c r="H308" s="364">
        <f t="shared" si="48"/>
        <v>9.998891168</v>
      </c>
      <c r="I308" s="30" t="s">
        <v>10</v>
      </c>
      <c r="J308" s="30">
        <v>2729212.0</v>
      </c>
      <c r="K308" s="365">
        <f t="shared" si="49"/>
        <v>75.65592948</v>
      </c>
      <c r="L308" s="30">
        <v>75800.0</v>
      </c>
      <c r="M308" s="366">
        <f t="shared" si="50"/>
        <v>2.101236348</v>
      </c>
      <c r="N308" s="30">
        <v>140491.0</v>
      </c>
      <c r="O308" s="366">
        <f t="shared" si="51"/>
        <v>3.894522371</v>
      </c>
      <c r="P308" s="30">
        <v>301197.0</v>
      </c>
      <c r="Q308" s="366">
        <f t="shared" si="52"/>
        <v>8.349420635</v>
      </c>
      <c r="R308" s="253"/>
      <c r="S308" s="1"/>
      <c r="T308" s="1"/>
      <c r="U308" s="1"/>
      <c r="V308" s="1"/>
      <c r="W308" s="1"/>
      <c r="X308" s="1"/>
      <c r="Y308" s="1"/>
      <c r="Z308" s="1"/>
    </row>
    <row r="309" ht="10.5" customHeight="1">
      <c r="A309" s="1"/>
      <c r="B309" s="390" t="s">
        <v>258</v>
      </c>
      <c r="C309" s="87"/>
      <c r="D309" s="33">
        <v>677500.0</v>
      </c>
      <c r="E309" s="30">
        <v>492507.0</v>
      </c>
      <c r="F309" s="363">
        <f t="shared" si="47"/>
        <v>72.69476015</v>
      </c>
      <c r="G309" s="30">
        <v>137898.0</v>
      </c>
      <c r="H309" s="364">
        <f t="shared" si="48"/>
        <v>20.35394834</v>
      </c>
      <c r="I309" s="30" t="s">
        <v>10</v>
      </c>
      <c r="J309" s="30">
        <v>354609.0</v>
      </c>
      <c r="K309" s="365">
        <f t="shared" si="49"/>
        <v>52.34081181</v>
      </c>
      <c r="L309" s="30">
        <v>56800.0</v>
      </c>
      <c r="M309" s="366">
        <f t="shared" si="50"/>
        <v>8.383763838</v>
      </c>
      <c r="N309" s="30">
        <v>23130.0</v>
      </c>
      <c r="O309" s="366">
        <f t="shared" si="51"/>
        <v>3.41402214</v>
      </c>
      <c r="P309" s="30">
        <v>105063.0</v>
      </c>
      <c r="Q309" s="366">
        <f t="shared" si="52"/>
        <v>15.50745387</v>
      </c>
      <c r="R309" s="253"/>
      <c r="S309" s="1"/>
      <c r="T309" s="1"/>
      <c r="U309" s="1"/>
      <c r="V309" s="1"/>
      <c r="W309" s="1"/>
      <c r="X309" s="1"/>
      <c r="Y309" s="1"/>
      <c r="Z309" s="1"/>
    </row>
    <row r="310" ht="10.5" customHeight="1">
      <c r="A310" s="1"/>
      <c r="B310" s="390" t="s">
        <v>655</v>
      </c>
      <c r="C310" s="87"/>
      <c r="D310" s="33">
        <v>3612400.0</v>
      </c>
      <c r="E310" s="30">
        <v>3394518.0</v>
      </c>
      <c r="F310" s="363">
        <f t="shared" si="47"/>
        <v>93.9684974</v>
      </c>
      <c r="G310" s="30">
        <v>530700.0</v>
      </c>
      <c r="H310" s="364">
        <f t="shared" si="48"/>
        <v>14.69106411</v>
      </c>
      <c r="I310" s="30" t="s">
        <v>10</v>
      </c>
      <c r="J310" s="30">
        <v>2863818.0</v>
      </c>
      <c r="K310" s="365">
        <f t="shared" si="49"/>
        <v>79.27743329</v>
      </c>
      <c r="L310" s="30">
        <v>127200.0</v>
      </c>
      <c r="M310" s="366">
        <f t="shared" si="50"/>
        <v>3.521204739</v>
      </c>
      <c r="N310" s="30">
        <v>6060.0</v>
      </c>
      <c r="O310" s="366">
        <f t="shared" si="51"/>
        <v>0.1677555088</v>
      </c>
      <c r="P310" s="30">
        <v>84622.0</v>
      </c>
      <c r="Q310" s="366">
        <f t="shared" si="52"/>
        <v>2.342542354</v>
      </c>
      <c r="R310" s="253"/>
      <c r="S310" s="1"/>
      <c r="T310" s="1"/>
      <c r="U310" s="1"/>
      <c r="V310" s="1"/>
      <c r="W310" s="1"/>
      <c r="X310" s="1"/>
      <c r="Y310" s="1"/>
      <c r="Z310" s="1"/>
    </row>
    <row r="311" ht="10.5" customHeight="1">
      <c r="A311" s="1"/>
      <c r="B311" s="390" t="s">
        <v>256</v>
      </c>
      <c r="C311" s="87"/>
      <c r="D311" s="33" t="s">
        <v>40</v>
      </c>
      <c r="E311" s="30" t="s">
        <v>40</v>
      </c>
      <c r="F311" s="366" t="s">
        <v>40</v>
      </c>
      <c r="G311" s="30" t="s">
        <v>40</v>
      </c>
      <c r="H311" s="364" t="s">
        <v>40</v>
      </c>
      <c r="I311" s="30" t="s">
        <v>40</v>
      </c>
      <c r="J311" s="30" t="s">
        <v>40</v>
      </c>
      <c r="K311" s="365" t="s">
        <v>40</v>
      </c>
      <c r="L311" s="30" t="s">
        <v>40</v>
      </c>
      <c r="M311" s="366" t="s">
        <v>40</v>
      </c>
      <c r="N311" s="30" t="s">
        <v>40</v>
      </c>
      <c r="O311" s="366" t="s">
        <v>40</v>
      </c>
      <c r="P311" s="30" t="s">
        <v>40</v>
      </c>
      <c r="Q311" s="366" t="s">
        <v>40</v>
      </c>
      <c r="R311" s="253"/>
      <c r="S311" s="1"/>
      <c r="T311" s="1"/>
      <c r="U311" s="1"/>
      <c r="V311" s="1"/>
      <c r="W311" s="1"/>
      <c r="X311" s="1"/>
      <c r="Y311" s="1"/>
      <c r="Z311" s="1"/>
    </row>
    <row r="312" ht="10.5" customHeight="1">
      <c r="A312" s="1"/>
      <c r="B312" s="390" t="s">
        <v>668</v>
      </c>
      <c r="C312" s="87"/>
      <c r="D312" s="33">
        <v>3807900.0</v>
      </c>
      <c r="E312" s="30">
        <v>3312873.0</v>
      </c>
      <c r="F312" s="363">
        <f t="shared" ref="F312:F322" si="54">+(E312/D312)*100</f>
        <v>87</v>
      </c>
      <c r="G312" s="30">
        <v>951975.0</v>
      </c>
      <c r="H312" s="364">
        <f t="shared" ref="H312:H322" si="55">+(G312/D312)*100</f>
        <v>25</v>
      </c>
      <c r="I312" s="30" t="s">
        <v>10</v>
      </c>
      <c r="J312" s="30">
        <v>2360898.0</v>
      </c>
      <c r="K312" s="365">
        <f t="shared" ref="K312:K322" si="57">+(J312/D312)*100</f>
        <v>62</v>
      </c>
      <c r="L312" s="30">
        <v>387000.0</v>
      </c>
      <c r="M312" s="366">
        <f t="shared" ref="M312:M322" si="58">+(L312/D312)*100</f>
        <v>10.16308201</v>
      </c>
      <c r="N312" s="30" t="s">
        <v>40</v>
      </c>
      <c r="O312" s="366" t="s">
        <v>40</v>
      </c>
      <c r="P312" s="30">
        <v>108027.0</v>
      </c>
      <c r="Q312" s="366">
        <f t="shared" ref="Q312:Q322" si="59">+(P312/D312)*100</f>
        <v>2.836917986</v>
      </c>
      <c r="R312" s="253"/>
      <c r="S312" s="1"/>
      <c r="T312" s="1"/>
      <c r="U312" s="1"/>
      <c r="V312" s="1"/>
      <c r="W312" s="1"/>
      <c r="X312" s="1"/>
      <c r="Y312" s="1"/>
      <c r="Z312" s="1"/>
    </row>
    <row r="313" ht="10.5" customHeight="1">
      <c r="A313" s="393">
        <v>5.0</v>
      </c>
      <c r="B313" s="381" t="s">
        <v>672</v>
      </c>
      <c r="C313" s="87"/>
      <c r="D313" s="353">
        <f t="shared" ref="D313:E313" si="53">SUM(D314:D322)</f>
        <v>105207300</v>
      </c>
      <c r="E313" s="353">
        <f t="shared" si="53"/>
        <v>86186026</v>
      </c>
      <c r="F313" s="384">
        <f t="shared" si="54"/>
        <v>81.92019565</v>
      </c>
      <c r="G313" s="353">
        <f>SUM(G314:G322)</f>
        <v>14192099</v>
      </c>
      <c r="H313" s="395">
        <f t="shared" si="55"/>
        <v>13.48965233</v>
      </c>
      <c r="I313" s="385">
        <f t="shared" ref="I313:J313" si="56">SUM(I314:I322)</f>
        <v>12900122</v>
      </c>
      <c r="J313" s="385">
        <f t="shared" si="56"/>
        <v>71993927</v>
      </c>
      <c r="K313" s="397">
        <f t="shared" si="57"/>
        <v>68.43054332</v>
      </c>
      <c r="L313" s="385">
        <f>SUM(L314:L322)</f>
        <v>11005799</v>
      </c>
      <c r="M313" s="354">
        <f t="shared" si="58"/>
        <v>10.46106021</v>
      </c>
      <c r="N313" s="385">
        <f>SUM(N314:N322)</f>
        <v>1177696</v>
      </c>
      <c r="O313" s="354">
        <f t="shared" ref="O313:O314" si="60">+(N313/D313)*100</f>
        <v>1.119405212</v>
      </c>
      <c r="P313" s="385">
        <f>SUM(P314:P322)</f>
        <v>6837779</v>
      </c>
      <c r="Q313" s="354">
        <f t="shared" si="59"/>
        <v>6.499338924</v>
      </c>
      <c r="R313" s="253"/>
      <c r="S313" s="1"/>
      <c r="T313" s="1"/>
      <c r="U313" s="1"/>
      <c r="V313" s="1"/>
      <c r="W313" s="1"/>
      <c r="X313" s="1"/>
      <c r="Y313" s="1"/>
      <c r="Z313" s="1"/>
    </row>
    <row r="314" ht="10.5" customHeight="1">
      <c r="A314" s="1"/>
      <c r="B314" s="390" t="s">
        <v>235</v>
      </c>
      <c r="C314" s="87"/>
      <c r="D314" s="33">
        <v>1.29386E7</v>
      </c>
      <c r="E314" s="30">
        <v>1.1560609E7</v>
      </c>
      <c r="F314" s="363">
        <f t="shared" si="54"/>
        <v>89.34976736</v>
      </c>
      <c r="G314" s="30">
        <v>2454788.0</v>
      </c>
      <c r="H314" s="364">
        <f t="shared" si="55"/>
        <v>18.97259363</v>
      </c>
      <c r="I314" s="30">
        <v>2126342.0</v>
      </c>
      <c r="J314" s="30">
        <v>9105821.0</v>
      </c>
      <c r="K314" s="365">
        <f t="shared" si="57"/>
        <v>70.37717373</v>
      </c>
      <c r="L314" s="30">
        <v>730731.0</v>
      </c>
      <c r="M314" s="366">
        <f t="shared" si="58"/>
        <v>5.647682129</v>
      </c>
      <c r="N314" s="30">
        <v>198938.0</v>
      </c>
      <c r="O314" s="366">
        <f t="shared" si="60"/>
        <v>1.537554295</v>
      </c>
      <c r="P314" s="30">
        <v>448322.0</v>
      </c>
      <c r="Q314" s="366">
        <f t="shared" si="59"/>
        <v>3.464996213</v>
      </c>
      <c r="R314" s="1"/>
      <c r="S314" s="1"/>
      <c r="T314" s="1"/>
      <c r="U314" s="1"/>
      <c r="V314" s="1"/>
      <c r="W314" s="1"/>
      <c r="X314" s="1"/>
      <c r="Y314" s="1"/>
      <c r="Z314" s="1"/>
    </row>
    <row r="315" ht="10.5" customHeight="1">
      <c r="A315" s="1"/>
      <c r="B315" s="390" t="s">
        <v>247</v>
      </c>
      <c r="C315" s="87"/>
      <c r="D315" s="33">
        <v>3.63389E7</v>
      </c>
      <c r="E315" s="30">
        <v>2.9543832E7</v>
      </c>
      <c r="F315" s="363">
        <f t="shared" si="54"/>
        <v>81.3008429</v>
      </c>
      <c r="G315" s="30">
        <v>454465.0</v>
      </c>
      <c r="H315" s="364">
        <f t="shared" si="55"/>
        <v>1.250629491</v>
      </c>
      <c r="I315" s="30">
        <v>218247.0</v>
      </c>
      <c r="J315" s="30">
        <v>2.9089367E7</v>
      </c>
      <c r="K315" s="365">
        <f t="shared" si="57"/>
        <v>80.05021341</v>
      </c>
      <c r="L315" s="30">
        <v>4295068.0</v>
      </c>
      <c r="M315" s="366">
        <f t="shared" si="58"/>
        <v>11.8194772</v>
      </c>
      <c r="N315" s="30" t="s">
        <v>40</v>
      </c>
      <c r="O315" s="366" t="s">
        <v>40</v>
      </c>
      <c r="P315" s="30">
        <v>2500000.0</v>
      </c>
      <c r="Q315" s="366">
        <f t="shared" si="59"/>
        <v>6.879679902</v>
      </c>
      <c r="R315" s="1"/>
      <c r="S315" s="1"/>
      <c r="T315" s="1"/>
      <c r="U315" s="1"/>
      <c r="V315" s="1"/>
      <c r="W315" s="1"/>
      <c r="X315" s="1"/>
      <c r="Y315" s="1"/>
      <c r="Z315" s="1"/>
    </row>
    <row r="316" ht="10.5" customHeight="1">
      <c r="A316" s="1"/>
      <c r="B316" s="390" t="s">
        <v>249</v>
      </c>
      <c r="C316" s="87"/>
      <c r="D316" s="33">
        <v>1.27115E7</v>
      </c>
      <c r="E316" s="30">
        <v>1.1572E7</v>
      </c>
      <c r="F316" s="363">
        <f t="shared" si="54"/>
        <v>91.03567636</v>
      </c>
      <c r="G316" s="30">
        <v>4186523.0</v>
      </c>
      <c r="H316" s="364">
        <f t="shared" si="55"/>
        <v>32.93492507</v>
      </c>
      <c r="I316" s="30">
        <v>3995948.0</v>
      </c>
      <c r="J316" s="30">
        <v>7385477.0</v>
      </c>
      <c r="K316" s="365">
        <f t="shared" si="57"/>
        <v>58.10075129</v>
      </c>
      <c r="L316" s="30">
        <v>239500.0</v>
      </c>
      <c r="M316" s="366">
        <f t="shared" si="58"/>
        <v>1.884120678</v>
      </c>
      <c r="N316" s="30" t="s">
        <v>40</v>
      </c>
      <c r="O316" s="366" t="s">
        <v>40</v>
      </c>
      <c r="P316" s="30">
        <v>900000.0</v>
      </c>
      <c r="Q316" s="366">
        <f t="shared" si="59"/>
        <v>7.080202966</v>
      </c>
      <c r="R316" s="1"/>
      <c r="S316" s="1"/>
      <c r="T316" s="1"/>
      <c r="U316" s="1"/>
      <c r="V316" s="1"/>
      <c r="W316" s="1"/>
      <c r="X316" s="1"/>
      <c r="Y316" s="1"/>
      <c r="Z316" s="1"/>
    </row>
    <row r="317" ht="10.5" customHeight="1">
      <c r="A317" s="1"/>
      <c r="B317" s="390" t="s">
        <v>240</v>
      </c>
      <c r="C317" s="87"/>
      <c r="D317" s="33">
        <v>1.18862E7</v>
      </c>
      <c r="E317" s="30">
        <v>1.0815867E7</v>
      </c>
      <c r="F317" s="363">
        <f t="shared" si="54"/>
        <v>90.99516246</v>
      </c>
      <c r="G317" s="30">
        <v>643501.0</v>
      </c>
      <c r="H317" s="364">
        <f t="shared" si="55"/>
        <v>5.413849674</v>
      </c>
      <c r="I317" s="30">
        <v>601651.0</v>
      </c>
      <c r="J317" s="30">
        <v>1.0172366E7</v>
      </c>
      <c r="K317" s="365">
        <f t="shared" si="57"/>
        <v>85.58131278</v>
      </c>
      <c r="L317" s="30">
        <v>523000.0</v>
      </c>
      <c r="M317" s="366">
        <f t="shared" si="58"/>
        <v>4.400060574</v>
      </c>
      <c r="N317" s="30">
        <v>47333.0</v>
      </c>
      <c r="O317" s="366">
        <f t="shared" ref="O317:O321" si="61">+(N317/D317)*100</f>
        <v>0.3982181017</v>
      </c>
      <c r="P317" s="30">
        <v>500000.0</v>
      </c>
      <c r="Q317" s="366">
        <f t="shared" si="59"/>
        <v>4.206558867</v>
      </c>
      <c r="R317" s="1"/>
      <c r="S317" s="1"/>
      <c r="T317" s="1"/>
      <c r="U317" s="1"/>
      <c r="V317" s="1"/>
      <c r="W317" s="1"/>
      <c r="X317" s="1"/>
      <c r="Y317" s="1"/>
      <c r="Z317" s="1"/>
    </row>
    <row r="318" ht="10.5" customHeight="1">
      <c r="A318" s="1"/>
      <c r="B318" s="390" t="s">
        <v>252</v>
      </c>
      <c r="C318" s="87"/>
      <c r="D318" s="33">
        <v>5540700.0</v>
      </c>
      <c r="E318" s="30">
        <v>3439403.0</v>
      </c>
      <c r="F318" s="363">
        <f t="shared" si="54"/>
        <v>62.0752432</v>
      </c>
      <c r="G318" s="30">
        <v>838975.0</v>
      </c>
      <c r="H318" s="364">
        <f t="shared" si="55"/>
        <v>15.14203981</v>
      </c>
      <c r="I318" s="30">
        <v>834637.0</v>
      </c>
      <c r="J318" s="30">
        <v>2600428.0</v>
      </c>
      <c r="K318" s="365">
        <f t="shared" si="57"/>
        <v>46.93320339</v>
      </c>
      <c r="L318" s="30">
        <v>1302100.0</v>
      </c>
      <c r="M318" s="366">
        <f t="shared" si="58"/>
        <v>23.50064071</v>
      </c>
      <c r="N318" s="30">
        <v>325197.0</v>
      </c>
      <c r="O318" s="366">
        <f t="shared" si="61"/>
        <v>5.869240349</v>
      </c>
      <c r="P318" s="30">
        <v>474000.0</v>
      </c>
      <c r="Q318" s="366">
        <f t="shared" si="59"/>
        <v>8.554875738</v>
      </c>
      <c r="R318" s="1"/>
      <c r="S318" s="1"/>
      <c r="T318" s="1"/>
      <c r="U318" s="1"/>
      <c r="V318" s="1"/>
      <c r="W318" s="1"/>
      <c r="X318" s="1"/>
      <c r="Y318" s="1"/>
      <c r="Z318" s="1"/>
    </row>
    <row r="319" ht="10.5" customHeight="1">
      <c r="A319" s="1"/>
      <c r="B319" s="390" t="s">
        <v>258</v>
      </c>
      <c r="C319" s="87"/>
      <c r="D319" s="33">
        <v>7504100.0</v>
      </c>
      <c r="E319" s="30">
        <v>4486320.0</v>
      </c>
      <c r="F319" s="363">
        <f t="shared" si="54"/>
        <v>59.78491758</v>
      </c>
      <c r="G319" s="30">
        <v>1596998.0</v>
      </c>
      <c r="H319" s="364">
        <f t="shared" si="55"/>
        <v>21.28167269</v>
      </c>
      <c r="I319" s="30">
        <v>1742601.0</v>
      </c>
      <c r="J319" s="30">
        <v>2889322.0</v>
      </c>
      <c r="K319" s="365">
        <f t="shared" si="57"/>
        <v>38.50324489</v>
      </c>
      <c r="L319" s="30">
        <v>2275100.0</v>
      </c>
      <c r="M319" s="366">
        <f t="shared" si="58"/>
        <v>30.31809278</v>
      </c>
      <c r="N319" s="30">
        <v>526688.0</v>
      </c>
      <c r="O319" s="366">
        <f t="shared" si="61"/>
        <v>7.018669794</v>
      </c>
      <c r="P319" s="30">
        <v>215992.0</v>
      </c>
      <c r="Q319" s="366">
        <f t="shared" si="59"/>
        <v>2.878319852</v>
      </c>
      <c r="R319" s="1"/>
      <c r="S319" s="1"/>
      <c r="T319" s="1"/>
      <c r="U319" s="1"/>
      <c r="V319" s="1"/>
      <c r="W319" s="1"/>
      <c r="X319" s="1"/>
      <c r="Y319" s="1"/>
      <c r="Z319" s="1"/>
    </row>
    <row r="320" ht="10.5" customHeight="1">
      <c r="A320" s="1"/>
      <c r="B320" s="390" t="s">
        <v>655</v>
      </c>
      <c r="C320" s="87"/>
      <c r="D320" s="33">
        <v>8348200.0</v>
      </c>
      <c r="E320" s="30">
        <v>7153772.0</v>
      </c>
      <c r="F320" s="363">
        <f t="shared" si="54"/>
        <v>85.69238878</v>
      </c>
      <c r="G320" s="30">
        <v>1169742.0</v>
      </c>
      <c r="H320" s="364">
        <f t="shared" si="55"/>
        <v>14.01190676</v>
      </c>
      <c r="I320" s="30">
        <v>660090.0</v>
      </c>
      <c r="J320" s="30">
        <v>5984030.0</v>
      </c>
      <c r="K320" s="365">
        <f t="shared" si="57"/>
        <v>71.68048202</v>
      </c>
      <c r="L320" s="30">
        <v>1034400.0</v>
      </c>
      <c r="M320" s="366">
        <f t="shared" si="58"/>
        <v>12.390695</v>
      </c>
      <c r="N320" s="30">
        <v>59350.0</v>
      </c>
      <c r="O320" s="366">
        <f t="shared" si="61"/>
        <v>0.7109316979</v>
      </c>
      <c r="P320" s="30">
        <v>100678.0</v>
      </c>
      <c r="Q320" s="366">
        <f t="shared" si="59"/>
        <v>1.205984524</v>
      </c>
      <c r="R320" s="1"/>
      <c r="S320" s="1"/>
      <c r="T320" s="1"/>
      <c r="U320" s="1"/>
      <c r="V320" s="1"/>
      <c r="W320" s="1"/>
      <c r="X320" s="1"/>
      <c r="Y320" s="1"/>
      <c r="Z320" s="1"/>
    </row>
    <row r="321" ht="10.5" customHeight="1">
      <c r="A321" s="1"/>
      <c r="B321" s="390" t="s">
        <v>256</v>
      </c>
      <c r="C321" s="87"/>
      <c r="D321" s="33">
        <v>1876000.0</v>
      </c>
      <c r="E321" s="30">
        <v>828623.0</v>
      </c>
      <c r="F321" s="363">
        <f t="shared" si="54"/>
        <v>44.16966951</v>
      </c>
      <c r="G321" s="30">
        <v>438623.0</v>
      </c>
      <c r="H321" s="364">
        <f t="shared" si="55"/>
        <v>23.38075693</v>
      </c>
      <c r="I321" s="30">
        <v>405773.0</v>
      </c>
      <c r="J321" s="30">
        <v>390000.0</v>
      </c>
      <c r="K321" s="365">
        <f t="shared" si="57"/>
        <v>20.78891258</v>
      </c>
      <c r="L321" s="30">
        <v>228400.0</v>
      </c>
      <c r="M321" s="366">
        <f t="shared" si="58"/>
        <v>12.17484009</v>
      </c>
      <c r="N321" s="30">
        <v>20190.0</v>
      </c>
      <c r="O321" s="366">
        <f t="shared" si="61"/>
        <v>1.076226013</v>
      </c>
      <c r="P321" s="30">
        <v>798787.0</v>
      </c>
      <c r="Q321" s="366">
        <f t="shared" si="59"/>
        <v>42.57926439</v>
      </c>
      <c r="R321" s="1"/>
      <c r="S321" s="1"/>
      <c r="T321" s="1"/>
      <c r="U321" s="1"/>
      <c r="V321" s="1"/>
      <c r="W321" s="1"/>
      <c r="X321" s="1"/>
      <c r="Y321" s="1"/>
      <c r="Z321" s="1"/>
    </row>
    <row r="322" ht="10.5" customHeight="1">
      <c r="A322" s="1"/>
      <c r="B322" s="400" t="s">
        <v>253</v>
      </c>
      <c r="C322" s="94"/>
      <c r="D322" s="57">
        <v>8063100.0</v>
      </c>
      <c r="E322" s="401">
        <v>6785600.0</v>
      </c>
      <c r="F322" s="402">
        <f t="shared" si="54"/>
        <v>84.15621783</v>
      </c>
      <c r="G322" s="401">
        <v>2408484.0</v>
      </c>
      <c r="H322" s="403">
        <f t="shared" si="55"/>
        <v>29.87044685</v>
      </c>
      <c r="I322" s="401">
        <v>2314833.0</v>
      </c>
      <c r="J322" s="401">
        <v>4377116.0</v>
      </c>
      <c r="K322" s="404">
        <f t="shared" si="57"/>
        <v>54.28577098</v>
      </c>
      <c r="L322" s="401">
        <v>377500.0</v>
      </c>
      <c r="M322" s="406">
        <f t="shared" si="58"/>
        <v>4.681822128</v>
      </c>
      <c r="N322" s="401" t="s">
        <v>40</v>
      </c>
      <c r="O322" s="406" t="s">
        <v>40</v>
      </c>
      <c r="P322" s="401">
        <v>900000.0</v>
      </c>
      <c r="Q322" s="406">
        <f t="shared" si="59"/>
        <v>11.16196004</v>
      </c>
      <c r="R322" s="1"/>
      <c r="S322" s="1"/>
      <c r="T322" s="1"/>
      <c r="U322" s="1"/>
      <c r="V322" s="1"/>
      <c r="W322" s="1"/>
      <c r="X322" s="1"/>
      <c r="Y322" s="1"/>
      <c r="Z322" s="1"/>
    </row>
    <row r="323" ht="12.0" customHeight="1">
      <c r="A323" s="1"/>
      <c r="B323" s="60" t="s">
        <v>691</v>
      </c>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6.0" customHeight="1">
      <c r="A324" s="1"/>
      <c r="B324" s="60"/>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0.5" customHeight="1">
      <c r="A325" s="1"/>
      <c r="B325" s="60" t="s">
        <v>692</v>
      </c>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0.5" customHeight="1">
      <c r="A326" s="1"/>
      <c r="B326" s="60" t="s">
        <v>693</v>
      </c>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0.5" customHeight="1">
      <c r="A327" s="1"/>
      <c r="B327" s="60" t="s">
        <v>694</v>
      </c>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0.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1.25" customHeight="1">
      <c r="A329" s="1"/>
      <c r="B329" s="407" t="s">
        <v>695</v>
      </c>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1.25" customHeight="1">
      <c r="A330" s="1"/>
      <c r="B330" s="112" t="s">
        <v>696</v>
      </c>
      <c r="C330" s="70"/>
      <c r="D330" s="3" t="s">
        <v>697</v>
      </c>
      <c r="E330" s="3" t="s">
        <v>698</v>
      </c>
      <c r="F330" s="3" t="s">
        <v>249</v>
      </c>
      <c r="G330" s="3" t="s">
        <v>353</v>
      </c>
      <c r="H330" s="3" t="s">
        <v>609</v>
      </c>
      <c r="I330" s="3" t="s">
        <v>357</v>
      </c>
      <c r="J330" s="3" t="s">
        <v>263</v>
      </c>
      <c r="K330" s="3" t="s">
        <v>256</v>
      </c>
      <c r="L330" s="3" t="s">
        <v>253</v>
      </c>
      <c r="M330" s="4" t="s">
        <v>2</v>
      </c>
      <c r="N330" s="1"/>
      <c r="O330" s="1"/>
      <c r="P330" s="1"/>
      <c r="Q330" s="1"/>
      <c r="R330" s="1"/>
      <c r="S330" s="1"/>
      <c r="T330" s="1"/>
      <c r="U330" s="1"/>
      <c r="V330" s="1"/>
      <c r="W330" s="1"/>
      <c r="X330" s="1"/>
      <c r="Y330" s="1"/>
      <c r="Z330" s="1"/>
    </row>
    <row r="331" ht="11.25" customHeight="1">
      <c r="A331" s="1"/>
      <c r="B331" s="118"/>
      <c r="C331" s="94"/>
      <c r="D331" s="200" t="s">
        <v>348</v>
      </c>
      <c r="E331" s="7" t="s">
        <v>348</v>
      </c>
      <c r="F331" s="200"/>
      <c r="G331" s="200" t="s">
        <v>348</v>
      </c>
      <c r="H331" s="200" t="s">
        <v>349</v>
      </c>
      <c r="I331" s="200" t="s">
        <v>360</v>
      </c>
      <c r="J331" s="200"/>
      <c r="K331" s="200"/>
      <c r="L331" s="200"/>
      <c r="M331" s="200"/>
      <c r="N331" s="1"/>
      <c r="O331" s="1"/>
      <c r="P331" s="15"/>
      <c r="Q331" s="1"/>
      <c r="R331" s="1"/>
      <c r="S331" s="1"/>
      <c r="T331" s="1"/>
      <c r="U331" s="1"/>
      <c r="V331" s="1"/>
      <c r="W331" s="1"/>
      <c r="X331" s="1"/>
      <c r="Y331" s="1"/>
      <c r="Z331" s="1"/>
    </row>
    <row r="332" ht="10.5" customHeight="1">
      <c r="A332" s="1"/>
      <c r="B332" s="409" t="s">
        <v>700</v>
      </c>
      <c r="C332" s="92"/>
      <c r="D332" s="410"/>
      <c r="E332" s="411"/>
      <c r="F332" s="410"/>
      <c r="G332" s="410"/>
      <c r="H332" s="410"/>
      <c r="I332" s="410"/>
      <c r="J332" s="410"/>
      <c r="K332" s="410"/>
      <c r="L332" s="410"/>
      <c r="M332" s="410"/>
      <c r="N332" s="1"/>
      <c r="O332" s="1"/>
      <c r="P332" s="15"/>
      <c r="Q332" s="1"/>
      <c r="R332" s="1"/>
      <c r="S332" s="1"/>
      <c r="T332" s="1"/>
      <c r="U332" s="1"/>
      <c r="V332" s="1"/>
      <c r="W332" s="1"/>
      <c r="X332" s="1"/>
      <c r="Y332" s="1"/>
      <c r="Z332" s="1"/>
    </row>
    <row r="333" ht="22.5" customHeight="1">
      <c r="A333" s="1"/>
      <c r="B333" s="412" t="s">
        <v>704</v>
      </c>
      <c r="C333" s="87"/>
      <c r="D333" s="413"/>
      <c r="E333" s="411"/>
      <c r="F333" s="410"/>
      <c r="G333" s="410"/>
      <c r="H333" s="410"/>
      <c r="I333" s="410"/>
      <c r="J333" s="410"/>
      <c r="K333" s="410"/>
      <c r="L333" s="410"/>
      <c r="M333" s="410"/>
      <c r="N333" s="1"/>
      <c r="O333" s="1"/>
      <c r="P333" s="15"/>
      <c r="Q333" s="1"/>
      <c r="R333" s="1"/>
      <c r="S333" s="1"/>
      <c r="T333" s="1"/>
      <c r="U333" s="1"/>
      <c r="V333" s="1"/>
      <c r="W333" s="1"/>
      <c r="X333" s="1"/>
      <c r="Y333" s="1"/>
      <c r="Z333" s="1"/>
    </row>
    <row r="334" ht="10.5" customHeight="1">
      <c r="A334" s="1"/>
      <c r="B334" s="414" t="s">
        <v>705</v>
      </c>
      <c r="C334" s="92"/>
      <c r="D334" s="415">
        <v>6653.0</v>
      </c>
      <c r="E334" s="417">
        <v>5128.0</v>
      </c>
      <c r="F334" s="415">
        <v>7473.0</v>
      </c>
      <c r="G334" s="415">
        <v>4006.0</v>
      </c>
      <c r="H334" s="415">
        <v>3574.0</v>
      </c>
      <c r="I334" s="415">
        <v>3523.0</v>
      </c>
      <c r="J334" s="415">
        <v>2934.0</v>
      </c>
      <c r="K334" s="415">
        <v>1773.0</v>
      </c>
      <c r="L334" s="415">
        <v>4902.0</v>
      </c>
      <c r="M334" s="415">
        <f>SUM(D334:L334)</f>
        <v>39966</v>
      </c>
      <c r="N334" s="1"/>
      <c r="O334" s="1"/>
      <c r="P334" s="15"/>
      <c r="Q334" s="1"/>
      <c r="R334" s="1"/>
      <c r="S334" s="1"/>
      <c r="T334" s="1"/>
      <c r="U334" s="1"/>
      <c r="V334" s="1"/>
      <c r="W334" s="1"/>
      <c r="X334" s="1"/>
      <c r="Y334" s="1"/>
      <c r="Z334" s="1"/>
    </row>
    <row r="335" ht="6.0" customHeight="1">
      <c r="A335" s="1"/>
      <c r="B335" s="419"/>
      <c r="C335" s="92"/>
      <c r="D335" s="415"/>
      <c r="E335" s="422"/>
      <c r="F335" s="424"/>
      <c r="G335" s="424"/>
      <c r="H335" s="424"/>
      <c r="I335" s="424"/>
      <c r="J335" s="424"/>
      <c r="K335" s="424"/>
      <c r="L335" s="424"/>
      <c r="M335" s="424"/>
      <c r="N335" s="1"/>
      <c r="O335" s="1"/>
      <c r="P335" s="15"/>
      <c r="Q335" s="1"/>
      <c r="R335" s="1"/>
      <c r="S335" s="1"/>
      <c r="T335" s="1"/>
      <c r="U335" s="1"/>
      <c r="V335" s="1"/>
      <c r="W335" s="1"/>
      <c r="X335" s="1"/>
      <c r="Y335" s="1"/>
      <c r="Z335" s="1"/>
    </row>
    <row r="336" ht="10.5" customHeight="1">
      <c r="A336" s="1"/>
      <c r="B336" s="409" t="s">
        <v>714</v>
      </c>
      <c r="C336" s="92"/>
      <c r="D336" s="12"/>
      <c r="E336" s="426"/>
      <c r="F336" s="428"/>
      <c r="G336" s="428"/>
      <c r="H336" s="428"/>
      <c r="I336" s="428"/>
      <c r="J336" s="428"/>
      <c r="K336" s="428"/>
      <c r="L336" s="428"/>
      <c r="M336" s="428"/>
      <c r="N336" s="1"/>
      <c r="O336" s="1"/>
      <c r="P336" s="15"/>
      <c r="Q336" s="1"/>
      <c r="R336" s="1"/>
      <c r="S336" s="1"/>
      <c r="T336" s="1"/>
      <c r="U336" s="1"/>
      <c r="V336" s="1"/>
      <c r="W336" s="1"/>
      <c r="X336" s="1"/>
      <c r="Y336" s="1"/>
      <c r="Z336" s="1"/>
    </row>
    <row r="337" ht="22.5" customHeight="1">
      <c r="A337" s="1"/>
      <c r="B337" s="412" t="s">
        <v>704</v>
      </c>
      <c r="C337" s="87"/>
      <c r="D337" s="431"/>
      <c r="E337" s="432"/>
      <c r="F337" s="428"/>
      <c r="G337" s="428"/>
      <c r="H337" s="428"/>
      <c r="I337" s="428"/>
      <c r="J337" s="428"/>
      <c r="K337" s="428"/>
      <c r="L337" s="428"/>
      <c r="M337" s="428"/>
      <c r="N337" s="1"/>
      <c r="O337" s="1"/>
      <c r="P337" s="15"/>
      <c r="Q337" s="1"/>
      <c r="R337" s="1"/>
      <c r="S337" s="1"/>
      <c r="T337" s="1"/>
      <c r="U337" s="1"/>
      <c r="V337" s="1"/>
      <c r="W337" s="1"/>
      <c r="X337" s="1"/>
      <c r="Y337" s="1"/>
      <c r="Z337" s="1"/>
    </row>
    <row r="338" ht="10.5" customHeight="1">
      <c r="A338" s="1"/>
      <c r="B338" s="414" t="s">
        <v>705</v>
      </c>
      <c r="C338" s="92"/>
      <c r="D338" s="415">
        <v>7185.0</v>
      </c>
      <c r="E338" s="417">
        <v>6114.0</v>
      </c>
      <c r="F338" s="415">
        <v>8531.0</v>
      </c>
      <c r="G338" s="415">
        <v>4376.0</v>
      </c>
      <c r="H338" s="415">
        <v>4038.0</v>
      </c>
      <c r="I338" s="415">
        <v>5104.0</v>
      </c>
      <c r="J338" s="415">
        <v>2915.0</v>
      </c>
      <c r="K338" s="415">
        <v>2206.0</v>
      </c>
      <c r="L338" s="415">
        <v>5349.0</v>
      </c>
      <c r="M338" s="415">
        <f>SUM(D338:L338)</f>
        <v>45818</v>
      </c>
      <c r="N338" s="1"/>
      <c r="O338" s="1"/>
      <c r="P338" s="15"/>
      <c r="Q338" s="1"/>
      <c r="R338" s="1"/>
      <c r="S338" s="1"/>
      <c r="T338" s="1"/>
      <c r="U338" s="1"/>
      <c r="V338" s="1"/>
      <c r="W338" s="1"/>
      <c r="X338" s="1"/>
      <c r="Y338" s="1"/>
      <c r="Z338" s="1"/>
    </row>
    <row r="339" ht="6.0" customHeight="1">
      <c r="A339" s="1"/>
      <c r="B339" s="414"/>
      <c r="C339" s="92"/>
      <c r="D339" s="415"/>
      <c r="E339" s="422"/>
      <c r="F339" s="424"/>
      <c r="G339" s="424"/>
      <c r="H339" s="424"/>
      <c r="I339" s="424"/>
      <c r="J339" s="424"/>
      <c r="K339" s="424"/>
      <c r="L339" s="424"/>
      <c r="M339" s="415"/>
      <c r="N339" s="1"/>
      <c r="O339" s="1"/>
      <c r="P339" s="15"/>
      <c r="Q339" s="1"/>
      <c r="R339" s="1"/>
      <c r="S339" s="1"/>
      <c r="T339" s="1"/>
      <c r="U339" s="1"/>
      <c r="V339" s="1"/>
      <c r="W339" s="1"/>
      <c r="X339" s="1"/>
      <c r="Y339" s="1"/>
      <c r="Z339" s="1"/>
    </row>
    <row r="340" ht="11.25" customHeight="1">
      <c r="A340" s="1"/>
      <c r="B340" s="435" t="s">
        <v>718</v>
      </c>
      <c r="C340" s="436"/>
      <c r="D340" s="415"/>
      <c r="E340" s="417"/>
      <c r="F340" s="415"/>
      <c r="G340" s="415"/>
      <c r="H340" s="415"/>
      <c r="I340" s="415"/>
      <c r="J340" s="415"/>
      <c r="K340" s="415"/>
      <c r="L340" s="415"/>
      <c r="M340" s="415"/>
      <c r="N340" s="1"/>
      <c r="O340" s="1"/>
      <c r="P340" s="15"/>
      <c r="Q340" s="1"/>
      <c r="R340" s="1"/>
      <c r="S340" s="1"/>
      <c r="T340" s="1"/>
      <c r="U340" s="1"/>
      <c r="V340" s="1"/>
      <c r="W340" s="1"/>
      <c r="X340" s="1"/>
      <c r="Y340" s="1"/>
      <c r="Z340" s="1"/>
    </row>
    <row r="341" ht="22.5" customHeight="1">
      <c r="A341" s="1"/>
      <c r="B341" s="439" t="s">
        <v>704</v>
      </c>
      <c r="C341" s="87"/>
      <c r="D341" s="431"/>
      <c r="E341" s="432"/>
      <c r="F341" s="415"/>
      <c r="G341" s="415"/>
      <c r="H341" s="415"/>
      <c r="I341" s="415"/>
      <c r="J341" s="415"/>
      <c r="K341" s="415"/>
      <c r="L341" s="415"/>
      <c r="M341" s="415"/>
      <c r="N341" s="1"/>
      <c r="O341" s="1"/>
      <c r="P341" s="15"/>
      <c r="Q341" s="1"/>
      <c r="R341" s="1"/>
      <c r="S341" s="1"/>
      <c r="T341" s="1"/>
      <c r="U341" s="1"/>
      <c r="V341" s="1"/>
      <c r="W341" s="1"/>
      <c r="X341" s="1"/>
      <c r="Y341" s="1"/>
      <c r="Z341" s="1"/>
    </row>
    <row r="342" ht="10.5" customHeight="1">
      <c r="A342" s="1"/>
      <c r="B342" s="441" t="s">
        <v>705</v>
      </c>
      <c r="C342" s="443"/>
      <c r="D342" s="415">
        <v>9759.0</v>
      </c>
      <c r="E342" s="417">
        <v>6730.0</v>
      </c>
      <c r="F342" s="415">
        <v>11272.0</v>
      </c>
      <c r="G342" s="415">
        <v>6338.0</v>
      </c>
      <c r="H342" s="415">
        <v>5037.0</v>
      </c>
      <c r="I342" s="415">
        <v>4675.0</v>
      </c>
      <c r="J342" s="415">
        <v>7273.0</v>
      </c>
      <c r="K342" s="415">
        <v>2342.0</v>
      </c>
      <c r="L342" s="415">
        <v>7512.0</v>
      </c>
      <c r="M342" s="415">
        <f t="shared" ref="M342:M343" si="62">SUM(D342:L342)</f>
        <v>60938</v>
      </c>
      <c r="N342" s="1"/>
      <c r="O342" s="1"/>
      <c r="P342" s="15"/>
      <c r="Q342" s="1"/>
      <c r="R342" s="1"/>
      <c r="S342" s="1"/>
      <c r="T342" s="1"/>
      <c r="U342" s="1"/>
      <c r="V342" s="1"/>
      <c r="W342" s="1"/>
      <c r="X342" s="1"/>
      <c r="Y342" s="1"/>
      <c r="Z342" s="1"/>
    </row>
    <row r="343" ht="10.5" customHeight="1">
      <c r="A343" s="1"/>
      <c r="B343" s="441" t="s">
        <v>721</v>
      </c>
      <c r="C343" s="443"/>
      <c r="D343" s="415">
        <v>9766969.0</v>
      </c>
      <c r="E343" s="417">
        <v>2.9734978E7</v>
      </c>
      <c r="F343" s="415">
        <v>1.1342502E7</v>
      </c>
      <c r="G343" s="415">
        <v>1.032766E7</v>
      </c>
      <c r="H343" s="415">
        <v>4068401.0</v>
      </c>
      <c r="I343" s="415">
        <v>4544012.0</v>
      </c>
      <c r="J343" s="415">
        <v>5488613.0</v>
      </c>
      <c r="K343" s="415">
        <v>756946.0</v>
      </c>
      <c r="L343" s="415">
        <v>6179490.0</v>
      </c>
      <c r="M343" s="415">
        <f t="shared" si="62"/>
        <v>82209571</v>
      </c>
      <c r="N343" s="1"/>
      <c r="O343" s="1"/>
      <c r="P343" s="15"/>
      <c r="Q343" s="1"/>
      <c r="R343" s="1"/>
      <c r="S343" s="1"/>
      <c r="T343" s="1"/>
      <c r="U343" s="1"/>
      <c r="V343" s="1"/>
      <c r="W343" s="1"/>
      <c r="X343" s="1"/>
      <c r="Y343" s="1"/>
      <c r="Z343" s="1"/>
    </row>
    <row r="344" ht="6.0" customHeight="1">
      <c r="A344" s="1"/>
      <c r="B344" s="441"/>
      <c r="C344" s="443"/>
      <c r="D344" s="415"/>
      <c r="E344" s="417"/>
      <c r="F344" s="415"/>
      <c r="G344" s="415"/>
      <c r="H344" s="415"/>
      <c r="I344" s="415"/>
      <c r="J344" s="415"/>
      <c r="K344" s="415"/>
      <c r="L344" s="415"/>
      <c r="M344" s="415"/>
      <c r="N344" s="1"/>
      <c r="O344" s="1"/>
      <c r="P344" s="15"/>
      <c r="Q344" s="1"/>
      <c r="R344" s="1"/>
      <c r="S344" s="1"/>
      <c r="T344" s="1"/>
      <c r="U344" s="1"/>
      <c r="V344" s="1"/>
      <c r="W344" s="1"/>
      <c r="X344" s="1"/>
      <c r="Y344" s="1"/>
      <c r="Z344" s="1"/>
    </row>
    <row r="345" ht="10.5" customHeight="1">
      <c r="A345" s="1"/>
      <c r="B345" s="435" t="s">
        <v>722</v>
      </c>
      <c r="C345" s="436"/>
      <c r="D345" s="415"/>
      <c r="E345" s="417"/>
      <c r="F345" s="415"/>
      <c r="G345" s="415"/>
      <c r="H345" s="415"/>
      <c r="I345" s="415"/>
      <c r="J345" s="415"/>
      <c r="K345" s="415"/>
      <c r="L345" s="415"/>
      <c r="M345" s="415"/>
      <c r="N345" s="1"/>
      <c r="O345" s="1"/>
      <c r="P345" s="15"/>
      <c r="Q345" s="1"/>
      <c r="R345" s="1"/>
      <c r="S345" s="1"/>
      <c r="T345" s="1"/>
      <c r="U345" s="1"/>
      <c r="V345" s="1"/>
      <c r="W345" s="1"/>
      <c r="X345" s="1"/>
      <c r="Y345" s="1"/>
      <c r="Z345" s="1"/>
    </row>
    <row r="346" ht="22.5" customHeight="1">
      <c r="A346" s="1"/>
      <c r="B346" s="439" t="s">
        <v>704</v>
      </c>
      <c r="C346" s="87"/>
      <c r="D346" s="431"/>
      <c r="E346" s="432"/>
      <c r="F346" s="415"/>
      <c r="G346" s="415"/>
      <c r="H346" s="415"/>
      <c r="I346" s="415"/>
      <c r="J346" s="415"/>
      <c r="K346" s="415"/>
      <c r="L346" s="415"/>
      <c r="M346" s="415"/>
      <c r="N346" s="1"/>
      <c r="O346" s="1"/>
      <c r="P346" s="15"/>
      <c r="Q346" s="1"/>
      <c r="R346" s="1"/>
      <c r="S346" s="1"/>
      <c r="T346" s="1"/>
      <c r="U346" s="1"/>
      <c r="V346" s="1"/>
      <c r="W346" s="1"/>
      <c r="X346" s="1"/>
      <c r="Y346" s="1"/>
      <c r="Z346" s="1"/>
    </row>
    <row r="347" ht="10.5" customHeight="1">
      <c r="A347" s="1"/>
      <c r="B347" s="441" t="s">
        <v>705</v>
      </c>
      <c r="C347" s="443"/>
      <c r="D347" s="415">
        <v>8352.0</v>
      </c>
      <c r="E347" s="417">
        <v>6593.0</v>
      </c>
      <c r="F347" s="415">
        <v>10252.0</v>
      </c>
      <c r="G347" s="415">
        <v>6106.0</v>
      </c>
      <c r="H347" s="415">
        <v>6080.0</v>
      </c>
      <c r="I347" s="415">
        <v>5406.0</v>
      </c>
      <c r="J347" s="415">
        <v>5053.0</v>
      </c>
      <c r="K347" s="415">
        <v>2500.0</v>
      </c>
      <c r="L347" s="415">
        <v>7638.0</v>
      </c>
      <c r="M347" s="415">
        <f t="shared" ref="M347:M348" si="63">SUM(D347:L347)</f>
        <v>57980</v>
      </c>
      <c r="N347" s="1"/>
      <c r="O347" s="1"/>
      <c r="P347" s="15"/>
      <c r="Q347" s="1"/>
      <c r="R347" s="1"/>
      <c r="S347" s="1"/>
      <c r="T347" s="1"/>
      <c r="U347" s="1"/>
      <c r="V347" s="1"/>
      <c r="W347" s="1"/>
      <c r="X347" s="1"/>
      <c r="Y347" s="1"/>
      <c r="Z347" s="1"/>
    </row>
    <row r="348" ht="10.5" customHeight="1">
      <c r="A348" s="1"/>
      <c r="B348" s="441" t="s">
        <v>721</v>
      </c>
      <c r="C348" s="443"/>
      <c r="D348" s="415">
        <v>1.0249665E7</v>
      </c>
      <c r="E348" s="417">
        <v>2.9962349E7</v>
      </c>
      <c r="F348" s="415">
        <v>1.1321192E7</v>
      </c>
      <c r="G348" s="415">
        <v>1.0319563E7</v>
      </c>
      <c r="H348" s="415">
        <v>4064032.0</v>
      </c>
      <c r="I348" s="415">
        <v>4648309.0</v>
      </c>
      <c r="J348" s="415">
        <v>5335289.0</v>
      </c>
      <c r="K348" s="415">
        <v>674894.0</v>
      </c>
      <c r="L348" s="415">
        <v>6184009.0</v>
      </c>
      <c r="M348" s="415">
        <f t="shared" si="63"/>
        <v>82759302</v>
      </c>
      <c r="N348" s="1"/>
      <c r="O348" s="1"/>
      <c r="P348" s="15"/>
      <c r="Q348" s="1"/>
      <c r="R348" s="1"/>
      <c r="S348" s="1"/>
      <c r="T348" s="1"/>
      <c r="U348" s="1"/>
      <c r="V348" s="1"/>
      <c r="W348" s="1"/>
      <c r="X348" s="1"/>
      <c r="Y348" s="1"/>
      <c r="Z348" s="1"/>
    </row>
    <row r="349" ht="10.5" customHeight="1">
      <c r="A349" s="1"/>
      <c r="B349" s="439" t="s">
        <v>295</v>
      </c>
      <c r="C349" s="87"/>
      <c r="D349" s="415"/>
      <c r="E349" s="417"/>
      <c r="F349" s="415"/>
      <c r="G349" s="415"/>
      <c r="H349" s="415"/>
      <c r="I349" s="415"/>
      <c r="J349" s="415"/>
      <c r="K349" s="415"/>
      <c r="L349" s="415"/>
      <c r="M349" s="415"/>
      <c r="N349" s="1"/>
      <c r="O349" s="1"/>
      <c r="P349" s="15"/>
      <c r="Q349" s="1"/>
      <c r="R349" s="1"/>
      <c r="S349" s="1"/>
      <c r="T349" s="1"/>
      <c r="U349" s="1"/>
      <c r="V349" s="1"/>
      <c r="W349" s="1"/>
      <c r="X349" s="1"/>
      <c r="Y349" s="1"/>
      <c r="Z349" s="1"/>
    </row>
    <row r="350" ht="10.5" customHeight="1">
      <c r="A350" s="1"/>
      <c r="B350" s="441" t="s">
        <v>705</v>
      </c>
      <c r="C350" s="443"/>
      <c r="D350" s="415">
        <v>1051.0</v>
      </c>
      <c r="E350" s="417">
        <v>922.0</v>
      </c>
      <c r="F350" s="415">
        <v>3055.0</v>
      </c>
      <c r="G350" s="415">
        <v>238.0</v>
      </c>
      <c r="H350" s="415">
        <v>1819.0</v>
      </c>
      <c r="I350" s="415">
        <v>1703.0</v>
      </c>
      <c r="J350" s="415">
        <v>545.0</v>
      </c>
      <c r="K350" s="415">
        <v>492.0</v>
      </c>
      <c r="L350" s="415">
        <v>2167.0</v>
      </c>
      <c r="M350" s="415">
        <f t="shared" ref="M350:M351" si="64">SUM(D350:L350)</f>
        <v>11992</v>
      </c>
      <c r="N350" s="1"/>
      <c r="O350" s="1"/>
      <c r="P350" s="15"/>
      <c r="Q350" s="1"/>
      <c r="R350" s="1"/>
      <c r="S350" s="1"/>
      <c r="T350" s="1"/>
      <c r="U350" s="1"/>
      <c r="V350" s="1"/>
      <c r="W350" s="1"/>
      <c r="X350" s="1"/>
      <c r="Y350" s="1"/>
      <c r="Z350" s="1"/>
    </row>
    <row r="351" ht="10.5" customHeight="1">
      <c r="A351" s="1"/>
      <c r="B351" s="441" t="s">
        <v>721</v>
      </c>
      <c r="C351" s="443"/>
      <c r="D351" s="415">
        <v>1286510.0</v>
      </c>
      <c r="E351" s="417">
        <v>587498.0</v>
      </c>
      <c r="F351" s="415">
        <v>3083422.0</v>
      </c>
      <c r="G351" s="415">
        <v>224266.0</v>
      </c>
      <c r="H351" s="415">
        <v>703893.0</v>
      </c>
      <c r="I351" s="415">
        <v>1339650.0</v>
      </c>
      <c r="J351" s="415">
        <v>477781.0</v>
      </c>
      <c r="K351" s="415">
        <v>251792.0</v>
      </c>
      <c r="L351" s="415">
        <v>1573497.0</v>
      </c>
      <c r="M351" s="415">
        <f t="shared" si="64"/>
        <v>9528309</v>
      </c>
      <c r="N351" s="1"/>
      <c r="O351" s="1"/>
      <c r="P351" s="15"/>
      <c r="Q351" s="1"/>
      <c r="R351" s="1"/>
      <c r="S351" s="1"/>
      <c r="T351" s="1"/>
      <c r="U351" s="1"/>
      <c r="V351" s="1"/>
      <c r="W351" s="1"/>
      <c r="X351" s="1"/>
      <c r="Y351" s="1"/>
      <c r="Z351" s="1"/>
    </row>
    <row r="352" ht="10.5" customHeight="1">
      <c r="A352" s="1"/>
      <c r="B352" s="439" t="s">
        <v>363</v>
      </c>
      <c r="C352" s="87"/>
      <c r="D352" s="415"/>
      <c r="E352" s="417"/>
      <c r="F352" s="415"/>
      <c r="G352" s="415"/>
      <c r="H352" s="415"/>
      <c r="I352" s="415"/>
      <c r="J352" s="415"/>
      <c r="K352" s="415"/>
      <c r="L352" s="415"/>
      <c r="M352" s="415"/>
      <c r="N352" s="1"/>
      <c r="O352" s="1"/>
      <c r="P352" s="15"/>
      <c r="Q352" s="1"/>
      <c r="R352" s="1"/>
      <c r="S352" s="1"/>
      <c r="T352" s="1"/>
      <c r="U352" s="1"/>
      <c r="V352" s="1"/>
      <c r="W352" s="1"/>
      <c r="X352" s="1"/>
      <c r="Y352" s="1"/>
      <c r="Z352" s="1"/>
    </row>
    <row r="353" ht="10.5" customHeight="1">
      <c r="A353" s="445">
        <v>6.0</v>
      </c>
      <c r="B353" s="441" t="s">
        <v>705</v>
      </c>
      <c r="C353" s="443"/>
      <c r="D353" s="415">
        <v>3336.0</v>
      </c>
      <c r="E353" s="417">
        <v>565.0</v>
      </c>
      <c r="F353" s="415">
        <v>214.0</v>
      </c>
      <c r="G353" s="415">
        <v>616.0</v>
      </c>
      <c r="H353" s="415">
        <v>708.0</v>
      </c>
      <c r="I353" s="415">
        <v>560.0</v>
      </c>
      <c r="J353" s="415">
        <v>1067.0</v>
      </c>
      <c r="K353" s="415">
        <v>423.0</v>
      </c>
      <c r="L353" s="415">
        <v>550.0</v>
      </c>
      <c r="M353" s="415">
        <f t="shared" ref="M353:M354" si="65">SUM(D353:L353)</f>
        <v>8039</v>
      </c>
      <c r="N353" s="1"/>
      <c r="O353" s="1"/>
      <c r="P353" s="1"/>
      <c r="Q353" s="1"/>
      <c r="R353" s="1"/>
      <c r="S353" s="1"/>
      <c r="T353" s="1"/>
      <c r="U353" s="1"/>
      <c r="V353" s="1"/>
      <c r="W353" s="1"/>
      <c r="X353" s="1"/>
      <c r="Y353" s="1"/>
      <c r="Z353" s="1"/>
    </row>
    <row r="354" ht="10.5" customHeight="1">
      <c r="A354" s="1"/>
      <c r="B354" s="441" t="s">
        <v>721</v>
      </c>
      <c r="C354" s="443"/>
      <c r="D354" s="415">
        <v>1773979.0</v>
      </c>
      <c r="E354" s="417">
        <v>606553.0</v>
      </c>
      <c r="F354" s="415">
        <v>186537.0</v>
      </c>
      <c r="G354" s="415">
        <v>251472.0</v>
      </c>
      <c r="H354" s="415">
        <v>153013.0</v>
      </c>
      <c r="I354" s="415">
        <v>227660.0</v>
      </c>
      <c r="J354" s="415">
        <v>563545.0</v>
      </c>
      <c r="K354" s="415">
        <v>35045.0</v>
      </c>
      <c r="L354" s="415">
        <v>100682.0</v>
      </c>
      <c r="M354" s="415">
        <f t="shared" si="65"/>
        <v>3898486</v>
      </c>
      <c r="N354" s="1"/>
      <c r="O354" s="1"/>
      <c r="P354" s="1"/>
      <c r="Q354" s="1"/>
      <c r="R354" s="1"/>
      <c r="S354" s="1"/>
      <c r="T354" s="1"/>
      <c r="U354" s="1"/>
      <c r="V354" s="1"/>
      <c r="W354" s="1"/>
      <c r="X354" s="1"/>
      <c r="Y354" s="1"/>
      <c r="Z354" s="1"/>
    </row>
    <row r="355" ht="10.5" customHeight="1">
      <c r="A355" s="1"/>
      <c r="B355" s="439" t="s">
        <v>621</v>
      </c>
      <c r="C355" s="87"/>
      <c r="D355" s="415"/>
      <c r="E355" s="417"/>
      <c r="F355" s="415"/>
      <c r="G355" s="415"/>
      <c r="H355" s="415"/>
      <c r="I355" s="415"/>
      <c r="J355" s="415"/>
      <c r="K355" s="415"/>
      <c r="L355" s="415"/>
      <c r="M355" s="415"/>
      <c r="N355" s="1"/>
      <c r="O355" s="1"/>
      <c r="P355" s="1"/>
      <c r="Q355" s="1"/>
      <c r="R355" s="1"/>
      <c r="S355" s="1"/>
      <c r="T355" s="1"/>
      <c r="U355" s="1"/>
      <c r="V355" s="1"/>
      <c r="W355" s="1"/>
      <c r="X355" s="1"/>
      <c r="Y355" s="1"/>
      <c r="Z355" s="1"/>
    </row>
    <row r="356" ht="10.5" customHeight="1">
      <c r="A356" s="1"/>
      <c r="B356" s="441" t="s">
        <v>705</v>
      </c>
      <c r="C356" s="443"/>
      <c r="D356" s="415">
        <v>76.0</v>
      </c>
      <c r="E356" s="417" t="s">
        <v>40</v>
      </c>
      <c r="F356" s="415" t="s">
        <v>727</v>
      </c>
      <c r="G356" s="415">
        <v>33.0</v>
      </c>
      <c r="H356" s="415">
        <v>286.0</v>
      </c>
      <c r="I356" s="415">
        <v>256.0</v>
      </c>
      <c r="J356" s="415">
        <v>137.0</v>
      </c>
      <c r="K356" s="415">
        <v>3.0</v>
      </c>
      <c r="L356" s="415">
        <v>5.0</v>
      </c>
      <c r="M356" s="415">
        <f t="shared" ref="M356:M357" si="66">SUM(D356:L356)</f>
        <v>796</v>
      </c>
      <c r="N356" s="1"/>
      <c r="O356" s="1"/>
      <c r="P356" s="1"/>
      <c r="Q356" s="1"/>
      <c r="R356" s="1"/>
      <c r="S356" s="1"/>
      <c r="T356" s="1"/>
      <c r="U356" s="1"/>
      <c r="V356" s="1"/>
      <c r="W356" s="1"/>
      <c r="X356" s="1"/>
      <c r="Y356" s="1"/>
      <c r="Z356" s="1"/>
    </row>
    <row r="357" ht="10.5" customHeight="1">
      <c r="A357" s="1"/>
      <c r="B357" s="441" t="s">
        <v>721</v>
      </c>
      <c r="C357" s="443"/>
      <c r="D357" s="415">
        <v>164878.0</v>
      </c>
      <c r="E357" s="417" t="s">
        <v>40</v>
      </c>
      <c r="F357" s="415" t="s">
        <v>727</v>
      </c>
      <c r="G357" s="415">
        <v>194036.0</v>
      </c>
      <c r="H357" s="415">
        <v>477853.0</v>
      </c>
      <c r="I357" s="415">
        <v>614822.0</v>
      </c>
      <c r="J357" s="415">
        <v>97188.0</v>
      </c>
      <c r="K357" s="415">
        <v>5194.0</v>
      </c>
      <c r="L357" s="415">
        <v>2239.0</v>
      </c>
      <c r="M357" s="415">
        <f t="shared" si="66"/>
        <v>1556210</v>
      </c>
      <c r="N357" s="1"/>
      <c r="O357" s="1"/>
      <c r="P357" s="1"/>
      <c r="Q357" s="1"/>
      <c r="R357" s="1"/>
      <c r="S357" s="1"/>
      <c r="T357" s="1"/>
      <c r="U357" s="1"/>
      <c r="V357" s="1"/>
      <c r="W357" s="1"/>
      <c r="X357" s="1"/>
      <c r="Y357" s="1"/>
      <c r="Z357" s="1"/>
    </row>
    <row r="358" ht="10.5" customHeight="1">
      <c r="A358" s="1"/>
      <c r="B358" s="439" t="s">
        <v>728</v>
      </c>
      <c r="C358" s="87"/>
      <c r="D358" s="431"/>
      <c r="E358" s="417"/>
      <c r="F358" s="415"/>
      <c r="G358" s="415"/>
      <c r="H358" s="415"/>
      <c r="I358" s="415"/>
      <c r="J358" s="415"/>
      <c r="K358" s="415"/>
      <c r="L358" s="415"/>
      <c r="M358" s="415"/>
      <c r="N358" s="1"/>
      <c r="O358" s="1"/>
      <c r="P358" s="1"/>
      <c r="Q358" s="1"/>
      <c r="R358" s="1"/>
      <c r="S358" s="1"/>
      <c r="T358" s="1"/>
      <c r="U358" s="1"/>
      <c r="V358" s="1"/>
      <c r="W358" s="1"/>
      <c r="X358" s="1"/>
      <c r="Y358" s="1"/>
      <c r="Z358" s="1"/>
    </row>
    <row r="359" ht="10.5" customHeight="1">
      <c r="A359" s="1"/>
      <c r="B359" s="441" t="s">
        <v>705</v>
      </c>
      <c r="C359" s="443"/>
      <c r="D359" s="415">
        <v>3114.0</v>
      </c>
      <c r="E359" s="417">
        <v>4705.0</v>
      </c>
      <c r="F359" s="415">
        <v>6065.0</v>
      </c>
      <c r="G359" s="415">
        <v>4640.0</v>
      </c>
      <c r="H359" s="415">
        <v>2611.0</v>
      </c>
      <c r="I359" s="415">
        <v>2336.0</v>
      </c>
      <c r="J359" s="415">
        <v>2644.0</v>
      </c>
      <c r="K359" s="415">
        <v>1192.0</v>
      </c>
      <c r="L359" s="415">
        <v>4135.0</v>
      </c>
      <c r="M359" s="415">
        <f t="shared" ref="M359:M360" si="67">SUM(D359:L359)</f>
        <v>31442</v>
      </c>
      <c r="N359" s="1"/>
      <c r="O359" s="1"/>
      <c r="P359" s="1"/>
      <c r="Q359" s="1"/>
      <c r="R359" s="1"/>
      <c r="S359" s="1"/>
      <c r="T359" s="1"/>
      <c r="U359" s="1"/>
      <c r="V359" s="1"/>
      <c r="W359" s="1"/>
      <c r="X359" s="1"/>
      <c r="Y359" s="1"/>
      <c r="Z359" s="1"/>
    </row>
    <row r="360" ht="10.5" customHeight="1">
      <c r="A360" s="1"/>
      <c r="B360" s="441" t="s">
        <v>721</v>
      </c>
      <c r="C360" s="443"/>
      <c r="D360" s="415">
        <v>6362968.0</v>
      </c>
      <c r="E360" s="417">
        <v>2.7732434E7</v>
      </c>
      <c r="F360" s="415">
        <v>7401039.0</v>
      </c>
      <c r="G360" s="415">
        <v>9149369.0</v>
      </c>
      <c r="H360" s="415">
        <v>2393294.0</v>
      </c>
      <c r="I360" s="415">
        <v>2096915.0</v>
      </c>
      <c r="J360" s="415">
        <v>3749328.0</v>
      </c>
      <c r="K360" s="415">
        <v>315560.0</v>
      </c>
      <c r="L360" s="415">
        <v>4183827.0</v>
      </c>
      <c r="M360" s="415">
        <f t="shared" si="67"/>
        <v>63384734</v>
      </c>
      <c r="N360" s="1"/>
      <c r="O360" s="1"/>
      <c r="P360" s="1"/>
      <c r="Q360" s="1"/>
      <c r="R360" s="1"/>
      <c r="S360" s="1"/>
      <c r="T360" s="1"/>
      <c r="U360" s="1"/>
      <c r="V360" s="1"/>
      <c r="W360" s="1"/>
      <c r="X360" s="1"/>
      <c r="Y360" s="1"/>
      <c r="Z360" s="1"/>
    </row>
    <row r="361" ht="10.5" customHeight="1">
      <c r="A361" s="449"/>
      <c r="B361" s="439" t="s">
        <v>730</v>
      </c>
      <c r="C361" s="87"/>
      <c r="D361" s="415"/>
      <c r="E361" s="417"/>
      <c r="F361" s="415"/>
      <c r="G361" s="415"/>
      <c r="H361" s="415"/>
      <c r="I361" s="415"/>
      <c r="J361" s="415"/>
      <c r="K361" s="415"/>
      <c r="L361" s="415"/>
      <c r="M361" s="415"/>
      <c r="N361" s="1"/>
      <c r="O361" s="1"/>
      <c r="P361" s="1"/>
      <c r="Q361" s="1"/>
      <c r="R361" s="1"/>
      <c r="S361" s="1"/>
      <c r="T361" s="1"/>
      <c r="U361" s="1"/>
      <c r="V361" s="1"/>
      <c r="W361" s="1"/>
      <c r="X361" s="1"/>
      <c r="Y361" s="1"/>
      <c r="Z361" s="1"/>
    </row>
    <row r="362" ht="10.5" customHeight="1">
      <c r="A362" s="1"/>
      <c r="B362" s="441" t="s">
        <v>705</v>
      </c>
      <c r="C362" s="443"/>
      <c r="D362" s="415">
        <v>775.0</v>
      </c>
      <c r="E362" s="417">
        <v>401.0</v>
      </c>
      <c r="F362" s="415">
        <v>918.0</v>
      </c>
      <c r="G362" s="415">
        <v>579.0</v>
      </c>
      <c r="H362" s="415">
        <v>656.0</v>
      </c>
      <c r="I362" s="415">
        <v>551.0</v>
      </c>
      <c r="J362" s="415">
        <v>660.0</v>
      </c>
      <c r="K362" s="415">
        <v>390.0</v>
      </c>
      <c r="L362" s="415">
        <v>781.0</v>
      </c>
      <c r="M362" s="415">
        <f t="shared" ref="M362:M363" si="68">SUM(D362:L362)</f>
        <v>5711</v>
      </c>
      <c r="N362" s="1"/>
      <c r="O362" s="1"/>
      <c r="P362" s="1"/>
      <c r="Q362" s="1"/>
      <c r="R362" s="1"/>
      <c r="S362" s="1"/>
      <c r="T362" s="1"/>
      <c r="U362" s="1"/>
      <c r="V362" s="1"/>
      <c r="W362" s="1"/>
      <c r="X362" s="1"/>
      <c r="Y362" s="1"/>
      <c r="Z362" s="1"/>
    </row>
    <row r="363" ht="10.5" customHeight="1">
      <c r="A363" s="1"/>
      <c r="B363" s="441" t="s">
        <v>721</v>
      </c>
      <c r="C363" s="443"/>
      <c r="D363" s="415">
        <v>661330.0</v>
      </c>
      <c r="E363" s="417">
        <v>1035864.0</v>
      </c>
      <c r="F363" s="415">
        <v>650194.0</v>
      </c>
      <c r="G363" s="415">
        <v>500420.0</v>
      </c>
      <c r="H363" s="415">
        <v>335979.0</v>
      </c>
      <c r="I363" s="415">
        <v>369262.0</v>
      </c>
      <c r="J363" s="415">
        <v>447447.0</v>
      </c>
      <c r="K363" s="415">
        <v>67303.0</v>
      </c>
      <c r="L363" s="415">
        <v>323764.0</v>
      </c>
      <c r="M363" s="415">
        <f t="shared" si="68"/>
        <v>4391563</v>
      </c>
      <c r="N363" s="1"/>
      <c r="O363" s="1"/>
      <c r="P363" s="1"/>
      <c r="Q363" s="1"/>
      <c r="R363" s="1"/>
      <c r="S363" s="1"/>
      <c r="T363" s="1"/>
      <c r="U363" s="1"/>
      <c r="V363" s="1"/>
      <c r="W363" s="1"/>
      <c r="X363" s="1"/>
      <c r="Y363" s="1"/>
      <c r="Z363" s="1"/>
    </row>
    <row r="364" ht="6.0" customHeight="1">
      <c r="A364" s="1"/>
      <c r="B364" s="253"/>
      <c r="C364" s="443"/>
      <c r="D364" s="415"/>
      <c r="E364" s="417"/>
      <c r="F364" s="415"/>
      <c r="G364" s="415"/>
      <c r="H364" s="415"/>
      <c r="I364" s="415"/>
      <c r="J364" s="415"/>
      <c r="K364" s="415"/>
      <c r="L364" s="415"/>
      <c r="M364" s="415"/>
      <c r="N364" s="1"/>
      <c r="O364" s="1"/>
      <c r="P364" s="1"/>
      <c r="Q364" s="1"/>
      <c r="R364" s="1"/>
      <c r="S364" s="1"/>
      <c r="T364" s="1"/>
      <c r="U364" s="1"/>
      <c r="V364" s="1"/>
      <c r="W364" s="1"/>
      <c r="X364" s="1"/>
      <c r="Y364" s="1"/>
      <c r="Z364" s="1"/>
    </row>
    <row r="365" ht="22.5" customHeight="1">
      <c r="A365" s="1"/>
      <c r="B365" s="439" t="s">
        <v>731</v>
      </c>
      <c r="C365" s="87"/>
      <c r="D365" s="431"/>
      <c r="E365" s="453"/>
      <c r="F365" s="428"/>
      <c r="G365" s="428"/>
      <c r="H365" s="428"/>
      <c r="I365" s="428"/>
      <c r="J365" s="428"/>
      <c r="K365" s="428"/>
      <c r="L365" s="428"/>
      <c r="M365" s="428"/>
      <c r="N365" s="1"/>
      <c r="O365" s="1"/>
      <c r="P365" s="1"/>
      <c r="Q365" s="1"/>
      <c r="R365" s="1"/>
      <c r="S365" s="1"/>
      <c r="T365" s="1"/>
      <c r="U365" s="1"/>
      <c r="V365" s="1"/>
      <c r="W365" s="1"/>
      <c r="X365" s="1"/>
      <c r="Y365" s="1"/>
      <c r="Z365" s="1"/>
    </row>
    <row r="366" ht="9.75" customHeight="1">
      <c r="A366" s="1"/>
      <c r="B366" s="419" t="s">
        <v>705</v>
      </c>
      <c r="C366" s="87"/>
      <c r="D366" s="456" t="s">
        <v>10</v>
      </c>
      <c r="E366" s="457" t="s">
        <v>10</v>
      </c>
      <c r="F366" s="456">
        <v>32400.0</v>
      </c>
      <c r="G366" s="415">
        <v>310400.0</v>
      </c>
      <c r="H366" s="415">
        <v>414000.0</v>
      </c>
      <c r="I366" s="415">
        <v>89100.0</v>
      </c>
      <c r="J366" s="415">
        <v>299300.0</v>
      </c>
      <c r="K366" s="415" t="s">
        <v>10</v>
      </c>
      <c r="L366" s="415">
        <v>147400.0</v>
      </c>
      <c r="M366" s="415">
        <f>SUM(D366:L366)</f>
        <v>1292600</v>
      </c>
      <c r="N366" s="1"/>
      <c r="O366" s="1"/>
      <c r="P366" s="1"/>
      <c r="Q366" s="1"/>
      <c r="R366" s="1"/>
      <c r="S366" s="1"/>
      <c r="T366" s="1"/>
      <c r="U366" s="1"/>
      <c r="V366" s="1"/>
      <c r="W366" s="1"/>
      <c r="X366" s="1"/>
      <c r="Y366" s="1"/>
      <c r="Z366" s="1"/>
    </row>
    <row r="367" ht="6.0" customHeight="1">
      <c r="A367" s="1"/>
      <c r="B367" s="439"/>
      <c r="C367" s="462"/>
      <c r="D367" s="415"/>
      <c r="E367" s="417"/>
      <c r="F367" s="415"/>
      <c r="G367" s="415"/>
      <c r="H367" s="415"/>
      <c r="I367" s="415"/>
      <c r="J367" s="415"/>
      <c r="K367" s="415"/>
      <c r="L367" s="415"/>
      <c r="M367" s="415"/>
      <c r="N367" s="1"/>
      <c r="O367" s="1"/>
      <c r="P367" s="1"/>
      <c r="Q367" s="1"/>
      <c r="R367" s="1"/>
      <c r="S367" s="1"/>
      <c r="T367" s="1"/>
      <c r="U367" s="1"/>
      <c r="V367" s="1"/>
      <c r="W367" s="1"/>
      <c r="X367" s="1"/>
      <c r="Y367" s="1"/>
      <c r="Z367" s="1"/>
    </row>
    <row r="368" ht="9.75" customHeight="1">
      <c r="A368" s="1"/>
      <c r="B368" s="439" t="s">
        <v>732</v>
      </c>
      <c r="C368" s="87"/>
      <c r="D368" s="431"/>
      <c r="E368" s="417"/>
      <c r="F368" s="415"/>
      <c r="G368" s="415"/>
      <c r="H368" s="415"/>
      <c r="I368" s="415"/>
      <c r="J368" s="415"/>
      <c r="K368" s="415"/>
      <c r="L368" s="415"/>
      <c r="M368" s="415"/>
      <c r="N368" s="1"/>
      <c r="O368" s="1"/>
      <c r="P368" s="1"/>
      <c r="Q368" s="1"/>
      <c r="R368" s="1"/>
      <c r="S368" s="1"/>
      <c r="T368" s="1"/>
      <c r="U368" s="1"/>
      <c r="V368" s="1"/>
      <c r="W368" s="1"/>
      <c r="X368" s="1"/>
      <c r="Y368" s="1"/>
      <c r="Z368" s="1"/>
    </row>
    <row r="369" ht="11.25" customHeight="1">
      <c r="A369" s="1"/>
      <c r="B369" s="466" t="s">
        <v>733</v>
      </c>
      <c r="C369" s="94"/>
      <c r="D369" s="468">
        <v>286004.0</v>
      </c>
      <c r="E369" s="469">
        <v>188903.0</v>
      </c>
      <c r="F369" s="470">
        <v>137887.0</v>
      </c>
      <c r="G369" s="470">
        <v>188901.0</v>
      </c>
      <c r="H369" s="470">
        <v>131033.0</v>
      </c>
      <c r="I369" s="470">
        <v>129308.0</v>
      </c>
      <c r="J369" s="470">
        <v>161127.0</v>
      </c>
      <c r="K369" s="470">
        <v>29372.0</v>
      </c>
      <c r="L369" s="470">
        <v>101593.0</v>
      </c>
      <c r="M369" s="470">
        <f>SUM(D369:L369)</f>
        <v>1354128</v>
      </c>
      <c r="N369" s="1"/>
      <c r="O369" s="1"/>
      <c r="P369" s="1"/>
      <c r="Q369" s="1"/>
      <c r="R369" s="1"/>
      <c r="S369" s="1"/>
      <c r="T369" s="1"/>
      <c r="U369" s="1"/>
      <c r="V369" s="1"/>
      <c r="W369" s="1"/>
      <c r="X369" s="1"/>
      <c r="Y369" s="1"/>
      <c r="Z369" s="1"/>
    </row>
    <row r="370" ht="12.0" customHeight="1">
      <c r="A370" s="1"/>
      <c r="B370" s="60" t="s">
        <v>734</v>
      </c>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6.0" customHeight="1">
      <c r="A371" s="1"/>
      <c r="B371" s="60"/>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9.75" customHeight="1">
      <c r="A372" s="1"/>
      <c r="B372" s="60" t="s">
        <v>737</v>
      </c>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9.75" customHeight="1">
      <c r="A373" s="1"/>
      <c r="B373" s="60" t="s">
        <v>738</v>
      </c>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0.5" customHeight="1">
      <c r="A374" s="1"/>
      <c r="B374" s="60" t="s">
        <v>744</v>
      </c>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0.5" customHeight="1">
      <c r="A375" s="1"/>
      <c r="B375" s="60" t="s">
        <v>745</v>
      </c>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0.5" customHeight="1">
      <c r="A376" s="1"/>
      <c r="B376" s="60" t="s">
        <v>747</v>
      </c>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1.25" customHeight="1">
      <c r="A377" s="1" t="s">
        <v>11</v>
      </c>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9">
    <mergeCell ref="B209:C209"/>
    <mergeCell ref="B214:C214"/>
    <mergeCell ref="B215:C215"/>
    <mergeCell ref="B213:C213"/>
    <mergeCell ref="B222:C222"/>
    <mergeCell ref="B210:C210"/>
    <mergeCell ref="B220:C220"/>
    <mergeCell ref="B211:C211"/>
    <mergeCell ref="B269:I269"/>
    <mergeCell ref="B267:F267"/>
    <mergeCell ref="B216:C216"/>
    <mergeCell ref="B219:C219"/>
    <mergeCell ref="B218:C218"/>
    <mergeCell ref="D263:N263"/>
    <mergeCell ref="G235:H235"/>
    <mergeCell ref="C236:J236"/>
    <mergeCell ref="I292:J292"/>
    <mergeCell ref="B318:C318"/>
    <mergeCell ref="B319:C319"/>
    <mergeCell ref="B320:C320"/>
    <mergeCell ref="B321:C321"/>
    <mergeCell ref="B308:C308"/>
    <mergeCell ref="B309:C309"/>
    <mergeCell ref="B316:C316"/>
    <mergeCell ref="B330:C331"/>
    <mergeCell ref="B322:C322"/>
    <mergeCell ref="B304:C304"/>
    <mergeCell ref="B311:C311"/>
    <mergeCell ref="B307:C307"/>
    <mergeCell ref="B305:C305"/>
    <mergeCell ref="D292:E292"/>
    <mergeCell ref="B235:B236"/>
    <mergeCell ref="B262:C263"/>
    <mergeCell ref="B264:C264"/>
    <mergeCell ref="B265:C265"/>
    <mergeCell ref="B266:C266"/>
    <mergeCell ref="B369:C369"/>
    <mergeCell ref="B303:C303"/>
    <mergeCell ref="B349:C349"/>
    <mergeCell ref="B355:C355"/>
    <mergeCell ref="B352:C352"/>
    <mergeCell ref="B368:C368"/>
    <mergeCell ref="B341:C341"/>
    <mergeCell ref="B358:C358"/>
    <mergeCell ref="B365:C365"/>
    <mergeCell ref="B361:C361"/>
    <mergeCell ref="B366:C366"/>
    <mergeCell ref="B346:C346"/>
    <mergeCell ref="B159:C159"/>
    <mergeCell ref="B168:C168"/>
    <mergeCell ref="B176:C176"/>
    <mergeCell ref="B178:C178"/>
    <mergeCell ref="B174:C174"/>
    <mergeCell ref="B175:C175"/>
    <mergeCell ref="B171:C171"/>
    <mergeCell ref="B170:C170"/>
    <mergeCell ref="B179:C179"/>
    <mergeCell ref="B180:C180"/>
    <mergeCell ref="B183:C183"/>
    <mergeCell ref="B181:C181"/>
    <mergeCell ref="E153:J153"/>
    <mergeCell ref="D152:D153"/>
    <mergeCell ref="B158:C158"/>
    <mergeCell ref="B156:C156"/>
    <mergeCell ref="B155:C155"/>
    <mergeCell ref="B108:C108"/>
    <mergeCell ref="B109:C109"/>
    <mergeCell ref="B98:C99"/>
    <mergeCell ref="B100:C100"/>
    <mergeCell ref="D99:L99"/>
    <mergeCell ref="B97:G97"/>
    <mergeCell ref="B102:C102"/>
    <mergeCell ref="B101:C101"/>
    <mergeCell ref="B152:C153"/>
    <mergeCell ref="B154:C154"/>
    <mergeCell ref="B104:C104"/>
    <mergeCell ref="B103:C103"/>
    <mergeCell ref="B105:C105"/>
    <mergeCell ref="B107:C107"/>
    <mergeCell ref="B106:C106"/>
    <mergeCell ref="B91:C91"/>
    <mergeCell ref="B90:C90"/>
    <mergeCell ref="B72:C72"/>
    <mergeCell ref="B74:C74"/>
    <mergeCell ref="B73:C73"/>
    <mergeCell ref="F72:H72"/>
    <mergeCell ref="B75:C75"/>
    <mergeCell ref="B85:C85"/>
    <mergeCell ref="B82:C84"/>
    <mergeCell ref="D82:H82"/>
    <mergeCell ref="D84:I84"/>
    <mergeCell ref="I82:I83"/>
    <mergeCell ref="B94:C94"/>
    <mergeCell ref="B89:C89"/>
    <mergeCell ref="B93:C93"/>
    <mergeCell ref="B92:C92"/>
    <mergeCell ref="B86:C86"/>
    <mergeCell ref="B88:C88"/>
    <mergeCell ref="B87:C87"/>
    <mergeCell ref="B306:C306"/>
    <mergeCell ref="B317:C317"/>
    <mergeCell ref="B310:C310"/>
    <mergeCell ref="B315:C315"/>
    <mergeCell ref="B314:C314"/>
    <mergeCell ref="B313:C313"/>
    <mergeCell ref="B312:C312"/>
    <mergeCell ref="B299:C299"/>
    <mergeCell ref="B296:C296"/>
    <mergeCell ref="B298:C298"/>
    <mergeCell ref="B297:C297"/>
    <mergeCell ref="B294:C294"/>
    <mergeCell ref="B295:C295"/>
    <mergeCell ref="B300:C300"/>
    <mergeCell ref="B302:C302"/>
    <mergeCell ref="B301:C301"/>
    <mergeCell ref="B291:C292"/>
    <mergeCell ref="B293:C293"/>
    <mergeCell ref="B337:C337"/>
    <mergeCell ref="B333:C333"/>
    <mergeCell ref="B161:C161"/>
    <mergeCell ref="B184:C184"/>
    <mergeCell ref="B198:C198"/>
    <mergeCell ref="B189:C189"/>
    <mergeCell ref="B194:C194"/>
    <mergeCell ref="B173:C173"/>
    <mergeCell ref="B169:C169"/>
    <mergeCell ref="B207:C207"/>
    <mergeCell ref="B208:C208"/>
    <mergeCell ref="B185:C185"/>
    <mergeCell ref="B164:C164"/>
    <mergeCell ref="B165:C165"/>
    <mergeCell ref="B166:C166"/>
    <mergeCell ref="B201:C201"/>
    <mergeCell ref="B70:C70"/>
    <mergeCell ref="B71:C71"/>
    <mergeCell ref="B160:C160"/>
    <mergeCell ref="B163:C163"/>
    <mergeCell ref="C2:C3"/>
    <mergeCell ref="D2:D3"/>
    <mergeCell ref="B69:C69"/>
    <mergeCell ref="B2:B4"/>
    <mergeCell ref="B68:C68"/>
    <mergeCell ref="B186:C186"/>
    <mergeCell ref="B188:C188"/>
    <mergeCell ref="B196:C196"/>
    <mergeCell ref="B193:C193"/>
    <mergeCell ref="B195:C195"/>
    <mergeCell ref="B190:C190"/>
    <mergeCell ref="B191:C191"/>
    <mergeCell ref="B206:C206"/>
    <mergeCell ref="B205:C205"/>
    <mergeCell ref="B204:C204"/>
    <mergeCell ref="B203:C203"/>
    <mergeCell ref="B200:C200"/>
    <mergeCell ref="B199:C199"/>
    <mergeCell ref="F2:F3"/>
    <mergeCell ref="E2:E3"/>
    <mergeCell ref="G2:G3"/>
    <mergeCell ref="C4:H4"/>
  </mergeCells>
  <printOptions/>
  <pageMargins bottom="0.5905511811023623" footer="0.0" header="0.0" left="0.7480314960629921" right="0.31496062992125984" top="0.5905511811023623"/>
  <pageSetup paperSize="9" orientation="portrait"/>
  <rowBreaks count="5" manualBreakCount="5">
    <brk id="80" man="1"/>
    <brk id="289" man="1"/>
    <brk id="150" man="1"/>
    <brk id="328" man="1"/>
    <brk id="233" man="1"/>
  </rowBreaks>
  <colBreaks count="2" manualBreakCount="2">
    <brk id="19" man="1"/>
    <brk id="14"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4" width="9.43"/>
    <col customWidth="1" min="5" max="5" width="10.57"/>
    <col customWidth="1" min="6" max="7" width="9.43"/>
    <col customWidth="1" min="8" max="8" width="10.57"/>
    <col customWidth="1" min="9" max="17" width="9.43"/>
    <col customWidth="1" min="18" max="19" width="9.29"/>
  </cols>
  <sheetData>
    <row r="1" ht="11.25" customHeight="1">
      <c r="A1" s="1"/>
      <c r="B1" s="1" t="s">
        <v>30</v>
      </c>
      <c r="C1" s="1"/>
      <c r="D1" s="1"/>
      <c r="E1" s="1"/>
      <c r="F1" s="1"/>
      <c r="G1" s="1"/>
      <c r="H1" s="1"/>
      <c r="I1" s="1"/>
      <c r="J1" s="1"/>
      <c r="K1" s="1"/>
      <c r="L1" s="1"/>
      <c r="M1" s="1"/>
      <c r="N1" s="1"/>
      <c r="O1" s="1"/>
      <c r="P1" s="1"/>
      <c r="Q1" s="1"/>
      <c r="R1" s="1"/>
      <c r="S1" s="1"/>
    </row>
    <row r="2" ht="10.5" customHeight="1">
      <c r="A2" s="1"/>
      <c r="B2" s="29" t="s">
        <v>31</v>
      </c>
      <c r="C2" s="31" t="s">
        <v>35</v>
      </c>
      <c r="D2" s="31" t="s">
        <v>37</v>
      </c>
      <c r="E2" s="31" t="s">
        <v>38</v>
      </c>
      <c r="F2" s="34" t="s">
        <v>39</v>
      </c>
      <c r="G2" s="9"/>
      <c r="H2" s="9"/>
      <c r="I2" s="10"/>
      <c r="J2" s="36" t="s">
        <v>41</v>
      </c>
      <c r="K2" s="29" t="s">
        <v>42</v>
      </c>
      <c r="L2" s="1"/>
      <c r="M2" s="1"/>
      <c r="N2" s="1"/>
      <c r="O2" s="1"/>
      <c r="P2" s="1"/>
      <c r="Q2" s="1"/>
      <c r="R2" s="1"/>
      <c r="S2" s="1"/>
    </row>
    <row r="3" ht="10.5" customHeight="1">
      <c r="A3" s="1"/>
      <c r="B3" s="5"/>
      <c r="C3" s="5"/>
      <c r="D3" s="5"/>
      <c r="E3" s="5"/>
      <c r="F3" s="34" t="s">
        <v>43</v>
      </c>
      <c r="G3" s="10"/>
      <c r="H3" s="34" t="s">
        <v>44</v>
      </c>
      <c r="I3" s="10"/>
      <c r="J3" s="5"/>
      <c r="K3" s="5"/>
      <c r="L3" s="1"/>
      <c r="M3" s="1"/>
      <c r="N3" s="1"/>
      <c r="O3" s="1"/>
      <c r="P3" s="1"/>
      <c r="Q3" s="1"/>
      <c r="R3" s="1"/>
      <c r="S3" s="1"/>
    </row>
    <row r="4" ht="10.5" customHeight="1">
      <c r="A4" s="1"/>
      <c r="B4" s="5"/>
      <c r="C4" s="6"/>
      <c r="D4" s="6"/>
      <c r="E4" s="6"/>
      <c r="F4" s="39" t="s">
        <v>3</v>
      </c>
      <c r="G4" s="40" t="s">
        <v>47</v>
      </c>
      <c r="H4" s="39" t="s">
        <v>3</v>
      </c>
      <c r="I4" s="40" t="s">
        <v>47</v>
      </c>
      <c r="J4" s="6"/>
      <c r="K4" s="5"/>
      <c r="L4" s="1"/>
      <c r="M4" s="1"/>
      <c r="N4" s="1"/>
      <c r="O4" s="1"/>
      <c r="P4" s="1"/>
      <c r="Q4" s="1"/>
      <c r="R4" s="1"/>
      <c r="S4" s="1"/>
    </row>
    <row r="5" ht="10.5" customHeight="1">
      <c r="A5" s="1"/>
      <c r="B5" s="6"/>
      <c r="C5" s="42" t="s">
        <v>48</v>
      </c>
      <c r="D5" s="42" t="s">
        <v>49</v>
      </c>
      <c r="E5" s="44" t="s">
        <v>50</v>
      </c>
      <c r="F5" s="34" t="s">
        <v>52</v>
      </c>
      <c r="G5" s="9"/>
      <c r="H5" s="9"/>
      <c r="I5" s="10"/>
      <c r="J5" s="46" t="s">
        <v>54</v>
      </c>
      <c r="K5" s="6"/>
      <c r="L5" s="1"/>
      <c r="M5" s="1"/>
      <c r="N5" s="1"/>
      <c r="O5" s="1"/>
      <c r="P5" s="1"/>
      <c r="Q5" s="1"/>
      <c r="R5" s="1"/>
      <c r="S5" s="1"/>
    </row>
    <row r="6" ht="10.5" customHeight="1">
      <c r="A6" s="1"/>
      <c r="B6" s="48" t="s">
        <v>56</v>
      </c>
      <c r="C6" s="30">
        <v>4488.0</v>
      </c>
      <c r="D6" s="30">
        <v>14872.0</v>
      </c>
      <c r="E6" s="33">
        <v>1768711.0</v>
      </c>
      <c r="F6" s="50">
        <v>134.15</v>
      </c>
      <c r="G6" s="51">
        <v>134.0</v>
      </c>
      <c r="H6" s="51">
        <v>118.25</v>
      </c>
      <c r="I6" s="53">
        <v>115.0</v>
      </c>
      <c r="J6" s="54">
        <v>14.1</v>
      </c>
      <c r="K6" s="55" t="s">
        <v>81</v>
      </c>
      <c r="L6" s="1"/>
      <c r="M6" s="1"/>
      <c r="N6" s="1"/>
      <c r="O6" s="1"/>
      <c r="P6" s="1"/>
      <c r="Q6" s="1"/>
      <c r="R6" s="1"/>
      <c r="S6" s="1"/>
    </row>
    <row r="7" ht="10.5" customHeight="1">
      <c r="A7" s="1"/>
      <c r="B7" s="48" t="s">
        <v>81</v>
      </c>
      <c r="C7" s="30">
        <v>4664.0</v>
      </c>
      <c r="D7" s="30">
        <v>8781.0</v>
      </c>
      <c r="E7" s="33">
        <v>1190204.0</v>
      </c>
      <c r="F7" s="50">
        <v>155.05</v>
      </c>
      <c r="G7" s="51">
        <v>155.05</v>
      </c>
      <c r="H7" s="51">
        <v>134.05</v>
      </c>
      <c r="I7" s="53">
        <v>134.05</v>
      </c>
      <c r="J7" s="54">
        <v>16.2</v>
      </c>
      <c r="K7" s="55" t="s">
        <v>86</v>
      </c>
      <c r="L7" s="1"/>
      <c r="M7" s="1"/>
      <c r="N7" s="1"/>
      <c r="O7" s="1"/>
      <c r="P7" s="1"/>
      <c r="Q7" s="1"/>
      <c r="R7" s="1"/>
      <c r="S7" s="1"/>
    </row>
    <row r="8" ht="10.5" customHeight="1">
      <c r="A8" s="1"/>
      <c r="B8" s="48" t="s">
        <v>86</v>
      </c>
      <c r="C8" s="30">
        <v>4680.0</v>
      </c>
      <c r="D8" s="30">
        <v>4399.0</v>
      </c>
      <c r="E8" s="33">
        <v>770447.0</v>
      </c>
      <c r="F8" s="50">
        <v>170.05</v>
      </c>
      <c r="G8" s="51">
        <v>170.05</v>
      </c>
      <c r="H8" s="51">
        <v>167.55</v>
      </c>
      <c r="I8" s="53">
        <v>167.55</v>
      </c>
      <c r="J8" s="54">
        <v>20.3</v>
      </c>
      <c r="K8" s="55" t="s">
        <v>87</v>
      </c>
      <c r="L8" s="1"/>
      <c r="M8" s="1"/>
      <c r="N8" s="1"/>
      <c r="O8" s="1"/>
      <c r="P8" s="1"/>
      <c r="Q8" s="1"/>
      <c r="R8" s="1"/>
      <c r="S8" s="1"/>
    </row>
    <row r="9" ht="10.5" customHeight="1">
      <c r="A9" s="1"/>
      <c r="B9" s="48" t="s">
        <v>87</v>
      </c>
      <c r="C9" s="30">
        <v>4839.0</v>
      </c>
      <c r="D9" s="30">
        <v>4797.0</v>
      </c>
      <c r="E9" s="33">
        <v>1055662.0</v>
      </c>
      <c r="F9" s="50">
        <v>219.5</v>
      </c>
      <c r="G9" s="51">
        <v>215.55</v>
      </c>
      <c r="H9" s="51">
        <v>218.55</v>
      </c>
      <c r="I9" s="53">
        <v>214.6</v>
      </c>
      <c r="J9" s="54">
        <v>26.2</v>
      </c>
      <c r="K9" s="55" t="s">
        <v>90</v>
      </c>
      <c r="L9" s="1"/>
      <c r="M9" s="1"/>
      <c r="N9" s="1"/>
      <c r="O9" s="1"/>
      <c r="P9" s="1"/>
      <c r="Q9" s="1"/>
      <c r="R9" s="1"/>
      <c r="S9" s="1"/>
    </row>
    <row r="10" ht="10.5" customHeight="1">
      <c r="A10" s="1"/>
      <c r="B10" s="48" t="s">
        <v>90</v>
      </c>
      <c r="C10" s="30">
        <v>4502.0</v>
      </c>
      <c r="D10" s="30">
        <v>8444.0</v>
      </c>
      <c r="E10" s="33">
        <v>1920603.0</v>
      </c>
      <c r="F10" s="50">
        <v>221.45</v>
      </c>
      <c r="G10" s="51">
        <v>217.5</v>
      </c>
      <c r="H10" s="51">
        <v>218.6</v>
      </c>
      <c r="I10" s="53">
        <v>214.65</v>
      </c>
      <c r="J10" s="54">
        <v>26.2</v>
      </c>
      <c r="K10" s="55" t="s">
        <v>93</v>
      </c>
      <c r="L10" s="1"/>
      <c r="M10" s="1"/>
      <c r="N10" s="1"/>
      <c r="O10" s="1"/>
      <c r="P10" s="1"/>
      <c r="Q10" s="1"/>
      <c r="R10" s="1"/>
      <c r="S10" s="1"/>
    </row>
    <row r="11" ht="10.5" customHeight="1">
      <c r="A11" s="1"/>
      <c r="B11" s="48"/>
      <c r="C11" s="30"/>
      <c r="D11" s="30"/>
      <c r="E11" s="33"/>
      <c r="F11" s="50"/>
      <c r="G11" s="51"/>
      <c r="H11" s="51"/>
      <c r="I11" s="53"/>
      <c r="J11" s="54"/>
      <c r="K11" s="55"/>
      <c r="L11" s="1"/>
      <c r="M11" s="1"/>
      <c r="N11" s="1"/>
      <c r="O11" s="1"/>
      <c r="P11" s="1"/>
      <c r="Q11" s="1"/>
      <c r="R11" s="1"/>
      <c r="S11" s="1"/>
    </row>
    <row r="12" ht="10.5" customHeight="1">
      <c r="A12" s="1"/>
      <c r="B12" s="48" t="s">
        <v>93</v>
      </c>
      <c r="C12" s="30">
        <v>4829.0</v>
      </c>
      <c r="D12" s="30">
        <v>8600.0</v>
      </c>
      <c r="E12" s="33">
        <v>2008968.0</v>
      </c>
      <c r="F12" s="50">
        <v>283.59</v>
      </c>
      <c r="G12" s="51">
        <v>271.77</v>
      </c>
      <c r="H12" s="51">
        <v>240.35</v>
      </c>
      <c r="I12" s="53">
        <v>225.27</v>
      </c>
      <c r="J12" s="54">
        <v>28.1</v>
      </c>
      <c r="K12" s="55" t="s">
        <v>97</v>
      </c>
      <c r="L12" s="1"/>
      <c r="M12" s="1"/>
      <c r="N12" s="1"/>
      <c r="O12" s="1"/>
      <c r="P12" s="1"/>
      <c r="Q12" s="1"/>
      <c r="R12" s="1"/>
      <c r="S12" s="1"/>
    </row>
    <row r="13" ht="10.5" customHeight="1">
      <c r="A13" s="1"/>
      <c r="B13" s="48" t="s">
        <v>97</v>
      </c>
      <c r="C13" s="30">
        <v>5063.0</v>
      </c>
      <c r="D13" s="30">
        <v>7890.0</v>
      </c>
      <c r="E13" s="33">
        <v>1986303.0</v>
      </c>
      <c r="F13" s="50">
        <v>318.0</v>
      </c>
      <c r="G13" s="51">
        <v>306.0</v>
      </c>
      <c r="H13" s="51">
        <v>318.0</v>
      </c>
      <c r="I13" s="53">
        <v>306.0</v>
      </c>
      <c r="J13" s="54">
        <v>30.3</v>
      </c>
      <c r="K13" s="55" t="s">
        <v>101</v>
      </c>
      <c r="L13" s="1"/>
      <c r="M13" s="1"/>
      <c r="N13" s="1"/>
      <c r="O13" s="1"/>
      <c r="P13" s="1"/>
      <c r="Q13" s="1"/>
      <c r="R13" s="1"/>
      <c r="S13" s="1"/>
    </row>
    <row r="14" ht="10.5" customHeight="1">
      <c r="A14" s="1"/>
      <c r="B14" s="48" t="s">
        <v>101</v>
      </c>
      <c r="C14" s="30">
        <v>4736.0</v>
      </c>
      <c r="D14" s="30">
        <v>7670.0</v>
      </c>
      <c r="E14" s="33">
        <v>1960705.0</v>
      </c>
      <c r="F14" s="50">
        <v>288.0</v>
      </c>
      <c r="G14" s="51">
        <v>283.0</v>
      </c>
      <c r="H14" s="51">
        <v>288.0</v>
      </c>
      <c r="I14" s="53">
        <v>283.0</v>
      </c>
      <c r="J14" s="54">
        <v>31.2</v>
      </c>
      <c r="K14" s="55" t="s">
        <v>103</v>
      </c>
      <c r="L14" s="1"/>
      <c r="M14" s="1"/>
      <c r="N14" s="1"/>
      <c r="O14" s="1"/>
      <c r="P14" s="1"/>
      <c r="Q14" s="1"/>
      <c r="R14" s="1"/>
      <c r="S14" s="1"/>
    </row>
    <row r="15" ht="10.5" customHeight="1">
      <c r="A15" s="1"/>
      <c r="B15" s="48" t="s">
        <v>103</v>
      </c>
      <c r="C15" s="30">
        <v>4394.0</v>
      </c>
      <c r="D15" s="30">
        <v>12481.0</v>
      </c>
      <c r="E15" s="33">
        <v>3328612.0</v>
      </c>
      <c r="F15" s="50">
        <v>268.0</v>
      </c>
      <c r="G15" s="51">
        <v>263.0</v>
      </c>
      <c r="H15" s="51">
        <v>268.0</v>
      </c>
      <c r="I15" s="53">
        <v>263.0</v>
      </c>
      <c r="J15" s="54">
        <v>31.6</v>
      </c>
      <c r="K15" s="55" t="s">
        <v>104</v>
      </c>
      <c r="L15" s="1"/>
      <c r="M15" s="1"/>
      <c r="N15" s="1"/>
      <c r="O15" s="1"/>
      <c r="P15" s="1"/>
      <c r="Q15" s="1"/>
      <c r="R15" s="1"/>
      <c r="S15" s="1"/>
    </row>
    <row r="16" ht="10.5" customHeight="1">
      <c r="A16" s="1"/>
      <c r="B16" s="48" t="s">
        <v>104</v>
      </c>
      <c r="C16" s="30">
        <v>4163.0</v>
      </c>
      <c r="D16" s="30">
        <v>9180.0</v>
      </c>
      <c r="E16" s="33">
        <v>2814823.0</v>
      </c>
      <c r="F16" s="50">
        <v>302.67</v>
      </c>
      <c r="G16" s="51">
        <v>302.67</v>
      </c>
      <c r="H16" s="51">
        <v>302.67</v>
      </c>
      <c r="I16" s="53">
        <v>302.67</v>
      </c>
      <c r="J16" s="54">
        <v>36.7</v>
      </c>
      <c r="K16" s="55" t="s">
        <v>108</v>
      </c>
      <c r="L16" s="1"/>
      <c r="M16" s="1"/>
      <c r="N16" s="1"/>
      <c r="O16" s="1"/>
      <c r="P16" s="1"/>
      <c r="Q16" s="1"/>
      <c r="R16" s="1"/>
      <c r="S16" s="1"/>
    </row>
    <row r="17" ht="10.5" customHeight="1">
      <c r="A17" s="1"/>
      <c r="B17" s="48"/>
      <c r="C17" s="30"/>
      <c r="D17" s="30"/>
      <c r="E17" s="33"/>
      <c r="F17" s="50"/>
      <c r="G17" s="51"/>
      <c r="H17" s="51"/>
      <c r="I17" s="53"/>
      <c r="J17" s="54"/>
      <c r="K17" s="55"/>
      <c r="L17" s="1"/>
      <c r="M17" s="1"/>
      <c r="N17" s="1"/>
      <c r="O17" s="1"/>
      <c r="P17" s="1"/>
      <c r="Q17" s="1"/>
      <c r="R17" s="1"/>
      <c r="S17" s="1"/>
    </row>
    <row r="18" ht="10.5" customHeight="1">
      <c r="A18" s="1"/>
      <c r="B18" s="48" t="s">
        <v>108</v>
      </c>
      <c r="C18" s="30">
        <v>3816.0</v>
      </c>
      <c r="D18" s="30">
        <v>8614.0</v>
      </c>
      <c r="E18" s="33">
        <v>3201580.0</v>
      </c>
      <c r="F18" s="50">
        <v>357.62</v>
      </c>
      <c r="G18" s="51">
        <v>357.62</v>
      </c>
      <c r="H18" s="51">
        <v>357.62</v>
      </c>
      <c r="I18" s="53">
        <v>357.62</v>
      </c>
      <c r="J18" s="54">
        <v>43.3</v>
      </c>
      <c r="K18" s="55" t="s">
        <v>111</v>
      </c>
      <c r="L18" s="1"/>
      <c r="M18" s="1"/>
      <c r="N18" s="1"/>
      <c r="O18" s="1"/>
      <c r="P18" s="1"/>
      <c r="Q18" s="1"/>
      <c r="R18" s="1"/>
      <c r="S18" s="1"/>
    </row>
    <row r="19" ht="10.5" customHeight="1">
      <c r="A19" s="1"/>
      <c r="B19" s="48" t="s">
        <v>111</v>
      </c>
      <c r="C19" s="30">
        <v>4173.0</v>
      </c>
      <c r="D19" s="30">
        <v>3277.0</v>
      </c>
      <c r="E19" s="33">
        <v>1489980.0</v>
      </c>
      <c r="F19" s="50">
        <v>445.0</v>
      </c>
      <c r="G19" s="51">
        <v>445.0</v>
      </c>
      <c r="H19" s="51">
        <v>452.81</v>
      </c>
      <c r="I19" s="53">
        <v>452.81</v>
      </c>
      <c r="J19" s="54">
        <v>54.8</v>
      </c>
      <c r="K19" s="55" t="s">
        <v>112</v>
      </c>
      <c r="L19" s="1"/>
      <c r="M19" s="1"/>
      <c r="N19" s="1"/>
      <c r="O19" s="1"/>
      <c r="P19" s="1"/>
      <c r="Q19" s="1"/>
      <c r="R19" s="1"/>
      <c r="S19" s="1"/>
    </row>
    <row r="20" ht="10.5" customHeight="1">
      <c r="A20" s="1"/>
      <c r="B20" s="48" t="s">
        <v>112</v>
      </c>
      <c r="C20" s="30">
        <v>4377.0</v>
      </c>
      <c r="D20" s="30">
        <v>9997.0</v>
      </c>
      <c r="E20" s="33">
        <v>4137166.0</v>
      </c>
      <c r="F20" s="50">
        <v>417.0</v>
      </c>
      <c r="G20" s="51">
        <v>417.0</v>
      </c>
      <c r="H20" s="51">
        <v>417.0</v>
      </c>
      <c r="I20" s="53">
        <v>417.0</v>
      </c>
      <c r="J20" s="54">
        <v>50.0</v>
      </c>
      <c r="K20" s="55" t="s">
        <v>113</v>
      </c>
      <c r="L20" s="1"/>
      <c r="M20" s="1"/>
      <c r="N20" s="1"/>
      <c r="O20" s="1"/>
      <c r="P20" s="1"/>
      <c r="Q20" s="1"/>
      <c r="R20" s="1"/>
      <c r="S20" s="1"/>
    </row>
    <row r="21" ht="10.5" customHeight="1">
      <c r="A21" s="1"/>
      <c r="B21" s="48" t="s">
        <v>113</v>
      </c>
      <c r="C21" s="30">
        <v>4661.0</v>
      </c>
      <c r="D21" s="30">
        <v>13275.0</v>
      </c>
      <c r="E21" s="33">
        <v>4868414.0</v>
      </c>
      <c r="F21" s="50">
        <v>330.0</v>
      </c>
      <c r="G21" s="51">
        <v>330.0</v>
      </c>
      <c r="H21" s="51">
        <v>387.02</v>
      </c>
      <c r="I21" s="53">
        <v>387.02</v>
      </c>
      <c r="J21" s="54">
        <v>46.9</v>
      </c>
      <c r="K21" s="55" t="s">
        <v>114</v>
      </c>
      <c r="L21" s="1"/>
      <c r="M21" s="1"/>
      <c r="N21" s="1"/>
      <c r="O21" s="1"/>
      <c r="P21" s="1"/>
      <c r="Q21" s="1"/>
      <c r="R21" s="1"/>
      <c r="S21" s="1"/>
    </row>
    <row r="22" ht="10.5" customHeight="1">
      <c r="A22" s="1"/>
      <c r="B22" s="48" t="s">
        <v>114</v>
      </c>
      <c r="C22" s="30">
        <v>3526.0</v>
      </c>
      <c r="D22" s="30">
        <v>4866.0</v>
      </c>
      <c r="E22" s="33">
        <v>2825182.0</v>
      </c>
      <c r="F22" s="50">
        <v>304.0</v>
      </c>
      <c r="G22" s="51">
        <v>304.0</v>
      </c>
      <c r="H22" s="51">
        <v>598.62</v>
      </c>
      <c r="I22" s="53">
        <v>598.62</v>
      </c>
      <c r="J22" s="54">
        <v>72.5</v>
      </c>
      <c r="K22" s="55" t="s">
        <v>115</v>
      </c>
      <c r="L22" s="1"/>
      <c r="M22" s="1"/>
      <c r="N22" s="1"/>
      <c r="O22" s="1"/>
      <c r="P22" s="1"/>
      <c r="Q22" s="1"/>
      <c r="R22" s="1"/>
      <c r="S22" s="1"/>
    </row>
    <row r="23" ht="10.5" customHeight="1">
      <c r="A23" s="1"/>
      <c r="B23" s="48"/>
      <c r="C23" s="30"/>
      <c r="D23" s="30"/>
      <c r="E23" s="33"/>
      <c r="F23" s="50"/>
      <c r="G23" s="51"/>
      <c r="H23" s="51"/>
      <c r="I23" s="53"/>
      <c r="J23" s="54"/>
      <c r="K23" s="55"/>
      <c r="L23" s="1"/>
      <c r="M23" s="1"/>
      <c r="N23" s="1"/>
      <c r="O23" s="1"/>
      <c r="P23" s="1"/>
      <c r="Q23" s="1"/>
      <c r="R23" s="1"/>
      <c r="S23" s="1"/>
    </row>
    <row r="24" ht="10.5" customHeight="1">
      <c r="A24" s="1"/>
      <c r="B24" s="48" t="s">
        <v>115</v>
      </c>
      <c r="C24" s="30">
        <v>3761.0</v>
      </c>
      <c r="D24" s="30">
        <v>10171.0</v>
      </c>
      <c r="E24" s="33">
        <v>6043332.0</v>
      </c>
      <c r="F24" s="50">
        <v>483.97</v>
      </c>
      <c r="G24" s="51">
        <v>475.05</v>
      </c>
      <c r="H24" s="51">
        <v>593.14</v>
      </c>
      <c r="I24" s="53">
        <v>638.17</v>
      </c>
      <c r="J24" s="54">
        <v>74.4</v>
      </c>
      <c r="K24" s="55" t="s">
        <v>117</v>
      </c>
      <c r="L24" s="1"/>
      <c r="M24" s="1"/>
      <c r="N24" s="1"/>
      <c r="O24" s="1"/>
      <c r="P24" s="1"/>
      <c r="Q24" s="1"/>
      <c r="R24" s="1"/>
      <c r="S24" s="1"/>
    </row>
    <row r="25" ht="10.5" customHeight="1">
      <c r="A25" s="1"/>
      <c r="B25" s="48" t="s">
        <v>117</v>
      </c>
      <c r="C25" s="30">
        <v>4023.0</v>
      </c>
      <c r="D25" s="30">
        <v>10136.0</v>
      </c>
      <c r="E25" s="33">
        <v>6000866.0</v>
      </c>
      <c r="F25" s="50">
        <v>580.0</v>
      </c>
      <c r="G25" s="51">
        <v>600.0</v>
      </c>
      <c r="H25" s="66" t="s">
        <v>106</v>
      </c>
      <c r="I25" s="71" t="s">
        <v>106</v>
      </c>
      <c r="J25" s="54">
        <v>72.4</v>
      </c>
      <c r="K25" s="55" t="s">
        <v>121</v>
      </c>
      <c r="L25" s="1"/>
      <c r="M25" s="1"/>
      <c r="N25" s="1"/>
      <c r="O25" s="1"/>
      <c r="P25" s="1"/>
      <c r="Q25" s="1"/>
      <c r="R25" s="1"/>
      <c r="S25" s="1"/>
    </row>
    <row r="26" ht="10.5" customHeight="1">
      <c r="A26" s="1"/>
      <c r="B26" s="48" t="s">
        <v>121</v>
      </c>
      <c r="C26" s="30">
        <v>3560.0</v>
      </c>
      <c r="D26" s="30">
        <v>7693.0</v>
      </c>
      <c r="E26" s="33">
        <v>4454363.0</v>
      </c>
      <c r="F26" s="50">
        <v>593.53</v>
      </c>
      <c r="G26" s="51">
        <v>539.4</v>
      </c>
      <c r="H26" s="66" t="s">
        <v>106</v>
      </c>
      <c r="I26" s="71" t="s">
        <v>106</v>
      </c>
      <c r="J26" s="54">
        <v>69.7</v>
      </c>
      <c r="K26" s="55" t="s">
        <v>122</v>
      </c>
      <c r="L26" s="1"/>
      <c r="M26" s="1"/>
      <c r="N26" s="1"/>
      <c r="O26" s="1"/>
      <c r="P26" s="1"/>
      <c r="Q26" s="1"/>
      <c r="R26" s="1"/>
      <c r="S26" s="1"/>
    </row>
    <row r="27" ht="10.5" customHeight="1">
      <c r="A27" s="1"/>
      <c r="B27" s="48" t="s">
        <v>122</v>
      </c>
      <c r="C27" s="30">
        <v>3567.0</v>
      </c>
      <c r="D27" s="30">
        <v>7946.0</v>
      </c>
      <c r="E27" s="33">
        <v>5397112.0</v>
      </c>
      <c r="F27" s="50">
        <v>671.25</v>
      </c>
      <c r="G27" s="51">
        <v>677.58</v>
      </c>
      <c r="H27" s="66" t="s">
        <v>106</v>
      </c>
      <c r="I27" s="71" t="s">
        <v>106</v>
      </c>
      <c r="J27" s="54">
        <v>77.4</v>
      </c>
      <c r="K27" s="55" t="s">
        <v>123</v>
      </c>
      <c r="L27" s="1"/>
      <c r="M27" s="1"/>
      <c r="N27" s="1"/>
      <c r="O27" s="1"/>
      <c r="P27" s="1"/>
      <c r="Q27" s="1"/>
      <c r="R27" s="1"/>
      <c r="S27" s="1"/>
    </row>
    <row r="28" ht="10.5" customHeight="1">
      <c r="A28" s="1"/>
      <c r="B28" s="48" t="s">
        <v>123</v>
      </c>
      <c r="C28" s="30">
        <v>4013.0</v>
      </c>
      <c r="D28" s="30">
        <v>11455.0</v>
      </c>
      <c r="E28" s="33">
        <v>6289684.0</v>
      </c>
      <c r="F28" s="50">
        <v>535.1</v>
      </c>
      <c r="G28" s="51">
        <v>560.05</v>
      </c>
      <c r="H28" s="66" t="s">
        <v>106</v>
      </c>
      <c r="I28" s="71" t="s">
        <v>106</v>
      </c>
      <c r="J28" s="54">
        <v>71.3</v>
      </c>
      <c r="K28" s="78" t="s">
        <v>125</v>
      </c>
      <c r="L28" s="1"/>
      <c r="M28" s="1"/>
      <c r="N28" s="1"/>
      <c r="O28" s="1"/>
      <c r="P28" s="1"/>
      <c r="Q28" s="1"/>
      <c r="R28" s="1"/>
      <c r="S28" s="1"/>
    </row>
    <row r="29" ht="10.5" customHeight="1">
      <c r="A29" s="1"/>
      <c r="B29" s="48"/>
      <c r="C29" s="30"/>
      <c r="D29" s="30"/>
      <c r="E29" s="33"/>
      <c r="F29" s="50"/>
      <c r="G29" s="51"/>
      <c r="H29" s="66"/>
      <c r="I29" s="71"/>
      <c r="J29" s="54"/>
      <c r="K29" s="55"/>
      <c r="L29" s="1"/>
      <c r="M29" s="1"/>
      <c r="N29" s="1"/>
      <c r="O29" s="1"/>
      <c r="P29" s="1"/>
      <c r="Q29" s="1"/>
      <c r="R29" s="1"/>
      <c r="S29" s="1"/>
    </row>
    <row r="30" ht="10.5" customHeight="1">
      <c r="A30" s="1"/>
      <c r="B30" s="48" t="s">
        <v>125</v>
      </c>
      <c r="C30" s="30">
        <v>3189.0</v>
      </c>
      <c r="D30" s="30">
        <v>7772.0</v>
      </c>
      <c r="E30" s="33">
        <v>6928826.0</v>
      </c>
      <c r="F30" s="50">
        <v>937.61</v>
      </c>
      <c r="G30" s="51">
        <v>810.27</v>
      </c>
      <c r="H30" s="66" t="s">
        <v>106</v>
      </c>
      <c r="I30" s="71" t="s">
        <v>106</v>
      </c>
      <c r="J30" s="54">
        <v>93.7</v>
      </c>
      <c r="K30" s="81" t="s">
        <v>127</v>
      </c>
      <c r="L30" s="1"/>
      <c r="M30" s="1"/>
      <c r="N30" s="1"/>
      <c r="O30" s="1"/>
      <c r="P30" s="1"/>
      <c r="Q30" s="1"/>
      <c r="R30" s="1"/>
      <c r="S30" s="1"/>
    </row>
    <row r="31" ht="10.5" customHeight="1">
      <c r="A31" s="1"/>
      <c r="B31" s="48" t="s">
        <v>127</v>
      </c>
      <c r="C31" s="33">
        <v>3533.0</v>
      </c>
      <c r="D31" s="33">
        <v>10076.0</v>
      </c>
      <c r="E31" s="33">
        <v>1.3814457E7</v>
      </c>
      <c r="F31" s="50">
        <v>1361.32</v>
      </c>
      <c r="G31" s="50">
        <v>1370.5</v>
      </c>
      <c r="H31" s="82" t="s">
        <v>106</v>
      </c>
      <c r="I31" s="82" t="s">
        <v>106</v>
      </c>
      <c r="J31" s="54">
        <v>146.1</v>
      </c>
      <c r="K31" s="11" t="s">
        <v>128</v>
      </c>
      <c r="L31" s="1"/>
      <c r="M31" s="1"/>
      <c r="N31" s="1"/>
      <c r="O31" s="1"/>
      <c r="P31" s="1"/>
      <c r="Q31" s="1"/>
      <c r="R31" s="1"/>
      <c r="S31" s="1"/>
    </row>
    <row r="32" ht="10.5" customHeight="1">
      <c r="A32" s="1"/>
      <c r="B32" s="48" t="s">
        <v>128</v>
      </c>
      <c r="C32" s="33">
        <v>3651.0</v>
      </c>
      <c r="D32" s="33">
        <v>9705.0</v>
      </c>
      <c r="E32" s="33">
        <v>9134479.0</v>
      </c>
      <c r="F32" s="50">
        <v>947.69</v>
      </c>
      <c r="G32" s="50">
        <v>912.95</v>
      </c>
      <c r="H32" s="82" t="s">
        <v>106</v>
      </c>
      <c r="I32" s="82" t="s">
        <v>106</v>
      </c>
      <c r="J32" s="54">
        <v>130.6</v>
      </c>
      <c r="K32" s="11" t="s">
        <v>129</v>
      </c>
      <c r="L32" s="1"/>
      <c r="M32" s="1"/>
      <c r="N32" s="1"/>
      <c r="O32" s="1"/>
      <c r="P32" s="1"/>
      <c r="Q32" s="1"/>
      <c r="R32" s="1"/>
      <c r="S32" s="1"/>
    </row>
    <row r="33" ht="10.5" customHeight="1">
      <c r="A33" s="1"/>
      <c r="B33" s="48" t="s">
        <v>129</v>
      </c>
      <c r="C33" s="33">
        <v>3204.0</v>
      </c>
      <c r="D33" s="33">
        <v>9737.0</v>
      </c>
      <c r="E33" s="33">
        <v>8217185.0</v>
      </c>
      <c r="F33" s="50">
        <v>822.28</v>
      </c>
      <c r="G33" s="50">
        <v>875.06</v>
      </c>
      <c r="H33" s="82" t="s">
        <v>106</v>
      </c>
      <c r="I33" s="82" t="s">
        <v>106</v>
      </c>
      <c r="J33" s="54">
        <v>105.3</v>
      </c>
      <c r="K33" s="11" t="s">
        <v>130</v>
      </c>
      <c r="L33" s="1"/>
      <c r="M33" s="1"/>
      <c r="N33" s="1"/>
      <c r="O33" s="1"/>
      <c r="P33" s="1"/>
      <c r="Q33" s="1"/>
      <c r="R33" s="1"/>
      <c r="S33" s="1"/>
    </row>
    <row r="34" ht="10.5" customHeight="1">
      <c r="A34" s="1"/>
      <c r="B34" s="48" t="s">
        <v>130</v>
      </c>
      <c r="C34" s="33">
        <v>3223.0</v>
      </c>
      <c r="D34" s="33">
        <v>11749.0</v>
      </c>
      <c r="E34" s="33">
        <v>7473768.0</v>
      </c>
      <c r="F34" s="50">
        <v>659.66</v>
      </c>
      <c r="G34" s="50">
        <v>586.68</v>
      </c>
      <c r="H34" s="82" t="s">
        <v>106</v>
      </c>
      <c r="I34" s="82" t="s">
        <v>106</v>
      </c>
      <c r="J34" s="54">
        <v>58.2</v>
      </c>
      <c r="K34" s="11" t="s">
        <v>131</v>
      </c>
      <c r="L34" s="1"/>
      <c r="M34" s="1"/>
      <c r="N34" s="1"/>
      <c r="O34" s="1"/>
      <c r="P34" s="1"/>
      <c r="Q34" s="1"/>
      <c r="R34" s="1"/>
      <c r="S34" s="1"/>
    </row>
    <row r="35" ht="10.5" customHeight="1">
      <c r="A35" s="1"/>
      <c r="B35" s="48"/>
      <c r="C35" s="33"/>
      <c r="D35" s="33"/>
      <c r="E35" s="33"/>
      <c r="F35" s="50"/>
      <c r="G35" s="50"/>
      <c r="H35" s="82"/>
      <c r="I35" s="82"/>
      <c r="J35" s="54"/>
      <c r="K35" s="11"/>
      <c r="L35" s="1"/>
      <c r="M35" s="1"/>
      <c r="N35" s="1"/>
      <c r="O35" s="1"/>
      <c r="P35" s="1"/>
      <c r="Q35" s="1"/>
      <c r="R35" s="1"/>
      <c r="S35" s="1"/>
    </row>
    <row r="36" ht="10.5" customHeight="1">
      <c r="A36" s="1"/>
      <c r="B36" s="85" t="s">
        <v>131</v>
      </c>
      <c r="C36" s="33">
        <v>2032.0</v>
      </c>
      <c r="D36" s="33">
        <v>6947.0</v>
      </c>
      <c r="E36" s="33">
        <v>7418730.0</v>
      </c>
      <c r="F36" s="50">
        <v>996.4</v>
      </c>
      <c r="G36" s="50">
        <v>960.33</v>
      </c>
      <c r="H36" s="82" t="s">
        <v>106</v>
      </c>
      <c r="I36" s="82" t="s">
        <v>106</v>
      </c>
      <c r="J36" s="54">
        <v>88.3</v>
      </c>
      <c r="K36" s="11" t="s">
        <v>133</v>
      </c>
      <c r="L36" s="1"/>
      <c r="M36" s="1"/>
      <c r="N36" s="1"/>
      <c r="O36" s="1"/>
      <c r="P36" s="1"/>
      <c r="Q36" s="1"/>
      <c r="R36" s="1"/>
      <c r="S36" s="1"/>
    </row>
    <row r="37" ht="10.5" customHeight="1">
      <c r="A37" s="1"/>
      <c r="B37" s="11" t="s">
        <v>133</v>
      </c>
      <c r="C37" s="33">
        <v>2897.0</v>
      </c>
      <c r="D37" s="33">
        <v>7339.0</v>
      </c>
      <c r="E37" s="33">
        <v>1.0641551E7</v>
      </c>
      <c r="F37" s="50">
        <v>1513.18</v>
      </c>
      <c r="G37" s="50">
        <v>1484.87</v>
      </c>
      <c r="H37" s="82" t="s">
        <v>106</v>
      </c>
      <c r="I37" s="82" t="s">
        <v>106</v>
      </c>
      <c r="J37" s="54">
        <v>135.1</v>
      </c>
      <c r="K37" s="11" t="s">
        <v>134</v>
      </c>
      <c r="L37" s="1"/>
      <c r="M37" s="1"/>
      <c r="N37" s="1"/>
      <c r="O37" s="1"/>
      <c r="P37" s="1"/>
      <c r="Q37" s="1"/>
      <c r="R37" s="1"/>
      <c r="S37" s="1"/>
    </row>
    <row r="38" ht="10.5" customHeight="1">
      <c r="A38" s="1"/>
      <c r="B38" s="11" t="s">
        <v>134</v>
      </c>
      <c r="C38" s="33">
        <v>3297.0</v>
      </c>
      <c r="D38" s="33">
        <v>13164.0</v>
      </c>
      <c r="E38" s="33">
        <v>2.1926055E7</v>
      </c>
      <c r="F38" s="50">
        <v>1606.66</v>
      </c>
      <c r="G38" s="50">
        <v>1580.93</v>
      </c>
      <c r="H38" s="82" t="s">
        <v>106</v>
      </c>
      <c r="I38" s="82" t="s">
        <v>106</v>
      </c>
      <c r="J38" s="54">
        <v>143.6</v>
      </c>
      <c r="K38" s="11" t="s">
        <v>135</v>
      </c>
      <c r="L38" s="1"/>
      <c r="M38" s="1"/>
      <c r="N38" s="1"/>
      <c r="O38" s="1"/>
      <c r="P38" s="1"/>
      <c r="Q38" s="1"/>
      <c r="R38" s="1"/>
      <c r="S38" s="1"/>
    </row>
    <row r="39" ht="10.5" customHeight="1">
      <c r="A39" s="1"/>
      <c r="B39" s="11" t="s">
        <v>135</v>
      </c>
      <c r="C39" s="33">
        <v>2896.0</v>
      </c>
      <c r="D39" s="33">
        <v>12567.0</v>
      </c>
      <c r="E39" s="33">
        <v>1.6339129E7</v>
      </c>
      <c r="F39" s="50">
        <v>1440.96</v>
      </c>
      <c r="G39" s="50">
        <v>1301.75</v>
      </c>
      <c r="H39" s="82" t="s">
        <v>106</v>
      </c>
      <c r="I39" s="82" t="s">
        <v>106</v>
      </c>
      <c r="J39" s="54">
        <v>124.7</v>
      </c>
      <c r="K39" s="11" t="s">
        <v>138</v>
      </c>
      <c r="L39" s="1"/>
      <c r="M39" s="1"/>
      <c r="N39" s="1"/>
      <c r="O39" s="1"/>
      <c r="P39" s="1"/>
      <c r="Q39" s="1"/>
      <c r="R39" s="1"/>
      <c r="S39" s="1"/>
    </row>
    <row r="40" ht="10.5" customHeight="1">
      <c r="A40" s="1"/>
      <c r="B40" s="11" t="s">
        <v>138</v>
      </c>
      <c r="C40" s="33">
        <v>3263.0</v>
      </c>
      <c r="D40" s="33">
        <v>13421.0</v>
      </c>
      <c r="E40" s="33">
        <v>1.3485988E7</v>
      </c>
      <c r="F40" s="50">
        <v>1097.91</v>
      </c>
      <c r="G40" s="50">
        <v>1131.5</v>
      </c>
      <c r="H40" s="82" t="s">
        <v>106</v>
      </c>
      <c r="I40" s="82" t="s">
        <v>106</v>
      </c>
      <c r="J40" s="54">
        <v>100.0</v>
      </c>
      <c r="K40" s="11" t="s">
        <v>139</v>
      </c>
      <c r="L40" s="1"/>
      <c r="M40" s="1"/>
      <c r="N40" s="1"/>
      <c r="O40" s="1"/>
      <c r="P40" s="1"/>
      <c r="Q40" s="1"/>
      <c r="R40" s="1"/>
      <c r="S40" s="1"/>
    </row>
    <row r="41" ht="10.5" customHeight="1">
      <c r="A41" s="1"/>
      <c r="B41" s="11"/>
      <c r="C41" s="33"/>
      <c r="D41" s="33"/>
      <c r="E41" s="33"/>
      <c r="F41" s="50"/>
      <c r="G41" s="50"/>
      <c r="H41" s="82"/>
      <c r="I41" s="82"/>
      <c r="J41" s="54"/>
      <c r="K41" s="11"/>
      <c r="L41" s="1"/>
      <c r="M41" s="1"/>
      <c r="N41" s="1"/>
      <c r="O41" s="1"/>
      <c r="P41" s="1"/>
      <c r="Q41" s="1"/>
      <c r="R41" s="1"/>
      <c r="S41" s="1"/>
    </row>
    <row r="42" ht="10.5" customHeight="1">
      <c r="A42" s="1"/>
      <c r="B42" s="85" t="s">
        <v>139</v>
      </c>
      <c r="C42" s="33">
        <v>2859.0</v>
      </c>
      <c r="D42" s="33">
        <v>10924.0</v>
      </c>
      <c r="E42" s="33">
        <v>1.672529E7</v>
      </c>
      <c r="F42" s="50">
        <v>1691.66</v>
      </c>
      <c r="G42" s="50">
        <v>1636.14</v>
      </c>
      <c r="H42" s="82" t="s">
        <v>106</v>
      </c>
      <c r="I42" s="82" t="s">
        <v>106</v>
      </c>
      <c r="J42" s="54">
        <v>149.5</v>
      </c>
      <c r="K42" s="11" t="s">
        <v>143</v>
      </c>
      <c r="L42" s="1"/>
      <c r="M42" s="1"/>
      <c r="N42" s="1"/>
      <c r="O42" s="1"/>
      <c r="P42" s="1"/>
      <c r="Q42" s="1"/>
      <c r="R42" s="1"/>
      <c r="S42" s="1"/>
    </row>
    <row r="43" ht="10.5" customHeight="1">
      <c r="A43" s="1"/>
      <c r="B43" s="85" t="s">
        <v>143</v>
      </c>
      <c r="C43" s="33">
        <v>3141.0</v>
      </c>
      <c r="D43" s="33">
        <v>12759.0</v>
      </c>
      <c r="E43" s="33">
        <v>2.5123585E7</v>
      </c>
      <c r="F43" s="50">
        <v>2200.12</v>
      </c>
      <c r="G43" s="50">
        <v>2162.51</v>
      </c>
      <c r="H43" s="82" t="s">
        <v>106</v>
      </c>
      <c r="I43" s="82" t="s">
        <v>106</v>
      </c>
      <c r="J43" s="54">
        <v>196.8</v>
      </c>
      <c r="K43" s="11" t="s">
        <v>149</v>
      </c>
      <c r="L43" s="1"/>
      <c r="M43" s="1"/>
      <c r="N43" s="1"/>
      <c r="O43" s="1"/>
      <c r="P43" s="1"/>
      <c r="Q43" s="1"/>
      <c r="R43" s="1"/>
      <c r="S43" s="1"/>
    </row>
    <row r="44" ht="10.5" customHeight="1">
      <c r="A44" s="1"/>
      <c r="B44" s="85" t="s">
        <v>149</v>
      </c>
      <c r="C44" s="33">
        <v>3238.0</v>
      </c>
      <c r="D44" s="33">
        <v>12486.0</v>
      </c>
      <c r="E44" s="33">
        <v>2.5051453E7</v>
      </c>
      <c r="F44" s="50">
        <v>2026.56</v>
      </c>
      <c r="G44" s="50">
        <v>2123.98</v>
      </c>
      <c r="H44" s="82" t="s">
        <v>106</v>
      </c>
      <c r="I44" s="82" t="s">
        <v>106</v>
      </c>
      <c r="J44" s="54">
        <v>186.6</v>
      </c>
      <c r="K44" s="11" t="s">
        <v>151</v>
      </c>
      <c r="L44" s="1"/>
      <c r="M44" s="1"/>
      <c r="N44" s="1"/>
      <c r="O44" s="1"/>
      <c r="P44" s="1"/>
      <c r="Q44" s="1"/>
      <c r="R44" s="1"/>
      <c r="S44" s="1"/>
    </row>
    <row r="45" ht="10.5" customHeight="1">
      <c r="A45" s="1"/>
      <c r="B45" s="85" t="s">
        <v>151</v>
      </c>
      <c r="C45" s="33">
        <v>3096.0</v>
      </c>
      <c r="D45" s="33">
        <v>14925.0</v>
      </c>
      <c r="E45" s="33">
        <v>2.8496153E7</v>
      </c>
      <c r="F45" s="50">
        <v>2122.15</v>
      </c>
      <c r="G45" s="50">
        <v>2160.32</v>
      </c>
      <c r="H45" s="82" t="s">
        <v>106</v>
      </c>
      <c r="I45" s="82" t="s">
        <v>106</v>
      </c>
      <c r="J45" s="54">
        <v>191.5</v>
      </c>
      <c r="K45" s="11" t="s">
        <v>153</v>
      </c>
      <c r="L45" s="1"/>
      <c r="M45" s="1"/>
      <c r="N45" s="1"/>
      <c r="O45" s="1"/>
      <c r="P45" s="1"/>
      <c r="Q45" s="1"/>
      <c r="R45" s="1"/>
      <c r="S45" s="1"/>
    </row>
    <row r="46" ht="10.5" customHeight="1">
      <c r="A46" s="1"/>
      <c r="B46" s="85" t="s">
        <v>153</v>
      </c>
      <c r="C46" s="33">
        <v>3048.0</v>
      </c>
      <c r="D46" s="33">
        <v>10629.0</v>
      </c>
      <c r="E46" s="33">
        <v>2.4858545E7</v>
      </c>
      <c r="F46" s="50">
        <v>2502.41</v>
      </c>
      <c r="G46" s="50">
        <v>2255.26</v>
      </c>
      <c r="H46" s="82" t="s">
        <v>106</v>
      </c>
      <c r="I46" s="82" t="s">
        <v>106</v>
      </c>
      <c r="J46" s="54">
        <v>216.2</v>
      </c>
      <c r="K46" s="11" t="s">
        <v>155</v>
      </c>
      <c r="L46" s="1"/>
      <c r="M46" s="1"/>
      <c r="N46" s="1"/>
      <c r="O46" s="1"/>
      <c r="P46" s="1"/>
      <c r="Q46" s="1"/>
      <c r="R46" s="1"/>
      <c r="S46" s="1"/>
    </row>
    <row r="47" ht="10.5" customHeight="1">
      <c r="A47" s="1"/>
      <c r="B47" s="85"/>
      <c r="C47" s="33"/>
      <c r="D47" s="33"/>
      <c r="E47" s="33"/>
      <c r="F47" s="50"/>
      <c r="G47" s="50"/>
      <c r="H47" s="82"/>
      <c r="I47" s="82"/>
      <c r="J47" s="54"/>
      <c r="K47" s="11"/>
      <c r="L47" s="1"/>
      <c r="M47" s="1"/>
      <c r="N47" s="1"/>
      <c r="O47" s="1"/>
      <c r="P47" s="1"/>
      <c r="Q47" s="1"/>
      <c r="R47" s="1"/>
      <c r="S47" s="1"/>
    </row>
    <row r="48" ht="10.5" customHeight="1">
      <c r="A48" s="1"/>
      <c r="B48" s="85" t="s">
        <v>155</v>
      </c>
      <c r="C48" s="33">
        <v>2213.0</v>
      </c>
      <c r="D48" s="33">
        <v>8214.0</v>
      </c>
      <c r="E48" s="33">
        <v>2.6472758E7</v>
      </c>
      <c r="F48" s="50">
        <v>4025.09</v>
      </c>
      <c r="G48" s="50">
        <v>3140.5</v>
      </c>
      <c r="H48" s="82" t="s">
        <v>106</v>
      </c>
      <c r="I48" s="82" t="s">
        <v>106</v>
      </c>
      <c r="J48" s="54">
        <v>320.3</v>
      </c>
      <c r="K48" s="11" t="s">
        <v>160</v>
      </c>
      <c r="L48" s="1"/>
      <c r="M48" s="1"/>
      <c r="N48" s="1"/>
      <c r="O48" s="1"/>
      <c r="P48" s="1"/>
      <c r="Q48" s="1"/>
      <c r="R48" s="1"/>
      <c r="S48" s="1"/>
    </row>
    <row r="49" ht="10.5" customHeight="1">
      <c r="A49" s="1"/>
      <c r="B49" s="85" t="s">
        <v>160</v>
      </c>
      <c r="C49" s="33">
        <v>2997.0</v>
      </c>
      <c r="D49" s="33">
        <v>17551.0</v>
      </c>
      <c r="E49" s="33">
        <v>2.9824219E7</v>
      </c>
      <c r="F49" s="50">
        <v>1902.98</v>
      </c>
      <c r="G49" s="50">
        <v>1982.23</v>
      </c>
      <c r="H49" s="82" t="s">
        <v>106</v>
      </c>
      <c r="I49" s="82" t="s">
        <v>106</v>
      </c>
      <c r="J49" s="54">
        <v>173.8</v>
      </c>
      <c r="K49" s="11" t="s">
        <v>162</v>
      </c>
      <c r="L49" s="1"/>
      <c r="M49" s="1"/>
      <c r="N49" s="1"/>
      <c r="O49" s="1"/>
      <c r="P49" s="1"/>
      <c r="Q49" s="1"/>
      <c r="R49" s="1"/>
      <c r="S49" s="1"/>
    </row>
    <row r="50" ht="10.5" customHeight="1">
      <c r="A50" s="1"/>
      <c r="B50" s="96" t="s">
        <v>164</v>
      </c>
      <c r="C50" s="57">
        <v>2607.0</v>
      </c>
      <c r="D50" s="57">
        <v>12783.0</v>
      </c>
      <c r="E50" s="57" t="s">
        <v>10</v>
      </c>
      <c r="F50" s="98" t="s">
        <v>10</v>
      </c>
      <c r="G50" s="98" t="s">
        <v>10</v>
      </c>
      <c r="H50" s="106" t="s">
        <v>106</v>
      </c>
      <c r="I50" s="106" t="s">
        <v>106</v>
      </c>
      <c r="J50" s="107" t="s">
        <v>10</v>
      </c>
      <c r="K50" s="52" t="s">
        <v>185</v>
      </c>
      <c r="L50" s="1"/>
      <c r="M50" s="1"/>
      <c r="N50" s="1"/>
      <c r="O50" s="1"/>
      <c r="P50" s="1"/>
      <c r="Q50" s="1"/>
      <c r="R50" s="1"/>
      <c r="S50" s="1"/>
    </row>
    <row r="51" ht="10.5" customHeight="1">
      <c r="A51" s="1"/>
      <c r="B51" s="60" t="s">
        <v>188</v>
      </c>
      <c r="C51" s="60"/>
      <c r="D51" s="60"/>
      <c r="E51" s="60"/>
      <c r="F51" s="60"/>
      <c r="G51" s="60"/>
      <c r="H51" s="1"/>
      <c r="I51" s="1"/>
      <c r="J51" s="1"/>
      <c r="K51" s="1"/>
      <c r="L51" s="1"/>
      <c r="M51" s="1"/>
      <c r="N51" s="1"/>
      <c r="O51" s="1"/>
      <c r="P51" s="1"/>
      <c r="Q51" s="1"/>
      <c r="R51" s="1"/>
      <c r="S51" s="1"/>
    </row>
    <row r="52" ht="10.5" customHeight="1">
      <c r="A52" s="1"/>
      <c r="B52" s="60" t="s">
        <v>191</v>
      </c>
      <c r="C52" s="60"/>
      <c r="D52" s="60"/>
      <c r="E52" s="60"/>
      <c r="F52" s="60"/>
      <c r="G52" s="60"/>
      <c r="H52" s="1"/>
      <c r="I52" s="1"/>
      <c r="J52" s="1"/>
      <c r="K52" s="1"/>
      <c r="L52" s="1"/>
      <c r="M52" s="1"/>
      <c r="N52" s="1"/>
      <c r="O52" s="1"/>
      <c r="P52" s="1"/>
      <c r="Q52" s="1"/>
      <c r="R52" s="1"/>
      <c r="S52" s="1"/>
    </row>
    <row r="53" ht="10.5" customHeight="1">
      <c r="A53" s="1"/>
      <c r="B53" s="60" t="s">
        <v>197</v>
      </c>
      <c r="H53" s="1"/>
      <c r="I53" s="1"/>
      <c r="J53" s="1"/>
      <c r="K53" s="1"/>
      <c r="L53" s="1"/>
      <c r="M53" s="1"/>
      <c r="N53" s="1"/>
      <c r="O53" s="1"/>
      <c r="P53" s="1"/>
      <c r="Q53" s="1"/>
      <c r="R53" s="1"/>
      <c r="S53" s="1"/>
    </row>
    <row r="54" ht="10.5" customHeight="1">
      <c r="A54" s="1"/>
      <c r="B54" s="60" t="s">
        <v>200</v>
      </c>
      <c r="D54" s="60"/>
      <c r="E54" s="60"/>
      <c r="F54" s="60"/>
      <c r="G54" s="60"/>
      <c r="H54" s="1"/>
      <c r="I54" s="1"/>
      <c r="J54" s="1"/>
      <c r="K54" s="1"/>
      <c r="L54" s="1"/>
      <c r="M54" s="1"/>
      <c r="N54" s="1"/>
      <c r="O54" s="1"/>
      <c r="P54" s="1"/>
      <c r="Q54" s="1"/>
      <c r="R54" s="1"/>
      <c r="S54" s="1"/>
    </row>
    <row r="55" ht="10.5" customHeight="1">
      <c r="A55" s="1"/>
      <c r="B55" s="60"/>
      <c r="D55" s="60"/>
      <c r="E55" s="60"/>
      <c r="F55" s="60"/>
      <c r="G55" s="60"/>
      <c r="H55" s="1"/>
      <c r="I55" s="1"/>
      <c r="J55" s="1"/>
      <c r="K55" s="1"/>
      <c r="L55" s="1"/>
      <c r="M55" s="1"/>
      <c r="N55" s="1"/>
      <c r="O55" s="1"/>
      <c r="P55" s="1"/>
      <c r="Q55" s="1"/>
      <c r="R55" s="1"/>
      <c r="S55" s="1"/>
    </row>
    <row r="56" ht="10.5" customHeight="1">
      <c r="A56" s="1"/>
      <c r="B56" s="1"/>
      <c r="C56" s="113"/>
      <c r="D56" s="113"/>
      <c r="E56" s="113"/>
      <c r="F56" s="113"/>
      <c r="G56" s="113"/>
      <c r="H56" s="113"/>
      <c r="I56" s="1"/>
      <c r="J56" s="1"/>
      <c r="K56" s="1"/>
      <c r="L56" s="1"/>
      <c r="M56" s="1"/>
      <c r="N56" s="1"/>
      <c r="O56" s="1"/>
      <c r="P56" s="1"/>
      <c r="Q56" s="1"/>
      <c r="R56" s="1"/>
      <c r="S56" s="1"/>
    </row>
    <row r="57" ht="10.5" customHeight="1">
      <c r="A57" s="1"/>
      <c r="B57" s="1"/>
      <c r="C57" s="1"/>
      <c r="D57" s="1"/>
      <c r="E57" s="1"/>
      <c r="F57" s="1"/>
      <c r="G57" s="1"/>
      <c r="H57" s="1"/>
      <c r="I57" s="1"/>
      <c r="J57" s="1"/>
      <c r="K57" s="1"/>
      <c r="L57" s="1"/>
      <c r="M57" s="1"/>
      <c r="N57" s="1"/>
      <c r="O57" s="1"/>
      <c r="P57" s="1"/>
      <c r="Q57" s="1"/>
      <c r="R57" s="1"/>
      <c r="S57" s="1"/>
    </row>
    <row r="58" ht="10.5" customHeight="1">
      <c r="A58" s="1"/>
      <c r="B58" s="1"/>
      <c r="C58" s="1"/>
      <c r="D58" s="1"/>
      <c r="E58" s="1"/>
      <c r="F58" s="1"/>
      <c r="G58" s="1"/>
      <c r="H58" s="1"/>
      <c r="I58" s="1"/>
      <c r="J58" s="1"/>
      <c r="K58" s="1"/>
      <c r="L58" s="1"/>
      <c r="M58" s="1"/>
      <c r="N58" s="1"/>
      <c r="O58" s="1"/>
      <c r="P58" s="1"/>
      <c r="Q58" s="1"/>
      <c r="R58" s="1"/>
      <c r="S58" s="1"/>
    </row>
    <row r="59" ht="10.5" customHeight="1">
      <c r="A59" s="1"/>
      <c r="B59" s="1"/>
      <c r="C59" s="1"/>
      <c r="D59" s="1"/>
      <c r="E59" s="1"/>
      <c r="F59" s="1"/>
      <c r="G59" s="1"/>
      <c r="H59" s="1"/>
      <c r="I59" s="1"/>
      <c r="J59" s="1"/>
      <c r="K59" s="1"/>
      <c r="L59" s="1"/>
      <c r="M59" s="1"/>
      <c r="N59" s="1"/>
      <c r="O59" s="1"/>
      <c r="P59" s="1"/>
      <c r="Q59" s="1"/>
      <c r="R59" s="1"/>
      <c r="S59" s="1"/>
    </row>
    <row r="60" ht="10.5" customHeight="1">
      <c r="A60" s="1"/>
      <c r="B60" s="1"/>
      <c r="C60" s="1"/>
      <c r="D60" s="1"/>
      <c r="E60" s="1"/>
      <c r="F60" s="1"/>
      <c r="G60" s="1"/>
      <c r="H60" s="1"/>
      <c r="I60" s="1"/>
      <c r="J60" s="1"/>
      <c r="K60" s="1"/>
      <c r="L60" s="1"/>
      <c r="M60" s="1"/>
      <c r="N60" s="1"/>
      <c r="O60" s="1"/>
      <c r="P60" s="1"/>
      <c r="Q60" s="1"/>
      <c r="R60" s="1"/>
      <c r="S60" s="1"/>
    </row>
    <row r="61" ht="10.5" customHeight="1">
      <c r="A61" s="1"/>
      <c r="B61" s="1"/>
      <c r="C61" s="1"/>
      <c r="D61" s="1"/>
      <c r="E61" s="1"/>
      <c r="F61" s="1"/>
      <c r="G61" s="1"/>
      <c r="H61" s="1"/>
      <c r="I61" s="1"/>
      <c r="J61" s="1"/>
      <c r="K61" s="1"/>
      <c r="L61" s="1"/>
      <c r="M61" s="1"/>
      <c r="N61" s="1"/>
      <c r="O61" s="1"/>
      <c r="P61" s="1"/>
      <c r="Q61" s="1"/>
      <c r="R61" s="1"/>
      <c r="S61" s="1"/>
    </row>
    <row r="62" ht="10.5" customHeight="1">
      <c r="A62" s="1"/>
      <c r="B62" s="1"/>
      <c r="C62" s="1"/>
      <c r="D62" s="1"/>
      <c r="E62" s="1"/>
      <c r="F62" s="1"/>
      <c r="G62" s="1"/>
      <c r="H62" s="1"/>
      <c r="I62" s="1"/>
      <c r="J62" s="1"/>
      <c r="K62" s="1"/>
      <c r="L62" s="1"/>
      <c r="M62" s="1"/>
      <c r="N62" s="1"/>
      <c r="O62" s="1"/>
      <c r="P62" s="1"/>
      <c r="Q62" s="1"/>
      <c r="R62" s="1"/>
      <c r="S62" s="1"/>
    </row>
    <row r="63" ht="10.5" customHeight="1">
      <c r="A63" s="1"/>
      <c r="B63" s="1"/>
      <c r="C63" s="1"/>
      <c r="D63" s="1"/>
      <c r="E63" s="1"/>
      <c r="F63" s="1"/>
      <c r="G63" s="1"/>
      <c r="H63" s="1"/>
      <c r="I63" s="1"/>
      <c r="J63" s="1"/>
      <c r="K63" s="1"/>
      <c r="L63" s="1"/>
      <c r="M63" s="1"/>
      <c r="N63" s="1"/>
      <c r="O63" s="1"/>
      <c r="P63" s="1"/>
      <c r="Q63" s="1"/>
      <c r="R63" s="1"/>
      <c r="S63" s="1"/>
    </row>
    <row r="64" ht="10.5" customHeight="1">
      <c r="A64" s="1"/>
      <c r="B64" s="1"/>
      <c r="C64" s="1"/>
      <c r="D64" s="1"/>
      <c r="E64" s="1"/>
      <c r="F64" s="1"/>
      <c r="G64" s="1"/>
      <c r="H64" s="1"/>
      <c r="I64" s="1"/>
      <c r="J64" s="1"/>
      <c r="K64" s="1"/>
      <c r="L64" s="1"/>
      <c r="M64" s="1"/>
      <c r="N64" s="1"/>
      <c r="O64" s="1"/>
      <c r="P64" s="1"/>
      <c r="Q64" s="1"/>
      <c r="R64" s="1"/>
      <c r="S64" s="1"/>
    </row>
    <row r="65" ht="10.5" customHeight="1">
      <c r="A65" s="1"/>
      <c r="B65" s="1"/>
      <c r="C65" s="1"/>
      <c r="D65" s="1"/>
      <c r="E65" s="1"/>
      <c r="F65" s="1"/>
      <c r="G65" s="1"/>
      <c r="H65" s="1"/>
      <c r="I65" s="1"/>
      <c r="J65" s="1"/>
      <c r="K65" s="1"/>
      <c r="L65" s="1"/>
      <c r="M65" s="1"/>
      <c r="N65" s="1"/>
      <c r="O65" s="1"/>
      <c r="P65" s="1"/>
      <c r="Q65" s="1"/>
      <c r="R65" s="1"/>
      <c r="S65" s="1"/>
    </row>
    <row r="66" ht="10.5" customHeight="1">
      <c r="A66" s="1"/>
      <c r="B66" s="1"/>
      <c r="C66" s="1"/>
      <c r="D66" s="1"/>
      <c r="E66" s="1"/>
      <c r="F66" s="1"/>
      <c r="G66" s="1"/>
      <c r="H66" s="1"/>
      <c r="I66" s="1"/>
      <c r="J66" s="1"/>
      <c r="K66" s="1"/>
      <c r="L66" s="1"/>
      <c r="M66" s="1"/>
      <c r="N66" s="1"/>
      <c r="O66" s="1"/>
      <c r="P66" s="1"/>
      <c r="Q66" s="1"/>
      <c r="R66" s="1"/>
      <c r="S66" s="1"/>
    </row>
    <row r="67" ht="10.5" customHeight="1">
      <c r="A67" s="1"/>
      <c r="B67" s="1"/>
      <c r="C67" s="1"/>
      <c r="D67" s="1"/>
      <c r="E67" s="1"/>
      <c r="F67" s="1"/>
      <c r="G67" s="1"/>
      <c r="H67" s="1"/>
      <c r="I67" s="1"/>
      <c r="J67" s="1"/>
      <c r="K67" s="1"/>
      <c r="L67" s="1"/>
      <c r="M67" s="1"/>
      <c r="N67" s="1"/>
      <c r="O67" s="1"/>
      <c r="P67" s="1"/>
      <c r="Q67" s="1"/>
      <c r="R67" s="1"/>
      <c r="S67" s="1"/>
    </row>
    <row r="68" ht="10.5" customHeight="1">
      <c r="A68" s="1"/>
      <c r="B68" s="1"/>
      <c r="C68" s="1"/>
      <c r="D68" s="1"/>
      <c r="E68" s="1"/>
      <c r="F68" s="1"/>
      <c r="G68" s="1"/>
      <c r="H68" s="1"/>
      <c r="I68" s="1"/>
      <c r="J68" s="1"/>
      <c r="K68" s="1"/>
      <c r="L68" s="1"/>
      <c r="M68" s="1"/>
      <c r="N68" s="1"/>
      <c r="O68" s="1"/>
      <c r="P68" s="1"/>
      <c r="Q68" s="1"/>
      <c r="R68" s="1"/>
      <c r="S68" s="1"/>
    </row>
    <row r="69" ht="10.5" customHeight="1">
      <c r="A69" s="1"/>
      <c r="B69" s="1"/>
      <c r="C69" s="1"/>
      <c r="D69" s="1"/>
      <c r="E69" s="1"/>
      <c r="F69" s="1"/>
      <c r="G69" s="1"/>
      <c r="H69" s="1"/>
      <c r="I69" s="1"/>
      <c r="J69" s="1"/>
      <c r="K69" s="1"/>
      <c r="L69" s="1"/>
      <c r="M69" s="1"/>
      <c r="N69" s="1"/>
      <c r="O69" s="1"/>
      <c r="P69" s="1"/>
      <c r="Q69" s="1"/>
      <c r="R69" s="1"/>
      <c r="S69" s="1"/>
    </row>
    <row r="70" ht="10.5" customHeight="1">
      <c r="A70" s="1"/>
      <c r="B70" s="1"/>
      <c r="C70" s="1"/>
      <c r="D70" s="1"/>
      <c r="E70" s="1"/>
      <c r="F70" s="1"/>
      <c r="G70" s="1"/>
      <c r="H70" s="1"/>
      <c r="I70" s="1"/>
      <c r="J70" s="1"/>
      <c r="K70" s="1"/>
      <c r="L70" s="1"/>
      <c r="M70" s="1"/>
      <c r="N70" s="1"/>
      <c r="O70" s="1"/>
      <c r="P70" s="1"/>
      <c r="Q70" s="1"/>
      <c r="R70" s="1"/>
      <c r="S70" s="1"/>
    </row>
    <row r="71" ht="10.5" customHeight="1">
      <c r="A71" s="1"/>
      <c r="B71" s="1"/>
      <c r="C71" s="1"/>
      <c r="D71" s="1"/>
      <c r="E71" s="1"/>
      <c r="F71" s="1"/>
      <c r="G71" s="1"/>
      <c r="H71" s="1"/>
      <c r="I71" s="1"/>
      <c r="J71" s="1"/>
      <c r="K71" s="1"/>
      <c r="L71" s="1"/>
      <c r="M71" s="1"/>
      <c r="N71" s="1"/>
      <c r="O71" s="1"/>
      <c r="P71" s="1"/>
      <c r="Q71" s="1"/>
      <c r="R71" s="1"/>
      <c r="S71" s="1"/>
    </row>
    <row r="72" ht="10.5" customHeight="1">
      <c r="A72" s="1"/>
      <c r="B72" s="1"/>
      <c r="C72" s="1"/>
      <c r="D72" s="1"/>
      <c r="E72" s="1"/>
      <c r="F72" s="1"/>
      <c r="G72" s="1"/>
      <c r="H72" s="1"/>
      <c r="I72" s="1"/>
      <c r="J72" s="1"/>
      <c r="K72" s="1"/>
      <c r="L72" s="1"/>
      <c r="M72" s="1"/>
      <c r="N72" s="1"/>
      <c r="O72" s="1"/>
      <c r="P72" s="1"/>
      <c r="Q72" s="1"/>
      <c r="R72" s="1"/>
      <c r="S72" s="1"/>
    </row>
    <row r="73" ht="10.5" customHeight="1">
      <c r="A73" s="1"/>
      <c r="B73" s="1"/>
      <c r="C73" s="1"/>
      <c r="D73" s="1"/>
      <c r="E73" s="1"/>
      <c r="F73" s="1"/>
      <c r="G73" s="1"/>
      <c r="H73" s="1"/>
      <c r="I73" s="1"/>
      <c r="J73" s="1"/>
      <c r="K73" s="1"/>
      <c r="L73" s="1"/>
      <c r="M73" s="1"/>
      <c r="N73" s="1"/>
      <c r="O73" s="1"/>
      <c r="P73" s="1"/>
      <c r="Q73" s="1"/>
      <c r="R73" s="1"/>
      <c r="S73" s="1"/>
    </row>
    <row r="74" ht="10.5" customHeight="1">
      <c r="A74" s="1"/>
      <c r="B74" s="1"/>
      <c r="C74" s="1"/>
      <c r="D74" s="1"/>
      <c r="E74" s="1"/>
      <c r="F74" s="1"/>
      <c r="G74" s="1"/>
      <c r="H74" s="1"/>
      <c r="I74" s="1"/>
      <c r="J74" s="1"/>
      <c r="K74" s="1"/>
      <c r="L74" s="1"/>
      <c r="M74" s="1"/>
      <c r="N74" s="1"/>
      <c r="O74" s="1"/>
      <c r="P74" s="1"/>
      <c r="Q74" s="1"/>
      <c r="R74" s="1"/>
      <c r="S74" s="1"/>
    </row>
    <row r="75" ht="10.5" customHeight="1">
      <c r="A75" s="1"/>
      <c r="B75" s="1"/>
      <c r="C75" s="1"/>
      <c r="D75" s="1"/>
      <c r="E75" s="1"/>
      <c r="F75" s="1"/>
      <c r="G75" s="1"/>
      <c r="H75" s="1"/>
      <c r="I75" s="1"/>
      <c r="J75" s="1"/>
      <c r="K75" s="1"/>
      <c r="L75" s="1"/>
      <c r="M75" s="1"/>
      <c r="N75" s="1"/>
      <c r="O75" s="1"/>
      <c r="P75" s="1"/>
      <c r="Q75" s="1"/>
      <c r="R75" s="1"/>
      <c r="S75" s="1"/>
    </row>
    <row r="76" ht="10.5" customHeight="1">
      <c r="A76" s="1"/>
      <c r="B76" s="1"/>
      <c r="C76" s="1"/>
      <c r="D76" s="1"/>
      <c r="E76" s="1"/>
      <c r="F76" s="1"/>
      <c r="G76" s="1"/>
      <c r="H76" s="1"/>
      <c r="I76" s="1"/>
      <c r="J76" s="1"/>
      <c r="K76" s="1"/>
      <c r="L76" s="1"/>
      <c r="M76" s="1"/>
      <c r="N76" s="1"/>
      <c r="O76" s="1"/>
      <c r="P76" s="1"/>
      <c r="Q76" s="1"/>
      <c r="R76" s="1"/>
      <c r="S76" s="1"/>
    </row>
    <row r="77" ht="10.5" customHeight="1">
      <c r="A77" s="1"/>
      <c r="B77" s="1"/>
      <c r="C77" s="1"/>
      <c r="D77" s="1"/>
      <c r="E77" s="1"/>
      <c r="F77" s="1"/>
      <c r="G77" s="1"/>
      <c r="H77" s="1"/>
      <c r="I77" s="1"/>
      <c r="J77" s="1"/>
      <c r="K77" s="1"/>
      <c r="L77" s="1"/>
      <c r="M77" s="1"/>
      <c r="N77" s="1"/>
      <c r="O77" s="1"/>
      <c r="P77" s="1"/>
      <c r="Q77" s="1"/>
      <c r="R77" s="1"/>
      <c r="S77" s="1"/>
    </row>
    <row r="78" ht="10.5" customHeight="1">
      <c r="A78" s="1"/>
      <c r="B78" s="1"/>
      <c r="C78" s="1"/>
      <c r="D78" s="1"/>
      <c r="E78" s="1"/>
      <c r="F78" s="1"/>
      <c r="G78" s="1"/>
      <c r="H78" s="1"/>
      <c r="I78" s="1"/>
      <c r="J78" s="1"/>
      <c r="K78" s="1"/>
      <c r="L78" s="1"/>
      <c r="M78" s="1"/>
      <c r="N78" s="1"/>
      <c r="O78" s="1"/>
      <c r="P78" s="1"/>
      <c r="Q78" s="1"/>
      <c r="R78" s="1"/>
      <c r="S78" s="1"/>
    </row>
    <row r="79" ht="10.5" customHeight="1">
      <c r="A79" s="1"/>
      <c r="B79" s="1"/>
      <c r="C79" s="1"/>
      <c r="D79" s="1"/>
      <c r="E79" s="1"/>
      <c r="F79" s="1"/>
      <c r="G79" s="1"/>
      <c r="H79" s="1"/>
      <c r="I79" s="1"/>
      <c r="J79" s="1"/>
      <c r="K79" s="1"/>
      <c r="L79" s="1"/>
      <c r="M79" s="1"/>
      <c r="N79" s="1"/>
      <c r="O79" s="1"/>
      <c r="P79" s="1"/>
      <c r="Q79" s="1"/>
      <c r="R79" s="1"/>
      <c r="S79" s="1"/>
    </row>
    <row r="80" ht="10.5" customHeight="1">
      <c r="A80" s="1"/>
      <c r="B80" s="1"/>
      <c r="C80" s="1"/>
      <c r="D80" s="1"/>
      <c r="E80" s="1"/>
      <c r="F80" s="1"/>
      <c r="G80" s="110">
        <v>7.0</v>
      </c>
      <c r="H80" s="1"/>
      <c r="I80" s="1"/>
      <c r="J80" s="1"/>
      <c r="K80" s="1"/>
      <c r="L80" s="1"/>
      <c r="M80" s="1"/>
      <c r="N80" s="1"/>
      <c r="O80" s="1"/>
      <c r="P80" s="1"/>
      <c r="Q80" s="1"/>
      <c r="R80" s="1"/>
      <c r="S80" s="1"/>
    </row>
    <row r="81" ht="10.5" customHeight="1">
      <c r="A81" s="1"/>
      <c r="B81" s="1"/>
      <c r="C81" s="1"/>
      <c r="D81" s="1"/>
      <c r="E81" s="1"/>
      <c r="F81" s="1"/>
      <c r="G81" s="110"/>
      <c r="H81" s="1"/>
      <c r="I81" s="1"/>
      <c r="J81" s="1"/>
      <c r="K81" s="1"/>
      <c r="L81" s="1"/>
      <c r="M81" s="1"/>
      <c r="N81" s="1"/>
      <c r="O81" s="1"/>
      <c r="P81" s="1"/>
      <c r="Q81" s="1"/>
      <c r="R81" s="1"/>
      <c r="S81" s="1"/>
    </row>
    <row r="82" ht="10.5" customHeight="1">
      <c r="A82" s="1"/>
      <c r="B82" s="1"/>
      <c r="C82" s="1"/>
      <c r="D82" s="1"/>
      <c r="E82" s="1"/>
      <c r="F82" s="1"/>
      <c r="G82" s="125"/>
      <c r="H82" s="1"/>
      <c r="I82" s="1"/>
      <c r="J82" s="1"/>
      <c r="K82" s="1"/>
      <c r="L82" s="1"/>
      <c r="M82" s="1"/>
      <c r="N82" s="1"/>
      <c r="O82" s="1"/>
      <c r="P82" s="1"/>
      <c r="Q82" s="1"/>
      <c r="R82" s="1"/>
      <c r="S82" s="1"/>
    </row>
    <row r="83" ht="11.25" customHeight="1">
      <c r="A83" s="1"/>
      <c r="B83" s="1" t="s">
        <v>237</v>
      </c>
      <c r="C83" s="1"/>
      <c r="D83" s="1"/>
      <c r="E83" s="1"/>
      <c r="F83" s="1"/>
      <c r="G83" s="1"/>
      <c r="H83" s="1"/>
      <c r="I83" s="1"/>
      <c r="J83" s="1"/>
      <c r="K83" s="1"/>
      <c r="L83" s="1"/>
      <c r="M83" s="1"/>
      <c r="N83" s="1"/>
      <c r="O83" s="1"/>
      <c r="P83" s="1"/>
      <c r="Q83" s="1"/>
      <c r="R83" s="1"/>
      <c r="S83" s="1"/>
    </row>
    <row r="84" ht="10.5" customHeight="1">
      <c r="A84" s="1"/>
      <c r="B84" s="29" t="s">
        <v>42</v>
      </c>
      <c r="C84" s="31" t="s">
        <v>238</v>
      </c>
      <c r="D84" s="128" t="s">
        <v>239</v>
      </c>
      <c r="E84" s="9"/>
      <c r="F84" s="9"/>
      <c r="G84" s="10"/>
      <c r="H84" s="128" t="s">
        <v>241</v>
      </c>
      <c r="I84" s="10"/>
      <c r="J84" s="128" t="s">
        <v>243</v>
      </c>
      <c r="K84" s="9"/>
      <c r="L84" s="10"/>
      <c r="M84" s="1"/>
      <c r="N84" s="1"/>
      <c r="O84" s="1"/>
      <c r="P84" s="1"/>
      <c r="Q84" s="1"/>
      <c r="R84" s="1"/>
      <c r="S84" s="1"/>
    </row>
    <row r="85" ht="23.25" customHeight="1">
      <c r="A85" s="1"/>
      <c r="B85" s="5"/>
      <c r="C85" s="5"/>
      <c r="D85" s="128" t="s">
        <v>245</v>
      </c>
      <c r="E85" s="10"/>
      <c r="F85" s="128" t="s">
        <v>246</v>
      </c>
      <c r="G85" s="10"/>
      <c r="H85" s="31" t="s">
        <v>2</v>
      </c>
      <c r="I85" s="31" t="s">
        <v>248</v>
      </c>
      <c r="J85" s="31" t="s">
        <v>250</v>
      </c>
      <c r="K85" s="128" t="s">
        <v>251</v>
      </c>
      <c r="L85" s="10"/>
      <c r="M85" s="1"/>
      <c r="N85" s="1"/>
      <c r="O85" s="1"/>
      <c r="P85" s="1"/>
      <c r="Q85" s="1"/>
      <c r="R85" s="1"/>
      <c r="S85" s="1"/>
    </row>
    <row r="86" ht="10.5" customHeight="1">
      <c r="A86" s="1"/>
      <c r="B86" s="5"/>
      <c r="C86" s="6"/>
      <c r="D86" s="7" t="s">
        <v>3</v>
      </c>
      <c r="E86" s="7" t="s">
        <v>47</v>
      </c>
      <c r="F86" s="7" t="s">
        <v>3</v>
      </c>
      <c r="G86" s="7" t="s">
        <v>47</v>
      </c>
      <c r="H86" s="6"/>
      <c r="I86" s="6"/>
      <c r="J86" s="6"/>
      <c r="K86" s="7" t="s">
        <v>3</v>
      </c>
      <c r="L86" s="7" t="s">
        <v>47</v>
      </c>
      <c r="M86" s="1"/>
      <c r="N86" s="1"/>
      <c r="O86" s="1"/>
      <c r="P86" s="1"/>
      <c r="Q86" s="1"/>
      <c r="R86" s="1"/>
      <c r="S86" s="1"/>
    </row>
    <row r="87" ht="10.5" customHeight="1">
      <c r="A87" s="1"/>
      <c r="B87" s="6"/>
      <c r="C87" s="134" t="s">
        <v>49</v>
      </c>
      <c r="D87" s="8" t="s">
        <v>52</v>
      </c>
      <c r="E87" s="9"/>
      <c r="F87" s="9"/>
      <c r="G87" s="10"/>
      <c r="H87" s="8" t="s">
        <v>49</v>
      </c>
      <c r="I87" s="9"/>
      <c r="J87" s="10"/>
      <c r="K87" s="8" t="s">
        <v>52</v>
      </c>
      <c r="L87" s="10"/>
      <c r="M87" s="1"/>
      <c r="N87" s="1"/>
      <c r="O87" s="1"/>
      <c r="P87" s="1"/>
      <c r="Q87" s="1"/>
      <c r="R87" s="1"/>
      <c r="S87" s="1"/>
    </row>
    <row r="88" ht="10.5" customHeight="1">
      <c r="A88" s="1"/>
      <c r="B88" s="48" t="s">
        <v>264</v>
      </c>
      <c r="C88" s="136">
        <v>4988.0</v>
      </c>
      <c r="D88" s="51">
        <v>39.61</v>
      </c>
      <c r="E88" s="51">
        <v>35.42</v>
      </c>
      <c r="F88" s="51">
        <v>37.68</v>
      </c>
      <c r="G88" s="51">
        <v>33.49</v>
      </c>
      <c r="H88" s="136">
        <v>5104.0</v>
      </c>
      <c r="I88" s="136">
        <v>2658.0</v>
      </c>
      <c r="J88" s="136">
        <v>1302.0</v>
      </c>
      <c r="K88" s="51">
        <v>46.36</v>
      </c>
      <c r="L88" s="51">
        <v>44.64</v>
      </c>
      <c r="M88" s="1"/>
      <c r="N88" s="1"/>
      <c r="O88" s="1"/>
      <c r="P88" s="1"/>
      <c r="Q88" s="1"/>
      <c r="R88" s="1"/>
      <c r="S88" s="1"/>
    </row>
    <row r="89" ht="10.5" customHeight="1">
      <c r="A89" s="1"/>
      <c r="B89" s="48" t="s">
        <v>267</v>
      </c>
      <c r="C89" s="136">
        <v>7212.0</v>
      </c>
      <c r="D89" s="51">
        <v>39.87</v>
      </c>
      <c r="E89" s="51">
        <v>37.22</v>
      </c>
      <c r="F89" s="51">
        <v>37.92</v>
      </c>
      <c r="G89" s="51">
        <v>35.27</v>
      </c>
      <c r="H89" s="136">
        <v>4824.0</v>
      </c>
      <c r="I89" s="136">
        <v>2722.0</v>
      </c>
      <c r="J89" s="136">
        <v>2835.0</v>
      </c>
      <c r="K89" s="51">
        <v>41.92</v>
      </c>
      <c r="L89" s="51">
        <v>40.95</v>
      </c>
      <c r="M89" s="1"/>
      <c r="N89" s="1"/>
      <c r="O89" s="1"/>
      <c r="P89" s="1"/>
      <c r="Q89" s="1"/>
      <c r="R89" s="1"/>
      <c r="S89" s="1"/>
    </row>
    <row r="90" ht="10.5" customHeight="1">
      <c r="A90" s="1"/>
      <c r="B90" s="48" t="s">
        <v>268</v>
      </c>
      <c r="C90" s="136">
        <v>8174.0</v>
      </c>
      <c r="D90" s="51">
        <v>40.95</v>
      </c>
      <c r="E90" s="51">
        <v>39.6</v>
      </c>
      <c r="F90" s="51">
        <v>39.0</v>
      </c>
      <c r="G90" s="51">
        <v>37.65</v>
      </c>
      <c r="H90" s="136">
        <v>5164.0</v>
      </c>
      <c r="I90" s="136">
        <v>2759.0</v>
      </c>
      <c r="J90" s="136">
        <v>3917.0</v>
      </c>
      <c r="K90" s="51">
        <v>47.96</v>
      </c>
      <c r="L90" s="51">
        <v>49.41</v>
      </c>
      <c r="M90" s="1"/>
      <c r="N90" s="1"/>
      <c r="O90" s="1"/>
      <c r="P90" s="1"/>
      <c r="Q90" s="1"/>
      <c r="R90" s="1"/>
      <c r="S90" s="1"/>
    </row>
    <row r="91" ht="10.5" customHeight="1">
      <c r="A91" s="1"/>
      <c r="B91" s="48" t="s">
        <v>269</v>
      </c>
      <c r="C91" s="136">
        <v>3337.0</v>
      </c>
      <c r="D91" s="51">
        <v>45.45</v>
      </c>
      <c r="E91" s="51">
        <v>45.45</v>
      </c>
      <c r="F91" s="51">
        <v>43.5</v>
      </c>
      <c r="G91" s="51">
        <v>43.5</v>
      </c>
      <c r="H91" s="136">
        <v>5157.0</v>
      </c>
      <c r="I91" s="136">
        <v>2573.0</v>
      </c>
      <c r="J91" s="136">
        <v>607.0</v>
      </c>
      <c r="K91" s="51">
        <v>84.25</v>
      </c>
      <c r="L91" s="51">
        <v>58.36</v>
      </c>
      <c r="M91" s="1"/>
      <c r="N91" s="1"/>
      <c r="O91" s="1"/>
      <c r="P91" s="1"/>
      <c r="Q91" s="1"/>
      <c r="R91" s="1"/>
      <c r="S91" s="1"/>
    </row>
    <row r="92" ht="10.5" customHeight="1">
      <c r="A92" s="1"/>
      <c r="B92" s="48" t="s">
        <v>270</v>
      </c>
      <c r="C92" s="136">
        <v>9829.0</v>
      </c>
      <c r="D92" s="51">
        <v>48.95</v>
      </c>
      <c r="E92" s="51">
        <v>48.95</v>
      </c>
      <c r="F92" s="51">
        <v>47.0</v>
      </c>
      <c r="G92" s="51">
        <v>47.0</v>
      </c>
      <c r="H92" s="136">
        <v>5741.0</v>
      </c>
      <c r="I92" s="136">
        <v>2878.0</v>
      </c>
      <c r="J92" s="136">
        <v>3698.0</v>
      </c>
      <c r="K92" s="51">
        <v>91.2</v>
      </c>
      <c r="L92" s="51">
        <v>92.19</v>
      </c>
      <c r="M92" s="1"/>
      <c r="N92" s="1"/>
      <c r="O92" s="1"/>
      <c r="P92" s="1"/>
      <c r="Q92" s="1"/>
      <c r="R92" s="1"/>
      <c r="S92" s="1"/>
    </row>
    <row r="93" ht="10.5" customHeight="1">
      <c r="A93" s="1"/>
      <c r="B93" s="48"/>
      <c r="C93" s="136"/>
      <c r="D93" s="51"/>
      <c r="E93" s="51"/>
      <c r="F93" s="51"/>
      <c r="G93" s="51"/>
      <c r="H93" s="136"/>
      <c r="I93" s="136"/>
      <c r="J93" s="136"/>
      <c r="K93" s="51"/>
      <c r="L93" s="51"/>
      <c r="M93" s="1"/>
      <c r="N93" s="1"/>
      <c r="O93" s="1"/>
      <c r="P93" s="1"/>
      <c r="Q93" s="1"/>
      <c r="R93" s="1"/>
      <c r="S93" s="1"/>
    </row>
    <row r="94" ht="10.5" customHeight="1">
      <c r="A94" s="1"/>
      <c r="B94" s="48" t="s">
        <v>271</v>
      </c>
      <c r="C94" s="136">
        <v>8161.0</v>
      </c>
      <c r="D94" s="51">
        <v>52.3</v>
      </c>
      <c r="E94" s="51">
        <v>52.3</v>
      </c>
      <c r="F94" s="51">
        <v>50.0</v>
      </c>
      <c r="G94" s="51">
        <v>50.0</v>
      </c>
      <c r="H94" s="136">
        <v>5844.0</v>
      </c>
      <c r="I94" s="136">
        <v>2897.0</v>
      </c>
      <c r="J94" s="136">
        <v>3769.0</v>
      </c>
      <c r="K94" s="51">
        <v>95.6</v>
      </c>
      <c r="L94" s="51">
        <v>92.93</v>
      </c>
      <c r="M94" s="1"/>
      <c r="N94" s="1"/>
      <c r="O94" s="1"/>
      <c r="P94" s="1"/>
      <c r="Q94" s="1"/>
      <c r="R94" s="1"/>
      <c r="S94" s="1"/>
    </row>
    <row r="95" ht="10.5" customHeight="1">
      <c r="A95" s="1"/>
      <c r="B95" s="48" t="s">
        <v>272</v>
      </c>
      <c r="C95" s="136">
        <v>6602.0</v>
      </c>
      <c r="D95" s="51">
        <v>61.3</v>
      </c>
      <c r="E95" s="51">
        <v>61.3</v>
      </c>
      <c r="F95" s="51">
        <v>59.0</v>
      </c>
      <c r="G95" s="51">
        <v>59.0</v>
      </c>
      <c r="H95" s="136">
        <v>5884.0</v>
      </c>
      <c r="I95" s="136">
        <v>2988.0</v>
      </c>
      <c r="J95" s="136">
        <v>2087.0</v>
      </c>
      <c r="K95" s="51">
        <v>117.09</v>
      </c>
      <c r="L95" s="51">
        <v>105.14</v>
      </c>
      <c r="M95" s="1"/>
      <c r="N95" s="1"/>
      <c r="O95" s="1"/>
      <c r="P95" s="1"/>
      <c r="Q95" s="1"/>
      <c r="R95" s="1"/>
      <c r="S95" s="1"/>
    </row>
    <row r="96" ht="10.5" customHeight="1">
      <c r="A96" s="1"/>
      <c r="B96" s="48" t="s">
        <v>274</v>
      </c>
      <c r="C96" s="136">
        <v>8879.0</v>
      </c>
      <c r="D96" s="51">
        <v>74.95</v>
      </c>
      <c r="E96" s="51">
        <v>74.95</v>
      </c>
      <c r="F96" s="51">
        <v>71.5</v>
      </c>
      <c r="G96" s="51">
        <v>71.5</v>
      </c>
      <c r="H96" s="136">
        <v>5683.0</v>
      </c>
      <c r="I96" s="136">
        <v>2844.0</v>
      </c>
      <c r="J96" s="136">
        <v>3170.0</v>
      </c>
      <c r="K96" s="51">
        <v>94.62</v>
      </c>
      <c r="L96" s="51">
        <v>87.43</v>
      </c>
      <c r="M96" s="1"/>
      <c r="N96" s="1"/>
      <c r="O96" s="1"/>
      <c r="P96" s="1"/>
      <c r="Q96" s="1"/>
      <c r="R96" s="1"/>
      <c r="S96" s="1"/>
    </row>
    <row r="97" ht="10.5" customHeight="1">
      <c r="A97" s="1"/>
      <c r="B97" s="48" t="s">
        <v>275</v>
      </c>
      <c r="C97" s="136">
        <v>9216.0</v>
      </c>
      <c r="D97" s="51">
        <v>86.55</v>
      </c>
      <c r="E97" s="51">
        <v>86.55</v>
      </c>
      <c r="F97" s="51">
        <v>83.1</v>
      </c>
      <c r="G97" s="51">
        <v>83.1</v>
      </c>
      <c r="H97" s="136">
        <v>5480.0</v>
      </c>
      <c r="I97" s="136">
        <v>2850.0</v>
      </c>
      <c r="J97" s="136">
        <v>3843.0</v>
      </c>
      <c r="K97" s="51">
        <v>97.4</v>
      </c>
      <c r="L97" s="51">
        <v>96.1</v>
      </c>
      <c r="M97" s="1"/>
      <c r="N97" s="1"/>
      <c r="O97" s="1"/>
      <c r="P97" s="1"/>
      <c r="Q97" s="1"/>
      <c r="R97" s="1"/>
      <c r="S97" s="1"/>
    </row>
    <row r="98" ht="10.5" customHeight="1">
      <c r="A98" s="1"/>
      <c r="B98" s="48" t="s">
        <v>276</v>
      </c>
      <c r="C98" s="136">
        <v>7558.0</v>
      </c>
      <c r="D98" s="51">
        <v>106.55</v>
      </c>
      <c r="E98" s="51">
        <v>106.55</v>
      </c>
      <c r="F98" s="51">
        <v>102.15</v>
      </c>
      <c r="G98" s="51">
        <v>102.0</v>
      </c>
      <c r="H98" s="136">
        <v>5869.0</v>
      </c>
      <c r="I98" s="136">
        <v>2973.0</v>
      </c>
      <c r="J98" s="136">
        <v>3141.0</v>
      </c>
      <c r="K98" s="51">
        <v>141.21</v>
      </c>
      <c r="L98" s="51">
        <v>109.02</v>
      </c>
      <c r="M98" s="1"/>
      <c r="N98" s="1"/>
      <c r="O98" s="1"/>
      <c r="P98" s="1"/>
      <c r="Q98" s="1"/>
      <c r="R98" s="1"/>
      <c r="S98" s="1"/>
    </row>
    <row r="99" ht="10.5" customHeight="1">
      <c r="A99" s="1"/>
      <c r="B99" s="48"/>
      <c r="C99" s="136"/>
      <c r="D99" s="51"/>
      <c r="E99" s="51"/>
      <c r="F99" s="51"/>
      <c r="G99" s="51"/>
      <c r="H99" s="136"/>
      <c r="I99" s="136"/>
      <c r="J99" s="136"/>
      <c r="K99" s="51"/>
      <c r="L99" s="51"/>
      <c r="M99" s="1"/>
      <c r="N99" s="1"/>
      <c r="O99" s="1"/>
      <c r="P99" s="1"/>
      <c r="Q99" s="1"/>
      <c r="R99" s="1"/>
      <c r="S99" s="1"/>
    </row>
    <row r="100" ht="10.5" customHeight="1">
      <c r="A100" s="1"/>
      <c r="B100" s="48" t="s">
        <v>56</v>
      </c>
      <c r="C100" s="136">
        <v>9994.0</v>
      </c>
      <c r="D100" s="51">
        <v>130.0</v>
      </c>
      <c r="E100" s="51">
        <v>129.75</v>
      </c>
      <c r="F100" s="51">
        <v>122.65</v>
      </c>
      <c r="G100" s="51">
        <v>122.4</v>
      </c>
      <c r="H100" s="136">
        <v>5879.0</v>
      </c>
      <c r="I100" s="136">
        <v>2912.0</v>
      </c>
      <c r="J100" s="136">
        <v>4256.0</v>
      </c>
      <c r="K100" s="51">
        <v>138.21</v>
      </c>
      <c r="L100" s="51">
        <v>118.07</v>
      </c>
      <c r="M100" s="1"/>
      <c r="N100" s="1"/>
      <c r="O100" s="1"/>
      <c r="P100" s="1"/>
      <c r="Q100" s="1"/>
      <c r="R100" s="1"/>
      <c r="S100" s="1"/>
    </row>
    <row r="101" ht="10.5" customHeight="1">
      <c r="A101" s="1"/>
      <c r="B101" s="48" t="s">
        <v>81</v>
      </c>
      <c r="C101" s="136">
        <v>13574.0</v>
      </c>
      <c r="D101" s="51">
        <v>142.2</v>
      </c>
      <c r="E101" s="51">
        <v>142.05</v>
      </c>
      <c r="F101" s="51">
        <v>134.15</v>
      </c>
      <c r="G101" s="51">
        <v>134.0</v>
      </c>
      <c r="H101" s="136">
        <v>6328.0</v>
      </c>
      <c r="I101" s="136">
        <v>3136.0</v>
      </c>
      <c r="J101" s="136">
        <v>5924.0</v>
      </c>
      <c r="K101" s="51">
        <v>121.54</v>
      </c>
      <c r="L101" s="51">
        <v>121.16</v>
      </c>
      <c r="M101" s="1"/>
      <c r="N101" s="1"/>
      <c r="O101" s="1"/>
      <c r="P101" s="1"/>
      <c r="Q101" s="1"/>
      <c r="R101" s="1"/>
      <c r="S101" s="1"/>
    </row>
    <row r="102" ht="10.5" customHeight="1">
      <c r="A102" s="1"/>
      <c r="B102" s="48" t="s">
        <v>86</v>
      </c>
      <c r="C102" s="136">
        <v>7511.0</v>
      </c>
      <c r="D102" s="51">
        <v>164.6</v>
      </c>
      <c r="E102" s="51">
        <v>164.6</v>
      </c>
      <c r="F102" s="51">
        <v>155.3</v>
      </c>
      <c r="G102" s="51">
        <v>155.3</v>
      </c>
      <c r="H102" s="136">
        <v>6960.0</v>
      </c>
      <c r="I102" s="136">
        <v>3394.0</v>
      </c>
      <c r="J102" s="136">
        <v>5096.0</v>
      </c>
      <c r="K102" s="51">
        <v>133.99</v>
      </c>
      <c r="L102" s="51">
        <v>134.73</v>
      </c>
      <c r="M102" s="1"/>
      <c r="N102" s="1"/>
      <c r="O102" s="1"/>
      <c r="P102" s="1"/>
      <c r="Q102" s="1"/>
      <c r="R102" s="1"/>
      <c r="S102" s="1"/>
    </row>
    <row r="103" ht="10.5" customHeight="1">
      <c r="A103" s="1"/>
      <c r="B103" s="48" t="s">
        <v>87</v>
      </c>
      <c r="C103" s="136">
        <v>3704.0</v>
      </c>
      <c r="D103" s="51">
        <v>180.25</v>
      </c>
      <c r="E103" s="51">
        <v>180.25</v>
      </c>
      <c r="F103" s="51">
        <v>170.05</v>
      </c>
      <c r="G103" s="51">
        <v>170.05</v>
      </c>
      <c r="H103" s="136">
        <v>6786.0</v>
      </c>
      <c r="I103" s="136">
        <v>3251.0</v>
      </c>
      <c r="J103" s="136">
        <v>833.0</v>
      </c>
      <c r="K103" s="51" t="s">
        <v>40</v>
      </c>
      <c r="L103" s="51" t="s">
        <v>40</v>
      </c>
      <c r="M103" s="1"/>
      <c r="N103" s="1"/>
      <c r="O103" s="1"/>
      <c r="P103" s="1"/>
      <c r="Q103" s="1"/>
      <c r="R103" s="1"/>
      <c r="S103" s="1"/>
    </row>
    <row r="104" ht="10.5" customHeight="1">
      <c r="A104" s="1"/>
      <c r="B104" s="48" t="s">
        <v>90</v>
      </c>
      <c r="C104" s="136">
        <v>3647.0</v>
      </c>
      <c r="D104" s="51">
        <v>237.95</v>
      </c>
      <c r="E104" s="51">
        <v>233.8</v>
      </c>
      <c r="F104" s="51">
        <v>224.5</v>
      </c>
      <c r="G104" s="51">
        <v>220.5</v>
      </c>
      <c r="H104" s="136">
        <v>5715.0</v>
      </c>
      <c r="I104" s="136">
        <v>2958.0</v>
      </c>
      <c r="J104" s="136">
        <v>712.0</v>
      </c>
      <c r="K104" s="51" t="s">
        <v>40</v>
      </c>
      <c r="L104" s="51" t="s">
        <v>40</v>
      </c>
      <c r="M104" s="1"/>
      <c r="N104" s="1"/>
      <c r="O104" s="1"/>
      <c r="P104" s="1"/>
      <c r="Q104" s="1"/>
      <c r="R104" s="1"/>
      <c r="S104" s="1"/>
    </row>
    <row r="105" ht="10.5" customHeight="1">
      <c r="A105" s="1"/>
      <c r="B105" s="48"/>
      <c r="C105" s="136"/>
      <c r="D105" s="51"/>
      <c r="E105" s="51"/>
      <c r="F105" s="51"/>
      <c r="G105" s="51"/>
      <c r="H105" s="136"/>
      <c r="I105" s="136"/>
      <c r="J105" s="136"/>
      <c r="K105" s="51"/>
      <c r="L105" s="51"/>
      <c r="M105" s="1"/>
      <c r="N105" s="1"/>
      <c r="O105" s="1"/>
      <c r="P105" s="1"/>
      <c r="Q105" s="1"/>
      <c r="R105" s="1"/>
      <c r="S105" s="1"/>
    </row>
    <row r="106" ht="10.5" customHeight="1">
      <c r="A106" s="1"/>
      <c r="B106" s="48" t="s">
        <v>93</v>
      </c>
      <c r="C106" s="136">
        <v>7111.0</v>
      </c>
      <c r="D106" s="51">
        <v>261.4</v>
      </c>
      <c r="E106" s="51">
        <v>257.2</v>
      </c>
      <c r="F106" s="51">
        <v>246.6</v>
      </c>
      <c r="G106" s="51">
        <v>242.65</v>
      </c>
      <c r="H106" s="136">
        <v>5471.0</v>
      </c>
      <c r="I106" s="136">
        <v>2590.0</v>
      </c>
      <c r="J106" s="136">
        <v>1204.0</v>
      </c>
      <c r="K106" s="51" t="s">
        <v>40</v>
      </c>
      <c r="L106" s="51">
        <v>246.69</v>
      </c>
      <c r="M106" s="1"/>
      <c r="N106" s="1"/>
      <c r="O106" s="1"/>
      <c r="P106" s="1"/>
      <c r="Q106" s="1"/>
      <c r="R106" s="1"/>
      <c r="S106" s="1"/>
    </row>
    <row r="107" ht="10.5" customHeight="1">
      <c r="A107" s="1"/>
      <c r="B107" s="48" t="s">
        <v>97</v>
      </c>
      <c r="C107" s="136">
        <v>7272.0</v>
      </c>
      <c r="D107" s="51">
        <v>315.68</v>
      </c>
      <c r="E107" s="51">
        <v>286.76</v>
      </c>
      <c r="F107" s="51">
        <v>308.89</v>
      </c>
      <c r="G107" s="51">
        <v>285.27</v>
      </c>
      <c r="H107" s="136">
        <v>5236.0</v>
      </c>
      <c r="I107" s="136">
        <v>2457.0</v>
      </c>
      <c r="J107" s="136">
        <v>3538.0</v>
      </c>
      <c r="K107" s="51" t="s">
        <v>40</v>
      </c>
      <c r="L107" s="51">
        <v>187.78</v>
      </c>
      <c r="M107" s="1"/>
      <c r="N107" s="1"/>
      <c r="O107" s="1"/>
      <c r="P107" s="1"/>
      <c r="Q107" s="1"/>
      <c r="R107" s="1"/>
      <c r="S107" s="1"/>
    </row>
    <row r="108" ht="10.5" customHeight="1">
      <c r="A108" s="1"/>
      <c r="B108" s="48" t="s">
        <v>101</v>
      </c>
      <c r="C108" s="136">
        <v>6440.0</v>
      </c>
      <c r="D108" s="51">
        <v>328.6</v>
      </c>
      <c r="E108" s="51">
        <v>305.3</v>
      </c>
      <c r="F108" s="51">
        <v>310.0</v>
      </c>
      <c r="G108" s="51">
        <v>288.0</v>
      </c>
      <c r="H108" s="136">
        <v>5647.0</v>
      </c>
      <c r="I108" s="136">
        <v>2446.0</v>
      </c>
      <c r="J108" s="136">
        <v>2357.0</v>
      </c>
      <c r="K108" s="51">
        <v>185.0</v>
      </c>
      <c r="L108" s="51">
        <v>168.33</v>
      </c>
      <c r="M108" s="1"/>
      <c r="N108" s="1"/>
      <c r="O108" s="1"/>
      <c r="P108" s="1"/>
      <c r="Q108" s="1"/>
      <c r="R108" s="1"/>
      <c r="S108" s="1"/>
    </row>
    <row r="109" ht="10.5" customHeight="1">
      <c r="A109" s="1"/>
      <c r="B109" s="48" t="s">
        <v>103</v>
      </c>
      <c r="C109" s="136">
        <v>6178.0</v>
      </c>
      <c r="D109" s="51">
        <v>341.3</v>
      </c>
      <c r="E109" s="51">
        <v>312.7</v>
      </c>
      <c r="F109" s="51">
        <v>322.0</v>
      </c>
      <c r="G109" s="51">
        <v>295.0</v>
      </c>
      <c r="H109" s="136">
        <v>5801.0</v>
      </c>
      <c r="I109" s="136">
        <v>2376.0</v>
      </c>
      <c r="J109" s="136">
        <v>1390.0</v>
      </c>
      <c r="K109" s="51">
        <v>323.47</v>
      </c>
      <c r="L109" s="51">
        <v>326.75</v>
      </c>
      <c r="M109" s="1"/>
      <c r="N109" s="1"/>
      <c r="O109" s="1"/>
      <c r="P109" s="1"/>
      <c r="Q109" s="1"/>
      <c r="R109" s="1"/>
      <c r="S109" s="1"/>
    </row>
    <row r="110" ht="10.5" customHeight="1">
      <c r="A110" s="1"/>
      <c r="B110" s="48" t="s">
        <v>104</v>
      </c>
      <c r="C110" s="136">
        <v>10649.0</v>
      </c>
      <c r="D110" s="51">
        <v>375.25</v>
      </c>
      <c r="E110" s="51">
        <v>353.0</v>
      </c>
      <c r="F110" s="51">
        <v>354.0</v>
      </c>
      <c r="G110" s="51">
        <v>333.0</v>
      </c>
      <c r="H110" s="136">
        <v>6425.0</v>
      </c>
      <c r="I110" s="136">
        <v>2353.0</v>
      </c>
      <c r="J110" s="136">
        <v>4909.0</v>
      </c>
      <c r="K110" s="51">
        <v>286.68</v>
      </c>
      <c r="L110" s="51">
        <v>327.58</v>
      </c>
      <c r="M110" s="1"/>
      <c r="N110" s="1"/>
      <c r="O110" s="1"/>
      <c r="P110" s="1"/>
      <c r="Q110" s="1"/>
      <c r="R110" s="1"/>
      <c r="S110" s="1"/>
    </row>
    <row r="111" ht="10.5" customHeight="1">
      <c r="A111" s="1"/>
      <c r="B111" s="48"/>
      <c r="C111" s="136"/>
      <c r="D111" s="51"/>
      <c r="E111" s="51"/>
      <c r="F111" s="51"/>
      <c r="G111" s="51"/>
      <c r="H111" s="136"/>
      <c r="I111" s="136"/>
      <c r="J111" s="136"/>
      <c r="K111" s="51"/>
      <c r="L111" s="51"/>
      <c r="M111" s="1"/>
      <c r="N111" s="1"/>
      <c r="O111" s="1"/>
      <c r="P111" s="1"/>
      <c r="Q111" s="1"/>
      <c r="R111" s="1"/>
      <c r="S111" s="1"/>
    </row>
    <row r="112" ht="10.5" customHeight="1">
      <c r="A112" s="1"/>
      <c r="B112" s="48" t="s">
        <v>108</v>
      </c>
      <c r="C112" s="136">
        <v>7457.0</v>
      </c>
      <c r="D112" s="51">
        <v>416.6</v>
      </c>
      <c r="E112" s="51">
        <v>381.6</v>
      </c>
      <c r="F112" s="51">
        <v>393.0</v>
      </c>
      <c r="G112" s="51">
        <v>360.0</v>
      </c>
      <c r="H112" s="136">
        <v>6769.0</v>
      </c>
      <c r="I112" s="136">
        <v>2534.0</v>
      </c>
      <c r="J112" s="136">
        <v>1784.0</v>
      </c>
      <c r="K112" s="51">
        <v>320.3</v>
      </c>
      <c r="L112" s="51">
        <v>317.0</v>
      </c>
      <c r="M112" s="1"/>
      <c r="N112" s="1"/>
      <c r="O112" s="1"/>
      <c r="P112" s="1"/>
      <c r="Q112" s="1"/>
      <c r="R112" s="1"/>
      <c r="S112" s="1"/>
    </row>
    <row r="113" ht="10.5" customHeight="1">
      <c r="A113" s="1"/>
      <c r="B113" s="48" t="s">
        <v>111</v>
      </c>
      <c r="C113" s="136">
        <v>6923.0</v>
      </c>
      <c r="D113" s="51">
        <v>491.85</v>
      </c>
      <c r="E113" s="51">
        <v>444.15</v>
      </c>
      <c r="F113" s="51">
        <v>464.0</v>
      </c>
      <c r="G113" s="51">
        <v>419.0</v>
      </c>
      <c r="H113" s="136">
        <v>7022.0</v>
      </c>
      <c r="I113" s="136">
        <v>2567.0</v>
      </c>
      <c r="J113" s="136">
        <v>1370.0</v>
      </c>
      <c r="K113" s="51">
        <v>490.28</v>
      </c>
      <c r="L113" s="51">
        <v>356.23</v>
      </c>
      <c r="M113" s="1"/>
      <c r="N113" s="1"/>
      <c r="O113" s="1"/>
      <c r="P113" s="1"/>
      <c r="Q113" s="1"/>
      <c r="R113" s="1"/>
      <c r="S113" s="1"/>
    </row>
    <row r="114" ht="10.5" customHeight="1">
      <c r="A114" s="1"/>
      <c r="B114" s="48" t="s">
        <v>112</v>
      </c>
      <c r="C114" s="136">
        <v>2321.0</v>
      </c>
      <c r="D114" s="51">
        <v>561.8</v>
      </c>
      <c r="E114" s="51">
        <v>523.5</v>
      </c>
      <c r="F114" s="51">
        <v>530.0</v>
      </c>
      <c r="G114" s="51">
        <v>495.0</v>
      </c>
      <c r="H114" s="136">
        <v>6828.0</v>
      </c>
      <c r="I114" s="136">
        <v>2743.0</v>
      </c>
      <c r="J114" s="136">
        <v>408.0</v>
      </c>
      <c r="K114" s="51" t="s">
        <v>40</v>
      </c>
      <c r="L114" s="51" t="s">
        <v>40</v>
      </c>
      <c r="M114" s="1"/>
      <c r="N114" s="1"/>
      <c r="O114" s="1"/>
      <c r="P114" s="1"/>
      <c r="Q114" s="1"/>
      <c r="R114" s="1"/>
      <c r="S114" s="1"/>
    </row>
    <row r="115" ht="10.5" customHeight="1">
      <c r="A115" s="1"/>
      <c r="B115" s="48" t="s">
        <v>113</v>
      </c>
      <c r="C115" s="136">
        <v>8188.0</v>
      </c>
      <c r="D115" s="51">
        <v>577.7</v>
      </c>
      <c r="E115" s="51">
        <v>535.3</v>
      </c>
      <c r="F115" s="51">
        <v>545.0</v>
      </c>
      <c r="G115" s="51">
        <v>505.0</v>
      </c>
      <c r="H115" s="136">
        <v>6773.0</v>
      </c>
      <c r="I115" s="136">
        <v>2918.0</v>
      </c>
      <c r="J115" s="136">
        <v>1447.0</v>
      </c>
      <c r="K115" s="51">
        <v>442.3</v>
      </c>
      <c r="L115" s="51">
        <v>426.03</v>
      </c>
      <c r="M115" s="1"/>
      <c r="N115" s="1"/>
      <c r="O115" s="1"/>
      <c r="P115" s="1"/>
      <c r="Q115" s="1"/>
      <c r="R115" s="1"/>
      <c r="S115" s="1"/>
    </row>
    <row r="116" ht="10.5" customHeight="1">
      <c r="A116" s="1"/>
      <c r="B116" s="48" t="s">
        <v>114</v>
      </c>
      <c r="C116" s="136">
        <v>10718.0</v>
      </c>
      <c r="D116" s="51">
        <v>545.9</v>
      </c>
      <c r="E116" s="51">
        <v>542.7</v>
      </c>
      <c r="F116" s="51">
        <v>515.0</v>
      </c>
      <c r="G116" s="51">
        <v>495.0</v>
      </c>
      <c r="H116" s="136">
        <v>6417.0</v>
      </c>
      <c r="I116" s="136">
        <v>2540.0</v>
      </c>
      <c r="J116" s="136">
        <v>4719.0</v>
      </c>
      <c r="K116" s="51">
        <v>380.79</v>
      </c>
      <c r="L116" s="51">
        <v>411.44</v>
      </c>
      <c r="M116" s="1"/>
      <c r="N116" s="1"/>
      <c r="O116" s="1"/>
      <c r="P116" s="1"/>
      <c r="Q116" s="1"/>
      <c r="R116" s="1"/>
      <c r="S116" s="1"/>
    </row>
    <row r="117" ht="10.5" customHeight="1">
      <c r="A117" s="1"/>
      <c r="B117" s="48"/>
      <c r="C117" s="136"/>
      <c r="D117" s="51"/>
      <c r="E117" s="51"/>
      <c r="F117" s="51"/>
      <c r="G117" s="51"/>
      <c r="H117" s="136"/>
      <c r="I117" s="136"/>
      <c r="J117" s="136"/>
      <c r="K117" s="51"/>
      <c r="L117" s="51"/>
      <c r="M117" s="1"/>
      <c r="N117" s="1"/>
      <c r="O117" s="1"/>
      <c r="P117" s="1"/>
      <c r="Q117" s="1"/>
      <c r="R117" s="1"/>
      <c r="S117" s="1"/>
    </row>
    <row r="118" ht="10.5" customHeight="1">
      <c r="A118" s="1"/>
      <c r="B118" s="48" t="s">
        <v>115</v>
      </c>
      <c r="C118" s="136">
        <v>3307.0</v>
      </c>
      <c r="D118" s="51" t="s">
        <v>106</v>
      </c>
      <c r="E118" s="51" t="s">
        <v>106</v>
      </c>
      <c r="F118" s="51" t="s">
        <v>106</v>
      </c>
      <c r="G118" s="51" t="s">
        <v>106</v>
      </c>
      <c r="H118" s="136">
        <v>6842.0</v>
      </c>
      <c r="I118" s="136">
        <v>2807.0</v>
      </c>
      <c r="J118" s="136">
        <v>887.0</v>
      </c>
      <c r="K118" s="51" t="s">
        <v>40</v>
      </c>
      <c r="L118" s="51" t="s">
        <v>40</v>
      </c>
      <c r="M118" s="1"/>
      <c r="N118" s="1"/>
      <c r="O118" s="1"/>
      <c r="P118" s="1"/>
      <c r="Q118" s="1"/>
      <c r="R118" s="1"/>
      <c r="S118" s="1"/>
    </row>
    <row r="119" ht="10.5" customHeight="1">
      <c r="A119" s="1"/>
      <c r="B119" s="48" t="s">
        <v>117</v>
      </c>
      <c r="C119" s="136">
        <v>8560.0</v>
      </c>
      <c r="D119" s="51" t="s">
        <v>106</v>
      </c>
      <c r="E119" s="51" t="s">
        <v>106</v>
      </c>
      <c r="F119" s="51" t="s">
        <v>106</v>
      </c>
      <c r="G119" s="51" t="s">
        <v>106</v>
      </c>
      <c r="H119" s="136">
        <v>6738.0</v>
      </c>
      <c r="I119" s="136">
        <v>2912.0</v>
      </c>
      <c r="J119" s="136">
        <v>2656.0</v>
      </c>
      <c r="K119" s="51">
        <v>796.57</v>
      </c>
      <c r="L119" s="51" t="s">
        <v>40</v>
      </c>
      <c r="M119" s="1"/>
      <c r="N119" s="1"/>
      <c r="O119" s="1"/>
      <c r="P119" s="1"/>
      <c r="Q119" s="1"/>
      <c r="R119" s="1"/>
      <c r="S119" s="1"/>
    </row>
    <row r="120" ht="10.5" customHeight="1">
      <c r="A120" s="1"/>
      <c r="B120" s="48" t="s">
        <v>121</v>
      </c>
      <c r="C120" s="136">
        <v>9732.0</v>
      </c>
      <c r="D120" s="51" t="s">
        <v>106</v>
      </c>
      <c r="E120" s="51" t="s">
        <v>106</v>
      </c>
      <c r="F120" s="51" t="s">
        <v>106</v>
      </c>
      <c r="G120" s="51" t="s">
        <v>106</v>
      </c>
      <c r="H120" s="136">
        <v>6383.0</v>
      </c>
      <c r="I120" s="136">
        <v>3382.0</v>
      </c>
      <c r="J120" s="136">
        <v>1921.0</v>
      </c>
      <c r="K120" s="51" t="s">
        <v>10</v>
      </c>
      <c r="L120" s="51" t="s">
        <v>10</v>
      </c>
      <c r="M120" s="1"/>
      <c r="N120" s="1"/>
      <c r="O120" s="1"/>
      <c r="P120" s="1"/>
      <c r="Q120" s="1"/>
      <c r="R120" s="1"/>
      <c r="S120" s="1"/>
    </row>
    <row r="121" ht="10.5" customHeight="1">
      <c r="A121" s="1"/>
      <c r="B121" s="48" t="s">
        <v>122</v>
      </c>
      <c r="C121" s="136">
        <v>6627.0</v>
      </c>
      <c r="D121" s="51" t="s">
        <v>106</v>
      </c>
      <c r="E121" s="51" t="s">
        <v>106</v>
      </c>
      <c r="F121" s="51" t="s">
        <v>106</v>
      </c>
      <c r="G121" s="51" t="s">
        <v>106</v>
      </c>
      <c r="H121" s="136">
        <v>6341.0</v>
      </c>
      <c r="I121" s="136">
        <v>3381.0</v>
      </c>
      <c r="J121" s="136">
        <v>1388.0</v>
      </c>
      <c r="K121" s="51" t="s">
        <v>10</v>
      </c>
      <c r="L121" s="51" t="s">
        <v>10</v>
      </c>
      <c r="M121" s="1"/>
      <c r="N121" s="1"/>
      <c r="O121" s="1"/>
      <c r="P121" s="1"/>
      <c r="Q121" s="1"/>
      <c r="R121" s="1"/>
      <c r="S121" s="1"/>
    </row>
    <row r="122" ht="10.5" customHeight="1">
      <c r="A122" s="1"/>
      <c r="B122" s="48" t="s">
        <v>123</v>
      </c>
      <c r="C122" s="136">
        <v>6887.0</v>
      </c>
      <c r="D122" s="51" t="s">
        <v>106</v>
      </c>
      <c r="E122" s="51" t="s">
        <v>106</v>
      </c>
      <c r="F122" s="51" t="s">
        <v>106</v>
      </c>
      <c r="G122" s="51" t="s">
        <v>106</v>
      </c>
      <c r="H122" s="136">
        <v>6362.0</v>
      </c>
      <c r="I122" s="136">
        <v>3426.0</v>
      </c>
      <c r="J122" s="136">
        <v>652.0</v>
      </c>
      <c r="K122" s="51" t="s">
        <v>10</v>
      </c>
      <c r="L122" s="51" t="s">
        <v>10</v>
      </c>
      <c r="M122" s="1"/>
      <c r="N122" s="1"/>
      <c r="O122" s="1"/>
      <c r="P122" s="1"/>
      <c r="Q122" s="1"/>
      <c r="R122" s="1"/>
      <c r="S122" s="1"/>
    </row>
    <row r="123" ht="10.5" customHeight="1">
      <c r="A123" s="1"/>
      <c r="B123" s="48"/>
      <c r="C123" s="136"/>
      <c r="D123" s="51"/>
      <c r="E123" s="51"/>
      <c r="F123" s="51"/>
      <c r="G123" s="51"/>
      <c r="H123" s="136"/>
      <c r="I123" s="136"/>
      <c r="J123" s="136"/>
      <c r="K123" s="51"/>
      <c r="L123" s="51"/>
      <c r="M123" s="1"/>
      <c r="N123" s="1"/>
      <c r="O123" s="1"/>
      <c r="P123" s="1"/>
      <c r="Q123" s="1"/>
      <c r="R123" s="1"/>
      <c r="S123" s="1"/>
    </row>
    <row r="124" ht="10.5" customHeight="1">
      <c r="A124" s="1"/>
      <c r="B124" s="48" t="s">
        <v>125</v>
      </c>
      <c r="C124" s="136">
        <v>10409.0</v>
      </c>
      <c r="D124" s="51" t="s">
        <v>106</v>
      </c>
      <c r="E124" s="51" t="s">
        <v>106</v>
      </c>
      <c r="F124" s="51" t="s">
        <v>106</v>
      </c>
      <c r="G124" s="51" t="s">
        <v>106</v>
      </c>
      <c r="H124" s="136">
        <v>6852.0</v>
      </c>
      <c r="I124" s="136">
        <v>3589.0</v>
      </c>
      <c r="J124" s="136">
        <v>1488.0</v>
      </c>
      <c r="K124" s="51" t="s">
        <v>10</v>
      </c>
      <c r="L124" s="51" t="s">
        <v>10</v>
      </c>
      <c r="M124" s="1"/>
      <c r="N124" s="1"/>
      <c r="O124" s="1"/>
      <c r="P124" s="1"/>
      <c r="Q124" s="1"/>
      <c r="R124" s="1"/>
      <c r="S124" s="1"/>
    </row>
    <row r="125" ht="10.5" customHeight="1">
      <c r="A125" s="1"/>
      <c r="B125" s="48" t="s">
        <v>127</v>
      </c>
      <c r="C125" s="136">
        <v>7936.0</v>
      </c>
      <c r="D125" s="51" t="s">
        <v>106</v>
      </c>
      <c r="E125" s="51" t="s">
        <v>106</v>
      </c>
      <c r="F125" s="51" t="s">
        <v>106</v>
      </c>
      <c r="G125" s="51" t="s">
        <v>106</v>
      </c>
      <c r="H125" s="136">
        <v>7151.0</v>
      </c>
      <c r="I125" s="136">
        <v>3877.0</v>
      </c>
      <c r="J125" s="136">
        <v>1335.0</v>
      </c>
      <c r="K125" s="51" t="s">
        <v>10</v>
      </c>
      <c r="L125" s="50" t="s">
        <v>10</v>
      </c>
      <c r="M125" s="1"/>
      <c r="N125" s="1"/>
      <c r="O125" s="1"/>
      <c r="P125" s="1"/>
      <c r="Q125" s="1"/>
      <c r="R125" s="1"/>
      <c r="S125" s="1"/>
    </row>
    <row r="126" ht="10.5" customHeight="1">
      <c r="A126" s="1"/>
      <c r="B126" s="168" t="s">
        <v>128</v>
      </c>
      <c r="C126" s="169">
        <v>9310.0</v>
      </c>
      <c r="D126" s="50" t="s">
        <v>106</v>
      </c>
      <c r="E126" s="50" t="s">
        <v>106</v>
      </c>
      <c r="F126" s="50" t="s">
        <v>106</v>
      </c>
      <c r="G126" s="50" t="s">
        <v>106</v>
      </c>
      <c r="H126" s="169">
        <v>6983.0</v>
      </c>
      <c r="I126" s="169">
        <v>3708.0</v>
      </c>
      <c r="J126" s="169">
        <v>1188.0</v>
      </c>
      <c r="K126" s="50" t="s">
        <v>10</v>
      </c>
      <c r="L126" s="50" t="s">
        <v>10</v>
      </c>
      <c r="M126" s="1"/>
      <c r="N126" s="1"/>
      <c r="O126" s="1"/>
      <c r="P126" s="1"/>
      <c r="Q126" s="1"/>
      <c r="R126" s="1"/>
      <c r="S126" s="1"/>
    </row>
    <row r="127" ht="10.5" customHeight="1">
      <c r="A127" s="1"/>
      <c r="B127" s="85" t="s">
        <v>129</v>
      </c>
      <c r="C127" s="169">
        <v>8409.0</v>
      </c>
      <c r="D127" s="50" t="s">
        <v>106</v>
      </c>
      <c r="E127" s="50" t="s">
        <v>106</v>
      </c>
      <c r="F127" s="50" t="s">
        <v>106</v>
      </c>
      <c r="G127" s="50" t="s">
        <v>106</v>
      </c>
      <c r="H127" s="169">
        <v>7243.0</v>
      </c>
      <c r="I127" s="169">
        <v>3712.0</v>
      </c>
      <c r="J127" s="169">
        <v>1185.0</v>
      </c>
      <c r="K127" s="50" t="s">
        <v>10</v>
      </c>
      <c r="L127" s="50" t="s">
        <v>10</v>
      </c>
      <c r="M127" s="1"/>
      <c r="N127" s="1"/>
      <c r="O127" s="1"/>
      <c r="P127" s="1"/>
      <c r="Q127" s="1"/>
      <c r="R127" s="1"/>
      <c r="S127" s="1"/>
    </row>
    <row r="128" ht="10.5" customHeight="1">
      <c r="A128" s="1"/>
      <c r="B128" s="85" t="s">
        <v>130</v>
      </c>
      <c r="C128" s="169">
        <v>9093.0</v>
      </c>
      <c r="D128" s="50" t="s">
        <v>106</v>
      </c>
      <c r="E128" s="50" t="s">
        <v>106</v>
      </c>
      <c r="F128" s="50" t="s">
        <v>106</v>
      </c>
      <c r="G128" s="50" t="s">
        <v>106</v>
      </c>
      <c r="H128" s="169">
        <v>7283.0</v>
      </c>
      <c r="I128" s="172">
        <v>3740.0</v>
      </c>
      <c r="J128" s="169">
        <v>832.0</v>
      </c>
      <c r="K128" s="50" t="s">
        <v>10</v>
      </c>
      <c r="L128" s="50" t="s">
        <v>10</v>
      </c>
      <c r="M128" s="1"/>
      <c r="N128" s="1"/>
      <c r="O128" s="1"/>
      <c r="P128" s="1"/>
      <c r="Q128" s="1"/>
      <c r="R128" s="1"/>
      <c r="S128" s="1"/>
    </row>
    <row r="129" ht="10.5" customHeight="1">
      <c r="A129" s="1"/>
      <c r="B129" s="85"/>
      <c r="C129" s="169"/>
      <c r="D129" s="50"/>
      <c r="E129" s="50"/>
      <c r="F129" s="50"/>
      <c r="G129" s="50"/>
      <c r="H129" s="169"/>
      <c r="I129" s="174"/>
      <c r="J129" s="136"/>
      <c r="K129" s="50"/>
      <c r="L129" s="50"/>
      <c r="M129" s="1"/>
      <c r="N129" s="1"/>
      <c r="O129" s="1"/>
      <c r="P129" s="1"/>
      <c r="Q129" s="1"/>
      <c r="R129" s="1"/>
      <c r="S129" s="1"/>
    </row>
    <row r="130" ht="10.5" customHeight="1">
      <c r="A130" s="1"/>
      <c r="B130" s="176" t="s">
        <v>131</v>
      </c>
      <c r="C130" s="177">
        <v>10055.0</v>
      </c>
      <c r="D130" s="50" t="s">
        <v>106</v>
      </c>
      <c r="E130" s="50" t="s">
        <v>106</v>
      </c>
      <c r="F130" s="50" t="s">
        <v>106</v>
      </c>
      <c r="G130" s="50" t="s">
        <v>106</v>
      </c>
      <c r="H130" s="178">
        <v>7462.0</v>
      </c>
      <c r="I130" s="177">
        <v>3825.0</v>
      </c>
      <c r="J130" s="179">
        <v>2237.0</v>
      </c>
      <c r="K130" s="50" t="s">
        <v>10</v>
      </c>
      <c r="L130" s="50" t="s">
        <v>10</v>
      </c>
      <c r="M130" s="1"/>
      <c r="N130" s="1"/>
      <c r="O130" s="1"/>
      <c r="P130" s="1"/>
      <c r="Q130" s="1"/>
      <c r="R130" s="1"/>
      <c r="S130" s="1"/>
    </row>
    <row r="131" ht="10.5" customHeight="1">
      <c r="A131" s="180"/>
      <c r="B131" s="176" t="s">
        <v>133</v>
      </c>
      <c r="C131" s="178">
        <v>6707.0</v>
      </c>
      <c r="D131" s="50" t="s">
        <v>106</v>
      </c>
      <c r="E131" s="50" t="s">
        <v>106</v>
      </c>
      <c r="F131" s="50" t="s">
        <v>106</v>
      </c>
      <c r="G131" s="50" t="s">
        <v>106</v>
      </c>
      <c r="H131" s="178">
        <v>7660.0</v>
      </c>
      <c r="I131" s="178">
        <v>3816.0</v>
      </c>
      <c r="J131" s="178">
        <v>597.0</v>
      </c>
      <c r="K131" s="50" t="s">
        <v>10</v>
      </c>
      <c r="L131" s="50" t="s">
        <v>10</v>
      </c>
      <c r="M131" s="1"/>
      <c r="N131" s="1"/>
      <c r="O131" s="1"/>
      <c r="P131" s="1"/>
      <c r="Q131" s="1"/>
      <c r="R131" s="1"/>
      <c r="S131" s="1"/>
    </row>
    <row r="132" ht="10.5" customHeight="1">
      <c r="A132" s="1"/>
      <c r="B132" s="176" t="s">
        <v>134</v>
      </c>
      <c r="C132" s="178">
        <v>6882.0</v>
      </c>
      <c r="D132" s="50" t="s">
        <v>106</v>
      </c>
      <c r="E132" s="50" t="s">
        <v>106</v>
      </c>
      <c r="F132" s="50" t="s">
        <v>106</v>
      </c>
      <c r="G132" s="50" t="s">
        <v>106</v>
      </c>
      <c r="H132" s="178">
        <v>8029.0</v>
      </c>
      <c r="I132" s="178">
        <v>3809.0</v>
      </c>
      <c r="J132" s="178">
        <v>534.0</v>
      </c>
      <c r="K132" s="50" t="s">
        <v>10</v>
      </c>
      <c r="L132" s="50" t="s">
        <v>10</v>
      </c>
      <c r="M132" s="1"/>
      <c r="N132" s="1"/>
      <c r="O132" s="1"/>
      <c r="P132" s="1"/>
      <c r="Q132" s="1"/>
      <c r="R132" s="1"/>
      <c r="S132" s="1"/>
    </row>
    <row r="133" ht="10.5" customHeight="1">
      <c r="A133" s="1"/>
      <c r="B133" s="176" t="s">
        <v>135</v>
      </c>
      <c r="C133" s="178">
        <v>11899.0</v>
      </c>
      <c r="D133" s="50" t="s">
        <v>106</v>
      </c>
      <c r="E133" s="50" t="s">
        <v>106</v>
      </c>
      <c r="F133" s="50" t="s">
        <v>106</v>
      </c>
      <c r="G133" s="50" t="s">
        <v>106</v>
      </c>
      <c r="H133" s="178">
        <v>8613.0</v>
      </c>
      <c r="I133" s="178">
        <v>4524.0</v>
      </c>
      <c r="J133" s="178">
        <v>2269.0</v>
      </c>
      <c r="K133" s="50" t="s">
        <v>10</v>
      </c>
      <c r="L133" s="50" t="s">
        <v>10</v>
      </c>
      <c r="M133" s="1"/>
      <c r="N133" s="1"/>
      <c r="O133" s="1"/>
      <c r="P133" s="1"/>
      <c r="Q133" s="1"/>
      <c r="R133" s="1"/>
      <c r="S133" s="1"/>
    </row>
    <row r="134" ht="10.5" customHeight="1">
      <c r="A134" s="1"/>
      <c r="B134" s="176" t="s">
        <v>138</v>
      </c>
      <c r="C134" s="178">
        <v>11629.0</v>
      </c>
      <c r="D134" s="50" t="s">
        <v>106</v>
      </c>
      <c r="E134" s="50" t="s">
        <v>106</v>
      </c>
      <c r="F134" s="50" t="s">
        <v>106</v>
      </c>
      <c r="G134" s="50" t="s">
        <v>106</v>
      </c>
      <c r="H134" s="178">
        <v>8658.0</v>
      </c>
      <c r="I134" s="178">
        <v>4471.0</v>
      </c>
      <c r="J134" s="178">
        <v>1796.0</v>
      </c>
      <c r="K134" s="50" t="s">
        <v>10</v>
      </c>
      <c r="L134" s="50" t="s">
        <v>10</v>
      </c>
      <c r="M134" s="1"/>
      <c r="N134" s="1"/>
      <c r="O134" s="1"/>
      <c r="P134" s="1"/>
      <c r="Q134" s="1"/>
      <c r="R134" s="1"/>
      <c r="S134" s="1"/>
    </row>
    <row r="135" ht="10.5" customHeight="1">
      <c r="A135" s="1"/>
      <c r="B135" s="181"/>
      <c r="C135" s="178"/>
      <c r="D135" s="50"/>
      <c r="E135" s="50"/>
      <c r="F135" s="50"/>
      <c r="G135" s="50"/>
      <c r="H135" s="178"/>
      <c r="I135" s="178"/>
      <c r="J135" s="178"/>
      <c r="K135" s="50"/>
      <c r="L135" s="50"/>
      <c r="M135" s="1"/>
      <c r="N135" s="1"/>
      <c r="O135" s="1"/>
      <c r="P135" s="1"/>
      <c r="Q135" s="1"/>
      <c r="R135" s="1"/>
      <c r="S135" s="1"/>
    </row>
    <row r="136" ht="10.5" customHeight="1">
      <c r="A136" s="1"/>
      <c r="B136" s="176" t="s">
        <v>139</v>
      </c>
      <c r="C136" s="178">
        <v>12016.0</v>
      </c>
      <c r="D136" s="50" t="s">
        <v>106</v>
      </c>
      <c r="E136" s="50" t="s">
        <v>106</v>
      </c>
      <c r="F136" s="50" t="s">
        <v>106</v>
      </c>
      <c r="G136" s="50" t="s">
        <v>106</v>
      </c>
      <c r="H136" s="178">
        <v>8857.0</v>
      </c>
      <c r="I136" s="178">
        <v>4513.0</v>
      </c>
      <c r="J136" s="178">
        <v>2194.0</v>
      </c>
      <c r="K136" s="50" t="s">
        <v>10</v>
      </c>
      <c r="L136" s="50" t="s">
        <v>10</v>
      </c>
      <c r="M136" s="1"/>
      <c r="N136" s="1"/>
      <c r="O136" s="1"/>
      <c r="P136" s="1"/>
      <c r="Q136" s="1"/>
      <c r="R136" s="1"/>
      <c r="S136" s="1"/>
    </row>
    <row r="137" ht="10.5" customHeight="1">
      <c r="A137" s="1"/>
      <c r="B137" s="176" t="s">
        <v>143</v>
      </c>
      <c r="C137" s="178">
        <v>10341.0</v>
      </c>
      <c r="D137" s="50" t="s">
        <v>106</v>
      </c>
      <c r="E137" s="50" t="s">
        <v>106</v>
      </c>
      <c r="F137" s="50" t="s">
        <v>106</v>
      </c>
      <c r="G137" s="50" t="s">
        <v>106</v>
      </c>
      <c r="H137" s="178">
        <v>8941.0</v>
      </c>
      <c r="I137" s="178">
        <v>4512.0</v>
      </c>
      <c r="J137" s="178">
        <v>2575.0</v>
      </c>
      <c r="K137" s="50" t="s">
        <v>10</v>
      </c>
      <c r="L137" s="50" t="s">
        <v>10</v>
      </c>
      <c r="M137" s="1"/>
      <c r="N137" s="1"/>
      <c r="O137" s="1"/>
      <c r="P137" s="1"/>
      <c r="Q137" s="1"/>
      <c r="R137" s="1"/>
      <c r="S137" s="1"/>
    </row>
    <row r="138" ht="10.5" customHeight="1">
      <c r="A138" s="1"/>
      <c r="B138" s="176" t="s">
        <v>149</v>
      </c>
      <c r="C138" s="178">
        <v>11929.0</v>
      </c>
      <c r="D138" s="50" t="s">
        <v>106</v>
      </c>
      <c r="E138" s="50" t="s">
        <v>106</v>
      </c>
      <c r="F138" s="50" t="s">
        <v>106</v>
      </c>
      <c r="G138" s="50" t="s">
        <v>106</v>
      </c>
      <c r="H138" s="178">
        <v>8935.0</v>
      </c>
      <c r="I138" s="178">
        <v>4499.0</v>
      </c>
      <c r="J138" s="178">
        <v>1946.0</v>
      </c>
      <c r="K138" s="50" t="s">
        <v>10</v>
      </c>
      <c r="L138" s="50" t="s">
        <v>10</v>
      </c>
      <c r="M138" s="1"/>
      <c r="N138" s="1"/>
      <c r="O138" s="1"/>
      <c r="P138" s="1"/>
      <c r="Q138" s="1"/>
      <c r="R138" s="1"/>
      <c r="S138" s="1"/>
    </row>
    <row r="139" ht="11.25" customHeight="1">
      <c r="A139" s="1"/>
      <c r="B139" s="176" t="s">
        <v>151</v>
      </c>
      <c r="C139" s="178">
        <v>11009.0</v>
      </c>
      <c r="D139" s="50" t="s">
        <v>106</v>
      </c>
      <c r="E139" s="50" t="s">
        <v>106</v>
      </c>
      <c r="F139" s="50" t="s">
        <v>106</v>
      </c>
      <c r="G139" s="50" t="s">
        <v>106</v>
      </c>
      <c r="H139" s="178">
        <v>9349.0</v>
      </c>
      <c r="I139" s="178">
        <v>4582.0</v>
      </c>
      <c r="J139" s="178">
        <v>2233.0</v>
      </c>
      <c r="K139" s="50" t="s">
        <v>10</v>
      </c>
      <c r="L139" s="50" t="s">
        <v>10</v>
      </c>
      <c r="M139" s="1"/>
      <c r="N139" s="1"/>
      <c r="O139" s="1"/>
      <c r="P139" s="1"/>
      <c r="Q139" s="1"/>
      <c r="R139" s="1"/>
      <c r="S139" s="1"/>
    </row>
    <row r="140" ht="11.25" customHeight="1">
      <c r="A140" s="1"/>
      <c r="B140" s="176" t="s">
        <v>153</v>
      </c>
      <c r="C140" s="178">
        <v>13828.0</v>
      </c>
      <c r="D140" s="50" t="s">
        <v>106</v>
      </c>
      <c r="E140" s="50" t="s">
        <v>106</v>
      </c>
      <c r="F140" s="50" t="s">
        <v>106</v>
      </c>
      <c r="G140" s="50" t="s">
        <v>106</v>
      </c>
      <c r="H140" s="178">
        <v>9927.0</v>
      </c>
      <c r="I140" s="178">
        <v>4840.0</v>
      </c>
      <c r="J140" s="178">
        <v>2156.0</v>
      </c>
      <c r="K140" s="50" t="s">
        <v>10</v>
      </c>
      <c r="L140" s="50" t="s">
        <v>10</v>
      </c>
      <c r="M140" s="1"/>
      <c r="N140" s="1"/>
      <c r="O140" s="1"/>
      <c r="P140" s="1"/>
      <c r="Q140" s="1"/>
      <c r="R140" s="1"/>
      <c r="S140" s="1"/>
    </row>
    <row r="141" ht="11.25" customHeight="1">
      <c r="A141" s="1"/>
      <c r="B141" s="176"/>
      <c r="C141" s="178"/>
      <c r="D141" s="50"/>
      <c r="E141" s="50"/>
      <c r="F141" s="50"/>
      <c r="G141" s="50"/>
      <c r="H141" s="178"/>
      <c r="I141" s="178"/>
      <c r="J141" s="178"/>
      <c r="K141" s="50"/>
      <c r="L141" s="50"/>
      <c r="M141" s="1"/>
      <c r="N141" s="1"/>
      <c r="O141" s="1"/>
      <c r="P141" s="1"/>
      <c r="Q141" s="1"/>
      <c r="R141" s="1"/>
      <c r="S141" s="1"/>
    </row>
    <row r="142" ht="11.25" customHeight="1">
      <c r="A142" s="1"/>
      <c r="B142" s="176" t="s">
        <v>155</v>
      </c>
      <c r="C142" s="178">
        <v>9794.0</v>
      </c>
      <c r="D142" s="50" t="s">
        <v>106</v>
      </c>
      <c r="E142" s="50" t="s">
        <v>106</v>
      </c>
      <c r="F142" s="50" t="s">
        <v>106</v>
      </c>
      <c r="G142" s="50" t="s">
        <v>106</v>
      </c>
      <c r="H142" s="178">
        <v>10249.0</v>
      </c>
      <c r="I142" s="178">
        <v>4698.0</v>
      </c>
      <c r="J142" s="178">
        <v>880.0</v>
      </c>
      <c r="K142" s="50" t="s">
        <v>10</v>
      </c>
      <c r="L142" s="50" t="s">
        <v>10</v>
      </c>
      <c r="M142" s="1"/>
      <c r="N142" s="1"/>
      <c r="O142" s="1"/>
      <c r="P142" s="1"/>
      <c r="Q142" s="1"/>
      <c r="R142" s="1"/>
      <c r="S142" s="1"/>
    </row>
    <row r="143" ht="11.25" customHeight="1">
      <c r="A143" s="1"/>
      <c r="B143" s="176" t="s">
        <v>160</v>
      </c>
      <c r="C143" s="178">
        <v>7451.0</v>
      </c>
      <c r="D143" s="50" t="s">
        <v>106</v>
      </c>
      <c r="E143" s="50" t="s">
        <v>106</v>
      </c>
      <c r="F143" s="50" t="s">
        <v>106</v>
      </c>
      <c r="G143" s="50" t="s">
        <v>106</v>
      </c>
      <c r="H143" s="178">
        <v>9758.0</v>
      </c>
      <c r="I143" s="178">
        <v>4780.0</v>
      </c>
      <c r="J143" s="178">
        <v>1007.0</v>
      </c>
      <c r="K143" s="50" t="s">
        <v>10</v>
      </c>
      <c r="L143" s="50" t="s">
        <v>10</v>
      </c>
      <c r="M143" s="1"/>
      <c r="N143" s="1"/>
      <c r="O143" s="1"/>
      <c r="P143" s="1"/>
      <c r="Q143" s="1"/>
      <c r="R143" s="1"/>
      <c r="S143" s="1"/>
    </row>
    <row r="144" ht="11.25" customHeight="1">
      <c r="A144" s="1"/>
      <c r="B144" s="176" t="s">
        <v>162</v>
      </c>
      <c r="C144" s="178">
        <v>13418.0</v>
      </c>
      <c r="D144" s="50" t="s">
        <v>106</v>
      </c>
      <c r="E144" s="50" t="s">
        <v>106</v>
      </c>
      <c r="F144" s="50" t="s">
        <v>106</v>
      </c>
      <c r="G144" s="50" t="s">
        <v>106</v>
      </c>
      <c r="H144" s="178">
        <v>10073.0</v>
      </c>
      <c r="I144" s="178">
        <v>4830.0</v>
      </c>
      <c r="J144" s="178">
        <v>2505.0</v>
      </c>
      <c r="K144" s="50" t="s">
        <v>10</v>
      </c>
      <c r="L144" s="50" t="s">
        <v>10</v>
      </c>
      <c r="M144" s="1"/>
      <c r="N144" s="1"/>
      <c r="O144" s="1"/>
      <c r="P144" s="1"/>
      <c r="Q144" s="1"/>
      <c r="R144" s="1"/>
      <c r="S144" s="1"/>
    </row>
    <row r="145" ht="11.25" customHeight="1">
      <c r="A145" s="1"/>
      <c r="B145" s="183" t="s">
        <v>326</v>
      </c>
      <c r="C145" s="184">
        <v>11673.0</v>
      </c>
      <c r="D145" s="98" t="s">
        <v>106</v>
      </c>
      <c r="E145" s="98" t="s">
        <v>106</v>
      </c>
      <c r="F145" s="98" t="s">
        <v>106</v>
      </c>
      <c r="G145" s="98" t="s">
        <v>106</v>
      </c>
      <c r="H145" s="184">
        <v>10350.0</v>
      </c>
      <c r="I145" s="184">
        <v>5030.0</v>
      </c>
      <c r="J145" s="184">
        <v>2180.0</v>
      </c>
      <c r="K145" s="98" t="s">
        <v>10</v>
      </c>
      <c r="L145" s="98" t="s">
        <v>10</v>
      </c>
      <c r="M145" s="1"/>
      <c r="N145" s="1"/>
      <c r="O145" s="1"/>
      <c r="P145" s="1"/>
      <c r="Q145" s="1"/>
      <c r="R145" s="1"/>
      <c r="S145" s="1"/>
    </row>
    <row r="146" ht="13.5" customHeight="1">
      <c r="A146" s="1"/>
      <c r="B146" s="60" t="s">
        <v>327</v>
      </c>
      <c r="C146" s="60" t="s">
        <v>82</v>
      </c>
      <c r="D146" s="60"/>
      <c r="E146" s="60"/>
      <c r="F146" s="60"/>
      <c r="G146" s="1"/>
      <c r="H146" s="1"/>
      <c r="I146" s="1"/>
      <c r="J146" s="1"/>
      <c r="K146" s="1"/>
      <c r="L146" s="1"/>
      <c r="M146" s="1"/>
      <c r="N146" s="1"/>
      <c r="O146" s="1"/>
      <c r="P146" s="1"/>
      <c r="Q146" s="1"/>
      <c r="R146" s="1"/>
      <c r="S146" s="1"/>
    </row>
    <row r="147" ht="12.0" customHeight="1">
      <c r="A147" s="1"/>
      <c r="B147" s="60"/>
      <c r="C147" s="60" t="s">
        <v>328</v>
      </c>
      <c r="D147" s="60"/>
      <c r="E147" s="60"/>
      <c r="F147" s="60"/>
      <c r="G147" s="1"/>
      <c r="H147" s="1"/>
      <c r="I147" s="1" t="s">
        <v>11</v>
      </c>
      <c r="J147" s="1"/>
      <c r="K147" s="1"/>
      <c r="L147" s="1"/>
      <c r="M147" s="1"/>
      <c r="N147" s="1"/>
      <c r="O147" s="1"/>
      <c r="P147" s="1"/>
      <c r="Q147" s="1"/>
      <c r="R147" s="1"/>
      <c r="S147" s="1"/>
    </row>
    <row r="148" ht="10.5" customHeight="1">
      <c r="A148" s="1"/>
      <c r="B148" s="60"/>
      <c r="C148" s="60" t="s">
        <v>329</v>
      </c>
      <c r="D148" s="60"/>
      <c r="E148" s="60"/>
      <c r="F148" s="60"/>
      <c r="G148" s="1"/>
      <c r="H148" s="1"/>
      <c r="I148" s="1"/>
      <c r="J148" s="1"/>
      <c r="K148" s="1"/>
      <c r="L148" s="1"/>
      <c r="M148" s="1"/>
      <c r="N148" s="1"/>
      <c r="O148" s="1"/>
      <c r="P148" s="1"/>
      <c r="Q148" s="1"/>
      <c r="R148" s="1"/>
      <c r="S148" s="1"/>
    </row>
    <row r="149" ht="7.5" customHeight="1">
      <c r="A149" s="1"/>
      <c r="B149" s="60"/>
      <c r="C149" s="60"/>
      <c r="D149" s="60"/>
      <c r="E149" s="60"/>
      <c r="F149" s="60"/>
      <c r="G149" s="1"/>
      <c r="H149" s="1"/>
      <c r="I149" s="1"/>
      <c r="J149" s="1"/>
      <c r="K149" s="1"/>
      <c r="L149" s="1"/>
      <c r="M149" s="1"/>
      <c r="N149" s="1"/>
      <c r="O149" s="1"/>
      <c r="P149" s="1"/>
      <c r="Q149" s="1"/>
      <c r="R149" s="1"/>
      <c r="S149" s="1"/>
    </row>
    <row r="150" ht="12.0" customHeight="1">
      <c r="A150" s="1"/>
      <c r="B150" s="185" t="s">
        <v>330</v>
      </c>
      <c r="C150" s="185"/>
      <c r="D150" s="60"/>
      <c r="E150" s="60"/>
      <c r="F150" s="60" t="s">
        <v>331</v>
      </c>
      <c r="G150" s="1"/>
      <c r="H150" s="1"/>
      <c r="I150" s="1"/>
      <c r="J150" s="1"/>
      <c r="K150" s="1"/>
      <c r="L150" s="1"/>
      <c r="M150" s="1"/>
      <c r="N150" s="1"/>
      <c r="O150" s="1"/>
      <c r="P150" s="1"/>
      <c r="Q150" s="1"/>
      <c r="R150" s="1"/>
      <c r="S150" s="1"/>
    </row>
    <row r="151" ht="10.5" customHeight="1">
      <c r="A151" s="1"/>
      <c r="B151" s="185" t="s">
        <v>332</v>
      </c>
      <c r="C151" s="185"/>
      <c r="D151" s="60"/>
      <c r="E151" s="60"/>
      <c r="F151" s="60" t="s">
        <v>333</v>
      </c>
      <c r="G151" s="1"/>
      <c r="H151" s="1"/>
      <c r="I151" s="1"/>
      <c r="J151" s="1"/>
      <c r="K151" s="1"/>
      <c r="L151" s="1"/>
      <c r="M151" s="1"/>
      <c r="N151" s="1"/>
      <c r="O151" s="1"/>
      <c r="P151" s="1"/>
      <c r="Q151" s="1"/>
      <c r="R151" s="1"/>
      <c r="S151" s="1"/>
    </row>
    <row r="152" ht="10.5" customHeight="1">
      <c r="A152" s="1"/>
      <c r="B152" s="185" t="s">
        <v>334</v>
      </c>
      <c r="C152" s="185"/>
      <c r="D152" s="60"/>
      <c r="E152" s="60"/>
      <c r="F152" s="60" t="s">
        <v>335</v>
      </c>
      <c r="G152" s="1"/>
      <c r="H152" s="1"/>
      <c r="I152" s="1"/>
      <c r="J152" s="1"/>
      <c r="K152" s="1"/>
      <c r="L152" s="1"/>
      <c r="M152" s="1"/>
      <c r="N152" s="1"/>
      <c r="O152" s="1"/>
      <c r="P152" s="1"/>
      <c r="Q152" s="1"/>
      <c r="R152" s="1"/>
      <c r="S152" s="1"/>
    </row>
    <row r="153" ht="10.5" customHeight="1">
      <c r="A153" s="1"/>
      <c r="B153" s="185" t="s">
        <v>336</v>
      </c>
      <c r="C153" s="185"/>
      <c r="D153" s="60"/>
      <c r="E153" s="60"/>
      <c r="F153" s="60" t="s">
        <v>337</v>
      </c>
      <c r="G153" s="1"/>
      <c r="H153" s="1"/>
      <c r="I153" s="1"/>
      <c r="J153" s="1"/>
      <c r="K153" s="1"/>
      <c r="L153" s="1"/>
      <c r="M153" s="1"/>
      <c r="N153" s="1"/>
      <c r="O153" s="1"/>
      <c r="P153" s="1"/>
      <c r="Q153" s="1"/>
      <c r="R153" s="1"/>
      <c r="S153" s="1"/>
    </row>
    <row r="154" ht="10.5" customHeight="1">
      <c r="A154" s="1"/>
      <c r="B154" s="185" t="s">
        <v>338</v>
      </c>
      <c r="C154" s="185"/>
      <c r="D154" s="60"/>
      <c r="E154" s="60"/>
      <c r="F154" s="60"/>
      <c r="G154" s="1"/>
      <c r="H154" s="1"/>
      <c r="I154" s="1"/>
      <c r="J154" s="1"/>
      <c r="K154" s="1"/>
      <c r="L154" s="1"/>
      <c r="M154" s="1"/>
      <c r="N154" s="1"/>
      <c r="O154" s="1"/>
      <c r="P154" s="1"/>
      <c r="Q154" s="1"/>
      <c r="R154" s="1"/>
      <c r="S154" s="1"/>
    </row>
    <row r="155" ht="10.5" customHeight="1">
      <c r="A155" s="1"/>
      <c r="B155" s="185" t="s">
        <v>339</v>
      </c>
      <c r="C155" s="185"/>
      <c r="D155" s="60"/>
      <c r="E155" s="60"/>
      <c r="F155" s="60"/>
      <c r="G155" s="1"/>
      <c r="H155" s="1"/>
      <c r="I155" s="1"/>
      <c r="J155" s="1"/>
      <c r="K155" s="1"/>
      <c r="L155" s="1"/>
      <c r="M155" s="1"/>
      <c r="N155" s="1"/>
      <c r="O155" s="1"/>
      <c r="P155" s="1"/>
      <c r="Q155" s="1"/>
      <c r="R155" s="1"/>
      <c r="S155" s="1"/>
    </row>
    <row r="156" ht="10.5" customHeight="1">
      <c r="A156" s="1"/>
      <c r="B156" s="185" t="s">
        <v>340</v>
      </c>
      <c r="C156" s="185"/>
      <c r="D156" s="60"/>
      <c r="E156" s="60"/>
      <c r="F156" s="60"/>
      <c r="G156" s="1"/>
      <c r="H156" s="1"/>
      <c r="I156" s="1"/>
      <c r="J156" s="1"/>
      <c r="K156" s="1"/>
      <c r="L156" s="1"/>
      <c r="M156" s="1"/>
      <c r="N156" s="1"/>
      <c r="O156" s="1"/>
      <c r="P156" s="1"/>
      <c r="Q156" s="1"/>
      <c r="R156" s="1"/>
      <c r="S156" s="1"/>
    </row>
    <row r="157" ht="10.5" customHeight="1">
      <c r="A157" s="1"/>
      <c r="B157" s="185" t="s">
        <v>341</v>
      </c>
      <c r="C157" s="185"/>
      <c r="D157" s="60"/>
      <c r="E157" s="60"/>
      <c r="F157" s="60"/>
      <c r="G157" s="1"/>
      <c r="H157" s="1"/>
      <c r="I157" s="1"/>
      <c r="J157" s="1"/>
      <c r="K157" s="1"/>
      <c r="L157" s="1"/>
      <c r="M157" s="1"/>
      <c r="N157" s="1"/>
      <c r="O157" s="1"/>
      <c r="P157" s="1"/>
      <c r="Q157" s="1"/>
      <c r="R157" s="1"/>
      <c r="S157" s="1"/>
    </row>
    <row r="158" ht="10.5" customHeight="1">
      <c r="A158" s="1"/>
      <c r="B158" s="185" t="s">
        <v>342</v>
      </c>
      <c r="C158" s="185"/>
      <c r="D158" s="60"/>
      <c r="E158" s="60"/>
      <c r="F158" s="60"/>
      <c r="G158" s="1"/>
      <c r="H158" s="1"/>
      <c r="I158" s="1"/>
      <c r="J158" s="1"/>
      <c r="K158" s="1"/>
      <c r="L158" s="1"/>
      <c r="M158" s="1"/>
      <c r="N158" s="1"/>
      <c r="O158" s="1"/>
      <c r="P158" s="1"/>
      <c r="Q158" s="1"/>
      <c r="R158" s="1"/>
      <c r="S158" s="1"/>
    </row>
    <row r="159" ht="10.5" customHeight="1">
      <c r="A159" s="1"/>
      <c r="B159" s="185" t="s">
        <v>343</v>
      </c>
      <c r="C159" s="185"/>
      <c r="D159" s="60"/>
      <c r="E159" s="60"/>
      <c r="F159" s="60"/>
      <c r="G159" s="1"/>
      <c r="H159" s="1"/>
      <c r="I159" s="1"/>
      <c r="J159" s="1"/>
      <c r="K159" s="1"/>
      <c r="L159" s="1"/>
      <c r="M159" s="1"/>
      <c r="N159" s="1"/>
      <c r="O159" s="1"/>
      <c r="P159" s="1"/>
      <c r="Q159" s="1"/>
      <c r="R159" s="1"/>
      <c r="S159" s="1"/>
    </row>
    <row r="160" ht="10.5" customHeight="1">
      <c r="A160" s="1"/>
      <c r="B160" s="185" t="s">
        <v>344</v>
      </c>
      <c r="C160" s="185"/>
      <c r="D160" s="60"/>
      <c r="E160" s="60"/>
      <c r="F160" s="60"/>
      <c r="G160" s="1"/>
      <c r="H160" s="1"/>
      <c r="I160" s="1"/>
      <c r="J160" s="1"/>
      <c r="K160" s="1"/>
      <c r="L160" s="1"/>
      <c r="M160" s="1"/>
      <c r="N160" s="1"/>
      <c r="O160" s="1"/>
      <c r="P160" s="1"/>
      <c r="Q160" s="1"/>
      <c r="R160" s="1"/>
      <c r="S160" s="1"/>
    </row>
    <row r="161" ht="10.5" customHeight="1">
      <c r="A161" s="1"/>
      <c r="B161" s="185" t="s">
        <v>345</v>
      </c>
      <c r="C161" s="185"/>
      <c r="D161" s="60"/>
      <c r="E161" s="60"/>
      <c r="F161" s="60"/>
      <c r="G161" s="1"/>
      <c r="H161" s="1"/>
      <c r="I161" s="1"/>
      <c r="J161" s="1"/>
      <c r="K161" s="1"/>
      <c r="L161" s="1"/>
      <c r="M161" s="1"/>
      <c r="N161" s="1"/>
      <c r="O161" s="1"/>
      <c r="P161" s="1"/>
      <c r="Q161" s="1"/>
      <c r="R161" s="1"/>
      <c r="S161" s="1"/>
    </row>
    <row r="162" ht="10.5" customHeight="1">
      <c r="A162" s="1"/>
      <c r="B162" s="186"/>
      <c r="C162" s="187"/>
      <c r="D162" s="187"/>
      <c r="E162" s="113"/>
      <c r="F162" s="113"/>
      <c r="G162" s="113"/>
      <c r="H162" s="113"/>
      <c r="I162" s="113"/>
      <c r="J162" s="113"/>
      <c r="K162" s="1"/>
      <c r="L162" s="1"/>
      <c r="M162" s="1"/>
      <c r="N162" s="1"/>
      <c r="O162" s="1"/>
      <c r="P162" s="1"/>
      <c r="Q162" s="1"/>
      <c r="R162" s="1"/>
      <c r="S162" s="1"/>
    </row>
    <row r="163" ht="10.5" customHeight="1">
      <c r="A163" s="1"/>
      <c r="I163" s="113"/>
      <c r="J163" s="113"/>
      <c r="K163" s="1"/>
      <c r="L163" s="1"/>
      <c r="M163" s="1"/>
      <c r="N163" s="1"/>
      <c r="O163" s="1"/>
      <c r="P163" s="1"/>
      <c r="Q163" s="1"/>
      <c r="R163" s="1"/>
      <c r="S163" s="1"/>
    </row>
    <row r="164" ht="10.5" customHeight="1">
      <c r="A164" s="1"/>
      <c r="I164" s="113"/>
      <c r="J164" s="113"/>
      <c r="K164" s="1"/>
      <c r="L164" s="1"/>
      <c r="M164" s="1"/>
      <c r="N164" s="1"/>
      <c r="O164" s="1"/>
      <c r="P164" s="1"/>
      <c r="Q164" s="1"/>
      <c r="R164" s="1"/>
      <c r="S164" s="1"/>
    </row>
    <row r="165" ht="10.5" customHeight="1">
      <c r="A165" s="1"/>
      <c r="I165" s="113"/>
      <c r="J165" s="113"/>
      <c r="K165" s="1"/>
      <c r="L165" s="1"/>
      <c r="M165" s="1"/>
      <c r="N165" s="1"/>
      <c r="O165" s="1"/>
      <c r="P165" s="1"/>
      <c r="Q165" s="1"/>
      <c r="R165" s="1"/>
      <c r="S165" s="1"/>
    </row>
    <row r="166" ht="10.5" customHeight="1">
      <c r="A166" s="1"/>
      <c r="B166" s="186"/>
      <c r="C166" s="187"/>
      <c r="D166" s="187"/>
      <c r="E166" s="113"/>
      <c r="F166" s="113"/>
      <c r="G166" s="113"/>
      <c r="H166" s="113"/>
      <c r="I166" s="113"/>
      <c r="J166" s="113"/>
      <c r="K166" s="1"/>
      <c r="L166" s="1"/>
      <c r="M166" s="1"/>
      <c r="N166" s="1"/>
      <c r="O166" s="1"/>
      <c r="P166" s="1"/>
      <c r="Q166" s="1"/>
      <c r="R166" s="1"/>
      <c r="S166" s="1"/>
    </row>
    <row r="167" ht="10.5" customHeight="1">
      <c r="A167" s="1"/>
      <c r="B167" s="186"/>
      <c r="C167" s="187"/>
      <c r="D167" s="187"/>
      <c r="E167" s="113"/>
      <c r="F167" s="113"/>
      <c r="G167" s="113"/>
      <c r="H167" s="113"/>
      <c r="I167" s="1"/>
      <c r="J167" s="1"/>
      <c r="K167" s="1"/>
      <c r="L167" s="1"/>
      <c r="M167" s="1"/>
      <c r="N167" s="1"/>
      <c r="O167" s="1"/>
      <c r="P167" s="1"/>
      <c r="Q167" s="1"/>
      <c r="R167" s="1"/>
      <c r="S167" s="1"/>
    </row>
    <row r="168" ht="10.5" customHeight="1">
      <c r="A168" s="1"/>
      <c r="B168" s="186"/>
      <c r="C168" s="187"/>
      <c r="D168" s="187"/>
      <c r="E168" s="113"/>
      <c r="F168" s="113"/>
      <c r="G168" s="113"/>
      <c r="H168" s="113"/>
      <c r="I168" s="1"/>
      <c r="J168" s="1"/>
      <c r="K168" s="1"/>
      <c r="L168" s="1"/>
      <c r="M168" s="1"/>
      <c r="N168" s="1"/>
      <c r="O168" s="1"/>
      <c r="P168" s="1"/>
      <c r="Q168" s="1"/>
      <c r="R168" s="1"/>
      <c r="S168" s="1"/>
    </row>
    <row r="169" ht="10.5" customHeight="1">
      <c r="A169" s="1"/>
      <c r="B169" s="186"/>
      <c r="C169" s="187"/>
      <c r="D169" s="187"/>
      <c r="E169" s="113"/>
      <c r="F169" s="113"/>
      <c r="G169" s="113"/>
      <c r="H169" s="113"/>
      <c r="I169" s="1"/>
      <c r="J169" s="1"/>
      <c r="K169" s="1"/>
      <c r="L169" s="1"/>
      <c r="M169" s="1"/>
      <c r="N169" s="1"/>
      <c r="O169" s="1"/>
      <c r="P169" s="1"/>
      <c r="Q169" s="1"/>
      <c r="R169" s="1"/>
      <c r="S169" s="1"/>
    </row>
    <row r="170" ht="10.5" customHeight="1">
      <c r="A170" s="1"/>
      <c r="B170" s="1"/>
      <c r="C170" s="1"/>
      <c r="D170" s="1"/>
      <c r="E170" s="1"/>
      <c r="F170" s="1"/>
      <c r="G170" s="1"/>
      <c r="H170" s="1"/>
      <c r="I170" s="1"/>
      <c r="J170" s="1"/>
      <c r="K170" s="1"/>
      <c r="L170" s="1"/>
      <c r="M170" s="1"/>
      <c r="N170" s="1"/>
      <c r="O170" s="1"/>
      <c r="P170" s="1"/>
      <c r="Q170" s="1"/>
      <c r="R170" s="1"/>
      <c r="S170" s="1"/>
    </row>
    <row r="171" ht="10.5" customHeight="1">
      <c r="A171" s="1"/>
      <c r="B171" s="1"/>
      <c r="C171" s="1"/>
      <c r="D171" s="1"/>
      <c r="E171" s="1"/>
      <c r="F171" s="1"/>
      <c r="G171" s="110">
        <v>8.0</v>
      </c>
      <c r="H171" s="1"/>
      <c r="I171" s="1"/>
      <c r="J171" s="1"/>
      <c r="K171" s="1"/>
      <c r="L171" s="1"/>
      <c r="M171" s="1"/>
      <c r="N171" s="1"/>
      <c r="O171" s="1"/>
      <c r="P171" s="1"/>
      <c r="Q171" s="1"/>
      <c r="R171" s="1"/>
      <c r="S171" s="1"/>
    </row>
    <row r="172" ht="10.5" customHeight="1">
      <c r="A172" s="1"/>
      <c r="B172" s="1"/>
      <c r="C172" s="1"/>
      <c r="D172" s="1"/>
      <c r="E172" s="1"/>
      <c r="F172" s="1"/>
      <c r="G172" s="1"/>
      <c r="H172" s="1"/>
      <c r="I172" s="1"/>
      <c r="J172" s="1"/>
      <c r="K172" s="1"/>
      <c r="L172" s="1"/>
      <c r="M172" s="1"/>
      <c r="N172" s="1"/>
      <c r="O172" s="1"/>
      <c r="P172" s="1"/>
      <c r="Q172" s="1"/>
      <c r="R172" s="1"/>
      <c r="S172" s="1"/>
    </row>
    <row r="173" ht="10.5" customHeight="1">
      <c r="A173" s="1"/>
      <c r="B173" s="1"/>
      <c r="C173" s="1"/>
      <c r="D173" s="1"/>
      <c r="E173" s="1"/>
      <c r="F173" s="1"/>
      <c r="G173" s="1"/>
      <c r="H173" s="1"/>
      <c r="I173" s="1"/>
      <c r="J173" s="1"/>
      <c r="K173" s="1"/>
      <c r="L173" s="1"/>
      <c r="M173" s="1"/>
      <c r="N173" s="1"/>
      <c r="O173" s="1"/>
      <c r="P173" s="1"/>
      <c r="Q173" s="1"/>
      <c r="R173" s="1"/>
      <c r="S173" s="1"/>
    </row>
    <row r="174" ht="10.5" customHeight="1">
      <c r="A174" s="1"/>
      <c r="B174" s="1" t="s">
        <v>346</v>
      </c>
      <c r="C174" s="1"/>
      <c r="D174" s="1"/>
      <c r="E174" s="1"/>
      <c r="F174" s="1"/>
      <c r="G174" s="1"/>
      <c r="H174" s="1"/>
      <c r="I174" s="188"/>
      <c r="J174" s="1"/>
      <c r="K174" s="1"/>
      <c r="L174" s="1"/>
      <c r="M174" s="1"/>
      <c r="N174" s="1"/>
      <c r="O174" s="1"/>
      <c r="P174" s="1"/>
      <c r="Q174" s="1"/>
      <c r="R174" s="1"/>
      <c r="S174" s="1"/>
    </row>
    <row r="175" ht="10.5" customHeight="1">
      <c r="A175" s="1"/>
      <c r="B175" s="189" t="s">
        <v>31</v>
      </c>
      <c r="C175" s="128" t="s">
        <v>347</v>
      </c>
      <c r="D175" s="9"/>
      <c r="E175" s="9"/>
      <c r="F175" s="9"/>
      <c r="G175" s="10"/>
      <c r="H175" s="188"/>
      <c r="I175" s="188"/>
      <c r="J175" s="1"/>
      <c r="K175" s="1"/>
      <c r="L175" s="1"/>
      <c r="M175" s="1"/>
      <c r="N175" s="1"/>
      <c r="O175" s="1"/>
      <c r="P175" s="1"/>
      <c r="Q175" s="1"/>
      <c r="R175" s="1"/>
      <c r="S175" s="1"/>
    </row>
    <row r="176" ht="10.5" customHeight="1">
      <c r="A176" s="1"/>
      <c r="B176" s="5"/>
      <c r="C176" s="128" t="s">
        <v>348</v>
      </c>
      <c r="D176" s="128" t="s">
        <v>349</v>
      </c>
      <c r="E176" s="128" t="s">
        <v>249</v>
      </c>
      <c r="F176" s="128" t="s">
        <v>350</v>
      </c>
      <c r="G176" s="190" t="s">
        <v>2</v>
      </c>
      <c r="H176" s="188"/>
      <c r="I176" s="188"/>
      <c r="J176" s="1"/>
      <c r="K176" s="1"/>
      <c r="L176" s="1"/>
      <c r="M176" s="1"/>
      <c r="N176" s="1"/>
      <c r="O176" s="1"/>
      <c r="P176" s="1"/>
      <c r="Q176" s="1"/>
      <c r="R176" s="1"/>
      <c r="S176" s="1"/>
    </row>
    <row r="177" ht="10.5" customHeight="1">
      <c r="A177" s="1"/>
      <c r="B177" s="6"/>
      <c r="C177" s="128" t="s">
        <v>49</v>
      </c>
      <c r="D177" s="9"/>
      <c r="E177" s="9"/>
      <c r="F177" s="9"/>
      <c r="G177" s="10"/>
      <c r="H177" s="188"/>
      <c r="I177" s="188"/>
      <c r="J177" s="1"/>
      <c r="K177" s="1"/>
      <c r="L177" s="1"/>
      <c r="M177" s="1"/>
      <c r="N177" s="1"/>
      <c r="O177" s="1"/>
      <c r="P177" s="1"/>
      <c r="Q177" s="1"/>
      <c r="R177" s="1"/>
      <c r="S177" s="1"/>
    </row>
    <row r="178" ht="10.5" customHeight="1">
      <c r="A178" s="1"/>
      <c r="B178" s="48" t="s">
        <v>264</v>
      </c>
      <c r="C178" s="191">
        <v>278.0</v>
      </c>
      <c r="D178" s="191">
        <v>325.0</v>
      </c>
      <c r="E178" s="191">
        <v>3447.0</v>
      </c>
      <c r="F178" s="191">
        <v>4180.0</v>
      </c>
      <c r="G178" s="192">
        <f t="shared" ref="G178:G182" si="1">SUM(C178:F178)</f>
        <v>8230</v>
      </c>
      <c r="H178" s="188"/>
      <c r="I178" s="188"/>
      <c r="J178" s="1"/>
      <c r="K178" s="1"/>
      <c r="L178" s="1"/>
      <c r="M178" s="1"/>
      <c r="N178" s="1"/>
      <c r="O178" s="1"/>
      <c r="P178" s="1"/>
      <c r="Q178" s="1"/>
      <c r="R178" s="1"/>
      <c r="S178" s="1"/>
    </row>
    <row r="179" ht="10.5" customHeight="1">
      <c r="A179" s="1"/>
      <c r="B179" s="48" t="s">
        <v>267</v>
      </c>
      <c r="C179" s="191">
        <v>434.0</v>
      </c>
      <c r="D179" s="191">
        <v>311.0</v>
      </c>
      <c r="E179" s="191">
        <v>3220.0</v>
      </c>
      <c r="F179" s="191">
        <v>5138.0</v>
      </c>
      <c r="G179" s="33">
        <f t="shared" si="1"/>
        <v>9103</v>
      </c>
      <c r="H179" s="188"/>
      <c r="I179" s="188"/>
      <c r="J179" s="1"/>
      <c r="K179" s="1"/>
      <c r="L179" s="1"/>
      <c r="M179" s="1"/>
      <c r="N179" s="1"/>
      <c r="O179" s="1"/>
      <c r="P179" s="1"/>
      <c r="Q179" s="1"/>
      <c r="R179" s="1"/>
      <c r="S179" s="1"/>
    </row>
    <row r="180" ht="10.5" customHeight="1">
      <c r="A180" s="1"/>
      <c r="B180" s="48" t="s">
        <v>268</v>
      </c>
      <c r="C180" s="191">
        <v>95.0</v>
      </c>
      <c r="D180" s="191">
        <v>224.0</v>
      </c>
      <c r="E180" s="191">
        <v>1286.0</v>
      </c>
      <c r="F180" s="191">
        <v>2355.0</v>
      </c>
      <c r="G180" s="33">
        <f t="shared" si="1"/>
        <v>3960</v>
      </c>
      <c r="H180" s="188"/>
      <c r="I180" s="188"/>
      <c r="J180" s="1"/>
      <c r="K180" s="1"/>
      <c r="L180" s="1"/>
      <c r="M180" s="1"/>
      <c r="N180" s="1"/>
      <c r="O180" s="1"/>
      <c r="P180" s="1"/>
      <c r="Q180" s="1"/>
      <c r="R180" s="1"/>
      <c r="S180" s="1"/>
    </row>
    <row r="181" ht="10.5" customHeight="1">
      <c r="A181" s="1"/>
      <c r="B181" s="48" t="s">
        <v>269</v>
      </c>
      <c r="C181" s="191">
        <v>551.0</v>
      </c>
      <c r="D181" s="191">
        <v>378.0</v>
      </c>
      <c r="E181" s="191">
        <v>3936.0</v>
      </c>
      <c r="F181" s="191">
        <v>5745.0</v>
      </c>
      <c r="G181" s="33">
        <f t="shared" si="1"/>
        <v>10610</v>
      </c>
      <c r="H181" s="188"/>
      <c r="I181" s="188"/>
      <c r="J181" s="1"/>
      <c r="K181" s="1"/>
      <c r="L181" s="1"/>
      <c r="M181" s="1"/>
      <c r="N181" s="1"/>
      <c r="O181" s="1"/>
      <c r="P181" s="1"/>
      <c r="Q181" s="1"/>
      <c r="R181" s="1"/>
      <c r="S181" s="1"/>
    </row>
    <row r="182" ht="10.5" customHeight="1">
      <c r="A182" s="1"/>
      <c r="B182" s="48" t="s">
        <v>270</v>
      </c>
      <c r="C182" s="191">
        <v>494.0</v>
      </c>
      <c r="D182" s="191">
        <v>299.0</v>
      </c>
      <c r="E182" s="191">
        <v>3299.0</v>
      </c>
      <c r="F182" s="191">
        <v>4708.0</v>
      </c>
      <c r="G182" s="33">
        <f t="shared" si="1"/>
        <v>8800</v>
      </c>
      <c r="H182" s="188"/>
      <c r="I182" s="188"/>
      <c r="J182" s="1"/>
      <c r="K182" s="1"/>
      <c r="L182" s="1"/>
      <c r="M182" s="1"/>
      <c r="N182" s="1"/>
      <c r="O182" s="1"/>
      <c r="P182" s="1"/>
      <c r="Q182" s="1"/>
      <c r="R182" s="1"/>
      <c r="S182" s="1"/>
    </row>
    <row r="183" ht="10.5" customHeight="1">
      <c r="A183" s="1"/>
      <c r="B183" s="48"/>
      <c r="C183" s="191"/>
      <c r="D183" s="191"/>
      <c r="E183" s="191"/>
      <c r="F183" s="191"/>
      <c r="G183" s="33"/>
      <c r="H183" s="188"/>
      <c r="I183" s="188"/>
      <c r="J183" s="1"/>
      <c r="K183" s="1"/>
      <c r="L183" s="1"/>
      <c r="M183" s="1"/>
      <c r="N183" s="1"/>
      <c r="O183" s="1"/>
      <c r="P183" s="1"/>
      <c r="Q183" s="1"/>
      <c r="R183" s="1"/>
      <c r="S183" s="1"/>
    </row>
    <row r="184" ht="10.5" customHeight="1">
      <c r="A184" s="1"/>
      <c r="B184" s="48" t="s">
        <v>271</v>
      </c>
      <c r="C184" s="191">
        <v>397.0</v>
      </c>
      <c r="D184" s="191">
        <v>254.0</v>
      </c>
      <c r="E184" s="191">
        <v>2545.0</v>
      </c>
      <c r="F184" s="191">
        <v>3928.0</v>
      </c>
      <c r="G184" s="33">
        <f t="shared" ref="G184:G188" si="2">SUM(C184:F184)</f>
        <v>7124</v>
      </c>
      <c r="H184" s="188"/>
      <c r="I184" s="188"/>
      <c r="J184" s="1"/>
      <c r="K184" s="1"/>
      <c r="L184" s="1"/>
      <c r="M184" s="1"/>
      <c r="N184" s="1"/>
      <c r="O184" s="1"/>
      <c r="P184" s="1"/>
      <c r="Q184" s="1"/>
      <c r="R184" s="1"/>
      <c r="S184" s="1"/>
    </row>
    <row r="185" ht="10.5" customHeight="1">
      <c r="A185" s="1"/>
      <c r="B185" s="48" t="s">
        <v>272</v>
      </c>
      <c r="C185" s="191">
        <v>458.0</v>
      </c>
      <c r="D185" s="191">
        <v>391.0</v>
      </c>
      <c r="E185" s="191">
        <v>3553.0</v>
      </c>
      <c r="F185" s="191">
        <v>5083.0</v>
      </c>
      <c r="G185" s="33">
        <f t="shared" si="2"/>
        <v>9485</v>
      </c>
      <c r="H185" s="188"/>
      <c r="I185" s="188"/>
      <c r="J185" s="1"/>
      <c r="K185" s="1"/>
      <c r="L185" s="1"/>
      <c r="M185" s="1"/>
      <c r="N185" s="1"/>
      <c r="O185" s="1"/>
      <c r="P185" s="1"/>
      <c r="Q185" s="1"/>
      <c r="R185" s="1"/>
      <c r="S185" s="1"/>
    </row>
    <row r="186" ht="10.5" customHeight="1">
      <c r="A186" s="1"/>
      <c r="B186" s="48" t="s">
        <v>274</v>
      </c>
      <c r="C186" s="191">
        <v>481.0</v>
      </c>
      <c r="D186" s="191">
        <v>490.0</v>
      </c>
      <c r="E186" s="191">
        <v>3474.0</v>
      </c>
      <c r="F186" s="191">
        <v>5456.0</v>
      </c>
      <c r="G186" s="33">
        <f t="shared" si="2"/>
        <v>9901</v>
      </c>
      <c r="H186" s="188"/>
      <c r="I186" s="188"/>
      <c r="J186" s="1"/>
      <c r="K186" s="1"/>
      <c r="L186" s="1"/>
      <c r="M186" s="1"/>
      <c r="N186" s="1"/>
      <c r="O186" s="1"/>
      <c r="P186" s="1"/>
      <c r="Q186" s="1"/>
      <c r="R186" s="1"/>
      <c r="S186" s="1"/>
    </row>
    <row r="187" ht="10.5" customHeight="1">
      <c r="A187" s="1"/>
      <c r="B187" s="48" t="s">
        <v>275</v>
      </c>
      <c r="C187" s="191">
        <v>369.0</v>
      </c>
      <c r="D187" s="191">
        <v>464.0</v>
      </c>
      <c r="E187" s="191">
        <v>3021.0</v>
      </c>
      <c r="F187" s="191">
        <v>4315.0</v>
      </c>
      <c r="G187" s="33">
        <f t="shared" si="2"/>
        <v>8169</v>
      </c>
      <c r="H187" s="188"/>
      <c r="I187" s="188"/>
      <c r="J187" s="1"/>
      <c r="K187" s="1"/>
      <c r="L187" s="1"/>
      <c r="M187" s="1"/>
      <c r="N187" s="1"/>
      <c r="O187" s="1"/>
      <c r="P187" s="1"/>
      <c r="Q187" s="1"/>
      <c r="R187" s="1"/>
      <c r="S187" s="1"/>
    </row>
    <row r="188" ht="10.5" customHeight="1">
      <c r="A188" s="1"/>
      <c r="B188" s="48" t="s">
        <v>276</v>
      </c>
      <c r="C188" s="191">
        <v>371.0</v>
      </c>
      <c r="D188" s="191">
        <v>533.0</v>
      </c>
      <c r="E188" s="191">
        <v>3414.0</v>
      </c>
      <c r="F188" s="191">
        <v>6356.0</v>
      </c>
      <c r="G188" s="33">
        <f t="shared" si="2"/>
        <v>10674</v>
      </c>
      <c r="H188" s="188"/>
      <c r="I188" s="188"/>
      <c r="J188" s="1"/>
      <c r="K188" s="1"/>
      <c r="L188" s="1"/>
      <c r="M188" s="1"/>
      <c r="N188" s="1"/>
      <c r="O188" s="1"/>
      <c r="P188" s="1"/>
      <c r="Q188" s="1"/>
      <c r="R188" s="1"/>
      <c r="S188" s="1"/>
    </row>
    <row r="189" ht="10.5" customHeight="1">
      <c r="A189" s="1"/>
      <c r="B189" s="48"/>
      <c r="C189" s="191"/>
      <c r="D189" s="191"/>
      <c r="E189" s="191"/>
      <c r="F189" s="191"/>
      <c r="G189" s="33"/>
      <c r="H189" s="188"/>
      <c r="I189" s="188"/>
      <c r="J189" s="1"/>
      <c r="K189" s="1"/>
      <c r="L189" s="1"/>
      <c r="M189" s="1"/>
      <c r="N189" s="1"/>
      <c r="O189" s="1"/>
      <c r="P189" s="1"/>
      <c r="Q189" s="1"/>
      <c r="R189" s="1"/>
      <c r="S189" s="1"/>
    </row>
    <row r="190" ht="10.5" customHeight="1">
      <c r="A190" s="1"/>
      <c r="B190" s="48" t="s">
        <v>56</v>
      </c>
      <c r="C190" s="191">
        <v>814.0</v>
      </c>
      <c r="D190" s="191">
        <v>667.0</v>
      </c>
      <c r="E190" s="191">
        <v>5015.0</v>
      </c>
      <c r="F190" s="191">
        <v>7927.0</v>
      </c>
      <c r="G190" s="33">
        <f t="shared" ref="G190:G194" si="3">SUM(C190:F190)</f>
        <v>14423</v>
      </c>
      <c r="H190" s="188"/>
      <c r="I190" s="188"/>
      <c r="J190" s="1"/>
      <c r="K190" s="1"/>
      <c r="L190" s="1"/>
      <c r="M190" s="1"/>
      <c r="N190" s="1"/>
      <c r="O190" s="1"/>
      <c r="P190" s="1"/>
      <c r="Q190" s="1"/>
      <c r="R190" s="1"/>
      <c r="S190" s="1"/>
    </row>
    <row r="191" ht="10.5" customHeight="1">
      <c r="A191" s="1"/>
      <c r="B191" s="48" t="s">
        <v>81</v>
      </c>
      <c r="C191" s="191">
        <v>303.0</v>
      </c>
      <c r="D191" s="191">
        <v>443.0</v>
      </c>
      <c r="E191" s="191">
        <v>2766.0</v>
      </c>
      <c r="F191" s="191">
        <v>4749.0</v>
      </c>
      <c r="G191" s="33">
        <f t="shared" si="3"/>
        <v>8261</v>
      </c>
      <c r="H191" s="188"/>
      <c r="I191" s="188"/>
      <c r="J191" s="1"/>
      <c r="K191" s="1"/>
      <c r="L191" s="1"/>
      <c r="M191" s="1"/>
      <c r="N191" s="1"/>
      <c r="O191" s="1"/>
      <c r="P191" s="1"/>
      <c r="Q191" s="1"/>
      <c r="R191" s="1"/>
      <c r="S191" s="1"/>
    </row>
    <row r="192" ht="10.5" customHeight="1">
      <c r="A192" s="1"/>
      <c r="B192" s="48" t="s">
        <v>86</v>
      </c>
      <c r="C192" s="191">
        <v>128.0</v>
      </c>
      <c r="D192" s="191">
        <v>272.0</v>
      </c>
      <c r="E192" s="191">
        <v>1342.0</v>
      </c>
      <c r="F192" s="191">
        <v>2262.0</v>
      </c>
      <c r="G192" s="33">
        <f t="shared" si="3"/>
        <v>4004</v>
      </c>
      <c r="H192" s="188"/>
      <c r="I192" s="188"/>
      <c r="J192" s="1"/>
      <c r="K192" s="1"/>
      <c r="L192" s="1"/>
      <c r="M192" s="1"/>
      <c r="N192" s="1"/>
      <c r="O192" s="1"/>
      <c r="P192" s="1"/>
      <c r="Q192" s="1"/>
      <c r="R192" s="1"/>
      <c r="S192" s="1"/>
    </row>
    <row r="193" ht="10.5" customHeight="1">
      <c r="A193" s="1"/>
      <c r="B193" s="48" t="s">
        <v>87</v>
      </c>
      <c r="C193" s="191">
        <v>51.0</v>
      </c>
      <c r="D193" s="191">
        <v>576.0</v>
      </c>
      <c r="E193" s="191">
        <v>1295.0</v>
      </c>
      <c r="F193" s="191">
        <v>2387.0</v>
      </c>
      <c r="G193" s="33">
        <f t="shared" si="3"/>
        <v>4309</v>
      </c>
      <c r="H193" s="188"/>
      <c r="I193" s="188"/>
      <c r="J193" s="1"/>
      <c r="K193" s="1"/>
      <c r="L193" s="1"/>
      <c r="M193" s="1"/>
      <c r="N193" s="1"/>
      <c r="O193" s="1"/>
      <c r="P193" s="1"/>
      <c r="Q193" s="1"/>
      <c r="R193" s="1"/>
      <c r="S193" s="1"/>
    </row>
    <row r="194" ht="10.5" customHeight="1">
      <c r="A194" s="1"/>
      <c r="B194" s="48" t="s">
        <v>90</v>
      </c>
      <c r="C194" s="191">
        <v>541.0</v>
      </c>
      <c r="D194" s="191">
        <v>360.0</v>
      </c>
      <c r="E194" s="191">
        <v>3105.0</v>
      </c>
      <c r="F194" s="191">
        <v>3903.0</v>
      </c>
      <c r="G194" s="33">
        <f t="shared" si="3"/>
        <v>7909</v>
      </c>
      <c r="H194" s="188"/>
      <c r="K194" s="1"/>
      <c r="L194" s="1"/>
      <c r="M194" s="1"/>
      <c r="N194" s="1"/>
      <c r="O194" s="1"/>
      <c r="P194" s="1"/>
      <c r="Q194" s="1"/>
      <c r="R194" s="1"/>
      <c r="S194" s="1"/>
    </row>
    <row r="195" ht="10.5" customHeight="1">
      <c r="A195" s="1"/>
      <c r="B195" s="48"/>
      <c r="C195" s="191"/>
      <c r="D195" s="191"/>
      <c r="E195" s="191"/>
      <c r="F195" s="191"/>
      <c r="G195" s="33"/>
      <c r="H195" s="188"/>
      <c r="I195" s="1"/>
      <c r="J195" s="1"/>
      <c r="K195" s="1"/>
      <c r="L195" s="1"/>
      <c r="M195" s="1"/>
      <c r="N195" s="1"/>
      <c r="O195" s="1"/>
      <c r="P195" s="1"/>
      <c r="Q195" s="1"/>
      <c r="R195" s="1"/>
      <c r="S195" s="1"/>
    </row>
    <row r="196" ht="10.5" customHeight="1">
      <c r="A196" s="1"/>
      <c r="B196" s="48" t="s">
        <v>93</v>
      </c>
      <c r="C196" s="191">
        <v>436.0</v>
      </c>
      <c r="D196" s="191">
        <v>447.0</v>
      </c>
      <c r="E196" s="191">
        <v>3027.0</v>
      </c>
      <c r="F196" s="191">
        <v>4016.0</v>
      </c>
      <c r="G196" s="57">
        <f>SUM(C196:F196)</f>
        <v>7926</v>
      </c>
      <c r="H196" s="188"/>
      <c r="I196" s="1"/>
      <c r="J196" s="1"/>
      <c r="K196" s="1"/>
      <c r="L196" s="1"/>
      <c r="M196" s="1"/>
      <c r="N196" s="1"/>
      <c r="O196" s="1"/>
      <c r="P196" s="1"/>
      <c r="Q196" s="1"/>
      <c r="R196" s="1"/>
      <c r="S196" s="1"/>
    </row>
    <row r="197" ht="10.5" customHeight="1">
      <c r="A197" s="1"/>
      <c r="B197" s="29" t="s">
        <v>31</v>
      </c>
      <c r="C197" s="128" t="s">
        <v>351</v>
      </c>
      <c r="D197" s="193"/>
      <c r="E197" s="193"/>
      <c r="F197" s="193"/>
      <c r="G197" s="193"/>
      <c r="H197" s="193"/>
      <c r="I197" s="194"/>
      <c r="J197" s="194"/>
      <c r="K197" s="195"/>
      <c r="L197" s="196"/>
      <c r="M197" s="1"/>
      <c r="N197" s="1"/>
      <c r="O197" s="1"/>
      <c r="P197" s="1"/>
      <c r="Q197" s="1"/>
      <c r="R197" s="1"/>
      <c r="S197" s="1"/>
    </row>
    <row r="198" ht="10.5" customHeight="1">
      <c r="A198" s="1"/>
      <c r="B198" s="5"/>
      <c r="C198" s="3" t="s">
        <v>352</v>
      </c>
      <c r="D198" s="198" t="s">
        <v>353</v>
      </c>
      <c r="E198" s="198" t="s">
        <v>354</v>
      </c>
      <c r="F198" s="198" t="s">
        <v>355</v>
      </c>
      <c r="G198" s="3" t="s">
        <v>356</v>
      </c>
      <c r="H198" s="198" t="s">
        <v>263</v>
      </c>
      <c r="I198" s="198" t="s">
        <v>357</v>
      </c>
      <c r="J198" s="3" t="s">
        <v>256</v>
      </c>
      <c r="K198" s="3" t="s">
        <v>358</v>
      </c>
      <c r="L198" s="3" t="s">
        <v>2</v>
      </c>
      <c r="M198" s="1"/>
      <c r="N198" s="1"/>
      <c r="O198" s="1"/>
      <c r="P198" s="1"/>
      <c r="Q198" s="1"/>
      <c r="R198" s="1"/>
      <c r="S198" s="1"/>
    </row>
    <row r="199" ht="10.5" customHeight="1">
      <c r="A199" s="1"/>
      <c r="B199" s="5"/>
      <c r="C199" s="200" t="s">
        <v>348</v>
      </c>
      <c r="D199" s="202" t="s">
        <v>348</v>
      </c>
      <c r="E199" s="202" t="s">
        <v>348</v>
      </c>
      <c r="F199" s="202" t="s">
        <v>359</v>
      </c>
      <c r="G199" s="200" t="s">
        <v>349</v>
      </c>
      <c r="H199" s="202"/>
      <c r="I199" s="202" t="s">
        <v>360</v>
      </c>
      <c r="J199" s="200"/>
      <c r="K199" s="200" t="s">
        <v>361</v>
      </c>
      <c r="L199" s="204"/>
      <c r="M199" s="1"/>
      <c r="N199" s="1"/>
      <c r="O199" s="1"/>
      <c r="P199" s="1"/>
      <c r="Q199" s="1"/>
      <c r="R199" s="1"/>
      <c r="S199" s="1"/>
    </row>
    <row r="200" ht="10.5" customHeight="1">
      <c r="A200" s="1"/>
      <c r="B200" s="6"/>
      <c r="C200" s="8" t="s">
        <v>49</v>
      </c>
      <c r="D200" s="9"/>
      <c r="E200" s="9"/>
      <c r="F200" s="9"/>
      <c r="G200" s="9"/>
      <c r="H200" s="9"/>
      <c r="I200" s="9"/>
      <c r="J200" s="9"/>
      <c r="K200" s="9"/>
      <c r="L200" s="10"/>
      <c r="M200" s="1"/>
      <c r="N200" s="1"/>
      <c r="O200" s="1"/>
      <c r="P200" s="1"/>
      <c r="Q200" s="1"/>
      <c r="R200" s="1"/>
      <c r="S200" s="1"/>
    </row>
    <row r="201" ht="10.5" customHeight="1">
      <c r="A201" s="1"/>
      <c r="B201" s="48" t="s">
        <v>97</v>
      </c>
      <c r="C201" s="208">
        <v>4.0</v>
      </c>
      <c r="D201" s="214">
        <v>86.0</v>
      </c>
      <c r="E201" s="214">
        <v>112.0</v>
      </c>
      <c r="F201" s="216">
        <v>2262.0</v>
      </c>
      <c r="G201" s="214">
        <v>328.0</v>
      </c>
      <c r="H201" s="214">
        <v>162.0</v>
      </c>
      <c r="I201" s="216">
        <v>1813.0</v>
      </c>
      <c r="J201" s="214">
        <v>424.0</v>
      </c>
      <c r="K201" s="217">
        <v>1878.0</v>
      </c>
      <c r="L201" s="217">
        <f>SUM(E201:J201)</f>
        <v>5101</v>
      </c>
      <c r="M201" s="1"/>
      <c r="N201" s="1"/>
      <c r="O201" s="1"/>
      <c r="P201" s="1"/>
      <c r="Q201" s="1"/>
      <c r="R201" s="1"/>
      <c r="S201" s="1"/>
    </row>
    <row r="202" ht="10.5" customHeight="1">
      <c r="A202" s="1"/>
      <c r="B202" s="48" t="s">
        <v>101</v>
      </c>
      <c r="C202" s="208">
        <v>4.0</v>
      </c>
      <c r="D202" s="214">
        <v>70.0</v>
      </c>
      <c r="E202" s="214">
        <v>110.0</v>
      </c>
      <c r="F202" s="216">
        <v>2262.0</v>
      </c>
      <c r="G202" s="214">
        <v>300.0</v>
      </c>
      <c r="H202" s="214">
        <v>95.0</v>
      </c>
      <c r="I202" s="216">
        <v>1480.0</v>
      </c>
      <c r="J202" s="214">
        <v>359.0</v>
      </c>
      <c r="K202" s="217">
        <v>2050.0</v>
      </c>
      <c r="L202" s="217">
        <f t="shared" ref="L202:L205" si="4">SUM(E202:K202)</f>
        <v>6656</v>
      </c>
      <c r="M202" s="1"/>
      <c r="N202" s="1"/>
      <c r="O202" s="1"/>
      <c r="P202" s="1"/>
      <c r="Q202" s="1"/>
      <c r="R202" s="1"/>
      <c r="S202" s="1"/>
    </row>
    <row r="203" ht="10.5" customHeight="1">
      <c r="A203" s="1"/>
      <c r="B203" s="48" t="s">
        <v>103</v>
      </c>
      <c r="C203" s="208">
        <v>4.0</v>
      </c>
      <c r="D203" s="214">
        <v>70.0</v>
      </c>
      <c r="E203" s="214">
        <v>162.0</v>
      </c>
      <c r="F203" s="216">
        <v>3640.0</v>
      </c>
      <c r="G203" s="214">
        <v>362.0</v>
      </c>
      <c r="H203" s="214">
        <v>137.0</v>
      </c>
      <c r="I203" s="216">
        <v>2194.0</v>
      </c>
      <c r="J203" s="214">
        <v>534.0</v>
      </c>
      <c r="K203" s="217">
        <v>4449.0</v>
      </c>
      <c r="L203" s="217">
        <f t="shared" si="4"/>
        <v>11478</v>
      </c>
      <c r="M203" s="1"/>
      <c r="N203" s="1"/>
      <c r="O203" s="1"/>
      <c r="P203" s="1"/>
      <c r="Q203" s="1"/>
      <c r="R203" s="1"/>
      <c r="S203" s="1"/>
    </row>
    <row r="204" ht="10.5" customHeight="1">
      <c r="A204" s="1"/>
      <c r="B204" s="48" t="s">
        <v>104</v>
      </c>
      <c r="C204" s="208">
        <v>4.0</v>
      </c>
      <c r="D204" s="214">
        <v>62.0</v>
      </c>
      <c r="E204" s="214">
        <v>104.0</v>
      </c>
      <c r="F204" s="216">
        <v>2779.0</v>
      </c>
      <c r="G204" s="214">
        <v>319.0</v>
      </c>
      <c r="H204" s="214">
        <v>74.0</v>
      </c>
      <c r="I204" s="216">
        <v>1832.0</v>
      </c>
      <c r="J204" s="214">
        <v>394.0</v>
      </c>
      <c r="K204" s="217">
        <v>2773.0</v>
      </c>
      <c r="L204" s="217">
        <f t="shared" si="4"/>
        <v>8275</v>
      </c>
      <c r="M204" s="1"/>
      <c r="N204" s="1"/>
      <c r="O204" s="1"/>
      <c r="P204" s="1"/>
      <c r="Q204" s="1"/>
      <c r="R204" s="1"/>
      <c r="S204" s="1"/>
    </row>
    <row r="205" ht="10.5" customHeight="1">
      <c r="A205" s="1"/>
      <c r="B205" s="48" t="s">
        <v>108</v>
      </c>
      <c r="C205" s="208">
        <v>3.0</v>
      </c>
      <c r="D205" s="214">
        <v>62.0</v>
      </c>
      <c r="E205" s="214">
        <v>110.0</v>
      </c>
      <c r="F205" s="216">
        <v>2121.0</v>
      </c>
      <c r="G205" s="214">
        <v>340.0</v>
      </c>
      <c r="H205" s="214">
        <v>107.0</v>
      </c>
      <c r="I205" s="216">
        <v>2074.0</v>
      </c>
      <c r="J205" s="214">
        <v>435.0</v>
      </c>
      <c r="K205" s="217">
        <v>2573.0</v>
      </c>
      <c r="L205" s="217">
        <f t="shared" si="4"/>
        <v>7760</v>
      </c>
      <c r="M205" s="1"/>
      <c r="N205" s="1"/>
      <c r="O205" s="1"/>
      <c r="P205" s="1"/>
      <c r="Q205" s="1"/>
      <c r="R205" s="1"/>
      <c r="S205" s="1"/>
    </row>
    <row r="206" ht="10.5" customHeight="1">
      <c r="A206" s="1"/>
      <c r="B206" s="48"/>
      <c r="C206" s="208"/>
      <c r="D206" s="214"/>
      <c r="E206" s="214"/>
      <c r="F206" s="216"/>
      <c r="G206" s="214"/>
      <c r="H206" s="214"/>
      <c r="I206" s="216"/>
      <c r="J206" s="214"/>
      <c r="K206" s="217"/>
      <c r="L206" s="217"/>
      <c r="M206" s="1"/>
      <c r="N206" s="1"/>
      <c r="O206" s="1"/>
      <c r="P206" s="1"/>
      <c r="Q206" s="1"/>
      <c r="R206" s="1"/>
      <c r="S206" s="1"/>
    </row>
    <row r="207" ht="10.5" customHeight="1">
      <c r="A207" s="1"/>
      <c r="B207" s="48" t="s">
        <v>111</v>
      </c>
      <c r="C207" s="208">
        <v>2.0</v>
      </c>
      <c r="D207" s="214">
        <v>34.0</v>
      </c>
      <c r="E207" s="214">
        <v>125.0</v>
      </c>
      <c r="F207" s="216">
        <v>850.0</v>
      </c>
      <c r="G207" s="214">
        <v>237.0</v>
      </c>
      <c r="H207" s="214">
        <v>49.0</v>
      </c>
      <c r="I207" s="216">
        <v>1092.0</v>
      </c>
      <c r="J207" s="214">
        <v>163.0</v>
      </c>
      <c r="K207" s="217">
        <v>404.0</v>
      </c>
      <c r="L207" s="217">
        <f t="shared" ref="L207:L211" si="5">SUM(E207:K207)</f>
        <v>2920</v>
      </c>
      <c r="M207" s="1"/>
      <c r="N207" s="1"/>
      <c r="O207" s="1"/>
      <c r="P207" s="1"/>
      <c r="Q207" s="1"/>
      <c r="R207" s="1"/>
      <c r="S207" s="1"/>
    </row>
    <row r="208" ht="10.5" customHeight="1">
      <c r="A208" s="1"/>
      <c r="B208" s="48" t="s">
        <v>112</v>
      </c>
      <c r="C208" s="208">
        <v>5.0</v>
      </c>
      <c r="D208" s="214">
        <v>65.0</v>
      </c>
      <c r="E208" s="214">
        <v>157.0</v>
      </c>
      <c r="F208" s="216">
        <v>3316.0</v>
      </c>
      <c r="G208" s="214">
        <v>295.0</v>
      </c>
      <c r="H208" s="214">
        <v>69.0</v>
      </c>
      <c r="I208" s="216">
        <v>2254.0</v>
      </c>
      <c r="J208" s="214">
        <v>450.0</v>
      </c>
      <c r="K208" s="217">
        <v>2466.0</v>
      </c>
      <c r="L208" s="217">
        <f t="shared" si="5"/>
        <v>9007</v>
      </c>
      <c r="M208" s="1"/>
      <c r="N208" s="1"/>
      <c r="O208" s="1"/>
      <c r="P208" s="1"/>
      <c r="Q208" s="1"/>
      <c r="R208" s="1"/>
      <c r="S208" s="1"/>
    </row>
    <row r="209" ht="10.5" customHeight="1">
      <c r="A209" s="1"/>
      <c r="B209" s="48" t="s">
        <v>113</v>
      </c>
      <c r="C209" s="222">
        <v>6.0</v>
      </c>
      <c r="D209" s="223">
        <v>76.0</v>
      </c>
      <c r="E209" s="223">
        <v>178.0</v>
      </c>
      <c r="F209" s="216">
        <v>4336.0</v>
      </c>
      <c r="G209" s="214">
        <v>359.0</v>
      </c>
      <c r="H209" s="214">
        <v>89.0</v>
      </c>
      <c r="I209" s="216">
        <v>2672.0</v>
      </c>
      <c r="J209" s="214">
        <v>716.0</v>
      </c>
      <c r="K209" s="217">
        <v>3635.0</v>
      </c>
      <c r="L209" s="217">
        <f t="shared" si="5"/>
        <v>11985</v>
      </c>
      <c r="M209" s="1"/>
      <c r="N209" s="1"/>
      <c r="O209" s="1"/>
      <c r="P209" s="1"/>
      <c r="Q209" s="1"/>
      <c r="R209" s="1"/>
      <c r="S209" s="1"/>
    </row>
    <row r="210" ht="10.5" customHeight="1">
      <c r="A210" s="1"/>
      <c r="B210" s="48" t="s">
        <v>114</v>
      </c>
      <c r="C210" s="222">
        <v>20.0</v>
      </c>
      <c r="D210" s="223">
        <v>90.0</v>
      </c>
      <c r="E210" s="223">
        <v>160.0</v>
      </c>
      <c r="F210" s="216">
        <v>1257.0</v>
      </c>
      <c r="G210" s="214">
        <v>266.0</v>
      </c>
      <c r="H210" s="214">
        <v>30.0</v>
      </c>
      <c r="I210" s="216">
        <v>1135.0</v>
      </c>
      <c r="J210" s="214">
        <v>281.0</v>
      </c>
      <c r="K210" s="217">
        <v>1167.0</v>
      </c>
      <c r="L210" s="217">
        <f t="shared" si="5"/>
        <v>4296</v>
      </c>
      <c r="M210" s="1"/>
      <c r="N210" s="1"/>
      <c r="O210" s="1"/>
      <c r="P210" s="1"/>
      <c r="Q210" s="1"/>
      <c r="R210" s="1"/>
      <c r="S210" s="1"/>
    </row>
    <row r="211" ht="10.5" customHeight="1">
      <c r="A211" s="1"/>
      <c r="B211" s="48" t="s">
        <v>115</v>
      </c>
      <c r="C211" s="222">
        <v>25.0</v>
      </c>
      <c r="D211" s="223">
        <v>117.0</v>
      </c>
      <c r="E211" s="223">
        <v>180.0</v>
      </c>
      <c r="F211" s="216">
        <v>3292.0</v>
      </c>
      <c r="G211" s="214">
        <v>328.0</v>
      </c>
      <c r="H211" s="214">
        <v>64.0</v>
      </c>
      <c r="I211" s="216">
        <v>1948.0</v>
      </c>
      <c r="J211" s="214">
        <v>465.0</v>
      </c>
      <c r="K211" s="217">
        <v>3275.0</v>
      </c>
      <c r="L211" s="217">
        <f t="shared" si="5"/>
        <v>9552</v>
      </c>
      <c r="M211" s="1"/>
      <c r="N211" s="1"/>
      <c r="O211" s="1"/>
      <c r="P211" s="1"/>
      <c r="Q211" s="1"/>
      <c r="R211" s="1"/>
      <c r="S211" s="1"/>
    </row>
    <row r="212" ht="10.5" customHeight="1">
      <c r="A212" s="1"/>
      <c r="B212" s="48"/>
      <c r="C212" s="222"/>
      <c r="D212" s="223"/>
      <c r="E212" s="223"/>
      <c r="F212" s="216"/>
      <c r="G212" s="214"/>
      <c r="H212" s="214"/>
      <c r="I212" s="216"/>
      <c r="J212" s="214"/>
      <c r="K212" s="217"/>
      <c r="L212" s="217"/>
      <c r="M212" s="1"/>
      <c r="N212" s="1"/>
      <c r="O212" s="1"/>
      <c r="P212" s="1"/>
      <c r="Q212" s="1"/>
      <c r="R212" s="1"/>
      <c r="S212" s="1"/>
    </row>
    <row r="213" ht="10.5" customHeight="1">
      <c r="A213" s="1"/>
      <c r="B213" s="48" t="s">
        <v>117</v>
      </c>
      <c r="C213" s="222">
        <v>25.0</v>
      </c>
      <c r="D213" s="223">
        <v>45.0</v>
      </c>
      <c r="E213" s="223">
        <v>192.0</v>
      </c>
      <c r="F213" s="216">
        <v>3410.0</v>
      </c>
      <c r="G213" s="214">
        <v>339.0</v>
      </c>
      <c r="H213" s="214">
        <v>65.0</v>
      </c>
      <c r="I213" s="216">
        <v>1732.0</v>
      </c>
      <c r="J213" s="214">
        <v>389.0</v>
      </c>
      <c r="K213" s="217">
        <v>3385.0</v>
      </c>
      <c r="L213" s="217">
        <f t="shared" ref="L213:L217" si="6">SUM(E213:K213)</f>
        <v>9512</v>
      </c>
      <c r="M213" s="1"/>
      <c r="N213" s="1"/>
      <c r="O213" s="1"/>
      <c r="P213" s="1"/>
      <c r="Q213" s="1"/>
      <c r="R213" s="1"/>
      <c r="S213" s="1"/>
    </row>
    <row r="214" ht="10.5" customHeight="1">
      <c r="A214" s="1"/>
      <c r="B214" s="48" t="s">
        <v>121</v>
      </c>
      <c r="C214" s="222">
        <v>5.0</v>
      </c>
      <c r="D214" s="223">
        <v>34.0</v>
      </c>
      <c r="E214" s="223">
        <v>176.0</v>
      </c>
      <c r="F214" s="216">
        <v>2540.0</v>
      </c>
      <c r="G214" s="214">
        <v>269.0</v>
      </c>
      <c r="H214" s="214">
        <v>49.0</v>
      </c>
      <c r="I214" s="216">
        <v>1486.0</v>
      </c>
      <c r="J214" s="214">
        <v>370.0</v>
      </c>
      <c r="K214" s="217">
        <v>2275.0</v>
      </c>
      <c r="L214" s="217">
        <f t="shared" si="6"/>
        <v>7165</v>
      </c>
      <c r="M214" s="1"/>
      <c r="N214" s="1"/>
      <c r="O214" s="1"/>
      <c r="P214" s="1"/>
      <c r="Q214" s="1"/>
      <c r="R214" s="1"/>
      <c r="S214" s="1"/>
    </row>
    <row r="215" ht="10.5" customHeight="1">
      <c r="A215" s="1"/>
      <c r="B215" s="48" t="s">
        <v>122</v>
      </c>
      <c r="C215" s="222">
        <v>8.0</v>
      </c>
      <c r="D215" s="223">
        <v>31.0</v>
      </c>
      <c r="E215" s="223">
        <v>201.0</v>
      </c>
      <c r="F215" s="216">
        <v>2759.0</v>
      </c>
      <c r="G215" s="214">
        <v>247.0</v>
      </c>
      <c r="H215" s="214">
        <v>57.0</v>
      </c>
      <c r="I215" s="216">
        <v>1870.0</v>
      </c>
      <c r="J215" s="214">
        <v>366.0</v>
      </c>
      <c r="K215" s="217">
        <v>1922.0</v>
      </c>
      <c r="L215" s="217">
        <f t="shared" si="6"/>
        <v>7422</v>
      </c>
      <c r="M215" s="1"/>
      <c r="N215" s="1"/>
      <c r="O215" s="1"/>
      <c r="P215" s="1"/>
      <c r="Q215" s="1"/>
      <c r="R215" s="1"/>
      <c r="S215" s="1"/>
    </row>
    <row r="216" ht="10.5" customHeight="1">
      <c r="A216" s="1"/>
      <c r="B216" s="48" t="s">
        <v>123</v>
      </c>
      <c r="C216" s="222">
        <v>9.0</v>
      </c>
      <c r="D216" s="223">
        <v>47.0</v>
      </c>
      <c r="E216" s="223">
        <v>258.0</v>
      </c>
      <c r="F216" s="216">
        <v>4194.0</v>
      </c>
      <c r="G216" s="214">
        <v>289.0</v>
      </c>
      <c r="H216" s="214">
        <v>134.0</v>
      </c>
      <c r="I216" s="216">
        <v>2360.0</v>
      </c>
      <c r="J216" s="214">
        <v>455.0</v>
      </c>
      <c r="K216" s="217">
        <v>3255.0</v>
      </c>
      <c r="L216" s="217">
        <f t="shared" si="6"/>
        <v>10945</v>
      </c>
      <c r="M216" s="1"/>
      <c r="N216" s="1"/>
      <c r="O216" s="1"/>
      <c r="P216" s="1"/>
      <c r="Q216" s="1"/>
      <c r="R216" s="1"/>
      <c r="S216" s="1"/>
    </row>
    <row r="217" ht="10.5" customHeight="1">
      <c r="A217" s="1"/>
      <c r="B217" s="224" t="s">
        <v>125</v>
      </c>
      <c r="C217" s="222">
        <v>9.0</v>
      </c>
      <c r="D217" s="223">
        <v>46.0</v>
      </c>
      <c r="E217" s="223">
        <v>320.0</v>
      </c>
      <c r="F217" s="216">
        <v>2695.0</v>
      </c>
      <c r="G217" s="214">
        <v>256.0</v>
      </c>
      <c r="H217" s="214">
        <v>92.0</v>
      </c>
      <c r="I217" s="216">
        <v>1520.0</v>
      </c>
      <c r="J217" s="214">
        <v>334.0</v>
      </c>
      <c r="K217" s="217">
        <v>2215.0</v>
      </c>
      <c r="L217" s="217">
        <f t="shared" si="6"/>
        <v>7432</v>
      </c>
      <c r="M217" s="1"/>
      <c r="N217" s="1"/>
      <c r="O217" s="1"/>
      <c r="P217" s="1"/>
      <c r="Q217" s="1"/>
      <c r="R217" s="1"/>
      <c r="S217" s="1"/>
    </row>
    <row r="218" ht="10.5" customHeight="1">
      <c r="A218" s="1"/>
      <c r="B218" s="225"/>
      <c r="C218" s="222"/>
      <c r="D218" s="223"/>
      <c r="E218" s="223"/>
      <c r="F218" s="216"/>
      <c r="G218" s="214"/>
      <c r="H218" s="214"/>
      <c r="I218" s="216"/>
      <c r="J218" s="214"/>
      <c r="K218" s="217"/>
      <c r="L218" s="217"/>
      <c r="M218" s="1"/>
      <c r="N218" s="1"/>
      <c r="O218" s="1"/>
      <c r="P218" s="1"/>
      <c r="Q218" s="1"/>
      <c r="R218" s="1"/>
      <c r="S218" s="1"/>
    </row>
    <row r="219" ht="10.5" customHeight="1">
      <c r="A219" s="1"/>
      <c r="B219" s="227" t="s">
        <v>127</v>
      </c>
      <c r="C219" s="214">
        <v>14.0</v>
      </c>
      <c r="D219" s="214">
        <v>45.0</v>
      </c>
      <c r="E219" s="214">
        <v>511.0</v>
      </c>
      <c r="F219" s="216">
        <v>3217.0</v>
      </c>
      <c r="G219" s="214">
        <v>402.0</v>
      </c>
      <c r="H219" s="214">
        <v>106.0</v>
      </c>
      <c r="I219" s="216">
        <v>2068.0</v>
      </c>
      <c r="J219" s="214">
        <v>484.0</v>
      </c>
      <c r="K219" s="217">
        <v>2885.0</v>
      </c>
      <c r="L219" s="217">
        <f t="shared" ref="L219:L223" si="7">SUM(E219:K219)</f>
        <v>9673</v>
      </c>
      <c r="M219" s="1"/>
      <c r="N219" s="1"/>
      <c r="O219" s="1"/>
      <c r="P219" s="1"/>
      <c r="Q219" s="1"/>
      <c r="R219" s="1"/>
      <c r="S219" s="1"/>
    </row>
    <row r="220" ht="10.5" customHeight="1">
      <c r="A220" s="1"/>
      <c r="B220" s="227" t="s">
        <v>128</v>
      </c>
      <c r="C220" s="214">
        <v>21.0</v>
      </c>
      <c r="D220" s="214">
        <v>51.0</v>
      </c>
      <c r="E220" s="214">
        <v>534.0</v>
      </c>
      <c r="F220" s="216">
        <v>3337.0</v>
      </c>
      <c r="G220" s="214">
        <v>385.0</v>
      </c>
      <c r="H220" s="214">
        <v>162.0</v>
      </c>
      <c r="I220" s="216">
        <v>1882.0</v>
      </c>
      <c r="J220" s="214">
        <v>418.0</v>
      </c>
      <c r="K220" s="217">
        <v>2601.0</v>
      </c>
      <c r="L220" s="217">
        <f t="shared" si="7"/>
        <v>9319</v>
      </c>
      <c r="M220" s="1"/>
      <c r="N220" s="1"/>
      <c r="O220" s="1"/>
      <c r="P220" s="1"/>
      <c r="Q220" s="1"/>
      <c r="R220" s="1"/>
      <c r="S220" s="1"/>
    </row>
    <row r="221" ht="10.5" customHeight="1">
      <c r="A221" s="1"/>
      <c r="B221" s="227" t="s">
        <v>129</v>
      </c>
      <c r="C221" s="214">
        <v>15.0</v>
      </c>
      <c r="D221" s="214">
        <v>82.0</v>
      </c>
      <c r="E221" s="214">
        <v>511.0</v>
      </c>
      <c r="F221" s="216">
        <v>3100.0</v>
      </c>
      <c r="G221" s="214">
        <v>390.0</v>
      </c>
      <c r="H221" s="214">
        <v>115.0</v>
      </c>
      <c r="I221" s="216">
        <v>2219.0</v>
      </c>
      <c r="J221" s="214">
        <v>482.0</v>
      </c>
      <c r="K221" s="217">
        <v>2568.0</v>
      </c>
      <c r="L221" s="217">
        <f t="shared" si="7"/>
        <v>9385</v>
      </c>
      <c r="M221" s="1"/>
      <c r="N221" s="1"/>
      <c r="O221" s="1"/>
      <c r="P221" s="1"/>
      <c r="Q221" s="1"/>
      <c r="R221" s="1"/>
      <c r="S221" s="1"/>
    </row>
    <row r="222" ht="10.5" customHeight="1">
      <c r="A222" s="1"/>
      <c r="B222" s="85" t="s">
        <v>130</v>
      </c>
      <c r="C222" s="214">
        <v>20.0</v>
      </c>
      <c r="D222" s="214">
        <v>88.0</v>
      </c>
      <c r="E222" s="214">
        <v>557.0</v>
      </c>
      <c r="F222" s="216">
        <v>4113.0</v>
      </c>
      <c r="G222" s="214">
        <v>400.0</v>
      </c>
      <c r="H222" s="214">
        <v>120.0</v>
      </c>
      <c r="I222" s="216">
        <v>2807.0</v>
      </c>
      <c r="J222" s="214">
        <v>483.0</v>
      </c>
      <c r="K222" s="217">
        <v>2862.0</v>
      </c>
      <c r="L222" s="217">
        <f t="shared" si="7"/>
        <v>11342</v>
      </c>
      <c r="M222" s="1"/>
      <c r="N222" s="1"/>
      <c r="O222" s="1"/>
      <c r="P222" s="1"/>
      <c r="Q222" s="1"/>
      <c r="R222" s="1"/>
      <c r="S222" s="1"/>
    </row>
    <row r="223" ht="10.5" customHeight="1">
      <c r="A223" s="1"/>
      <c r="B223" s="85" t="s">
        <v>131</v>
      </c>
      <c r="C223" s="214">
        <v>27.0</v>
      </c>
      <c r="D223" s="214">
        <v>70.0</v>
      </c>
      <c r="E223" s="214">
        <v>443.0</v>
      </c>
      <c r="F223" s="216">
        <v>2080.0</v>
      </c>
      <c r="G223" s="214">
        <v>310.0</v>
      </c>
      <c r="H223" s="214">
        <v>58.0</v>
      </c>
      <c r="I223" s="216">
        <v>1615.0</v>
      </c>
      <c r="J223" s="214">
        <v>325.0</v>
      </c>
      <c r="K223" s="217">
        <v>1690.0</v>
      </c>
      <c r="L223" s="217">
        <f t="shared" si="7"/>
        <v>6521</v>
      </c>
      <c r="M223" s="1"/>
      <c r="N223" s="1"/>
      <c r="O223" s="1"/>
      <c r="P223" s="1"/>
      <c r="Q223" s="1"/>
      <c r="R223" s="1"/>
      <c r="S223" s="1"/>
    </row>
    <row r="224" ht="10.5" customHeight="1">
      <c r="A224" s="1"/>
      <c r="B224" s="85"/>
      <c r="C224" s="214"/>
      <c r="D224" s="222"/>
      <c r="E224" s="214"/>
      <c r="F224" s="130"/>
      <c r="G224" s="214"/>
      <c r="H224" s="214"/>
      <c r="I224" s="216"/>
      <c r="J224" s="214"/>
      <c r="K224" s="228"/>
      <c r="L224" s="217"/>
      <c r="M224" s="1"/>
      <c r="N224" s="1"/>
      <c r="O224" s="1"/>
      <c r="P224" s="1"/>
      <c r="Q224" s="1"/>
      <c r="R224" s="1"/>
      <c r="S224" s="1"/>
    </row>
    <row r="225" ht="10.5" customHeight="1">
      <c r="A225" s="1"/>
      <c r="B225" s="85" t="s">
        <v>133</v>
      </c>
      <c r="C225" s="214">
        <v>20.0</v>
      </c>
      <c r="D225" s="222">
        <v>83.0</v>
      </c>
      <c r="E225" s="214">
        <v>541.0</v>
      </c>
      <c r="F225" s="130">
        <v>2855.0</v>
      </c>
      <c r="G225" s="214">
        <v>359.0</v>
      </c>
      <c r="H225" s="214">
        <v>131.0</v>
      </c>
      <c r="I225" s="216">
        <v>1490.0</v>
      </c>
      <c r="J225" s="214">
        <v>254.0</v>
      </c>
      <c r="K225" s="228">
        <v>1392.0</v>
      </c>
      <c r="L225" s="217">
        <f t="shared" ref="L225:L229" si="8">SUM(E225:K225)</f>
        <v>7022</v>
      </c>
      <c r="M225" s="1"/>
      <c r="N225" s="1"/>
      <c r="O225" s="1"/>
      <c r="P225" s="1"/>
      <c r="Q225" s="1"/>
      <c r="R225" s="1"/>
      <c r="S225" s="1"/>
    </row>
    <row r="226" ht="10.5" customHeight="1">
      <c r="A226" s="1"/>
      <c r="B226" s="85" t="s">
        <v>134</v>
      </c>
      <c r="C226" s="214">
        <v>40.0</v>
      </c>
      <c r="D226" s="222">
        <v>85.0</v>
      </c>
      <c r="E226" s="214">
        <v>662.0</v>
      </c>
      <c r="F226" s="130">
        <v>4928.0</v>
      </c>
      <c r="G226" s="214">
        <v>489.0</v>
      </c>
      <c r="H226" s="214">
        <v>224.0</v>
      </c>
      <c r="I226" s="216">
        <v>2875.0</v>
      </c>
      <c r="J226" s="214">
        <v>568.0</v>
      </c>
      <c r="K226" s="228">
        <v>2829.0</v>
      </c>
      <c r="L226" s="217">
        <f t="shared" si="8"/>
        <v>12575</v>
      </c>
      <c r="M226" s="1"/>
      <c r="N226" s="1"/>
      <c r="O226" s="1"/>
      <c r="P226" s="1"/>
      <c r="Q226" s="1"/>
      <c r="R226" s="1"/>
      <c r="S226" s="1"/>
    </row>
    <row r="227" ht="10.5" customHeight="1">
      <c r="A227" s="1"/>
      <c r="B227" s="11" t="s">
        <v>135</v>
      </c>
      <c r="C227" s="214">
        <v>50.0</v>
      </c>
      <c r="D227" s="214">
        <v>92.0</v>
      </c>
      <c r="E227" s="214">
        <v>634.0</v>
      </c>
      <c r="F227" s="216">
        <v>4527.0</v>
      </c>
      <c r="G227" s="214">
        <v>521.0</v>
      </c>
      <c r="H227" s="214">
        <v>247.0</v>
      </c>
      <c r="I227" s="216">
        <v>2870.0</v>
      </c>
      <c r="J227" s="214">
        <v>534.0</v>
      </c>
      <c r="K227" s="217">
        <v>2575.0</v>
      </c>
      <c r="L227" s="217">
        <f t="shared" si="8"/>
        <v>11908</v>
      </c>
      <c r="M227" s="1"/>
      <c r="N227" s="1"/>
      <c r="O227" s="1"/>
      <c r="P227" s="1"/>
      <c r="Q227" s="1"/>
      <c r="R227" s="1"/>
      <c r="S227" s="1"/>
    </row>
    <row r="228" ht="10.5" customHeight="1">
      <c r="A228" s="1"/>
      <c r="B228" s="11" t="s">
        <v>138</v>
      </c>
      <c r="C228" s="214">
        <v>18.0</v>
      </c>
      <c r="D228" s="214">
        <v>80.0</v>
      </c>
      <c r="E228" s="214">
        <v>609.0</v>
      </c>
      <c r="F228" s="216">
        <v>5076.0</v>
      </c>
      <c r="G228" s="214">
        <v>524.0</v>
      </c>
      <c r="H228" s="214">
        <v>210.0</v>
      </c>
      <c r="I228" s="216">
        <v>2745.0</v>
      </c>
      <c r="J228" s="214">
        <v>685.0</v>
      </c>
      <c r="K228" s="217">
        <v>2868.0</v>
      </c>
      <c r="L228" s="217">
        <f t="shared" si="8"/>
        <v>12717</v>
      </c>
      <c r="M228" s="1"/>
      <c r="N228" s="1"/>
      <c r="O228" s="1"/>
      <c r="P228" s="1"/>
      <c r="Q228" s="1"/>
      <c r="R228" s="1"/>
      <c r="S228" s="1"/>
    </row>
    <row r="229" ht="10.5" customHeight="1">
      <c r="A229" s="1"/>
      <c r="B229" s="11" t="s">
        <v>139</v>
      </c>
      <c r="C229" s="214">
        <v>14.0</v>
      </c>
      <c r="D229" s="214">
        <v>68.0</v>
      </c>
      <c r="E229" s="214">
        <v>538.0</v>
      </c>
      <c r="F229" s="216">
        <v>4052.0</v>
      </c>
      <c r="G229" s="214">
        <v>450.0</v>
      </c>
      <c r="H229" s="214">
        <v>173.0</v>
      </c>
      <c r="I229" s="216">
        <v>2190.0</v>
      </c>
      <c r="J229" s="214">
        <v>543.0</v>
      </c>
      <c r="K229" s="217">
        <v>2332.0</v>
      </c>
      <c r="L229" s="217">
        <f t="shared" si="8"/>
        <v>10278</v>
      </c>
      <c r="M229" s="1"/>
      <c r="N229" s="1"/>
      <c r="O229" s="1"/>
      <c r="P229" s="1"/>
      <c r="Q229" s="1"/>
      <c r="R229" s="1"/>
      <c r="S229" s="1"/>
    </row>
    <row r="230" ht="10.5" customHeight="1">
      <c r="A230" s="1"/>
      <c r="B230" s="11"/>
      <c r="C230" s="214"/>
      <c r="D230" s="214"/>
      <c r="E230" s="214"/>
      <c r="F230" s="216"/>
      <c r="G230" s="214"/>
      <c r="H230" s="214"/>
      <c r="I230" s="216"/>
      <c r="J230" s="214"/>
      <c r="K230" s="217"/>
      <c r="L230" s="217"/>
      <c r="M230" s="1"/>
      <c r="N230" s="1"/>
      <c r="O230" s="1"/>
      <c r="P230" s="1"/>
      <c r="Q230" s="1"/>
      <c r="R230" s="1"/>
      <c r="S230" s="1"/>
    </row>
    <row r="231" ht="10.5" customHeight="1">
      <c r="A231" s="1"/>
      <c r="B231" s="11" t="s">
        <v>143</v>
      </c>
      <c r="C231" s="214">
        <v>30.0</v>
      </c>
      <c r="D231" s="214">
        <v>93.0</v>
      </c>
      <c r="E231" s="214">
        <v>617.0</v>
      </c>
      <c r="F231" s="216">
        <v>4823.0</v>
      </c>
      <c r="G231" s="214">
        <v>512.0</v>
      </c>
      <c r="H231" s="214">
        <v>274.0</v>
      </c>
      <c r="I231" s="216">
        <v>2529.0</v>
      </c>
      <c r="J231" s="214">
        <v>578.0</v>
      </c>
      <c r="K231" s="217">
        <v>2664.0</v>
      </c>
      <c r="L231" s="217">
        <f t="shared" ref="L231:L234" si="9">SUM(E231:K231)</f>
        <v>11997</v>
      </c>
      <c r="M231" s="1"/>
      <c r="N231" s="1"/>
      <c r="O231" s="1"/>
      <c r="P231" s="1"/>
      <c r="Q231" s="1"/>
      <c r="R231" s="1"/>
      <c r="S231" s="1"/>
    </row>
    <row r="232" ht="10.5" customHeight="1">
      <c r="A232" s="1"/>
      <c r="B232" s="11" t="s">
        <v>149</v>
      </c>
      <c r="C232" s="214">
        <v>33.0</v>
      </c>
      <c r="D232" s="214">
        <v>108.0</v>
      </c>
      <c r="E232" s="214">
        <v>675.0</v>
      </c>
      <c r="F232" s="216">
        <v>4885.0</v>
      </c>
      <c r="G232" s="214">
        <v>599.0</v>
      </c>
      <c r="H232" s="214">
        <v>292.0</v>
      </c>
      <c r="I232" s="216">
        <v>3005.0</v>
      </c>
      <c r="J232" s="214">
        <v>600.0</v>
      </c>
      <c r="K232" s="217">
        <v>1613.0</v>
      </c>
      <c r="L232" s="217">
        <f t="shared" si="9"/>
        <v>11669</v>
      </c>
      <c r="M232" s="1"/>
      <c r="N232" s="1"/>
      <c r="O232" s="1"/>
      <c r="P232" s="1"/>
      <c r="Q232" s="1"/>
      <c r="R232" s="1"/>
      <c r="S232" s="1"/>
    </row>
    <row r="233" ht="10.5" customHeight="1">
      <c r="A233" s="1"/>
      <c r="B233" s="11" t="s">
        <v>151</v>
      </c>
      <c r="C233" s="214">
        <v>33.0</v>
      </c>
      <c r="D233" s="214">
        <v>111.0</v>
      </c>
      <c r="E233" s="214">
        <v>664.0</v>
      </c>
      <c r="F233" s="216">
        <v>6247.0</v>
      </c>
      <c r="G233" s="214">
        <v>559.0</v>
      </c>
      <c r="H233" s="214">
        <v>307.0</v>
      </c>
      <c r="I233" s="216">
        <v>2783.0</v>
      </c>
      <c r="J233" s="214">
        <v>648.0</v>
      </c>
      <c r="K233" s="217">
        <v>2898.0</v>
      </c>
      <c r="L233" s="217">
        <f t="shared" si="9"/>
        <v>14106</v>
      </c>
      <c r="M233" s="1"/>
      <c r="N233" s="1"/>
      <c r="O233" s="1"/>
      <c r="P233" s="1"/>
      <c r="Q233" s="1"/>
      <c r="R233" s="1"/>
      <c r="S233" s="1"/>
    </row>
    <row r="234" ht="10.5" customHeight="1">
      <c r="A234" s="1"/>
      <c r="B234" s="11" t="s">
        <v>153</v>
      </c>
      <c r="C234" s="214">
        <v>38.0</v>
      </c>
      <c r="D234" s="214">
        <v>100.0</v>
      </c>
      <c r="E234" s="214">
        <v>679.0</v>
      </c>
      <c r="F234" s="216">
        <v>3944.0</v>
      </c>
      <c r="G234" s="214">
        <v>508.0</v>
      </c>
      <c r="H234" s="214">
        <v>281.0</v>
      </c>
      <c r="I234" s="216">
        <v>2429.0</v>
      </c>
      <c r="J234" s="214">
        <v>486.0</v>
      </c>
      <c r="K234" s="217">
        <v>1490.0</v>
      </c>
      <c r="L234" s="217">
        <f t="shared" si="9"/>
        <v>9817</v>
      </c>
      <c r="M234" s="1"/>
      <c r="N234" s="1"/>
      <c r="O234" s="1"/>
      <c r="P234" s="1"/>
      <c r="Q234" s="1"/>
      <c r="R234" s="1"/>
      <c r="S234" s="1"/>
    </row>
    <row r="235" ht="10.5" customHeight="1">
      <c r="A235" s="1"/>
      <c r="B235" s="11" t="s">
        <v>155</v>
      </c>
      <c r="C235" s="214">
        <v>45.0</v>
      </c>
      <c r="D235" s="214">
        <v>76.0</v>
      </c>
      <c r="E235" s="214">
        <v>710.0</v>
      </c>
      <c r="F235" s="216">
        <v>2214.0</v>
      </c>
      <c r="G235" s="214">
        <v>522.0</v>
      </c>
      <c r="H235" s="214">
        <v>310.0</v>
      </c>
      <c r="I235" s="216">
        <v>2319.0</v>
      </c>
      <c r="J235" s="214">
        <v>442.0</v>
      </c>
      <c r="K235" s="217">
        <v>1141.0</v>
      </c>
      <c r="L235" s="217">
        <v>7779.0</v>
      </c>
      <c r="M235" s="1"/>
      <c r="N235" s="1"/>
      <c r="O235" s="1"/>
      <c r="P235" s="1"/>
      <c r="Q235" s="1"/>
      <c r="R235" s="1"/>
      <c r="S235" s="1"/>
    </row>
    <row r="236" ht="10.5" customHeight="1">
      <c r="A236" s="1"/>
      <c r="B236" s="11"/>
      <c r="C236" s="214"/>
      <c r="D236" s="214"/>
      <c r="E236" s="214"/>
      <c r="F236" s="216"/>
      <c r="G236" s="214"/>
      <c r="H236" s="214"/>
      <c r="I236" s="216"/>
      <c r="J236" s="214"/>
      <c r="K236" s="217"/>
      <c r="L236" s="217"/>
      <c r="M236" s="1"/>
      <c r="N236" s="1"/>
      <c r="O236" s="1"/>
      <c r="P236" s="1"/>
      <c r="Q236" s="1"/>
      <c r="R236" s="1"/>
      <c r="S236" s="1"/>
    </row>
    <row r="237" ht="10.5" customHeight="1">
      <c r="A237" s="1"/>
      <c r="B237" s="11" t="s">
        <v>160</v>
      </c>
      <c r="C237" s="214">
        <v>22.0</v>
      </c>
      <c r="D237" s="214">
        <v>97.0</v>
      </c>
      <c r="E237" s="214">
        <v>712.0</v>
      </c>
      <c r="F237" s="216">
        <v>7362.0</v>
      </c>
      <c r="G237" s="214">
        <v>740.0</v>
      </c>
      <c r="H237" s="214">
        <v>492.0</v>
      </c>
      <c r="I237" s="216">
        <v>3431.0</v>
      </c>
      <c r="J237" s="214">
        <v>804.0</v>
      </c>
      <c r="K237" s="217">
        <v>3160.0</v>
      </c>
      <c r="L237" s="217">
        <v>16820.0</v>
      </c>
      <c r="M237" s="1"/>
      <c r="N237" s="1"/>
      <c r="O237" s="1"/>
      <c r="P237" s="1"/>
      <c r="Q237" s="1"/>
      <c r="R237" s="1"/>
      <c r="S237" s="1"/>
    </row>
    <row r="238" ht="10.5" customHeight="1">
      <c r="A238" s="1"/>
      <c r="B238" s="52" t="s">
        <v>415</v>
      </c>
      <c r="C238" s="239">
        <v>14.0</v>
      </c>
      <c r="D238" s="239">
        <v>70.0</v>
      </c>
      <c r="E238" s="239">
        <v>667.0</v>
      </c>
      <c r="F238" s="240">
        <v>5331.0</v>
      </c>
      <c r="G238" s="239">
        <v>611.0</v>
      </c>
      <c r="H238" s="240">
        <v>217.0</v>
      </c>
      <c r="I238" s="240">
        <v>2831.0</v>
      </c>
      <c r="J238" s="241">
        <v>693.0</v>
      </c>
      <c r="K238" s="241">
        <v>1789.0</v>
      </c>
      <c r="L238" s="241">
        <v>12223.0</v>
      </c>
      <c r="M238" s="1"/>
      <c r="N238" s="1"/>
      <c r="O238" s="1"/>
      <c r="P238" s="1"/>
      <c r="Q238" s="1"/>
      <c r="R238" s="1"/>
      <c r="S238" s="1"/>
    </row>
    <row r="239" ht="6.0" customHeight="1">
      <c r="A239" s="1"/>
      <c r="B239" s="242"/>
      <c r="C239" s="208"/>
      <c r="D239" s="208"/>
      <c r="E239" s="208"/>
      <c r="F239" s="243"/>
      <c r="G239" s="208"/>
      <c r="H239" s="243"/>
      <c r="I239" s="244"/>
      <c r="J239" s="244"/>
      <c r="K239" s="1"/>
      <c r="L239" s="1"/>
      <c r="M239" s="1"/>
      <c r="N239" s="1"/>
      <c r="O239" s="1"/>
      <c r="P239" s="1"/>
      <c r="Q239" s="1"/>
      <c r="R239" s="1"/>
      <c r="S239" s="1"/>
    </row>
    <row r="240" ht="11.25" customHeight="1">
      <c r="A240" s="1"/>
      <c r="B240" s="185" t="s">
        <v>424</v>
      </c>
      <c r="C240" s="1"/>
      <c r="D240" s="1"/>
      <c r="E240" s="1"/>
      <c r="F240" s="1"/>
      <c r="G240" s="1"/>
      <c r="H240" s="1"/>
      <c r="I240" s="245"/>
      <c r="J240" s="245"/>
      <c r="K240" s="1"/>
      <c r="L240" s="1"/>
      <c r="M240" s="1"/>
      <c r="N240" s="1"/>
      <c r="O240" s="1"/>
      <c r="P240" s="1"/>
      <c r="Q240" s="1"/>
      <c r="R240" s="1"/>
      <c r="S240" s="1"/>
    </row>
    <row r="241" ht="10.5" customHeight="1">
      <c r="A241" s="1"/>
      <c r="B241" s="185" t="s">
        <v>427</v>
      </c>
      <c r="C241" s="1"/>
      <c r="D241" s="1"/>
      <c r="E241" s="1"/>
      <c r="F241" s="1"/>
      <c r="G241" s="1"/>
      <c r="H241" s="1"/>
      <c r="I241" s="1"/>
      <c r="J241" s="1"/>
      <c r="K241" s="1"/>
      <c r="L241" s="1"/>
      <c r="M241" s="1"/>
      <c r="N241" s="1"/>
      <c r="O241" s="1"/>
      <c r="P241" s="1"/>
      <c r="Q241" s="1"/>
      <c r="R241" s="1"/>
      <c r="S241" s="1"/>
    </row>
    <row r="242" ht="10.5" customHeight="1">
      <c r="A242" s="1"/>
      <c r="B242" s="185" t="s">
        <v>430</v>
      </c>
      <c r="C242" s="1"/>
      <c r="D242" s="1"/>
      <c r="E242" s="1"/>
      <c r="F242" s="1"/>
      <c r="G242" s="1"/>
      <c r="H242" s="1"/>
      <c r="I242" s="1"/>
      <c r="J242" s="1"/>
      <c r="K242" s="1"/>
      <c r="L242" s="1"/>
      <c r="M242" s="1"/>
      <c r="N242" s="1"/>
      <c r="O242" s="1"/>
      <c r="P242" s="1"/>
      <c r="Q242" s="1"/>
      <c r="R242" s="1"/>
      <c r="S242" s="1"/>
    </row>
    <row r="243" ht="10.5" customHeight="1">
      <c r="A243" s="1"/>
      <c r="B243" s="185" t="s">
        <v>432</v>
      </c>
      <c r="C243" s="1"/>
      <c r="D243" s="1"/>
      <c r="E243" s="245"/>
      <c r="F243" s="245"/>
      <c r="G243" s="245"/>
      <c r="H243" s="245"/>
      <c r="I243" s="1"/>
      <c r="J243" s="1"/>
      <c r="K243" s="1"/>
      <c r="L243" s="1"/>
      <c r="M243" s="1"/>
      <c r="N243" s="1"/>
      <c r="O243" s="1"/>
      <c r="P243" s="1"/>
      <c r="Q243" s="1"/>
      <c r="R243" s="1"/>
      <c r="S243" s="1"/>
    </row>
    <row r="244" ht="10.5" customHeight="1">
      <c r="A244" s="1"/>
      <c r="B244" s="1"/>
      <c r="C244" s="1"/>
      <c r="D244" s="1"/>
      <c r="E244" s="1"/>
      <c r="F244" s="1"/>
      <c r="G244" s="1"/>
      <c r="H244" s="1"/>
      <c r="I244" s="1"/>
      <c r="J244" s="1"/>
      <c r="K244" s="1"/>
      <c r="L244" s="1"/>
      <c r="M244" s="1"/>
      <c r="N244" s="1"/>
      <c r="O244" s="1"/>
      <c r="P244" s="1"/>
      <c r="Q244" s="1"/>
      <c r="R244" s="1"/>
      <c r="S244" s="1"/>
    </row>
    <row r="245" ht="10.5" customHeight="1">
      <c r="A245" s="1"/>
      <c r="B245" s="1"/>
      <c r="C245" s="1"/>
      <c r="D245" s="1"/>
      <c r="E245" s="1"/>
      <c r="F245" s="1"/>
      <c r="G245" s="1"/>
      <c r="H245" s="1"/>
      <c r="I245" s="1"/>
      <c r="J245" s="1"/>
      <c r="K245" s="1"/>
      <c r="L245" s="1"/>
      <c r="M245" s="1"/>
      <c r="N245" s="1"/>
      <c r="O245" s="1"/>
      <c r="P245" s="1"/>
      <c r="Q245" s="1"/>
      <c r="R245" s="1"/>
      <c r="S245" s="1"/>
    </row>
    <row r="246" ht="10.5" customHeight="1">
      <c r="A246" s="1"/>
      <c r="B246" s="1"/>
      <c r="C246" s="1"/>
      <c r="D246" s="1"/>
      <c r="E246" s="1"/>
      <c r="F246" s="1"/>
      <c r="G246" s="1"/>
      <c r="H246" s="1"/>
      <c r="I246" s="1"/>
      <c r="J246" s="1"/>
      <c r="K246" s="1"/>
      <c r="L246" s="1"/>
      <c r="M246" s="1"/>
      <c r="N246" s="1"/>
      <c r="O246" s="1"/>
      <c r="P246" s="1"/>
      <c r="Q246" s="1"/>
      <c r="R246" s="1"/>
      <c r="S246" s="1"/>
    </row>
    <row r="247" ht="10.5" customHeight="1">
      <c r="A247" s="1"/>
      <c r="B247" s="1"/>
      <c r="C247" s="1"/>
      <c r="D247" s="1"/>
      <c r="E247" s="1"/>
      <c r="F247" s="1"/>
      <c r="G247" s="1"/>
      <c r="H247" s="1"/>
      <c r="I247" s="1"/>
      <c r="J247" s="1"/>
      <c r="K247" s="1"/>
      <c r="L247" s="1"/>
      <c r="M247" s="1"/>
      <c r="N247" s="1"/>
      <c r="O247" s="1"/>
      <c r="P247" s="1"/>
      <c r="Q247" s="1"/>
      <c r="R247" s="1"/>
      <c r="S247" s="1"/>
    </row>
    <row r="248" ht="10.5" customHeight="1">
      <c r="A248" s="1"/>
      <c r="B248" s="1"/>
      <c r="C248" s="1"/>
      <c r="D248" s="1"/>
      <c r="E248" s="1"/>
      <c r="F248" s="1"/>
      <c r="G248" s="1"/>
      <c r="H248" s="1"/>
      <c r="I248" s="1"/>
      <c r="J248" s="1"/>
      <c r="K248" s="1"/>
      <c r="L248" s="1"/>
      <c r="M248" s="1"/>
      <c r="N248" s="1"/>
      <c r="O248" s="1"/>
      <c r="P248" s="1"/>
      <c r="Q248" s="1"/>
      <c r="R248" s="1"/>
      <c r="S248" s="1"/>
    </row>
    <row r="249" ht="10.5" customHeight="1">
      <c r="A249" s="1"/>
      <c r="B249" s="1"/>
      <c r="C249" s="1"/>
      <c r="D249" s="1"/>
      <c r="E249" s="1"/>
      <c r="F249" s="1"/>
      <c r="G249" s="1"/>
      <c r="H249" s="1"/>
      <c r="I249" s="1"/>
      <c r="J249" s="1"/>
      <c r="K249" s="1"/>
      <c r="L249" s="1"/>
      <c r="M249" s="1"/>
      <c r="N249" s="1"/>
      <c r="O249" s="1"/>
      <c r="P249" s="1"/>
      <c r="Q249" s="1"/>
      <c r="R249" s="1"/>
      <c r="S249" s="1"/>
    </row>
    <row r="250" ht="10.5" customHeight="1">
      <c r="A250" s="1"/>
      <c r="B250" s="1"/>
      <c r="C250" s="1"/>
      <c r="D250" s="1"/>
      <c r="E250" s="1"/>
      <c r="F250" s="1"/>
      <c r="G250" s="1"/>
      <c r="H250" s="1"/>
      <c r="I250" s="1"/>
      <c r="J250" s="1"/>
      <c r="K250" s="1"/>
      <c r="L250" s="1"/>
      <c r="M250" s="1"/>
      <c r="N250" s="1"/>
      <c r="O250" s="1"/>
      <c r="P250" s="1"/>
      <c r="Q250" s="1"/>
      <c r="R250" s="1"/>
      <c r="S250" s="1"/>
    </row>
    <row r="251" ht="10.5" customHeight="1">
      <c r="A251" s="1"/>
      <c r="B251" s="1"/>
      <c r="C251" s="1"/>
      <c r="D251" s="1"/>
      <c r="E251" s="1"/>
      <c r="F251" s="1"/>
      <c r="G251" s="1"/>
      <c r="H251" s="1"/>
      <c r="I251" s="1"/>
      <c r="J251" s="1"/>
      <c r="K251" s="1"/>
      <c r="L251" s="1"/>
      <c r="M251" s="1"/>
      <c r="N251" s="1"/>
      <c r="O251" s="1"/>
      <c r="P251" s="1"/>
      <c r="Q251" s="1"/>
      <c r="R251" s="1"/>
      <c r="S251" s="1"/>
    </row>
    <row r="252" ht="10.5" customHeight="1">
      <c r="A252" s="1"/>
      <c r="B252" s="1"/>
      <c r="C252" s="1"/>
      <c r="D252" s="1"/>
      <c r="E252" s="1"/>
      <c r="F252" s="1"/>
      <c r="G252" s="1"/>
      <c r="H252" s="1"/>
      <c r="I252" s="1"/>
      <c r="J252" s="1"/>
      <c r="K252" s="1"/>
      <c r="L252" s="1"/>
      <c r="M252" s="1"/>
      <c r="N252" s="1"/>
      <c r="O252" s="1"/>
      <c r="P252" s="1"/>
      <c r="Q252" s="1"/>
      <c r="R252" s="1"/>
      <c r="S252" s="1"/>
    </row>
    <row r="253" ht="10.5" customHeight="1">
      <c r="A253" s="1"/>
      <c r="B253" s="1"/>
      <c r="C253" s="1"/>
      <c r="D253" s="1"/>
      <c r="E253" s="1"/>
      <c r="F253" s="1"/>
      <c r="G253" s="1"/>
      <c r="H253" s="1"/>
      <c r="I253" s="1"/>
      <c r="J253" s="1"/>
      <c r="K253" s="1"/>
      <c r="L253" s="1"/>
      <c r="M253" s="1"/>
      <c r="N253" s="1"/>
      <c r="O253" s="1"/>
      <c r="P253" s="1"/>
      <c r="Q253" s="1"/>
      <c r="R253" s="1"/>
      <c r="S253" s="1"/>
    </row>
    <row r="254" ht="10.5" customHeight="1">
      <c r="A254" s="1"/>
      <c r="B254" s="1"/>
      <c r="C254" s="1"/>
      <c r="D254" s="1"/>
      <c r="E254" s="1"/>
      <c r="F254" s="1"/>
      <c r="G254" s="1"/>
      <c r="H254" s="1"/>
      <c r="I254" s="1"/>
      <c r="J254" s="1"/>
      <c r="K254" s="1"/>
      <c r="L254" s="1"/>
      <c r="M254" s="1"/>
      <c r="N254" s="1"/>
      <c r="O254" s="1"/>
      <c r="P254" s="1"/>
      <c r="Q254" s="1"/>
      <c r="R254" s="1"/>
      <c r="S254" s="1"/>
    </row>
    <row r="255" ht="10.5" customHeight="1">
      <c r="A255" s="1"/>
      <c r="B255" s="1"/>
      <c r="C255" s="1"/>
      <c r="D255" s="1"/>
      <c r="E255" s="1"/>
      <c r="F255" s="1"/>
      <c r="G255" s="1"/>
      <c r="H255" s="1"/>
      <c r="I255" s="1"/>
      <c r="J255" s="1"/>
      <c r="K255" s="1"/>
      <c r="L255" s="1"/>
      <c r="M255" s="1"/>
      <c r="N255" s="1"/>
      <c r="O255" s="1"/>
      <c r="P255" s="1"/>
      <c r="Q255" s="1"/>
      <c r="R255" s="1"/>
      <c r="S255" s="1"/>
    </row>
    <row r="256" ht="10.5" customHeight="1">
      <c r="A256" s="1"/>
      <c r="B256" s="1"/>
      <c r="C256" s="1"/>
      <c r="D256" s="1"/>
      <c r="E256" s="1"/>
      <c r="F256" s="1"/>
      <c r="G256" s="1"/>
      <c r="H256" s="1"/>
      <c r="I256" s="1"/>
      <c r="J256" s="1"/>
      <c r="K256" s="1"/>
      <c r="L256" s="1"/>
      <c r="M256" s="1"/>
      <c r="N256" s="1"/>
      <c r="O256" s="1"/>
      <c r="P256" s="1"/>
      <c r="Q256" s="1"/>
      <c r="R256" s="1"/>
      <c r="S256" s="1"/>
    </row>
    <row r="257" ht="10.5" customHeight="1">
      <c r="A257" s="1"/>
      <c r="B257" s="1"/>
      <c r="C257" s="1"/>
      <c r="D257" s="1"/>
      <c r="E257" s="1"/>
      <c r="F257" s="1"/>
      <c r="G257" s="1"/>
      <c r="H257" s="1"/>
      <c r="I257" s="1"/>
      <c r="J257" s="1"/>
      <c r="K257" s="1"/>
      <c r="L257" s="1"/>
      <c r="M257" s="1"/>
      <c r="N257" s="1"/>
      <c r="O257" s="1"/>
      <c r="P257" s="1"/>
      <c r="Q257" s="1"/>
      <c r="R257" s="1"/>
      <c r="S257" s="1"/>
    </row>
    <row r="258" ht="10.5" customHeight="1">
      <c r="A258" s="1"/>
      <c r="B258" s="1"/>
      <c r="C258" s="1"/>
      <c r="D258" s="1"/>
      <c r="E258" s="1"/>
      <c r="F258" s="1"/>
      <c r="G258" s="1"/>
      <c r="H258" s="1"/>
      <c r="I258" s="1"/>
      <c r="J258" s="1"/>
      <c r="K258" s="1"/>
      <c r="L258" s="1"/>
      <c r="M258" s="1"/>
      <c r="N258" s="1"/>
      <c r="O258" s="1"/>
      <c r="P258" s="1"/>
      <c r="Q258" s="1"/>
      <c r="R258" s="1"/>
      <c r="S258" s="1"/>
    </row>
    <row r="259" ht="10.5" customHeight="1">
      <c r="A259" s="1"/>
      <c r="B259" s="1"/>
      <c r="C259" s="1"/>
      <c r="D259" s="1"/>
      <c r="E259" s="1"/>
      <c r="F259" s="1"/>
      <c r="G259" s="1"/>
      <c r="H259" s="1"/>
      <c r="I259" s="1"/>
      <c r="J259" s="1"/>
      <c r="K259" s="1"/>
      <c r="L259" s="1"/>
      <c r="M259" s="1"/>
      <c r="N259" s="1"/>
      <c r="O259" s="1"/>
      <c r="P259" s="1"/>
      <c r="Q259" s="1"/>
      <c r="R259" s="1"/>
      <c r="S259" s="1"/>
    </row>
    <row r="260" ht="10.5" customHeight="1">
      <c r="A260" s="1"/>
      <c r="B260" s="1"/>
      <c r="C260" s="1"/>
      <c r="D260" s="1"/>
      <c r="E260" s="1"/>
      <c r="F260" s="1"/>
      <c r="G260" s="1"/>
      <c r="H260" s="1"/>
      <c r="I260" s="1"/>
      <c r="J260" s="1"/>
      <c r="K260" s="1"/>
      <c r="L260" s="1"/>
      <c r="M260" s="1"/>
      <c r="N260" s="1"/>
      <c r="O260" s="1"/>
      <c r="P260" s="1"/>
      <c r="Q260" s="1"/>
      <c r="R260" s="1"/>
      <c r="S260" s="1"/>
    </row>
    <row r="261" ht="10.5" customHeight="1">
      <c r="A261" s="1"/>
      <c r="B261" s="1"/>
      <c r="C261" s="1"/>
      <c r="D261" s="1"/>
      <c r="E261" s="1"/>
      <c r="F261" s="1"/>
      <c r="G261" s="1"/>
      <c r="H261" s="1"/>
      <c r="I261" s="1"/>
      <c r="J261" s="1"/>
      <c r="K261" s="1"/>
      <c r="L261" s="1"/>
      <c r="M261" s="1"/>
      <c r="N261" s="1"/>
      <c r="O261" s="1"/>
      <c r="P261" s="1"/>
      <c r="Q261" s="1"/>
      <c r="R261" s="1"/>
      <c r="S261" s="1"/>
    </row>
    <row r="262" ht="10.5" customHeight="1">
      <c r="A262" s="1"/>
      <c r="B262" s="1"/>
      <c r="C262" s="1"/>
      <c r="D262" s="1"/>
      <c r="E262" s="1"/>
      <c r="F262" s="1"/>
      <c r="G262" s="1"/>
      <c r="H262" s="1"/>
      <c r="I262" s="1"/>
      <c r="J262" s="1"/>
      <c r="K262" s="1"/>
      <c r="L262" s="1"/>
      <c r="M262" s="1"/>
      <c r="N262" s="1"/>
      <c r="O262" s="1"/>
      <c r="P262" s="1"/>
      <c r="Q262" s="1"/>
      <c r="R262" s="1"/>
      <c r="S262" s="1"/>
    </row>
    <row r="263" ht="10.5" customHeight="1">
      <c r="A263" s="1"/>
      <c r="B263" s="1"/>
      <c r="C263" s="1"/>
      <c r="D263" s="1"/>
      <c r="E263" s="1"/>
      <c r="F263" s="1"/>
      <c r="G263" s="1"/>
      <c r="H263" s="1"/>
      <c r="I263" s="1"/>
      <c r="J263" s="1"/>
      <c r="K263" s="1"/>
      <c r="L263" s="1"/>
      <c r="M263" s="1"/>
      <c r="N263" s="1"/>
      <c r="O263" s="1"/>
      <c r="P263" s="1"/>
      <c r="Q263" s="1"/>
      <c r="R263" s="1"/>
      <c r="S263" s="1"/>
    </row>
    <row r="264" ht="10.5" customHeight="1">
      <c r="A264" s="1"/>
      <c r="B264" s="1"/>
      <c r="C264" s="1"/>
      <c r="D264" s="1"/>
      <c r="E264" s="1"/>
      <c r="F264" s="1"/>
      <c r="G264" s="110">
        <v>9.0</v>
      </c>
      <c r="H264" s="1"/>
      <c r="I264" s="1"/>
      <c r="J264" s="1"/>
      <c r="K264" s="1"/>
      <c r="L264" s="1"/>
      <c r="M264" s="1"/>
      <c r="N264" s="1"/>
      <c r="O264" s="1"/>
      <c r="P264" s="1"/>
      <c r="Q264" s="1"/>
      <c r="R264" s="1"/>
      <c r="S264" s="1"/>
    </row>
    <row r="265" ht="10.5" customHeight="1">
      <c r="A265" s="1"/>
      <c r="B265" s="1"/>
      <c r="C265" s="1"/>
      <c r="D265" s="1"/>
      <c r="E265" s="1"/>
      <c r="F265" s="1"/>
      <c r="G265" s="1"/>
      <c r="H265" s="1"/>
      <c r="I265" s="1"/>
      <c r="J265" s="1"/>
      <c r="K265" s="1"/>
      <c r="L265" s="1"/>
      <c r="M265" s="1"/>
      <c r="N265" s="1"/>
      <c r="O265" s="1"/>
      <c r="P265" s="1"/>
      <c r="Q265" s="1"/>
      <c r="R265" s="1"/>
      <c r="S265" s="1"/>
    </row>
    <row r="266" ht="10.5" customHeight="1">
      <c r="A266" s="1"/>
      <c r="B266" s="1"/>
      <c r="C266" s="1"/>
      <c r="D266" s="1"/>
      <c r="E266" s="1"/>
      <c r="F266" s="1"/>
      <c r="G266" s="1"/>
      <c r="H266" s="1"/>
      <c r="I266" s="1"/>
      <c r="J266" s="1"/>
      <c r="K266" s="1"/>
      <c r="L266" s="1"/>
      <c r="M266" s="1"/>
      <c r="N266" s="1"/>
      <c r="O266" s="1"/>
      <c r="P266" s="1"/>
      <c r="Q266" s="1"/>
      <c r="R266" s="1"/>
      <c r="S266" s="1"/>
    </row>
    <row r="267" ht="10.5" customHeight="1">
      <c r="A267" s="1"/>
      <c r="B267" s="1" t="s">
        <v>446</v>
      </c>
      <c r="C267" s="1"/>
      <c r="D267" s="1"/>
      <c r="E267" s="1"/>
      <c r="F267" s="1"/>
      <c r="G267" s="1"/>
      <c r="H267" s="1"/>
      <c r="I267" s="1"/>
      <c r="J267" s="1"/>
      <c r="K267" s="1"/>
      <c r="L267" s="1"/>
      <c r="M267" s="1"/>
      <c r="N267" s="1"/>
      <c r="O267" s="1"/>
      <c r="P267" s="1"/>
      <c r="Q267" s="1"/>
      <c r="R267" s="1"/>
      <c r="S267" s="1"/>
    </row>
    <row r="268" ht="10.5" customHeight="1">
      <c r="A268" s="1"/>
      <c r="B268" s="189" t="s">
        <v>31</v>
      </c>
      <c r="C268" s="31" t="s">
        <v>448</v>
      </c>
      <c r="D268" s="31" t="s">
        <v>451</v>
      </c>
      <c r="E268" s="31" t="s">
        <v>453</v>
      </c>
      <c r="F268" s="128" t="s">
        <v>454</v>
      </c>
      <c r="G268" s="9"/>
      <c r="H268" s="9"/>
      <c r="I268" s="10"/>
      <c r="J268" s="31" t="s">
        <v>457</v>
      </c>
      <c r="K268" s="29" t="s">
        <v>458</v>
      </c>
      <c r="L268" s="1"/>
      <c r="M268" s="1"/>
      <c r="N268" s="1"/>
      <c r="O268" s="1"/>
      <c r="P268" s="1"/>
      <c r="Q268" s="1"/>
      <c r="R268" s="1"/>
      <c r="S268" s="1"/>
    </row>
    <row r="269" ht="10.5" customHeight="1">
      <c r="A269" s="1"/>
      <c r="B269" s="5"/>
      <c r="C269" s="5"/>
      <c r="D269" s="5"/>
      <c r="E269" s="5"/>
      <c r="F269" s="128" t="s">
        <v>461</v>
      </c>
      <c r="G269" s="10"/>
      <c r="H269" s="128" t="s">
        <v>464</v>
      </c>
      <c r="I269" s="10"/>
      <c r="J269" s="5"/>
      <c r="K269" s="5"/>
      <c r="L269" s="1"/>
      <c r="M269" s="1"/>
      <c r="N269" s="1"/>
      <c r="O269" s="1"/>
      <c r="P269" s="1"/>
      <c r="Q269" s="1"/>
      <c r="R269" s="1"/>
      <c r="S269" s="1"/>
    </row>
    <row r="270" ht="10.5" customHeight="1">
      <c r="A270" s="1"/>
      <c r="B270" s="5"/>
      <c r="C270" s="6"/>
      <c r="D270" s="6"/>
      <c r="E270" s="6"/>
      <c r="F270" s="7" t="s">
        <v>466</v>
      </c>
      <c r="G270" s="7" t="s">
        <v>44</v>
      </c>
      <c r="H270" s="7" t="s">
        <v>466</v>
      </c>
      <c r="I270" s="7" t="s">
        <v>44</v>
      </c>
      <c r="J270" s="6"/>
      <c r="K270" s="5"/>
      <c r="L270" s="1"/>
      <c r="M270" s="1"/>
      <c r="N270" s="1"/>
      <c r="O270" s="1"/>
      <c r="P270" s="1"/>
      <c r="Q270" s="1"/>
      <c r="R270" s="1"/>
      <c r="S270" s="1"/>
    </row>
    <row r="271" ht="10.5" customHeight="1">
      <c r="A271" s="1"/>
      <c r="B271" s="6"/>
      <c r="C271" s="134" t="s">
        <v>48</v>
      </c>
      <c r="D271" s="134" t="s">
        <v>49</v>
      </c>
      <c r="E271" s="134" t="s">
        <v>50</v>
      </c>
      <c r="F271" s="8" t="s">
        <v>52</v>
      </c>
      <c r="G271" s="9"/>
      <c r="H271" s="9"/>
      <c r="I271" s="10"/>
      <c r="J271" s="134" t="s">
        <v>54</v>
      </c>
      <c r="K271" s="6"/>
      <c r="L271" s="1"/>
      <c r="M271" s="1"/>
      <c r="N271" s="1"/>
      <c r="O271" s="1"/>
      <c r="P271" s="1"/>
      <c r="Q271" s="1"/>
      <c r="R271" s="1"/>
      <c r="S271" s="1"/>
    </row>
    <row r="272" ht="10.5" customHeight="1">
      <c r="A272" s="1"/>
      <c r="B272" s="238">
        <v>1980.0</v>
      </c>
      <c r="C272" s="136">
        <v>1627.0</v>
      </c>
      <c r="D272" s="136">
        <v>1490.0</v>
      </c>
      <c r="E272" s="136">
        <v>313765.0</v>
      </c>
      <c r="F272" s="249">
        <v>215.2</v>
      </c>
      <c r="G272" s="249">
        <v>215.0</v>
      </c>
      <c r="H272" s="249">
        <v>208.74</v>
      </c>
      <c r="I272" s="249">
        <v>208.54</v>
      </c>
      <c r="J272" s="250">
        <v>11.1</v>
      </c>
      <c r="K272" s="55" t="s">
        <v>56</v>
      </c>
      <c r="L272" s="1"/>
      <c r="M272" s="1"/>
      <c r="N272" s="1"/>
      <c r="O272" s="1"/>
      <c r="P272" s="1"/>
      <c r="Q272" s="1"/>
      <c r="R272" s="1"/>
      <c r="S272" s="1"/>
    </row>
    <row r="273" ht="10.5" customHeight="1">
      <c r="A273" s="1"/>
      <c r="B273" s="238">
        <v>1981.0</v>
      </c>
      <c r="C273" s="136">
        <v>1812.0</v>
      </c>
      <c r="D273" s="136">
        <v>2356.0</v>
      </c>
      <c r="E273" s="136">
        <v>556089.0</v>
      </c>
      <c r="F273" s="249">
        <v>241.4</v>
      </c>
      <c r="G273" s="249">
        <v>240.4</v>
      </c>
      <c r="H273" s="249">
        <v>234.16</v>
      </c>
      <c r="I273" s="249">
        <v>233.16</v>
      </c>
      <c r="J273" s="250">
        <v>12.4</v>
      </c>
      <c r="K273" s="55" t="s">
        <v>81</v>
      </c>
      <c r="L273" s="1"/>
      <c r="M273" s="1"/>
      <c r="N273" s="1"/>
      <c r="O273" s="1"/>
      <c r="P273" s="1"/>
      <c r="Q273" s="1"/>
      <c r="R273" s="1"/>
      <c r="S273" s="1"/>
    </row>
    <row r="274" ht="10.5" customHeight="1">
      <c r="A274" s="1"/>
      <c r="B274" s="238">
        <v>1982.0</v>
      </c>
      <c r="C274" s="136">
        <v>2013.0</v>
      </c>
      <c r="D274" s="136">
        <v>2448.0</v>
      </c>
      <c r="E274" s="136">
        <v>705031.0</v>
      </c>
      <c r="F274" s="249">
        <v>295.0</v>
      </c>
      <c r="G274" s="249">
        <v>294.0</v>
      </c>
      <c r="H274" s="249">
        <v>286.75</v>
      </c>
      <c r="I274" s="249">
        <v>285.75</v>
      </c>
      <c r="J274" s="250">
        <v>15.2</v>
      </c>
      <c r="K274" s="55" t="s">
        <v>86</v>
      </c>
      <c r="L274" s="1"/>
      <c r="M274" s="1"/>
      <c r="N274" s="1"/>
      <c r="O274" s="1"/>
      <c r="P274" s="1"/>
      <c r="Q274" s="1"/>
      <c r="R274" s="1"/>
      <c r="S274" s="1"/>
    </row>
    <row r="275" ht="10.5" customHeight="1">
      <c r="A275" s="1"/>
      <c r="B275" s="238">
        <v>1983.0</v>
      </c>
      <c r="C275" s="136">
        <v>1819.0</v>
      </c>
      <c r="D275" s="136">
        <v>1786.0</v>
      </c>
      <c r="E275" s="136">
        <v>480935.0</v>
      </c>
      <c r="F275" s="249">
        <v>275.0</v>
      </c>
      <c r="G275" s="249">
        <v>274.0</v>
      </c>
      <c r="H275" s="249">
        <v>266.75</v>
      </c>
      <c r="I275" s="249">
        <v>265.75</v>
      </c>
      <c r="J275" s="250">
        <v>14.18</v>
      </c>
      <c r="K275" s="55" t="s">
        <v>87</v>
      </c>
      <c r="L275" s="1"/>
      <c r="M275" s="1"/>
      <c r="N275" s="1"/>
      <c r="O275" s="1"/>
      <c r="P275" s="1"/>
      <c r="Q275" s="1"/>
      <c r="R275" s="1"/>
      <c r="S275" s="1"/>
    </row>
    <row r="276" ht="10.5" customHeight="1">
      <c r="A276" s="1"/>
      <c r="B276" s="238">
        <v>1984.0</v>
      </c>
      <c r="C276" s="136">
        <v>1942.0</v>
      </c>
      <c r="D276" s="136">
        <v>2346.0</v>
      </c>
      <c r="E276" s="136">
        <v>690202.0</v>
      </c>
      <c r="F276" s="249">
        <v>299.0</v>
      </c>
      <c r="G276" s="249">
        <v>298.0</v>
      </c>
      <c r="H276" s="249">
        <v>290.03</v>
      </c>
      <c r="I276" s="249">
        <v>289.03</v>
      </c>
      <c r="J276" s="250">
        <v>15.38</v>
      </c>
      <c r="K276" s="55" t="s">
        <v>90</v>
      </c>
      <c r="L276" s="1"/>
      <c r="M276" s="1"/>
      <c r="N276" s="1"/>
      <c r="O276" s="1"/>
      <c r="P276" s="1"/>
      <c r="Q276" s="1"/>
      <c r="R276" s="1"/>
      <c r="S276" s="1"/>
    </row>
    <row r="277" ht="10.5" customHeight="1">
      <c r="A277" s="1"/>
      <c r="B277" s="238"/>
      <c r="C277" s="136"/>
      <c r="D277" s="136"/>
      <c r="E277" s="136"/>
      <c r="F277" s="249"/>
      <c r="G277" s="249"/>
      <c r="H277" s="249"/>
      <c r="I277" s="249"/>
      <c r="J277" s="250"/>
      <c r="K277" s="55"/>
      <c r="L277" s="1"/>
      <c r="M277" s="1"/>
      <c r="N277" s="1"/>
      <c r="O277" s="1"/>
      <c r="P277" s="1"/>
      <c r="Q277" s="1"/>
      <c r="R277" s="1"/>
      <c r="S277" s="1"/>
    </row>
    <row r="278" ht="10.5" customHeight="1">
      <c r="A278" s="1"/>
      <c r="B278" s="238">
        <v>1985.0</v>
      </c>
      <c r="C278" s="136">
        <v>1983.0</v>
      </c>
      <c r="D278" s="136">
        <v>1691.0</v>
      </c>
      <c r="E278" s="136">
        <v>534916.0</v>
      </c>
      <c r="F278" s="249">
        <v>325.0</v>
      </c>
      <c r="G278" s="249">
        <v>322.0</v>
      </c>
      <c r="H278" s="249">
        <v>315.25</v>
      </c>
      <c r="I278" s="249">
        <v>312.25</v>
      </c>
      <c r="J278" s="250">
        <v>16.6</v>
      </c>
      <c r="K278" s="55" t="s">
        <v>93</v>
      </c>
      <c r="L278" s="1"/>
      <c r="M278" s="1"/>
      <c r="N278" s="1"/>
      <c r="O278" s="1"/>
      <c r="P278" s="1"/>
      <c r="Q278" s="1"/>
      <c r="R278" s="1"/>
      <c r="S278" s="1"/>
    </row>
    <row r="279" ht="10.5" customHeight="1">
      <c r="A279" s="1"/>
      <c r="B279" s="238">
        <v>1986.0</v>
      </c>
      <c r="C279" s="136">
        <v>1946.0</v>
      </c>
      <c r="D279" s="136">
        <v>2333.0</v>
      </c>
      <c r="E279" s="136">
        <v>864521.0</v>
      </c>
      <c r="F279" s="249">
        <v>376.8</v>
      </c>
      <c r="G279" s="249">
        <v>375.3</v>
      </c>
      <c r="H279" s="249">
        <v>366.0</v>
      </c>
      <c r="I279" s="249">
        <v>364.5</v>
      </c>
      <c r="J279" s="250">
        <v>19.38</v>
      </c>
      <c r="K279" s="55" t="s">
        <v>97</v>
      </c>
      <c r="L279" s="1"/>
      <c r="M279" s="1"/>
      <c r="N279" s="1"/>
      <c r="O279" s="1"/>
      <c r="P279" s="1"/>
      <c r="Q279" s="1"/>
      <c r="R279" s="1"/>
      <c r="S279" s="1"/>
    </row>
    <row r="280" ht="10.5" customHeight="1">
      <c r="A280" s="1"/>
      <c r="B280" s="238">
        <v>1987.0</v>
      </c>
      <c r="C280" s="136">
        <v>1749.0</v>
      </c>
      <c r="D280" s="136">
        <v>3154.0</v>
      </c>
      <c r="E280" s="136">
        <v>1257265.0</v>
      </c>
      <c r="F280" s="249">
        <v>405.0</v>
      </c>
      <c r="G280" s="249">
        <v>403.5</v>
      </c>
      <c r="H280" s="249">
        <v>393.07</v>
      </c>
      <c r="I280" s="249">
        <v>391.57</v>
      </c>
      <c r="J280" s="250">
        <v>20.86</v>
      </c>
      <c r="K280" s="55" t="s">
        <v>101</v>
      </c>
      <c r="L280" s="1"/>
      <c r="M280" s="1"/>
      <c r="N280" s="1"/>
      <c r="O280" s="1"/>
      <c r="P280" s="1"/>
      <c r="Q280" s="1"/>
      <c r="R280" s="1"/>
      <c r="S280" s="1"/>
    </row>
    <row r="281" ht="10.5" customHeight="1">
      <c r="A281" s="1"/>
      <c r="B281" s="238">
        <v>1988.0</v>
      </c>
      <c r="C281" s="136">
        <v>2009.0</v>
      </c>
      <c r="D281" s="136">
        <v>3557.0</v>
      </c>
      <c r="E281" s="136">
        <v>1220682.0</v>
      </c>
      <c r="F281" s="249">
        <v>353.75</v>
      </c>
      <c r="G281" s="249">
        <v>351.75</v>
      </c>
      <c r="H281" s="249">
        <v>343.25</v>
      </c>
      <c r="I281" s="249">
        <v>341.25</v>
      </c>
      <c r="J281" s="250">
        <v>18.17</v>
      </c>
      <c r="K281" s="55" t="s">
        <v>103</v>
      </c>
      <c r="L281" s="1"/>
      <c r="M281" s="1"/>
      <c r="N281" s="1"/>
      <c r="O281" s="1"/>
      <c r="P281" s="1"/>
      <c r="Q281" s="1"/>
      <c r="R281" s="1"/>
      <c r="S281" s="1"/>
    </row>
    <row r="282" ht="10.5" customHeight="1">
      <c r="A282" s="1"/>
      <c r="B282" s="238">
        <v>1989.0</v>
      </c>
      <c r="C282" s="136">
        <v>1843.0</v>
      </c>
      <c r="D282" s="136">
        <v>2033.0</v>
      </c>
      <c r="E282" s="136">
        <v>929947.0</v>
      </c>
      <c r="F282" s="249">
        <v>458.25</v>
      </c>
      <c r="G282" s="249">
        <v>452.5</v>
      </c>
      <c r="H282" s="249">
        <v>446.68</v>
      </c>
      <c r="I282" s="249">
        <v>440.93</v>
      </c>
      <c r="J282" s="250">
        <v>23.04</v>
      </c>
      <c r="K282" s="55" t="s">
        <v>104</v>
      </c>
      <c r="L282" s="1"/>
      <c r="M282" s="1"/>
      <c r="N282" s="1"/>
      <c r="O282" s="1"/>
      <c r="P282" s="1"/>
      <c r="Q282" s="1"/>
      <c r="R282" s="1"/>
      <c r="S282" s="1"/>
    </row>
    <row r="283" ht="10.5" customHeight="1">
      <c r="A283" s="1"/>
      <c r="B283" s="238"/>
      <c r="C283" s="136"/>
      <c r="D283" s="136"/>
      <c r="E283" s="136"/>
      <c r="F283" s="249"/>
      <c r="G283" s="249"/>
      <c r="H283" s="249"/>
      <c r="I283" s="249"/>
      <c r="J283" s="250"/>
      <c r="K283" s="55"/>
      <c r="L283" s="1"/>
      <c r="M283" s="1"/>
      <c r="N283" s="1"/>
      <c r="O283" s="1"/>
      <c r="P283" s="1"/>
      <c r="Q283" s="1"/>
      <c r="R283" s="1"/>
      <c r="S283" s="1"/>
    </row>
    <row r="284" ht="10.5" customHeight="1">
      <c r="A284" s="1"/>
      <c r="B284" s="238">
        <v>1990.0</v>
      </c>
      <c r="C284" s="136">
        <v>1563.0</v>
      </c>
      <c r="D284" s="136">
        <v>1709.0</v>
      </c>
      <c r="E284" s="136">
        <v>879422.0</v>
      </c>
      <c r="F284" s="249">
        <v>521.43</v>
      </c>
      <c r="G284" s="249">
        <v>515.14</v>
      </c>
      <c r="H284" s="249">
        <v>505.79</v>
      </c>
      <c r="I284" s="249">
        <v>499.5</v>
      </c>
      <c r="J284" s="250">
        <v>26.22</v>
      </c>
      <c r="K284" s="55" t="s">
        <v>108</v>
      </c>
      <c r="L284" s="1"/>
      <c r="M284" s="1"/>
      <c r="N284" s="1"/>
      <c r="O284" s="1"/>
      <c r="P284" s="1"/>
      <c r="Q284" s="1"/>
      <c r="R284" s="1"/>
      <c r="S284" s="1"/>
    </row>
    <row r="285" ht="10.5" customHeight="1">
      <c r="A285" s="1"/>
      <c r="B285" s="238">
        <v>1991.0</v>
      </c>
      <c r="C285" s="136">
        <v>1436.0</v>
      </c>
      <c r="D285" s="136">
        <v>2142.0</v>
      </c>
      <c r="E285" s="136">
        <v>1321345.0</v>
      </c>
      <c r="F285" s="249">
        <v>653.32</v>
      </c>
      <c r="G285" s="249">
        <v>620.76</v>
      </c>
      <c r="H285" s="249">
        <v>643.95</v>
      </c>
      <c r="I285" s="249">
        <v>611.39</v>
      </c>
      <c r="J285" s="250">
        <v>31.58</v>
      </c>
      <c r="K285" s="55" t="s">
        <v>111</v>
      </c>
      <c r="L285" s="1"/>
      <c r="M285" s="1"/>
      <c r="N285" s="1"/>
      <c r="O285" s="1"/>
      <c r="P285" s="1"/>
      <c r="Q285" s="1"/>
      <c r="R285" s="1"/>
      <c r="S285" s="1"/>
    </row>
    <row r="286" ht="10.5" customHeight="1">
      <c r="A286" s="1"/>
      <c r="B286" s="238">
        <v>1992.0</v>
      </c>
      <c r="C286" s="136">
        <v>750.0</v>
      </c>
      <c r="D286" s="136">
        <v>1324.0</v>
      </c>
      <c r="E286" s="136">
        <v>923083.0</v>
      </c>
      <c r="F286" s="249">
        <v>748.24</v>
      </c>
      <c r="G286" s="249">
        <v>713.09</v>
      </c>
      <c r="H286" s="249">
        <v>737.09</v>
      </c>
      <c r="I286" s="249">
        <v>701.94</v>
      </c>
      <c r="J286" s="250">
        <v>36.29</v>
      </c>
      <c r="K286" s="55" t="s">
        <v>112</v>
      </c>
      <c r="L286" s="1"/>
      <c r="M286" s="1"/>
      <c r="N286" s="1"/>
      <c r="O286" s="1"/>
      <c r="P286" s="1"/>
      <c r="Q286" s="1"/>
      <c r="R286" s="1"/>
      <c r="S286" s="1"/>
    </row>
    <row r="287" ht="10.5" customHeight="1">
      <c r="A287" s="1"/>
      <c r="B287" s="238">
        <v>1993.0</v>
      </c>
      <c r="C287" s="136">
        <v>1075.0</v>
      </c>
      <c r="D287" s="136">
        <v>1984.0</v>
      </c>
      <c r="E287" s="136">
        <v>1492808.0</v>
      </c>
      <c r="F287" s="249">
        <v>801.48</v>
      </c>
      <c r="G287" s="249">
        <v>750.69</v>
      </c>
      <c r="H287" s="249">
        <v>789.44</v>
      </c>
      <c r="I287" s="249">
        <v>738.65</v>
      </c>
      <c r="J287" s="250">
        <v>38.26</v>
      </c>
      <c r="K287" s="55" t="s">
        <v>113</v>
      </c>
      <c r="L287" s="1"/>
      <c r="M287" s="1"/>
      <c r="N287" s="1"/>
      <c r="O287" s="1"/>
      <c r="P287" s="1"/>
      <c r="Q287" s="1"/>
      <c r="R287" s="1"/>
      <c r="S287" s="1"/>
    </row>
    <row r="288" ht="10.5" customHeight="1">
      <c r="A288" s="1"/>
      <c r="B288" s="238">
        <v>1994.0</v>
      </c>
      <c r="C288" s="136">
        <v>1048.0</v>
      </c>
      <c r="D288" s="136">
        <v>1840.0</v>
      </c>
      <c r="E288" s="136">
        <v>1389553.0</v>
      </c>
      <c r="F288" s="249">
        <v>770.5</v>
      </c>
      <c r="G288" s="249">
        <v>754.9</v>
      </c>
      <c r="H288" s="249">
        <v>747.38</v>
      </c>
      <c r="I288" s="249">
        <v>728.14</v>
      </c>
      <c r="J288" s="250">
        <v>38.43</v>
      </c>
      <c r="K288" s="55" t="s">
        <v>114</v>
      </c>
      <c r="L288" s="1"/>
      <c r="M288" s="1"/>
      <c r="N288" s="1"/>
      <c r="O288" s="1"/>
      <c r="P288" s="1"/>
      <c r="Q288" s="1"/>
      <c r="R288" s="1"/>
      <c r="S288" s="1"/>
    </row>
    <row r="289" ht="10.5" customHeight="1">
      <c r="A289" s="1"/>
      <c r="B289" s="238"/>
      <c r="C289" s="136"/>
      <c r="D289" s="136"/>
      <c r="E289" s="136"/>
      <c r="F289" s="249"/>
      <c r="G289" s="249"/>
      <c r="H289" s="249"/>
      <c r="I289" s="249"/>
      <c r="J289" s="250"/>
      <c r="K289" s="55"/>
      <c r="L289" s="1"/>
      <c r="M289" s="1"/>
      <c r="N289" s="1"/>
      <c r="O289" s="1"/>
      <c r="P289" s="1"/>
      <c r="Q289" s="1"/>
      <c r="R289" s="1"/>
      <c r="S289" s="1"/>
    </row>
    <row r="290" ht="10.5" customHeight="1">
      <c r="A290" s="1"/>
      <c r="B290" s="238">
        <v>1995.0</v>
      </c>
      <c r="C290" s="136">
        <v>1363.0</v>
      </c>
      <c r="D290" s="136">
        <v>1977.0</v>
      </c>
      <c r="E290" s="136">
        <v>1568773.0</v>
      </c>
      <c r="F290" s="249">
        <v>846.78</v>
      </c>
      <c r="G290" s="249">
        <v>802.58</v>
      </c>
      <c r="H290" s="249">
        <v>821.38</v>
      </c>
      <c r="I290" s="249">
        <v>777.18</v>
      </c>
      <c r="J290" s="250">
        <v>40.12</v>
      </c>
      <c r="K290" s="55" t="s">
        <v>115</v>
      </c>
      <c r="L290" s="1"/>
      <c r="M290" s="1"/>
      <c r="N290" s="1"/>
      <c r="O290" s="1"/>
      <c r="P290" s="1"/>
      <c r="Q290" s="1"/>
      <c r="R290" s="1"/>
      <c r="S290" s="1"/>
    </row>
    <row r="291" ht="10.5" customHeight="1">
      <c r="A291" s="1"/>
      <c r="B291" s="238">
        <v>1996.0</v>
      </c>
      <c r="C291" s="136">
        <v>1294.0</v>
      </c>
      <c r="D291" s="136">
        <v>2712.0</v>
      </c>
      <c r="E291" s="136">
        <v>2454054.0</v>
      </c>
      <c r="F291" s="249">
        <v>966.02</v>
      </c>
      <c r="G291" s="249">
        <v>909.44</v>
      </c>
      <c r="H291" s="249">
        <v>937.04</v>
      </c>
      <c r="I291" s="249">
        <v>880.46</v>
      </c>
      <c r="J291" s="250">
        <v>46.31</v>
      </c>
      <c r="K291" s="55" t="s">
        <v>117</v>
      </c>
      <c r="L291" s="1"/>
      <c r="M291" s="1"/>
      <c r="N291" s="1"/>
      <c r="O291" s="1"/>
      <c r="P291" s="1"/>
      <c r="Q291" s="1"/>
      <c r="R291" s="1"/>
      <c r="S291" s="1"/>
    </row>
    <row r="292" ht="10.5" customHeight="1">
      <c r="A292" s="1"/>
      <c r="B292" s="238">
        <v>1997.0</v>
      </c>
      <c r="C292" s="136">
        <v>1382.0</v>
      </c>
      <c r="D292" s="136">
        <v>2429.0</v>
      </c>
      <c r="E292" s="136">
        <v>1986183.0</v>
      </c>
      <c r="F292" s="249">
        <v>817.75</v>
      </c>
      <c r="G292" s="249" t="s">
        <v>106</v>
      </c>
      <c r="H292" s="249">
        <v>876.0</v>
      </c>
      <c r="I292" s="249" t="s">
        <v>106</v>
      </c>
      <c r="J292" s="250">
        <v>41.66</v>
      </c>
      <c r="K292" s="55" t="s">
        <v>121</v>
      </c>
      <c r="L292" s="1"/>
      <c r="M292" s="1"/>
      <c r="N292" s="1"/>
      <c r="O292" s="1"/>
      <c r="P292" s="1"/>
      <c r="Q292" s="1"/>
      <c r="R292" s="1"/>
      <c r="S292" s="1"/>
    </row>
    <row r="293" ht="10.5" customHeight="1">
      <c r="A293" s="1"/>
      <c r="B293" s="238">
        <v>1998.0</v>
      </c>
      <c r="C293" s="136">
        <v>745.0</v>
      </c>
      <c r="D293" s="136">
        <v>1892.0</v>
      </c>
      <c r="E293" s="136">
        <v>1529163.0</v>
      </c>
      <c r="F293" s="249">
        <v>808.19</v>
      </c>
      <c r="G293" s="249" t="s">
        <v>106</v>
      </c>
      <c r="H293" s="249" t="s">
        <v>106</v>
      </c>
      <c r="I293" s="249" t="s">
        <v>106</v>
      </c>
      <c r="J293" s="250">
        <v>41.11</v>
      </c>
      <c r="K293" s="55" t="s">
        <v>122</v>
      </c>
      <c r="L293" s="1"/>
      <c r="M293" s="1"/>
      <c r="N293" s="1"/>
      <c r="O293" s="1"/>
      <c r="P293" s="1"/>
      <c r="Q293" s="1"/>
      <c r="R293" s="1"/>
      <c r="S293" s="1"/>
    </row>
    <row r="294" ht="10.5" customHeight="1">
      <c r="A294" s="1"/>
      <c r="B294" s="238">
        <v>1999.0</v>
      </c>
      <c r="C294" s="136">
        <v>718.0</v>
      </c>
      <c r="D294" s="136">
        <v>1733.0</v>
      </c>
      <c r="E294" s="136">
        <v>1664750.0</v>
      </c>
      <c r="F294" s="249">
        <v>960.6</v>
      </c>
      <c r="G294" s="249" t="s">
        <v>106</v>
      </c>
      <c r="H294" s="249" t="s">
        <v>106</v>
      </c>
      <c r="I294" s="249" t="s">
        <v>106</v>
      </c>
      <c r="J294" s="250">
        <v>46.36</v>
      </c>
      <c r="K294" s="55" t="s">
        <v>123</v>
      </c>
      <c r="L294" s="1"/>
      <c r="M294" s="1"/>
      <c r="N294" s="1"/>
      <c r="O294" s="1"/>
      <c r="P294" s="1"/>
      <c r="Q294" s="1"/>
      <c r="R294" s="1"/>
      <c r="S294" s="1"/>
    </row>
    <row r="295" ht="10.5" customHeight="1">
      <c r="A295" s="1"/>
      <c r="B295" s="238"/>
      <c r="C295" s="136"/>
      <c r="D295" s="136"/>
      <c r="E295" s="136"/>
      <c r="F295" s="249"/>
      <c r="G295" s="249"/>
      <c r="H295" s="249"/>
      <c r="I295" s="249"/>
      <c r="J295" s="250"/>
      <c r="K295" s="55"/>
      <c r="L295" s="1"/>
      <c r="M295" s="1"/>
      <c r="N295" s="1"/>
      <c r="O295" s="1"/>
      <c r="P295" s="1"/>
      <c r="Q295" s="1"/>
      <c r="R295" s="1"/>
      <c r="S295" s="1"/>
    </row>
    <row r="296" ht="10.5" customHeight="1">
      <c r="A296" s="1"/>
      <c r="B296" s="11">
        <v>2000.0</v>
      </c>
      <c r="C296" s="136">
        <v>934.0</v>
      </c>
      <c r="D296" s="136">
        <v>2428.0</v>
      </c>
      <c r="E296" s="136">
        <v>2829568.0</v>
      </c>
      <c r="F296" s="249">
        <v>1165.35</v>
      </c>
      <c r="G296" s="249" t="s">
        <v>106</v>
      </c>
      <c r="H296" s="249" t="s">
        <v>106</v>
      </c>
      <c r="I296" s="249" t="s">
        <v>106</v>
      </c>
      <c r="J296" s="250">
        <v>55.89</v>
      </c>
      <c r="K296" s="55" t="s">
        <v>125</v>
      </c>
      <c r="L296" s="1"/>
      <c r="M296" s="1"/>
      <c r="N296" s="1"/>
      <c r="O296" s="1"/>
      <c r="P296" s="1"/>
      <c r="Q296" s="1"/>
      <c r="R296" s="1"/>
      <c r="S296" s="1"/>
    </row>
    <row r="297" ht="10.5" customHeight="1">
      <c r="A297" s="1"/>
      <c r="B297" s="11">
        <v>2001.0</v>
      </c>
      <c r="C297" s="136">
        <v>974.0</v>
      </c>
      <c r="D297" s="136">
        <v>2504.0</v>
      </c>
      <c r="E297" s="136">
        <v>3559642.0</v>
      </c>
      <c r="F297" s="249">
        <v>1421.61</v>
      </c>
      <c r="G297" s="249" t="s">
        <v>106</v>
      </c>
      <c r="H297" s="249" t="s">
        <v>106</v>
      </c>
      <c r="I297" s="249" t="s">
        <v>106</v>
      </c>
      <c r="J297" s="250">
        <v>69.13</v>
      </c>
      <c r="K297" s="55" t="s">
        <v>127</v>
      </c>
      <c r="L297" s="1"/>
      <c r="M297" s="1"/>
      <c r="N297" s="1"/>
      <c r="O297" s="1"/>
      <c r="P297" s="1"/>
      <c r="Q297" s="1"/>
      <c r="R297" s="1"/>
      <c r="S297" s="1"/>
    </row>
    <row r="298" ht="10.5" customHeight="1">
      <c r="A298" s="1"/>
      <c r="B298" s="11">
        <v>2002.0</v>
      </c>
      <c r="C298" s="169">
        <v>941.0</v>
      </c>
      <c r="D298" s="169">
        <v>2438.0</v>
      </c>
      <c r="E298" s="169">
        <v>3832257.0</v>
      </c>
      <c r="F298" s="252">
        <v>1572.05</v>
      </c>
      <c r="G298" s="252" t="s">
        <v>106</v>
      </c>
      <c r="H298" s="252" t="s">
        <v>106</v>
      </c>
      <c r="I298" s="252" t="s">
        <v>106</v>
      </c>
      <c r="J298" s="54">
        <v>78.17</v>
      </c>
      <c r="K298" s="238" t="s">
        <v>128</v>
      </c>
      <c r="L298" s="1"/>
      <c r="M298" s="1"/>
      <c r="N298" s="1"/>
      <c r="O298" s="1"/>
      <c r="P298" s="1"/>
      <c r="Q298" s="1"/>
      <c r="R298" s="1"/>
      <c r="S298" s="1"/>
    </row>
    <row r="299" ht="10.5" customHeight="1">
      <c r="A299" s="1"/>
      <c r="B299" s="11">
        <v>2003.0</v>
      </c>
      <c r="C299" s="169">
        <v>748.0</v>
      </c>
      <c r="D299" s="169">
        <v>1547.0</v>
      </c>
      <c r="E299" s="169">
        <v>2209104.0</v>
      </c>
      <c r="F299" s="252">
        <v>1428.14</v>
      </c>
      <c r="G299" s="252" t="s">
        <v>106</v>
      </c>
      <c r="H299" s="252" t="s">
        <v>106</v>
      </c>
      <c r="I299" s="252" t="s">
        <v>106</v>
      </c>
      <c r="J299" s="54">
        <v>74.55</v>
      </c>
      <c r="K299" s="254" t="s">
        <v>129</v>
      </c>
      <c r="L299" s="1"/>
      <c r="M299" s="1"/>
      <c r="N299" s="1"/>
      <c r="O299" s="1"/>
      <c r="P299" s="1"/>
      <c r="Q299" s="1"/>
      <c r="R299" s="1"/>
      <c r="S299" s="1"/>
    </row>
    <row r="300" ht="10.5" customHeight="1">
      <c r="A300" s="1"/>
      <c r="B300" s="11">
        <v>2004.0</v>
      </c>
      <c r="C300" s="169">
        <v>830.0</v>
      </c>
      <c r="D300" s="169">
        <v>1687.0</v>
      </c>
      <c r="E300" s="169">
        <v>1841644.0</v>
      </c>
      <c r="F300" s="255">
        <v>1091.43</v>
      </c>
      <c r="G300" s="252" t="s">
        <v>106</v>
      </c>
      <c r="H300" s="252" t="s">
        <v>106</v>
      </c>
      <c r="I300" s="252" t="s">
        <v>106</v>
      </c>
      <c r="J300" s="54">
        <v>59.88</v>
      </c>
      <c r="K300" s="254" t="s">
        <v>130</v>
      </c>
      <c r="L300" s="1"/>
      <c r="M300" s="1"/>
      <c r="N300" s="1"/>
      <c r="O300" s="1"/>
      <c r="P300" s="1"/>
      <c r="Q300" s="1"/>
      <c r="R300" s="1"/>
      <c r="S300" s="1"/>
    </row>
    <row r="301" ht="10.5" customHeight="1">
      <c r="A301" s="1"/>
      <c r="B301" s="11"/>
      <c r="C301" s="169"/>
      <c r="D301" s="169"/>
      <c r="E301" s="169"/>
      <c r="F301" s="255"/>
      <c r="G301" s="252"/>
      <c r="H301" s="252"/>
      <c r="I301" s="252"/>
      <c r="J301" s="54"/>
      <c r="K301" s="254"/>
      <c r="L301" s="1"/>
      <c r="M301" s="1"/>
      <c r="N301" s="1"/>
      <c r="O301" s="1"/>
      <c r="P301" s="1"/>
      <c r="Q301" s="1"/>
      <c r="R301" s="1"/>
      <c r="S301" s="1"/>
    </row>
    <row r="302" ht="10.5" customHeight="1">
      <c r="A302" s="1"/>
      <c r="B302" s="11">
        <v>2005.0</v>
      </c>
      <c r="C302" s="169">
        <v>805.0</v>
      </c>
      <c r="D302" s="169">
        <v>1913.0</v>
      </c>
      <c r="E302" s="169">
        <v>1978498.0</v>
      </c>
      <c r="F302" s="255">
        <v>1033.99</v>
      </c>
      <c r="G302" s="252" t="s">
        <v>106</v>
      </c>
      <c r="H302" s="252" t="s">
        <v>106</v>
      </c>
      <c r="I302" s="252" t="s">
        <v>106</v>
      </c>
      <c r="J302" s="54">
        <v>55.01</v>
      </c>
      <c r="K302" s="11" t="s">
        <v>131</v>
      </c>
      <c r="L302" s="1"/>
      <c r="M302" s="1"/>
      <c r="N302" s="1"/>
      <c r="O302" s="1"/>
      <c r="P302" s="1"/>
      <c r="Q302" s="1"/>
      <c r="R302" s="1"/>
      <c r="S302" s="1"/>
    </row>
    <row r="303" ht="10.5" customHeight="1">
      <c r="A303" s="1"/>
      <c r="B303" s="11">
        <v>2006.0</v>
      </c>
      <c r="C303" s="169">
        <v>765.0</v>
      </c>
      <c r="D303" s="169">
        <v>2114.0</v>
      </c>
      <c r="E303" s="256">
        <v>3222667.0</v>
      </c>
      <c r="F303" s="257">
        <v>1524.19</v>
      </c>
      <c r="G303" s="252" t="s">
        <v>106</v>
      </c>
      <c r="H303" s="252" t="s">
        <v>106</v>
      </c>
      <c r="I303" s="252" t="s">
        <v>106</v>
      </c>
      <c r="J303" s="54">
        <v>83.59</v>
      </c>
      <c r="K303" s="11" t="s">
        <v>133</v>
      </c>
      <c r="L303" s="1"/>
      <c r="M303" s="1"/>
      <c r="N303" s="1"/>
      <c r="O303" s="1"/>
      <c r="P303" s="1"/>
      <c r="Q303" s="1"/>
      <c r="R303" s="1"/>
      <c r="S303" s="1"/>
    </row>
    <row r="304" ht="10.5" customHeight="1">
      <c r="A304" s="1"/>
      <c r="B304" s="11">
        <v>2007.0</v>
      </c>
      <c r="C304" s="169">
        <v>632.0</v>
      </c>
      <c r="D304" s="169">
        <v>1913.0</v>
      </c>
      <c r="E304" s="256">
        <v>4794331.0</v>
      </c>
      <c r="F304" s="257">
        <v>2505.58</v>
      </c>
      <c r="G304" s="252" t="s">
        <v>106</v>
      </c>
      <c r="H304" s="252" t="s">
        <v>106</v>
      </c>
      <c r="I304" s="252" t="s">
        <v>106</v>
      </c>
      <c r="J304" s="54">
        <v>149.93</v>
      </c>
      <c r="K304" s="11" t="s">
        <v>486</v>
      </c>
      <c r="L304" s="1"/>
      <c r="M304" s="1"/>
      <c r="N304" s="1"/>
      <c r="O304" s="1"/>
      <c r="P304" s="1"/>
      <c r="Q304" s="1"/>
      <c r="R304" s="1"/>
      <c r="S304" s="1"/>
    </row>
    <row r="305" ht="10.5" customHeight="1">
      <c r="A305" s="1"/>
      <c r="B305" s="11">
        <v>2008.0</v>
      </c>
      <c r="C305" s="169">
        <v>748.0</v>
      </c>
      <c r="D305" s="169">
        <v>2149.0</v>
      </c>
      <c r="E305" s="256">
        <v>4957581.0</v>
      </c>
      <c r="F305" s="257">
        <v>2307.46</v>
      </c>
      <c r="G305" s="252" t="s">
        <v>106</v>
      </c>
      <c r="H305" s="252" t="s">
        <v>106</v>
      </c>
      <c r="I305" s="252" t="s">
        <v>106</v>
      </c>
      <c r="J305" s="54">
        <v>124.8</v>
      </c>
      <c r="K305" s="11" t="s">
        <v>135</v>
      </c>
      <c r="L305" s="1"/>
      <c r="M305" s="1"/>
      <c r="N305" s="1"/>
      <c r="O305" s="1"/>
      <c r="P305" s="1"/>
      <c r="Q305" s="1"/>
      <c r="R305" s="1"/>
      <c r="S305" s="1"/>
    </row>
    <row r="306" ht="10.5" customHeight="1">
      <c r="A306" s="1"/>
      <c r="B306" s="11">
        <v>2009.0</v>
      </c>
      <c r="C306" s="169">
        <v>642.0</v>
      </c>
      <c r="D306" s="169">
        <v>1967.0</v>
      </c>
      <c r="E306" s="256">
        <v>3162491.0</v>
      </c>
      <c r="F306" s="257">
        <v>1608.02</v>
      </c>
      <c r="G306" s="252" t="s">
        <v>106</v>
      </c>
      <c r="H306" s="252" t="s">
        <v>106</v>
      </c>
      <c r="I306" s="252" t="s">
        <v>106</v>
      </c>
      <c r="J306" s="54">
        <v>93.11</v>
      </c>
      <c r="K306" s="11" t="s">
        <v>138</v>
      </c>
      <c r="L306" s="1"/>
      <c r="M306" s="1"/>
      <c r="N306" s="1"/>
      <c r="O306" s="1"/>
      <c r="P306" s="1"/>
      <c r="Q306" s="1"/>
      <c r="R306" s="1"/>
      <c r="S306" s="1"/>
    </row>
    <row r="307" ht="10.5" customHeight="1">
      <c r="A307" s="1"/>
      <c r="B307" s="11"/>
      <c r="C307" s="169"/>
      <c r="D307" s="169"/>
      <c r="E307" s="256"/>
      <c r="F307" s="257"/>
      <c r="G307" s="252"/>
      <c r="H307" s="252"/>
      <c r="I307" s="252"/>
      <c r="J307" s="54"/>
      <c r="K307" s="11"/>
      <c r="L307" s="1"/>
      <c r="M307" s="1"/>
      <c r="N307" s="1"/>
      <c r="O307" s="1"/>
      <c r="P307" s="1"/>
      <c r="Q307" s="1"/>
      <c r="R307" s="1"/>
      <c r="S307" s="1"/>
    </row>
    <row r="308" ht="10.5" customHeight="1">
      <c r="A308" s="1"/>
      <c r="B308" s="11">
        <v>2010.0</v>
      </c>
      <c r="C308" s="169">
        <v>558.0</v>
      </c>
      <c r="D308" s="169">
        <v>1436.0</v>
      </c>
      <c r="E308" s="256">
        <v>3324353.0</v>
      </c>
      <c r="F308" s="257">
        <v>2314.44</v>
      </c>
      <c r="G308" s="252" t="s">
        <v>106</v>
      </c>
      <c r="H308" s="252" t="s">
        <v>106</v>
      </c>
      <c r="I308" s="252" t="s">
        <v>106</v>
      </c>
      <c r="J308" s="258">
        <v>124.5</v>
      </c>
      <c r="K308" s="11" t="s">
        <v>139</v>
      </c>
      <c r="L308" s="1"/>
      <c r="M308" s="1"/>
      <c r="N308" s="1"/>
      <c r="O308" s="1"/>
      <c r="P308" s="1"/>
      <c r="Q308" s="1"/>
      <c r="R308" s="1"/>
      <c r="S308" s="1"/>
    </row>
    <row r="309" ht="10.5" customHeight="1">
      <c r="A309" s="1"/>
      <c r="B309" s="11" t="s">
        <v>487</v>
      </c>
      <c r="C309" s="169">
        <v>605.0</v>
      </c>
      <c r="D309" s="169">
        <v>2014.0</v>
      </c>
      <c r="E309" s="256">
        <v>4773681.0</v>
      </c>
      <c r="F309" s="257">
        <v>2370.36</v>
      </c>
      <c r="G309" s="252" t="s">
        <v>106</v>
      </c>
      <c r="H309" s="252" t="s">
        <v>106</v>
      </c>
      <c r="I309" s="252" t="s">
        <v>106</v>
      </c>
      <c r="J309" s="258">
        <v>125.6</v>
      </c>
      <c r="K309" s="11" t="s">
        <v>143</v>
      </c>
      <c r="L309" s="1"/>
      <c r="M309" s="1"/>
      <c r="N309" s="1"/>
      <c r="O309" s="1"/>
      <c r="P309" s="1"/>
      <c r="Q309" s="1"/>
      <c r="R309" s="1"/>
      <c r="S309" s="1"/>
    </row>
    <row r="310" ht="10.5" customHeight="1">
      <c r="A310" s="1"/>
      <c r="B310" s="11" t="s">
        <v>489</v>
      </c>
      <c r="C310" s="169">
        <v>511.0</v>
      </c>
      <c r="D310" s="169">
        <v>1878.0</v>
      </c>
      <c r="E310" s="256">
        <v>5474341.0</v>
      </c>
      <c r="F310" s="257">
        <v>2914.51</v>
      </c>
      <c r="G310" s="252" t="s">
        <v>106</v>
      </c>
      <c r="H310" s="252" t="s">
        <v>106</v>
      </c>
      <c r="I310" s="252" t="s">
        <v>106</v>
      </c>
      <c r="J310" s="258">
        <v>150.6</v>
      </c>
      <c r="K310" s="11" t="s">
        <v>149</v>
      </c>
      <c r="L310" s="1"/>
      <c r="M310" s="1"/>
      <c r="N310" s="1"/>
      <c r="O310" s="1"/>
      <c r="P310" s="1"/>
      <c r="Q310" s="1"/>
      <c r="R310" s="1"/>
      <c r="S310" s="1"/>
    </row>
    <row r="311" ht="10.5" customHeight="1">
      <c r="A311" s="1"/>
      <c r="B311" s="11" t="s">
        <v>55</v>
      </c>
      <c r="C311" s="169">
        <v>506.0</v>
      </c>
      <c r="D311" s="169">
        <v>1878.0</v>
      </c>
      <c r="E311" s="256">
        <v>5410103.0</v>
      </c>
      <c r="F311" s="257">
        <v>2880.31</v>
      </c>
      <c r="G311" s="252" t="s">
        <v>106</v>
      </c>
      <c r="H311" s="252" t="s">
        <v>106</v>
      </c>
      <c r="I311" s="252" t="s">
        <v>106</v>
      </c>
      <c r="J311" s="258">
        <v>163.72</v>
      </c>
      <c r="K311" s="11" t="s">
        <v>151</v>
      </c>
      <c r="L311" s="1"/>
      <c r="M311" s="1"/>
      <c r="N311" s="1"/>
      <c r="O311" s="1"/>
      <c r="P311" s="1"/>
      <c r="Q311" s="1"/>
      <c r="R311" s="1"/>
      <c r="S311" s="1"/>
    </row>
    <row r="312" ht="10.5" customHeight="1">
      <c r="A312" s="1"/>
      <c r="B312" s="11" t="s">
        <v>57</v>
      </c>
      <c r="C312" s="169">
        <v>477.0</v>
      </c>
      <c r="D312" s="169">
        <v>1758.0</v>
      </c>
      <c r="E312" s="256">
        <v>5366216.0</v>
      </c>
      <c r="F312" s="257">
        <v>3052.85</v>
      </c>
      <c r="G312" s="252" t="s">
        <v>106</v>
      </c>
      <c r="H312" s="252" t="s">
        <v>106</v>
      </c>
      <c r="I312" s="252" t="s">
        <v>106</v>
      </c>
      <c r="J312" s="258">
        <v>164.7</v>
      </c>
      <c r="K312" s="11" t="s">
        <v>153</v>
      </c>
      <c r="L312" s="1"/>
      <c r="M312" s="1"/>
      <c r="N312" s="1"/>
      <c r="O312" s="1"/>
      <c r="P312" s="1"/>
      <c r="Q312" s="1"/>
      <c r="R312" s="1"/>
      <c r="S312" s="1"/>
    </row>
    <row r="313" ht="10.5" customHeight="1">
      <c r="A313" s="1"/>
      <c r="B313" s="11"/>
      <c r="C313" s="169"/>
      <c r="D313" s="169"/>
      <c r="E313" s="256"/>
      <c r="F313" s="257"/>
      <c r="G313" s="252"/>
      <c r="H313" s="252"/>
      <c r="I313" s="252"/>
      <c r="J313" s="258"/>
      <c r="K313" s="11"/>
      <c r="L313" s="1"/>
      <c r="M313" s="1"/>
      <c r="N313" s="1"/>
      <c r="O313" s="1"/>
      <c r="P313" s="1"/>
      <c r="Q313" s="1"/>
      <c r="R313" s="1"/>
      <c r="S313" s="1"/>
    </row>
    <row r="314" ht="10.5" customHeight="1">
      <c r="A314" s="1"/>
      <c r="B314" s="11" t="s">
        <v>58</v>
      </c>
      <c r="C314" s="169">
        <v>482.0</v>
      </c>
      <c r="D314" s="169">
        <v>1446.0</v>
      </c>
      <c r="E314" s="256">
        <v>5456442.0</v>
      </c>
      <c r="F314" s="257">
        <v>3772.44</v>
      </c>
      <c r="G314" s="252" t="s">
        <v>106</v>
      </c>
      <c r="H314" s="252" t="s">
        <v>106</v>
      </c>
      <c r="I314" s="252" t="s">
        <v>106</v>
      </c>
      <c r="J314" s="258">
        <v>200.1</v>
      </c>
      <c r="K314" s="259" t="s">
        <v>155</v>
      </c>
      <c r="L314" s="1"/>
      <c r="M314" s="1"/>
      <c r="N314" s="1"/>
      <c r="O314" s="1"/>
      <c r="P314" s="1"/>
      <c r="Q314" s="1"/>
      <c r="R314" s="1"/>
      <c r="S314" s="1"/>
    </row>
    <row r="315" ht="10.5" customHeight="1">
      <c r="A315" s="1"/>
      <c r="B315" s="11" t="s">
        <v>59</v>
      </c>
      <c r="C315" s="169">
        <v>508.0</v>
      </c>
      <c r="D315" s="169">
        <v>1918.0</v>
      </c>
      <c r="E315" s="256">
        <v>7107286.0</v>
      </c>
      <c r="F315" s="257">
        <v>3704.64</v>
      </c>
      <c r="G315" s="252" t="s">
        <v>106</v>
      </c>
      <c r="H315" s="252" t="s">
        <v>106</v>
      </c>
      <c r="I315" s="252" t="s">
        <v>106</v>
      </c>
      <c r="J315" s="258">
        <v>191.1</v>
      </c>
      <c r="K315" s="259" t="s">
        <v>160</v>
      </c>
      <c r="L315" s="1"/>
      <c r="M315" s="1"/>
      <c r="N315" s="1"/>
      <c r="O315" s="1"/>
      <c r="P315" s="1"/>
      <c r="Q315" s="1"/>
      <c r="R315" s="1"/>
      <c r="S315" s="1"/>
    </row>
    <row r="316" ht="10.5" customHeight="1">
      <c r="A316" s="1"/>
      <c r="B316" s="52" t="s">
        <v>490</v>
      </c>
      <c r="C316" s="260">
        <v>492.0</v>
      </c>
      <c r="D316" s="260">
        <v>1532.0</v>
      </c>
      <c r="E316" s="261">
        <v>5726078.0</v>
      </c>
      <c r="F316" s="262">
        <v>3738.81</v>
      </c>
      <c r="G316" s="263" t="s">
        <v>106</v>
      </c>
      <c r="H316" s="263" t="s">
        <v>106</v>
      </c>
      <c r="I316" s="263" t="s">
        <v>106</v>
      </c>
      <c r="J316" s="265" t="s">
        <v>10</v>
      </c>
      <c r="K316" s="266" t="s">
        <v>162</v>
      </c>
      <c r="L316" s="1"/>
      <c r="M316" s="1"/>
      <c r="N316" s="1"/>
      <c r="O316" s="1"/>
      <c r="P316" s="1"/>
      <c r="Q316" s="1"/>
      <c r="R316" s="1"/>
      <c r="S316" s="1"/>
    </row>
    <row r="317" ht="10.5" customHeight="1">
      <c r="A317" s="1"/>
      <c r="B317" s="242"/>
      <c r="C317" s="267"/>
      <c r="D317" s="267"/>
      <c r="E317" s="268"/>
      <c r="F317" s="269"/>
      <c r="G317" s="270"/>
      <c r="H317" s="270"/>
      <c r="I317" s="242"/>
      <c r="J317" s="1"/>
      <c r="K317" s="1"/>
      <c r="L317" s="1"/>
      <c r="M317" s="1"/>
      <c r="N317" s="1"/>
      <c r="O317" s="1"/>
      <c r="P317" s="1"/>
      <c r="Q317" s="1"/>
      <c r="R317" s="1"/>
      <c r="S317" s="1"/>
    </row>
    <row r="318" ht="13.5" customHeight="1">
      <c r="A318" s="1"/>
      <c r="B318" s="60" t="s">
        <v>492</v>
      </c>
      <c r="C318" s="1"/>
      <c r="D318" s="1"/>
      <c r="E318" s="1"/>
      <c r="F318" s="1"/>
      <c r="G318" s="1"/>
      <c r="H318" s="1"/>
      <c r="I318" s="1"/>
      <c r="J318" s="1"/>
      <c r="K318" s="1"/>
      <c r="L318" s="1"/>
      <c r="M318" s="1"/>
      <c r="N318" s="1"/>
      <c r="O318" s="1"/>
      <c r="P318" s="1"/>
      <c r="Q318" s="1"/>
      <c r="R318" s="1"/>
      <c r="S318" s="1"/>
    </row>
    <row r="319" ht="10.5" customHeight="1">
      <c r="A319" s="1"/>
      <c r="B319" s="60" t="s">
        <v>494</v>
      </c>
      <c r="C319" s="1"/>
      <c r="D319" s="1"/>
      <c r="E319" s="1"/>
      <c r="F319" s="1"/>
      <c r="G319" s="1"/>
      <c r="H319" s="1"/>
      <c r="I319" s="1"/>
      <c r="J319" s="1"/>
      <c r="K319" s="1"/>
      <c r="L319" s="1"/>
      <c r="M319" s="1"/>
      <c r="N319" s="1"/>
      <c r="O319" s="1"/>
      <c r="P319" s="1"/>
      <c r="Q319" s="1"/>
      <c r="R319" s="1"/>
      <c r="S319" s="1"/>
    </row>
    <row r="320" ht="10.5" customHeight="1">
      <c r="A320" s="1"/>
      <c r="B320" s="60" t="s">
        <v>495</v>
      </c>
      <c r="C320" s="1"/>
      <c r="D320" s="1"/>
      <c r="E320" s="1"/>
      <c r="F320" s="1"/>
      <c r="G320" s="1"/>
      <c r="H320" s="1"/>
      <c r="I320" s="1"/>
      <c r="J320" s="1"/>
      <c r="K320" s="1"/>
      <c r="L320" s="1"/>
      <c r="M320" s="1"/>
      <c r="N320" s="1"/>
      <c r="O320" s="1"/>
      <c r="P320" s="1"/>
      <c r="Q320" s="1"/>
      <c r="R320" s="1"/>
      <c r="S320" s="1"/>
    </row>
    <row r="321" ht="10.5" customHeight="1">
      <c r="A321" s="1"/>
      <c r="B321" s="60" t="s">
        <v>497</v>
      </c>
      <c r="C321" s="1"/>
      <c r="D321" s="1"/>
      <c r="E321" s="1"/>
      <c r="F321" s="1"/>
      <c r="G321" s="1"/>
      <c r="H321" s="1"/>
      <c r="I321" s="1"/>
      <c r="J321" s="1"/>
      <c r="K321" s="1"/>
      <c r="L321" s="1"/>
      <c r="M321" s="1"/>
      <c r="N321" s="1"/>
      <c r="O321" s="1"/>
      <c r="P321" s="1"/>
      <c r="Q321" s="1"/>
      <c r="R321" s="1"/>
      <c r="S321" s="1"/>
    </row>
    <row r="322" ht="10.5" customHeight="1">
      <c r="A322" s="1"/>
      <c r="B322" s="60" t="s">
        <v>498</v>
      </c>
      <c r="C322" s="1"/>
      <c r="D322" s="1"/>
      <c r="E322" s="1"/>
      <c r="F322" s="1"/>
      <c r="G322" s="1"/>
      <c r="H322" s="1"/>
      <c r="I322" s="1"/>
      <c r="J322" s="1"/>
      <c r="K322" s="1"/>
      <c r="L322" s="1"/>
      <c r="M322" s="1"/>
      <c r="N322" s="1"/>
      <c r="O322" s="1"/>
      <c r="P322" s="1"/>
      <c r="Q322" s="1"/>
      <c r="R322" s="1"/>
      <c r="S322" s="1"/>
    </row>
    <row r="323" ht="10.5" customHeight="1">
      <c r="A323" s="1"/>
      <c r="B323" s="60" t="s">
        <v>499</v>
      </c>
      <c r="C323" s="1"/>
      <c r="D323" s="1"/>
      <c r="E323" s="1"/>
      <c r="F323" s="1"/>
      <c r="G323" s="1"/>
      <c r="H323" s="1"/>
      <c r="I323" s="1"/>
      <c r="J323" s="1"/>
      <c r="K323" s="1"/>
      <c r="L323" s="1"/>
      <c r="M323" s="1"/>
      <c r="N323" s="1"/>
      <c r="O323" s="1"/>
      <c r="P323" s="1"/>
      <c r="Q323" s="1"/>
      <c r="R323" s="1"/>
      <c r="S323" s="1"/>
    </row>
    <row r="324" ht="10.5" customHeight="1">
      <c r="A324" s="1"/>
      <c r="B324" s="60" t="s">
        <v>500</v>
      </c>
      <c r="C324" s="1"/>
      <c r="D324" s="1"/>
      <c r="E324" s="1"/>
      <c r="F324" s="1"/>
      <c r="G324" s="1"/>
      <c r="H324" s="1"/>
      <c r="I324" s="1"/>
      <c r="J324" s="1"/>
      <c r="K324" s="1"/>
      <c r="L324" s="1"/>
      <c r="M324" s="1"/>
      <c r="N324" s="1"/>
      <c r="O324" s="1"/>
      <c r="P324" s="1"/>
      <c r="Q324" s="1"/>
      <c r="R324" s="1"/>
      <c r="S324" s="1"/>
    </row>
    <row r="325" ht="10.5" customHeight="1">
      <c r="A325" s="1"/>
      <c r="B325" s="60" t="s">
        <v>501</v>
      </c>
      <c r="C325" s="1"/>
      <c r="D325" s="1"/>
      <c r="E325" s="1"/>
      <c r="F325" s="1"/>
      <c r="G325" s="1"/>
      <c r="H325" s="1"/>
      <c r="I325" s="1"/>
      <c r="J325" s="1"/>
      <c r="K325" s="1"/>
      <c r="L325" s="1"/>
      <c r="M325" s="1"/>
      <c r="N325" s="1"/>
      <c r="O325" s="1"/>
      <c r="P325" s="1"/>
      <c r="Q325" s="1"/>
      <c r="R325" s="1"/>
      <c r="S325" s="1"/>
    </row>
    <row r="326" ht="10.5" customHeight="1">
      <c r="A326" s="1"/>
      <c r="B326" s="60" t="s">
        <v>502</v>
      </c>
      <c r="C326" s="1"/>
      <c r="D326" s="1"/>
      <c r="E326" s="1"/>
      <c r="F326" s="1"/>
      <c r="G326" s="1"/>
      <c r="H326" s="1"/>
      <c r="I326" s="1"/>
      <c r="J326" s="1"/>
      <c r="K326" s="1"/>
      <c r="L326" s="1"/>
      <c r="M326" s="1"/>
      <c r="N326" s="1"/>
      <c r="O326" s="1"/>
      <c r="P326" s="1"/>
      <c r="Q326" s="1"/>
      <c r="R326" s="1"/>
      <c r="S326" s="1"/>
    </row>
    <row r="327" ht="10.5" customHeight="1">
      <c r="A327" s="1"/>
      <c r="B327" s="60" t="s">
        <v>503</v>
      </c>
      <c r="C327" s="1"/>
      <c r="D327" s="1"/>
      <c r="E327" s="1"/>
      <c r="F327" s="1"/>
      <c r="G327" s="1"/>
      <c r="H327" s="1"/>
      <c r="I327" s="1"/>
      <c r="J327" s="1"/>
      <c r="K327" s="1"/>
      <c r="L327" s="1"/>
      <c r="M327" s="1"/>
      <c r="N327" s="1"/>
      <c r="O327" s="1"/>
      <c r="P327" s="1"/>
      <c r="Q327" s="1"/>
      <c r="R327" s="1"/>
      <c r="S327" s="1"/>
    </row>
    <row r="328" ht="10.5" customHeight="1">
      <c r="A328" s="1"/>
      <c r="B328" s="60" t="s">
        <v>504</v>
      </c>
      <c r="C328" s="1"/>
      <c r="D328" s="1"/>
      <c r="E328" s="1"/>
      <c r="F328" s="1"/>
      <c r="G328" s="1"/>
      <c r="H328" s="1"/>
      <c r="I328" s="1"/>
      <c r="J328" s="1"/>
      <c r="K328" s="1"/>
      <c r="L328" s="1"/>
      <c r="M328" s="1"/>
      <c r="N328" s="1"/>
      <c r="O328" s="1"/>
      <c r="P328" s="1"/>
      <c r="Q328" s="1"/>
      <c r="R328" s="1"/>
      <c r="S328" s="1"/>
    </row>
    <row r="329" ht="10.5" customHeight="1">
      <c r="A329" s="1"/>
      <c r="B329" s="1"/>
      <c r="C329" s="1"/>
      <c r="D329" s="1"/>
      <c r="E329" s="1"/>
      <c r="F329" s="1"/>
      <c r="G329" s="1"/>
      <c r="H329" s="1"/>
      <c r="I329" s="1"/>
      <c r="J329" s="1"/>
      <c r="K329" s="1"/>
      <c r="L329" s="1"/>
      <c r="M329" s="1"/>
      <c r="N329" s="1"/>
      <c r="O329" s="1"/>
      <c r="P329" s="1"/>
      <c r="Q329" s="1"/>
      <c r="R329" s="1"/>
      <c r="S329" s="1"/>
    </row>
    <row r="330" ht="10.5" customHeight="1">
      <c r="A330" s="1"/>
      <c r="B330" s="1"/>
      <c r="C330" s="113"/>
      <c r="D330" s="113"/>
      <c r="E330" s="113"/>
      <c r="F330" s="113"/>
      <c r="G330" s="113"/>
      <c r="H330" s="113"/>
      <c r="I330" s="1"/>
      <c r="J330" s="1"/>
      <c r="K330" s="1"/>
      <c r="L330" s="1"/>
      <c r="M330" s="1"/>
      <c r="N330" s="1"/>
      <c r="O330" s="1"/>
      <c r="P330" s="1"/>
      <c r="Q330" s="1"/>
      <c r="R330" s="1"/>
      <c r="S330" s="1"/>
    </row>
    <row r="331" ht="10.5" customHeight="1">
      <c r="A331" s="1"/>
      <c r="B331" s="1"/>
      <c r="C331" s="113"/>
      <c r="D331" s="113"/>
      <c r="E331" s="113"/>
      <c r="F331" s="113"/>
      <c r="G331" s="113"/>
      <c r="H331" s="113"/>
      <c r="I331" s="1"/>
      <c r="J331" s="1"/>
      <c r="K331" s="1"/>
      <c r="L331" s="1"/>
      <c r="M331" s="1"/>
      <c r="N331" s="1"/>
      <c r="O331" s="1"/>
      <c r="P331" s="1"/>
      <c r="Q331" s="1"/>
      <c r="R331" s="1"/>
      <c r="S331" s="1"/>
    </row>
    <row r="332" ht="10.5" customHeight="1">
      <c r="A332" s="1"/>
      <c r="B332" s="1"/>
      <c r="C332" s="113"/>
      <c r="D332" s="113"/>
      <c r="E332" s="113"/>
      <c r="F332" s="113"/>
      <c r="G332" s="113"/>
      <c r="H332" s="113"/>
      <c r="I332" s="1"/>
      <c r="J332" s="1"/>
      <c r="K332" s="1"/>
      <c r="L332" s="1"/>
      <c r="M332" s="1"/>
      <c r="N332" s="1"/>
      <c r="O332" s="1"/>
      <c r="P332" s="1"/>
      <c r="Q332" s="1"/>
      <c r="R332" s="1"/>
      <c r="S332" s="1"/>
    </row>
    <row r="333" ht="10.5" customHeight="1">
      <c r="A333" s="1"/>
      <c r="B333" s="1"/>
      <c r="C333" s="113"/>
      <c r="D333" s="113"/>
      <c r="E333" s="113"/>
      <c r="F333" s="113"/>
      <c r="G333" s="113"/>
      <c r="H333" s="113"/>
      <c r="I333" s="1"/>
      <c r="J333" s="1"/>
      <c r="K333" s="1"/>
      <c r="L333" s="1"/>
      <c r="M333" s="1"/>
      <c r="N333" s="1"/>
      <c r="O333" s="1"/>
      <c r="P333" s="1"/>
      <c r="Q333" s="1"/>
      <c r="R333" s="1"/>
      <c r="S333" s="1"/>
    </row>
    <row r="334" ht="10.5" customHeight="1">
      <c r="A334" s="1"/>
      <c r="B334" s="1"/>
      <c r="C334" s="113"/>
      <c r="D334" s="113"/>
      <c r="E334" s="113"/>
      <c r="F334" s="113"/>
      <c r="G334" s="113"/>
      <c r="H334" s="113"/>
      <c r="I334" s="1"/>
      <c r="J334" s="1"/>
      <c r="K334" s="1"/>
      <c r="L334" s="1"/>
      <c r="M334" s="1"/>
      <c r="N334" s="1"/>
      <c r="O334" s="1"/>
      <c r="P334" s="1"/>
      <c r="Q334" s="1"/>
      <c r="R334" s="1"/>
      <c r="S334" s="1"/>
    </row>
    <row r="335" ht="10.5" customHeight="1">
      <c r="A335" s="1"/>
      <c r="B335" s="1"/>
      <c r="C335" s="113"/>
      <c r="D335" s="113"/>
      <c r="E335" s="113"/>
      <c r="F335" s="113"/>
      <c r="G335" s="113"/>
      <c r="H335" s="113"/>
      <c r="I335" s="1"/>
      <c r="J335" s="1"/>
      <c r="K335" s="1"/>
      <c r="L335" s="1"/>
      <c r="M335" s="1"/>
      <c r="N335" s="1"/>
      <c r="O335" s="1"/>
      <c r="P335" s="1"/>
      <c r="Q335" s="1"/>
      <c r="R335" s="1"/>
      <c r="S335" s="1"/>
    </row>
    <row r="336" ht="10.5" customHeight="1">
      <c r="A336" s="1"/>
      <c r="B336" s="1"/>
      <c r="C336" s="113"/>
      <c r="D336" s="113"/>
      <c r="E336" s="113"/>
      <c r="F336" s="113"/>
      <c r="G336" s="113"/>
      <c r="H336" s="113"/>
      <c r="I336" s="1"/>
      <c r="J336" s="1"/>
      <c r="K336" s="1"/>
      <c r="L336" s="1"/>
      <c r="M336" s="1"/>
      <c r="N336" s="1"/>
      <c r="O336" s="1"/>
      <c r="P336" s="1"/>
      <c r="Q336" s="1"/>
      <c r="R336" s="1"/>
      <c r="S336" s="1"/>
    </row>
    <row r="337" ht="10.5" customHeight="1">
      <c r="A337" s="1"/>
      <c r="B337" s="1"/>
      <c r="C337" s="113"/>
      <c r="D337" s="113"/>
      <c r="E337" s="113"/>
      <c r="F337" s="113"/>
      <c r="G337" s="113"/>
      <c r="H337" s="113"/>
      <c r="I337" s="1"/>
      <c r="J337" s="1"/>
      <c r="K337" s="1"/>
      <c r="L337" s="1"/>
      <c r="M337" s="1"/>
      <c r="N337" s="1"/>
      <c r="O337" s="1"/>
      <c r="P337" s="1"/>
      <c r="Q337" s="1"/>
      <c r="R337" s="1"/>
      <c r="S337" s="1"/>
    </row>
    <row r="338" ht="10.5" customHeight="1">
      <c r="A338" s="1"/>
      <c r="B338" s="1"/>
      <c r="C338" s="113"/>
      <c r="D338" s="113"/>
      <c r="E338" s="113"/>
      <c r="F338" s="113"/>
      <c r="G338" s="113"/>
      <c r="H338" s="113"/>
      <c r="I338" s="1"/>
      <c r="J338" s="1"/>
      <c r="K338" s="1"/>
      <c r="L338" s="1"/>
      <c r="M338" s="1"/>
      <c r="N338" s="1"/>
      <c r="O338" s="1"/>
      <c r="P338" s="1"/>
      <c r="Q338" s="1"/>
      <c r="R338" s="1"/>
      <c r="S338" s="1"/>
    </row>
    <row r="339" ht="10.5" customHeight="1">
      <c r="A339" s="1"/>
      <c r="B339" s="1"/>
      <c r="C339" s="113"/>
      <c r="D339" s="113"/>
      <c r="E339" s="113"/>
      <c r="F339" s="113"/>
      <c r="G339" s="113"/>
      <c r="H339" s="113"/>
      <c r="I339" s="1"/>
      <c r="J339" s="1"/>
      <c r="K339" s="1"/>
      <c r="L339" s="1"/>
      <c r="M339" s="1"/>
      <c r="N339" s="1"/>
      <c r="O339" s="1"/>
      <c r="P339" s="1"/>
      <c r="Q339" s="1"/>
      <c r="R339" s="1"/>
      <c r="S339" s="1"/>
    </row>
    <row r="340" ht="10.5" customHeight="1">
      <c r="A340" s="1"/>
      <c r="B340" s="1"/>
      <c r="C340" s="113"/>
      <c r="D340" s="113"/>
      <c r="E340" s="113"/>
      <c r="F340" s="113"/>
      <c r="G340" s="113"/>
      <c r="H340" s="113"/>
      <c r="I340" s="1"/>
      <c r="J340" s="1"/>
      <c r="K340" s="1"/>
      <c r="L340" s="1"/>
      <c r="M340" s="1"/>
      <c r="N340" s="1"/>
      <c r="O340" s="1"/>
      <c r="P340" s="1"/>
      <c r="Q340" s="1"/>
      <c r="R340" s="1"/>
      <c r="S340" s="1"/>
    </row>
    <row r="341" ht="10.5" customHeight="1">
      <c r="A341" s="1"/>
      <c r="B341" s="1"/>
      <c r="C341" s="113"/>
      <c r="D341" s="113"/>
      <c r="E341" s="113"/>
      <c r="F341" s="113"/>
      <c r="G341" s="113"/>
      <c r="H341" s="113"/>
      <c r="I341" s="1"/>
      <c r="J341" s="1"/>
      <c r="K341" s="1"/>
      <c r="L341" s="1"/>
      <c r="M341" s="1"/>
      <c r="N341" s="1"/>
      <c r="O341" s="1"/>
      <c r="P341" s="1"/>
      <c r="Q341" s="1"/>
      <c r="R341" s="1"/>
      <c r="S341" s="1"/>
    </row>
    <row r="342" ht="10.5" customHeight="1">
      <c r="A342" s="1"/>
      <c r="B342" s="1"/>
      <c r="C342" s="113"/>
      <c r="D342" s="113"/>
      <c r="E342" s="113"/>
      <c r="F342" s="113"/>
      <c r="G342" s="113"/>
      <c r="H342" s="113"/>
      <c r="I342" s="1"/>
      <c r="J342" s="1"/>
      <c r="K342" s="1"/>
      <c r="L342" s="1"/>
      <c r="M342" s="1"/>
      <c r="N342" s="1"/>
      <c r="O342" s="1"/>
      <c r="P342" s="1"/>
      <c r="Q342" s="1"/>
      <c r="R342" s="1"/>
      <c r="S342" s="1"/>
    </row>
    <row r="343" ht="10.5" customHeight="1">
      <c r="A343" s="1"/>
      <c r="B343" s="1"/>
      <c r="C343" s="113"/>
      <c r="D343" s="113"/>
      <c r="E343" s="113"/>
      <c r="F343" s="113"/>
      <c r="G343" s="113"/>
      <c r="H343" s="113"/>
      <c r="I343" s="1"/>
      <c r="J343" s="1"/>
      <c r="K343" s="1"/>
      <c r="L343" s="1"/>
      <c r="M343" s="1"/>
      <c r="N343" s="1"/>
      <c r="O343" s="1"/>
      <c r="P343" s="1"/>
      <c r="Q343" s="1"/>
      <c r="R343" s="1"/>
      <c r="S343" s="1"/>
    </row>
    <row r="344" ht="10.5" customHeight="1">
      <c r="A344" s="1"/>
      <c r="B344" s="1"/>
      <c r="C344" s="113"/>
      <c r="D344" s="113"/>
      <c r="E344" s="113"/>
      <c r="F344" s="113"/>
      <c r="G344" s="113"/>
      <c r="H344" s="113"/>
      <c r="I344" s="1"/>
      <c r="J344" s="1"/>
      <c r="K344" s="1"/>
      <c r="L344" s="1"/>
      <c r="M344" s="1"/>
      <c r="N344" s="1"/>
      <c r="O344" s="1"/>
      <c r="P344" s="1"/>
      <c r="Q344" s="1"/>
      <c r="R344" s="1"/>
      <c r="S344" s="1"/>
    </row>
    <row r="345" ht="10.5" customHeight="1">
      <c r="A345" s="1"/>
      <c r="B345" s="1"/>
      <c r="C345" s="113"/>
      <c r="D345" s="113"/>
      <c r="E345" s="113"/>
      <c r="F345" s="113"/>
      <c r="G345" s="113"/>
      <c r="H345" s="113"/>
      <c r="I345" s="1"/>
      <c r="J345" s="1"/>
      <c r="K345" s="1"/>
      <c r="L345" s="1"/>
      <c r="M345" s="1"/>
      <c r="N345" s="1"/>
      <c r="O345" s="1"/>
      <c r="P345" s="1"/>
      <c r="Q345" s="1"/>
      <c r="R345" s="1"/>
      <c r="S345" s="1"/>
    </row>
    <row r="346" ht="10.5" customHeight="1">
      <c r="A346" s="1"/>
      <c r="B346" s="1"/>
      <c r="C346" s="113"/>
      <c r="D346" s="113"/>
      <c r="E346" s="113"/>
      <c r="F346" s="113"/>
      <c r="G346" s="113"/>
      <c r="H346" s="113"/>
      <c r="I346" s="1"/>
      <c r="J346" s="1"/>
      <c r="K346" s="1"/>
      <c r="L346" s="1"/>
      <c r="M346" s="1"/>
      <c r="N346" s="1"/>
      <c r="O346" s="1"/>
      <c r="P346" s="1"/>
      <c r="Q346" s="1"/>
      <c r="R346" s="1"/>
      <c r="S346" s="1"/>
    </row>
    <row r="347" ht="10.5" customHeight="1">
      <c r="A347" s="1"/>
      <c r="B347" s="1"/>
      <c r="C347" s="113"/>
      <c r="D347" s="113"/>
      <c r="E347" s="113"/>
      <c r="F347" s="113"/>
      <c r="G347" s="113"/>
      <c r="H347" s="113"/>
      <c r="I347" s="1"/>
      <c r="J347" s="1"/>
      <c r="K347" s="1"/>
      <c r="L347" s="1"/>
      <c r="M347" s="1"/>
      <c r="N347" s="1"/>
      <c r="O347" s="1"/>
      <c r="P347" s="1"/>
      <c r="Q347" s="1"/>
      <c r="R347" s="1"/>
      <c r="S347" s="1"/>
    </row>
    <row r="348" ht="10.5" customHeight="1">
      <c r="A348" s="1"/>
      <c r="B348" s="1"/>
      <c r="C348" s="113"/>
      <c r="D348" s="113"/>
      <c r="E348" s="113"/>
      <c r="F348" s="113"/>
      <c r="G348" s="113"/>
      <c r="H348" s="113"/>
      <c r="I348" s="1"/>
      <c r="J348" s="1"/>
      <c r="K348" s="1"/>
      <c r="L348" s="1"/>
      <c r="M348" s="1"/>
      <c r="N348" s="1"/>
      <c r="O348" s="1"/>
      <c r="P348" s="1"/>
      <c r="Q348" s="1"/>
      <c r="R348" s="1"/>
      <c r="S348" s="1"/>
    </row>
    <row r="349" ht="10.5" customHeight="1">
      <c r="A349" s="1"/>
      <c r="B349" s="1"/>
      <c r="C349" s="113"/>
      <c r="D349" s="113"/>
      <c r="E349" s="113"/>
      <c r="F349" s="113"/>
      <c r="G349" s="113"/>
      <c r="H349" s="113"/>
      <c r="I349" s="1"/>
      <c r="J349" s="1"/>
      <c r="K349" s="1"/>
      <c r="L349" s="1"/>
      <c r="M349" s="1"/>
      <c r="N349" s="1"/>
      <c r="O349" s="1"/>
      <c r="P349" s="1"/>
      <c r="Q349" s="1"/>
      <c r="R349" s="1"/>
      <c r="S349" s="1"/>
    </row>
    <row r="350" ht="10.5" customHeight="1">
      <c r="A350" s="1"/>
      <c r="B350" s="1"/>
      <c r="C350" s="113"/>
      <c r="D350" s="113"/>
      <c r="E350" s="113"/>
      <c r="F350" s="113"/>
      <c r="G350" s="113"/>
      <c r="H350" s="113"/>
      <c r="I350" s="1"/>
      <c r="J350" s="1"/>
      <c r="K350" s="1"/>
      <c r="L350" s="1"/>
      <c r="M350" s="1"/>
      <c r="N350" s="1"/>
      <c r="O350" s="1"/>
      <c r="P350" s="1"/>
      <c r="Q350" s="1"/>
      <c r="R350" s="1"/>
      <c r="S350" s="1"/>
    </row>
    <row r="351" ht="10.5" customHeight="1">
      <c r="A351" s="1"/>
      <c r="B351" s="1"/>
      <c r="C351" s="1"/>
      <c r="D351" s="1"/>
      <c r="E351" s="1"/>
      <c r="F351" s="1"/>
      <c r="G351" s="1"/>
      <c r="H351" s="1"/>
      <c r="I351" s="1"/>
      <c r="J351" s="1"/>
      <c r="K351" s="1"/>
      <c r="L351" s="1"/>
      <c r="M351" s="1"/>
      <c r="N351" s="1"/>
      <c r="O351" s="1"/>
      <c r="P351" s="1"/>
      <c r="Q351" s="1"/>
      <c r="R351" s="1"/>
      <c r="S351" s="1"/>
    </row>
    <row r="352" ht="10.5" customHeight="1">
      <c r="A352" s="1"/>
      <c r="B352" s="1"/>
      <c r="C352" s="1"/>
      <c r="D352" s="1"/>
      <c r="E352" s="1"/>
      <c r="F352" s="1"/>
      <c r="G352" s="1"/>
      <c r="H352" s="1"/>
      <c r="I352" s="1"/>
      <c r="J352" s="1"/>
      <c r="K352" s="1"/>
      <c r="L352" s="1"/>
      <c r="M352" s="1"/>
      <c r="N352" s="1"/>
      <c r="O352" s="1"/>
      <c r="P352" s="1"/>
      <c r="Q352" s="1"/>
      <c r="R352" s="1"/>
      <c r="S352" s="1"/>
    </row>
    <row r="353" ht="10.5" customHeight="1">
      <c r="A353" s="1"/>
      <c r="B353" s="1"/>
      <c r="C353" s="1"/>
      <c r="D353" s="1"/>
      <c r="E353" s="1"/>
      <c r="F353" s="1"/>
      <c r="G353" s="1"/>
      <c r="H353" s="1"/>
      <c r="I353" s="1"/>
      <c r="J353" s="1"/>
      <c r="K353" s="1"/>
      <c r="L353" s="1"/>
      <c r="M353" s="1"/>
      <c r="N353" s="1"/>
      <c r="O353" s="1"/>
      <c r="P353" s="1"/>
      <c r="Q353" s="1"/>
      <c r="R353" s="1"/>
      <c r="S353" s="1"/>
    </row>
    <row r="354" ht="10.5" customHeight="1">
      <c r="A354" s="1"/>
      <c r="B354" s="1"/>
      <c r="C354" s="1"/>
      <c r="D354" s="1"/>
      <c r="E354" s="1"/>
      <c r="F354" s="1"/>
      <c r="G354" s="1"/>
      <c r="H354" s="1"/>
      <c r="I354" s="1"/>
      <c r="J354" s="1"/>
      <c r="K354" s="1"/>
      <c r="L354" s="1"/>
      <c r="M354" s="1"/>
      <c r="N354" s="1"/>
      <c r="O354" s="1"/>
      <c r="P354" s="1"/>
      <c r="Q354" s="1"/>
      <c r="R354" s="1"/>
      <c r="S354" s="1"/>
    </row>
    <row r="355" ht="10.5" customHeight="1">
      <c r="A355" s="1"/>
      <c r="B355" s="1"/>
      <c r="C355" s="1"/>
      <c r="D355" s="1"/>
      <c r="E355" s="1"/>
      <c r="F355" s="1"/>
      <c r="G355" s="1"/>
      <c r="H355" s="1"/>
      <c r="I355" s="1"/>
      <c r="J355" s="1"/>
      <c r="K355" s="1"/>
      <c r="L355" s="1"/>
      <c r="M355" s="1"/>
      <c r="N355" s="1"/>
      <c r="O355" s="1"/>
      <c r="P355" s="1"/>
      <c r="Q355" s="1"/>
      <c r="R355" s="1"/>
      <c r="S355" s="1"/>
    </row>
    <row r="356" ht="10.5" customHeight="1">
      <c r="A356" s="1"/>
      <c r="B356" s="1"/>
      <c r="C356" s="1"/>
      <c r="D356" s="1"/>
      <c r="E356" s="1"/>
      <c r="F356" s="1"/>
      <c r="G356" s="110">
        <v>10.0</v>
      </c>
      <c r="H356" s="1"/>
      <c r="I356" s="1"/>
      <c r="J356" s="1"/>
      <c r="K356" s="1"/>
      <c r="L356" s="1"/>
      <c r="M356" s="1"/>
      <c r="N356" s="1"/>
      <c r="O356" s="1"/>
      <c r="P356" s="1"/>
      <c r="Q356" s="1"/>
      <c r="R356" s="1"/>
      <c r="S356" s="1"/>
    </row>
    <row r="357" ht="10.5" customHeight="1">
      <c r="A357" s="1"/>
      <c r="B357" s="1"/>
      <c r="C357" s="1"/>
      <c r="D357" s="1"/>
      <c r="E357" s="1"/>
      <c r="F357" s="1"/>
      <c r="G357" s="1"/>
      <c r="H357" s="1"/>
      <c r="I357" s="1"/>
      <c r="J357" s="1"/>
      <c r="K357" s="1"/>
      <c r="L357" s="1"/>
      <c r="M357" s="1"/>
      <c r="N357" s="1"/>
      <c r="O357" s="1"/>
      <c r="P357" s="1"/>
      <c r="Q357" s="1"/>
      <c r="R357" s="1"/>
      <c r="S357" s="1"/>
    </row>
    <row r="358" ht="10.5" customHeight="1">
      <c r="A358" s="1"/>
      <c r="B358" s="1"/>
      <c r="C358" s="1"/>
      <c r="D358" s="1"/>
      <c r="E358" s="1"/>
      <c r="F358" s="1"/>
      <c r="G358" s="1"/>
      <c r="H358" s="1"/>
      <c r="I358" s="1"/>
      <c r="J358" s="1"/>
      <c r="K358" s="1"/>
      <c r="L358" s="1"/>
      <c r="M358" s="1"/>
      <c r="N358" s="1"/>
      <c r="O358" s="1"/>
      <c r="P358" s="1"/>
      <c r="Q358" s="1"/>
      <c r="R358" s="1"/>
      <c r="S358" s="1"/>
    </row>
    <row r="359" ht="11.25" customHeight="1">
      <c r="A359" s="1"/>
      <c r="B359" s="1" t="s">
        <v>522</v>
      </c>
      <c r="C359" s="1"/>
      <c r="D359" s="1"/>
      <c r="E359" s="1"/>
      <c r="F359" s="1"/>
      <c r="G359" s="1"/>
      <c r="H359" s="1"/>
      <c r="I359" s="1"/>
      <c r="J359" s="1"/>
      <c r="K359" s="1"/>
      <c r="L359" s="1"/>
      <c r="M359" s="1"/>
      <c r="N359" s="1"/>
      <c r="O359" s="1"/>
      <c r="P359" s="1"/>
      <c r="Q359" s="1"/>
      <c r="R359" s="1"/>
      <c r="S359" s="1"/>
    </row>
    <row r="360" ht="11.25" customHeight="1">
      <c r="A360" s="1"/>
      <c r="B360" s="29" t="s">
        <v>458</v>
      </c>
      <c r="C360" s="31" t="s">
        <v>238</v>
      </c>
      <c r="D360" s="128" t="s">
        <v>523</v>
      </c>
      <c r="E360" s="9"/>
      <c r="F360" s="9"/>
      <c r="G360" s="10"/>
      <c r="H360" s="128" t="s">
        <v>524</v>
      </c>
      <c r="I360" s="10"/>
      <c r="J360" s="31" t="s">
        <v>243</v>
      </c>
      <c r="K360" s="1"/>
      <c r="L360" s="1"/>
      <c r="M360" s="1"/>
      <c r="N360" s="1"/>
      <c r="O360" s="1"/>
      <c r="P360" s="1"/>
      <c r="Q360" s="1"/>
      <c r="R360" s="1"/>
      <c r="S360" s="1"/>
    </row>
    <row r="361" ht="11.25" customHeight="1">
      <c r="A361" s="1"/>
      <c r="B361" s="5"/>
      <c r="C361" s="6"/>
      <c r="D361" s="7" t="s">
        <v>525</v>
      </c>
      <c r="E361" s="7" t="s">
        <v>526</v>
      </c>
      <c r="F361" s="7" t="s">
        <v>527</v>
      </c>
      <c r="G361" s="7" t="s">
        <v>528</v>
      </c>
      <c r="H361" s="7" t="s">
        <v>2</v>
      </c>
      <c r="I361" s="7" t="s">
        <v>529</v>
      </c>
      <c r="J361" s="6"/>
      <c r="K361" s="1"/>
      <c r="L361" s="1"/>
      <c r="M361" s="1"/>
      <c r="N361" s="1"/>
      <c r="O361" s="1"/>
      <c r="P361" s="1"/>
      <c r="Q361" s="1"/>
      <c r="R361" s="1"/>
      <c r="S361" s="1"/>
    </row>
    <row r="362" ht="10.5" customHeight="1">
      <c r="A362" s="1"/>
      <c r="B362" s="6"/>
      <c r="C362" s="134" t="s">
        <v>49</v>
      </c>
      <c r="D362" s="8" t="s">
        <v>52</v>
      </c>
      <c r="E362" s="9"/>
      <c r="F362" s="9"/>
      <c r="G362" s="10"/>
      <c r="H362" s="8" t="s">
        <v>49</v>
      </c>
      <c r="I362" s="9"/>
      <c r="J362" s="10"/>
      <c r="K362" s="1"/>
      <c r="L362" s="1"/>
      <c r="M362" s="1"/>
      <c r="N362" s="1"/>
      <c r="O362" s="1"/>
      <c r="P362" s="1"/>
      <c r="Q362" s="1"/>
      <c r="R362" s="1"/>
      <c r="S362" s="1"/>
    </row>
    <row r="363" ht="10.5" customHeight="1">
      <c r="A363" s="1"/>
      <c r="B363" s="48" t="s">
        <v>264</v>
      </c>
      <c r="C363" s="136">
        <v>1322.0</v>
      </c>
      <c r="D363" s="276" t="s">
        <v>10</v>
      </c>
      <c r="E363" s="276">
        <v>6.79</v>
      </c>
      <c r="F363" s="276">
        <v>6.63</v>
      </c>
      <c r="G363" s="276">
        <v>6.48</v>
      </c>
      <c r="H363" s="136">
        <v>1165.0</v>
      </c>
      <c r="I363" s="136">
        <v>1056.0</v>
      </c>
      <c r="J363" s="136" t="s">
        <v>40</v>
      </c>
      <c r="K363" s="1"/>
      <c r="L363" s="1"/>
      <c r="M363" s="1"/>
      <c r="N363" s="1"/>
      <c r="O363" s="1"/>
      <c r="P363" s="1"/>
      <c r="Q363" s="1"/>
      <c r="R363" s="1"/>
      <c r="S363" s="1"/>
    </row>
    <row r="364" ht="10.5" customHeight="1">
      <c r="A364" s="1"/>
      <c r="B364" s="48" t="s">
        <v>267</v>
      </c>
      <c r="C364" s="136">
        <v>1606.0</v>
      </c>
      <c r="D364" s="276">
        <v>74.61</v>
      </c>
      <c r="E364" s="276">
        <v>73.51</v>
      </c>
      <c r="F364" s="276">
        <v>71.86</v>
      </c>
      <c r="G364" s="276">
        <v>70.21</v>
      </c>
      <c r="H364" s="136">
        <v>1402.0</v>
      </c>
      <c r="I364" s="136">
        <v>1307.0</v>
      </c>
      <c r="J364" s="136">
        <v>54.0</v>
      </c>
      <c r="K364" s="1"/>
      <c r="L364" s="1"/>
      <c r="M364" s="1"/>
      <c r="N364" s="1"/>
      <c r="O364" s="1"/>
      <c r="P364" s="1"/>
      <c r="Q364" s="1"/>
      <c r="R364" s="1"/>
      <c r="S364" s="1"/>
    </row>
    <row r="365" ht="10.5" customHeight="1">
      <c r="A365" s="1"/>
      <c r="B365" s="48" t="s">
        <v>268</v>
      </c>
      <c r="C365" s="136">
        <v>1698.0</v>
      </c>
      <c r="D365" s="276">
        <v>76.93</v>
      </c>
      <c r="E365" s="276">
        <v>75.83</v>
      </c>
      <c r="F365" s="276">
        <v>72.53</v>
      </c>
      <c r="G365" s="276">
        <v>69.23</v>
      </c>
      <c r="H365" s="136">
        <v>1288.0</v>
      </c>
      <c r="I365" s="136">
        <v>1179.0</v>
      </c>
      <c r="J365" s="136">
        <v>538.0</v>
      </c>
      <c r="K365" s="1"/>
      <c r="L365" s="1"/>
      <c r="M365" s="1"/>
      <c r="N365" s="1"/>
      <c r="O365" s="1"/>
      <c r="P365" s="1"/>
      <c r="Q365" s="1"/>
      <c r="R365" s="1"/>
      <c r="S365" s="1"/>
    </row>
    <row r="366" ht="10.5" customHeight="1">
      <c r="A366" s="1"/>
      <c r="B366" s="48" t="s">
        <v>269</v>
      </c>
      <c r="C366" s="136">
        <v>1844.0</v>
      </c>
      <c r="D366" s="276">
        <v>84.54</v>
      </c>
      <c r="E366" s="276">
        <v>83.44</v>
      </c>
      <c r="F366" s="276">
        <v>80.14</v>
      </c>
      <c r="G366" s="276">
        <v>76.84</v>
      </c>
      <c r="H366" s="136">
        <v>1483.0</v>
      </c>
      <c r="I366" s="136">
        <v>1367.0</v>
      </c>
      <c r="J366" s="136">
        <v>421.0</v>
      </c>
      <c r="K366" s="1"/>
      <c r="L366" s="1"/>
      <c r="M366" s="1"/>
      <c r="N366" s="1"/>
      <c r="O366" s="1"/>
      <c r="P366" s="1"/>
      <c r="Q366" s="1"/>
      <c r="R366" s="1"/>
      <c r="S366" s="1"/>
    </row>
    <row r="367" ht="10.5" customHeight="1">
      <c r="A367" s="1"/>
      <c r="B367" s="48" t="s">
        <v>270</v>
      </c>
      <c r="C367" s="136">
        <v>1535.0</v>
      </c>
      <c r="D367" s="276">
        <v>97.01</v>
      </c>
      <c r="E367" s="276">
        <v>95.91</v>
      </c>
      <c r="F367" s="276">
        <v>92.61</v>
      </c>
      <c r="G367" s="276">
        <v>89.31</v>
      </c>
      <c r="H367" s="136">
        <v>1612.0</v>
      </c>
      <c r="I367" s="136">
        <v>1520.0</v>
      </c>
      <c r="J367" s="136">
        <v>45.0</v>
      </c>
      <c r="K367" s="1"/>
      <c r="L367" s="1"/>
      <c r="M367" s="1"/>
      <c r="N367" s="1"/>
      <c r="O367" s="1"/>
      <c r="P367" s="1"/>
      <c r="Q367" s="1"/>
      <c r="R367" s="1"/>
      <c r="S367" s="1"/>
    </row>
    <row r="368" ht="10.5" customHeight="1">
      <c r="A368" s="1"/>
      <c r="B368" s="48"/>
      <c r="C368" s="136"/>
      <c r="D368" s="276"/>
      <c r="E368" s="276"/>
      <c r="F368" s="276"/>
      <c r="G368" s="276"/>
      <c r="H368" s="136"/>
      <c r="I368" s="136"/>
      <c r="J368" s="136"/>
      <c r="K368" s="1"/>
      <c r="L368" s="1"/>
      <c r="M368" s="1"/>
      <c r="N368" s="1"/>
      <c r="O368" s="1"/>
      <c r="P368" s="1"/>
      <c r="Q368" s="1"/>
      <c r="R368" s="1"/>
      <c r="S368" s="1"/>
    </row>
    <row r="369" ht="10.5" customHeight="1">
      <c r="A369" s="1"/>
      <c r="B369" s="48" t="s">
        <v>271</v>
      </c>
      <c r="C369" s="136">
        <v>1738.0</v>
      </c>
      <c r="D369" s="276">
        <v>108.7</v>
      </c>
      <c r="E369" s="276">
        <v>107.6</v>
      </c>
      <c r="F369" s="276">
        <v>104.3</v>
      </c>
      <c r="G369" s="276">
        <v>101.0</v>
      </c>
      <c r="H369" s="136">
        <v>1709.0</v>
      </c>
      <c r="I369" s="136">
        <v>1618.0</v>
      </c>
      <c r="J369" s="136">
        <v>52.0</v>
      </c>
      <c r="K369" s="1"/>
      <c r="L369" s="1"/>
      <c r="M369" s="1"/>
      <c r="N369" s="1"/>
      <c r="O369" s="1"/>
      <c r="P369" s="1"/>
      <c r="Q369" s="1"/>
      <c r="R369" s="1"/>
      <c r="S369" s="1"/>
    </row>
    <row r="370" ht="10.5" customHeight="1">
      <c r="A370" s="1"/>
      <c r="B370" s="48" t="s">
        <v>272</v>
      </c>
      <c r="C370" s="136">
        <v>2172.0</v>
      </c>
      <c r="D370" s="276">
        <v>124.95</v>
      </c>
      <c r="E370" s="276">
        <v>123.85</v>
      </c>
      <c r="F370" s="276">
        <v>120.55</v>
      </c>
      <c r="G370" s="276">
        <v>117.25</v>
      </c>
      <c r="H370" s="136">
        <v>1681.0</v>
      </c>
      <c r="I370" s="136">
        <v>1569.0</v>
      </c>
      <c r="J370" s="136">
        <v>271.0</v>
      </c>
      <c r="K370" s="1"/>
      <c r="L370" s="1"/>
      <c r="M370" s="1"/>
      <c r="N370" s="1"/>
      <c r="O370" s="1"/>
      <c r="P370" s="1"/>
      <c r="Q370" s="1"/>
      <c r="R370" s="1"/>
      <c r="S370" s="1"/>
    </row>
    <row r="371" ht="10.5" customHeight="1">
      <c r="A371" s="1"/>
      <c r="B371" s="48" t="s">
        <v>274</v>
      </c>
      <c r="C371" s="136">
        <v>1791.0</v>
      </c>
      <c r="D371" s="276">
        <v>125.08</v>
      </c>
      <c r="E371" s="276">
        <v>123.98</v>
      </c>
      <c r="F371" s="276">
        <v>120.68</v>
      </c>
      <c r="G371" s="276">
        <v>117.38</v>
      </c>
      <c r="H371" s="136">
        <v>1675.0</v>
      </c>
      <c r="I371" s="136">
        <v>1566.0</v>
      </c>
      <c r="J371" s="136">
        <v>141.0</v>
      </c>
      <c r="K371" s="1"/>
      <c r="L371" s="1"/>
      <c r="M371" s="1"/>
      <c r="N371" s="1"/>
      <c r="O371" s="1"/>
      <c r="P371" s="1"/>
      <c r="Q371" s="1"/>
      <c r="R371" s="1"/>
      <c r="S371" s="1"/>
    </row>
    <row r="372" ht="10.5" customHeight="1">
      <c r="A372" s="1"/>
      <c r="B372" s="48" t="s">
        <v>275</v>
      </c>
      <c r="C372" s="136">
        <v>1505.0</v>
      </c>
      <c r="D372" s="276">
        <v>142.96</v>
      </c>
      <c r="E372" s="276">
        <v>141.6</v>
      </c>
      <c r="F372" s="276">
        <v>137.51</v>
      </c>
      <c r="G372" s="276">
        <v>133.42</v>
      </c>
      <c r="H372" s="136">
        <v>1903.0</v>
      </c>
      <c r="I372" s="136">
        <v>1672.0</v>
      </c>
      <c r="J372" s="136">
        <v>144.0</v>
      </c>
      <c r="K372" s="1"/>
      <c r="L372" s="1"/>
      <c r="M372" s="1"/>
      <c r="N372" s="1"/>
      <c r="O372" s="1"/>
      <c r="P372" s="1"/>
      <c r="Q372" s="1"/>
      <c r="R372" s="1"/>
      <c r="S372" s="1"/>
    </row>
    <row r="373" ht="10.5" customHeight="1">
      <c r="A373" s="1"/>
      <c r="B373" s="48" t="s">
        <v>276</v>
      </c>
      <c r="C373" s="136">
        <v>2037.0</v>
      </c>
      <c r="D373" s="276">
        <v>189.42</v>
      </c>
      <c r="E373" s="276">
        <v>188.06</v>
      </c>
      <c r="F373" s="276">
        <v>182.5</v>
      </c>
      <c r="G373" s="276">
        <v>176.95</v>
      </c>
      <c r="H373" s="136">
        <v>1781.0</v>
      </c>
      <c r="I373" s="136">
        <v>1691.0</v>
      </c>
      <c r="J373" s="136">
        <v>170.0</v>
      </c>
      <c r="K373" s="1"/>
      <c r="L373" s="1"/>
      <c r="M373" s="1"/>
      <c r="N373" s="1"/>
      <c r="O373" s="1"/>
      <c r="P373" s="1"/>
      <c r="Q373" s="1"/>
      <c r="R373" s="1"/>
      <c r="S373" s="1"/>
    </row>
    <row r="374" ht="10.5" customHeight="1">
      <c r="A374" s="1"/>
      <c r="B374" s="48"/>
      <c r="C374" s="136"/>
      <c r="D374" s="276"/>
      <c r="E374" s="276"/>
      <c r="F374" s="276"/>
      <c r="G374" s="276"/>
      <c r="H374" s="136"/>
      <c r="I374" s="136"/>
      <c r="J374" s="136"/>
      <c r="K374" s="1"/>
      <c r="L374" s="1"/>
      <c r="M374" s="1"/>
      <c r="N374" s="1"/>
      <c r="O374" s="1"/>
      <c r="P374" s="1"/>
      <c r="Q374" s="1"/>
      <c r="R374" s="1"/>
      <c r="S374" s="1"/>
    </row>
    <row r="375" ht="10.5" customHeight="1">
      <c r="A375" s="1"/>
      <c r="B375" s="48" t="s">
        <v>56</v>
      </c>
      <c r="C375" s="136">
        <v>1385.0</v>
      </c>
      <c r="D375" s="276">
        <v>221.35</v>
      </c>
      <c r="E375" s="276">
        <v>219.99</v>
      </c>
      <c r="F375" s="276">
        <v>213.53</v>
      </c>
      <c r="G375" s="276">
        <v>207.08</v>
      </c>
      <c r="H375" s="136">
        <v>2030.0</v>
      </c>
      <c r="I375" s="136">
        <v>1887.0</v>
      </c>
      <c r="J375" s="136">
        <v>45.0</v>
      </c>
      <c r="K375" s="1"/>
      <c r="L375" s="1"/>
      <c r="M375" s="1"/>
      <c r="N375" s="1"/>
      <c r="O375" s="1"/>
      <c r="P375" s="1"/>
      <c r="Q375" s="1"/>
      <c r="R375" s="1"/>
      <c r="S375" s="1"/>
    </row>
    <row r="376" ht="10.5" customHeight="1">
      <c r="A376" s="1"/>
      <c r="B376" s="48" t="s">
        <v>81</v>
      </c>
      <c r="C376" s="136">
        <v>2228.0</v>
      </c>
      <c r="D376" s="276">
        <v>248.03</v>
      </c>
      <c r="E376" s="276">
        <v>246.67</v>
      </c>
      <c r="F376" s="276">
        <v>239.43</v>
      </c>
      <c r="G376" s="276">
        <v>232.19</v>
      </c>
      <c r="H376" s="136">
        <v>1998.0</v>
      </c>
      <c r="I376" s="136">
        <v>1824.0</v>
      </c>
      <c r="J376" s="136">
        <v>6.0</v>
      </c>
      <c r="K376" s="1"/>
      <c r="L376" s="1"/>
      <c r="M376" s="1"/>
      <c r="N376" s="1"/>
      <c r="O376" s="1"/>
      <c r="P376" s="1"/>
      <c r="Q376" s="1"/>
      <c r="R376" s="1"/>
      <c r="S376" s="1"/>
    </row>
    <row r="377" ht="10.5" customHeight="1">
      <c r="A377" s="1"/>
      <c r="B377" s="48" t="s">
        <v>86</v>
      </c>
      <c r="C377" s="136">
        <v>2285.0</v>
      </c>
      <c r="D377" s="276">
        <v>281.39</v>
      </c>
      <c r="E377" s="276">
        <v>280.03</v>
      </c>
      <c r="F377" s="276">
        <v>271.78</v>
      </c>
      <c r="G377" s="276">
        <v>263.53</v>
      </c>
      <c r="H377" s="136">
        <v>1983.0</v>
      </c>
      <c r="I377" s="136">
        <v>1769.0</v>
      </c>
      <c r="J377" s="136">
        <v>157.0</v>
      </c>
      <c r="K377" s="1"/>
      <c r="L377" s="1"/>
      <c r="M377" s="1"/>
      <c r="N377" s="1"/>
      <c r="O377" s="1"/>
      <c r="P377" s="1"/>
      <c r="Q377" s="1"/>
      <c r="R377" s="1"/>
      <c r="S377" s="1"/>
    </row>
    <row r="378" ht="10.5" customHeight="1">
      <c r="A378" s="1"/>
      <c r="B378" s="48" t="s">
        <v>87</v>
      </c>
      <c r="C378" s="136">
        <v>1719.0</v>
      </c>
      <c r="D378" s="276">
        <v>281.74</v>
      </c>
      <c r="E378" s="276">
        <v>280.38</v>
      </c>
      <c r="F378" s="276">
        <v>272.13</v>
      </c>
      <c r="G378" s="276">
        <v>263.88</v>
      </c>
      <c r="H378" s="136">
        <v>2388.0</v>
      </c>
      <c r="I378" s="136">
        <v>2269.0</v>
      </c>
      <c r="J378" s="136">
        <v>104.0</v>
      </c>
      <c r="K378" s="1"/>
      <c r="L378" s="1"/>
      <c r="M378" s="1"/>
      <c r="N378" s="1"/>
      <c r="O378" s="1"/>
      <c r="P378" s="1"/>
      <c r="Q378" s="1"/>
      <c r="R378" s="1"/>
      <c r="S378" s="1"/>
    </row>
    <row r="379" ht="10.5" customHeight="1">
      <c r="A379" s="1"/>
      <c r="B379" s="48" t="s">
        <v>90</v>
      </c>
      <c r="C379" s="136">
        <v>2224.0</v>
      </c>
      <c r="D379" s="276">
        <v>304.36</v>
      </c>
      <c r="E379" s="276">
        <v>303.0</v>
      </c>
      <c r="F379" s="276">
        <v>294.03</v>
      </c>
      <c r="G379" s="276">
        <v>285.06</v>
      </c>
      <c r="H379" s="136">
        <v>2232.0</v>
      </c>
      <c r="I379" s="136">
        <v>2053.0</v>
      </c>
      <c r="J379" s="136">
        <v>86.0</v>
      </c>
      <c r="K379" s="1"/>
      <c r="L379" s="1"/>
      <c r="M379" s="1"/>
      <c r="N379" s="1"/>
      <c r="O379" s="1"/>
      <c r="P379" s="1"/>
      <c r="Q379" s="1"/>
      <c r="R379" s="1"/>
      <c r="S379" s="1"/>
    </row>
    <row r="380" ht="10.5" customHeight="1">
      <c r="A380" s="1"/>
      <c r="B380" s="48"/>
      <c r="C380" s="136"/>
      <c r="D380" s="276"/>
      <c r="E380" s="276"/>
      <c r="F380" s="276"/>
      <c r="G380" s="276"/>
      <c r="H380" s="136"/>
      <c r="I380" s="136"/>
      <c r="J380" s="136"/>
      <c r="K380" s="1"/>
      <c r="L380" s="1"/>
      <c r="M380" s="1"/>
      <c r="N380" s="1"/>
      <c r="O380" s="1"/>
      <c r="P380" s="1"/>
      <c r="Q380" s="1"/>
      <c r="R380" s="1"/>
      <c r="S380" s="1"/>
    </row>
    <row r="381" ht="10.5" customHeight="1">
      <c r="A381" s="1"/>
      <c r="B381" s="48" t="s">
        <v>93</v>
      </c>
      <c r="C381" s="136">
        <v>1586.0</v>
      </c>
      <c r="D381" s="276">
        <v>330.51</v>
      </c>
      <c r="E381" s="276">
        <v>329.15</v>
      </c>
      <c r="F381" s="276">
        <v>319.4</v>
      </c>
      <c r="G381" s="276" t="s">
        <v>40</v>
      </c>
      <c r="H381" s="136">
        <v>2236.0</v>
      </c>
      <c r="I381" s="136">
        <v>2069.0</v>
      </c>
      <c r="J381" s="136">
        <v>95.0</v>
      </c>
      <c r="K381" s="1"/>
      <c r="L381" s="1"/>
      <c r="M381" s="1"/>
      <c r="N381" s="1"/>
      <c r="O381" s="1"/>
      <c r="P381" s="1"/>
      <c r="Q381" s="1"/>
      <c r="R381" s="1"/>
      <c r="S381" s="1"/>
    </row>
    <row r="382" ht="10.5" customHeight="1">
      <c r="A382" s="1"/>
      <c r="B382" s="48" t="s">
        <v>97</v>
      </c>
      <c r="C382" s="136">
        <v>2249.0</v>
      </c>
      <c r="D382" s="276">
        <v>366.21</v>
      </c>
      <c r="E382" s="276">
        <v>364.85</v>
      </c>
      <c r="F382" s="276">
        <v>354.05</v>
      </c>
      <c r="G382" s="276">
        <v>350.45</v>
      </c>
      <c r="H382" s="136">
        <v>2345.0</v>
      </c>
      <c r="I382" s="136">
        <v>2208.0</v>
      </c>
      <c r="J382" s="136">
        <v>53.0</v>
      </c>
      <c r="K382" s="1"/>
      <c r="L382" s="1"/>
      <c r="M382" s="1"/>
      <c r="N382" s="1"/>
      <c r="O382" s="1"/>
      <c r="P382" s="1"/>
      <c r="Q382" s="1"/>
      <c r="R382" s="1"/>
      <c r="S382" s="1"/>
    </row>
    <row r="383" ht="10.5" customHeight="1">
      <c r="A383" s="1"/>
      <c r="B383" s="48" t="s">
        <v>101</v>
      </c>
      <c r="C383" s="136">
        <v>3037.0</v>
      </c>
      <c r="D383" s="276">
        <v>399.63</v>
      </c>
      <c r="E383" s="276">
        <v>398.27</v>
      </c>
      <c r="F383" s="276">
        <v>386.42</v>
      </c>
      <c r="G383" s="276">
        <v>382.47</v>
      </c>
      <c r="H383" s="136">
        <v>2614.0</v>
      </c>
      <c r="I383" s="136">
        <v>2301.0</v>
      </c>
      <c r="J383" s="136">
        <v>285.0</v>
      </c>
      <c r="K383" s="1"/>
      <c r="L383" s="1"/>
      <c r="M383" s="1"/>
      <c r="N383" s="1"/>
      <c r="O383" s="1"/>
      <c r="P383" s="1"/>
      <c r="Q383" s="1"/>
      <c r="R383" s="1"/>
      <c r="S383" s="1"/>
    </row>
    <row r="384" ht="10.5" customHeight="1">
      <c r="A384" s="1"/>
      <c r="B384" s="48" t="s">
        <v>103</v>
      </c>
      <c r="C384" s="136">
        <v>3490.0</v>
      </c>
      <c r="D384" s="276">
        <v>401.61</v>
      </c>
      <c r="E384" s="276">
        <v>400.25</v>
      </c>
      <c r="F384" s="276">
        <v>388.4</v>
      </c>
      <c r="G384" s="276">
        <v>384.45</v>
      </c>
      <c r="H384" s="136">
        <v>2350.0</v>
      </c>
      <c r="I384" s="136">
        <v>2182.0</v>
      </c>
      <c r="J384" s="136">
        <v>1249.0</v>
      </c>
      <c r="K384" s="1"/>
      <c r="L384" s="1"/>
      <c r="M384" s="1"/>
      <c r="N384" s="1"/>
      <c r="O384" s="1"/>
      <c r="P384" s="1"/>
      <c r="Q384" s="1"/>
      <c r="R384" s="1"/>
      <c r="S384" s="1"/>
    </row>
    <row r="385" ht="10.5" customHeight="1">
      <c r="A385" s="1"/>
      <c r="B385" s="48" t="s">
        <v>104</v>
      </c>
      <c r="C385" s="136">
        <v>1962.0</v>
      </c>
      <c r="D385" s="276">
        <v>451.36</v>
      </c>
      <c r="E385" s="276">
        <v>450.0</v>
      </c>
      <c r="F385" s="276">
        <v>426.5</v>
      </c>
      <c r="G385" s="276">
        <v>432.0</v>
      </c>
      <c r="H385" s="136">
        <v>2307.0</v>
      </c>
      <c r="I385" s="136">
        <v>2271.0</v>
      </c>
      <c r="J385" s="136">
        <v>268.0</v>
      </c>
      <c r="K385" s="1"/>
      <c r="L385" s="1"/>
      <c r="M385" s="1"/>
      <c r="N385" s="1"/>
      <c r="O385" s="1"/>
      <c r="P385" s="1"/>
      <c r="Q385" s="1"/>
      <c r="R385" s="1"/>
      <c r="S385" s="1"/>
    </row>
    <row r="386" ht="10.5" customHeight="1">
      <c r="A386" s="1"/>
      <c r="B386" s="48"/>
      <c r="C386" s="136"/>
      <c r="D386" s="276"/>
      <c r="E386" s="276"/>
      <c r="F386" s="276"/>
      <c r="G386" s="276"/>
      <c r="H386" s="136"/>
      <c r="I386" s="136"/>
      <c r="J386" s="136"/>
      <c r="K386" s="1"/>
      <c r="L386" s="1"/>
      <c r="M386" s="1"/>
      <c r="N386" s="1"/>
      <c r="O386" s="1"/>
      <c r="P386" s="1"/>
      <c r="Q386" s="1"/>
      <c r="R386" s="1"/>
      <c r="S386" s="1"/>
    </row>
    <row r="387" ht="10.5" customHeight="1">
      <c r="A387" s="1"/>
      <c r="B387" s="48" t="s">
        <v>108</v>
      </c>
      <c r="C387" s="136">
        <v>1666.0</v>
      </c>
      <c r="D387" s="276">
        <v>563.94</v>
      </c>
      <c r="E387" s="276">
        <v>562.58</v>
      </c>
      <c r="F387" s="276">
        <v>546.98</v>
      </c>
      <c r="G387" s="276">
        <v>541.78</v>
      </c>
      <c r="H387" s="136">
        <v>2174.0</v>
      </c>
      <c r="I387" s="136">
        <v>2169.0</v>
      </c>
      <c r="J387" s="136">
        <v>116.0</v>
      </c>
      <c r="K387" s="1"/>
      <c r="L387" s="1"/>
      <c r="M387" s="1"/>
      <c r="N387" s="1"/>
      <c r="O387" s="1"/>
      <c r="P387" s="1"/>
      <c r="Q387" s="1"/>
      <c r="R387" s="1"/>
      <c r="S387" s="1"/>
    </row>
    <row r="388" ht="10.5" customHeight="1">
      <c r="A388" s="1"/>
      <c r="B388" s="48" t="s">
        <v>111</v>
      </c>
      <c r="C388" s="136">
        <v>2085.0</v>
      </c>
      <c r="D388" s="276">
        <v>657.17</v>
      </c>
      <c r="E388" s="276">
        <v>648.42</v>
      </c>
      <c r="F388" s="276">
        <v>639.05</v>
      </c>
      <c r="G388" s="276">
        <v>623.42</v>
      </c>
      <c r="H388" s="136">
        <v>2143.0</v>
      </c>
      <c r="I388" s="136">
        <v>2130.0</v>
      </c>
      <c r="J388" s="136">
        <v>148.0</v>
      </c>
      <c r="K388" s="1"/>
      <c r="L388" s="1"/>
      <c r="M388" s="1"/>
      <c r="N388" s="1"/>
      <c r="O388" s="1"/>
      <c r="P388" s="1"/>
      <c r="Q388" s="1"/>
      <c r="R388" s="1"/>
      <c r="S388" s="1"/>
    </row>
    <row r="389" ht="10.5" customHeight="1">
      <c r="A389" s="1"/>
      <c r="B389" s="48" t="s">
        <v>112</v>
      </c>
      <c r="C389" s="136">
        <v>1270.0</v>
      </c>
      <c r="D389" s="276">
        <v>753.91</v>
      </c>
      <c r="E389" s="276">
        <v>743.5</v>
      </c>
      <c r="F389" s="276">
        <v>732.35</v>
      </c>
      <c r="G389" s="276">
        <v>713.76</v>
      </c>
      <c r="H389" s="136">
        <v>2132.0</v>
      </c>
      <c r="I389" s="136">
        <v>2125.0</v>
      </c>
      <c r="J389" s="136">
        <v>195.0</v>
      </c>
      <c r="K389" s="1"/>
      <c r="L389" s="1"/>
      <c r="M389" s="1"/>
      <c r="N389" s="1"/>
      <c r="O389" s="1"/>
      <c r="P389" s="1"/>
      <c r="Q389" s="1"/>
      <c r="R389" s="1"/>
      <c r="S389" s="1"/>
    </row>
    <row r="390" ht="10.5" customHeight="1">
      <c r="A390" s="1"/>
      <c r="B390" s="48" t="s">
        <v>113</v>
      </c>
      <c r="C390" s="136">
        <v>1913.0</v>
      </c>
      <c r="D390" s="276">
        <v>813.71</v>
      </c>
      <c r="E390" s="276">
        <v>802.48</v>
      </c>
      <c r="F390" s="276">
        <v>790.44</v>
      </c>
      <c r="G390" s="276">
        <v>770.38</v>
      </c>
      <c r="H390" s="136">
        <v>2259.0</v>
      </c>
      <c r="I390" s="136">
        <v>2250.0</v>
      </c>
      <c r="J390" s="136">
        <v>80.0</v>
      </c>
      <c r="K390" s="1"/>
      <c r="L390" s="1"/>
      <c r="M390" s="1"/>
      <c r="N390" s="1"/>
      <c r="O390" s="1"/>
      <c r="P390" s="1"/>
      <c r="Q390" s="1"/>
      <c r="R390" s="1"/>
      <c r="S390" s="1"/>
    </row>
    <row r="391" ht="10.5" customHeight="1">
      <c r="A391" s="1"/>
      <c r="B391" s="48" t="s">
        <v>114</v>
      </c>
      <c r="C391" s="136">
        <v>1775.0</v>
      </c>
      <c r="D391" s="276">
        <v>782.06</v>
      </c>
      <c r="E391" s="276">
        <v>770.5</v>
      </c>
      <c r="F391" s="276">
        <v>747.38</v>
      </c>
      <c r="G391" s="276">
        <v>739.68</v>
      </c>
      <c r="H391" s="136">
        <v>2353.0</v>
      </c>
      <c r="I391" s="136">
        <v>2351.0</v>
      </c>
      <c r="J391" s="136">
        <v>160.0</v>
      </c>
      <c r="K391" s="1"/>
      <c r="L391" s="1"/>
      <c r="M391" s="1"/>
      <c r="N391" s="1"/>
      <c r="O391" s="1"/>
      <c r="P391" s="1"/>
      <c r="Q391" s="1"/>
      <c r="R391" s="1"/>
      <c r="S391" s="1"/>
    </row>
    <row r="392" ht="10.5" customHeight="1">
      <c r="A392" s="1"/>
      <c r="B392" s="48"/>
      <c r="C392" s="136"/>
      <c r="D392" s="276"/>
      <c r="E392" s="276"/>
      <c r="F392" s="276"/>
      <c r="G392" s="276"/>
      <c r="H392" s="136"/>
      <c r="I392" s="136"/>
      <c r="J392" s="136"/>
      <c r="K392" s="1"/>
      <c r="L392" s="1"/>
      <c r="M392" s="1"/>
      <c r="N392" s="1"/>
      <c r="O392" s="1"/>
      <c r="P392" s="1"/>
      <c r="Q392" s="1"/>
      <c r="R392" s="1"/>
      <c r="S392" s="1"/>
    </row>
    <row r="393" ht="10.5" customHeight="1">
      <c r="A393" s="1"/>
      <c r="B393" s="48" t="s">
        <v>115</v>
      </c>
      <c r="C393" s="136">
        <v>1899.0</v>
      </c>
      <c r="D393" s="276">
        <v>859.48</v>
      </c>
      <c r="E393" s="276">
        <v>846.78</v>
      </c>
      <c r="F393" s="276">
        <v>821.38</v>
      </c>
      <c r="G393" s="276">
        <v>812.91</v>
      </c>
      <c r="H393" s="136">
        <v>2419.0</v>
      </c>
      <c r="I393" s="136">
        <v>2407.0</v>
      </c>
      <c r="J393" s="136">
        <v>156.0</v>
      </c>
      <c r="K393" s="1"/>
      <c r="L393" s="1"/>
      <c r="M393" s="1"/>
      <c r="N393" s="1"/>
      <c r="O393" s="1"/>
      <c r="P393" s="1"/>
      <c r="Q393" s="1"/>
      <c r="R393" s="1"/>
      <c r="S393" s="1"/>
    </row>
    <row r="394" ht="10.5" customHeight="1">
      <c r="A394" s="1"/>
      <c r="B394" s="48" t="s">
        <v>117</v>
      </c>
      <c r="C394" s="136">
        <v>2570.0</v>
      </c>
      <c r="D394" s="276">
        <v>980.51</v>
      </c>
      <c r="E394" s="276">
        <v>966.02</v>
      </c>
      <c r="F394" s="276">
        <v>937.04</v>
      </c>
      <c r="G394" s="276">
        <v>927.38</v>
      </c>
      <c r="H394" s="136">
        <v>2668.0</v>
      </c>
      <c r="I394" s="136">
        <v>2504.0</v>
      </c>
      <c r="J394" s="136">
        <v>236.0</v>
      </c>
      <c r="K394" s="1"/>
      <c r="L394" s="1"/>
      <c r="M394" s="1"/>
      <c r="N394" s="1"/>
      <c r="O394" s="1"/>
      <c r="P394" s="1"/>
      <c r="Q394" s="1"/>
      <c r="R394" s="1"/>
      <c r="S394" s="1"/>
    </row>
    <row r="395" ht="10.5" customHeight="1">
      <c r="A395" s="1"/>
      <c r="B395" s="48" t="s">
        <v>121</v>
      </c>
      <c r="C395" s="136">
        <v>2449.0</v>
      </c>
      <c r="D395" s="276" t="s">
        <v>106</v>
      </c>
      <c r="E395" s="276" t="s">
        <v>106</v>
      </c>
      <c r="F395" s="276" t="s">
        <v>106</v>
      </c>
      <c r="G395" s="276" t="s">
        <v>106</v>
      </c>
      <c r="H395" s="136">
        <v>2183.0</v>
      </c>
      <c r="I395" s="136">
        <v>2138.0</v>
      </c>
      <c r="J395" s="136">
        <v>79.0</v>
      </c>
      <c r="K395" s="1"/>
      <c r="L395" s="1"/>
      <c r="M395" s="1"/>
      <c r="N395" s="1"/>
      <c r="O395" s="1"/>
      <c r="P395" s="1"/>
      <c r="Q395" s="1"/>
      <c r="R395" s="1"/>
      <c r="S395" s="1"/>
    </row>
    <row r="396" ht="10.5" customHeight="1">
      <c r="A396" s="1"/>
      <c r="B396" s="48" t="s">
        <v>122</v>
      </c>
      <c r="C396" s="136">
        <v>1644.0</v>
      </c>
      <c r="D396" s="276" t="s">
        <v>106</v>
      </c>
      <c r="E396" s="276" t="s">
        <v>106</v>
      </c>
      <c r="F396" s="276" t="s">
        <v>106</v>
      </c>
      <c r="G396" s="276" t="s">
        <v>106</v>
      </c>
      <c r="H396" s="136">
        <v>2421.0</v>
      </c>
      <c r="I396" s="136">
        <v>2348.0</v>
      </c>
      <c r="J396" s="136">
        <v>75.0</v>
      </c>
      <c r="K396" s="1"/>
      <c r="L396" s="1"/>
      <c r="M396" s="1"/>
      <c r="N396" s="1"/>
      <c r="O396" s="1"/>
      <c r="P396" s="1"/>
      <c r="Q396" s="1"/>
      <c r="R396" s="1"/>
      <c r="S396" s="1"/>
    </row>
    <row r="397" ht="10.5" customHeight="1">
      <c r="A397" s="1"/>
      <c r="B397" s="48" t="s">
        <v>123</v>
      </c>
      <c r="C397" s="136">
        <v>1725.0</v>
      </c>
      <c r="D397" s="276" t="s">
        <v>106</v>
      </c>
      <c r="E397" s="276" t="s">
        <v>106</v>
      </c>
      <c r="F397" s="276" t="s">
        <v>106</v>
      </c>
      <c r="G397" s="276" t="s">
        <v>106</v>
      </c>
      <c r="H397" s="136">
        <v>2452.0</v>
      </c>
      <c r="I397" s="136">
        <v>2345.0</v>
      </c>
      <c r="J397" s="136">
        <v>72.0</v>
      </c>
      <c r="K397" s="1"/>
      <c r="L397" s="1"/>
      <c r="M397" s="1"/>
      <c r="N397" s="1"/>
      <c r="O397" s="1"/>
      <c r="P397" s="1"/>
      <c r="Q397" s="1"/>
      <c r="R397" s="1"/>
      <c r="S397" s="1"/>
    </row>
    <row r="398" ht="10.5" customHeight="1">
      <c r="A398" s="1"/>
      <c r="B398" s="48"/>
      <c r="C398" s="136"/>
      <c r="D398" s="276"/>
      <c r="E398" s="276"/>
      <c r="F398" s="276"/>
      <c r="G398" s="276"/>
      <c r="H398" s="136"/>
      <c r="I398" s="136"/>
      <c r="J398" s="136"/>
      <c r="K398" s="1"/>
      <c r="L398" s="1"/>
      <c r="M398" s="1"/>
      <c r="N398" s="1"/>
      <c r="O398" s="1"/>
      <c r="P398" s="1"/>
      <c r="Q398" s="1"/>
      <c r="R398" s="1"/>
      <c r="S398" s="1"/>
    </row>
    <row r="399" ht="10.5" customHeight="1">
      <c r="A399" s="1"/>
      <c r="B399" s="48" t="s">
        <v>125</v>
      </c>
      <c r="C399" s="136">
        <v>2353.0</v>
      </c>
      <c r="D399" s="276" t="s">
        <v>106</v>
      </c>
      <c r="E399" s="276" t="s">
        <v>106</v>
      </c>
      <c r="F399" s="276" t="s">
        <v>106</v>
      </c>
      <c r="G399" s="276" t="s">
        <v>106</v>
      </c>
      <c r="H399" s="136">
        <v>2488.0</v>
      </c>
      <c r="I399" s="136">
        <v>2424.0</v>
      </c>
      <c r="J399" s="136">
        <v>103.0</v>
      </c>
      <c r="K399" s="1"/>
      <c r="L399" s="1"/>
      <c r="M399" s="1"/>
      <c r="N399" s="1"/>
      <c r="O399" s="1"/>
      <c r="P399" s="1"/>
      <c r="Q399" s="1"/>
      <c r="R399" s="1"/>
      <c r="S399" s="1"/>
    </row>
    <row r="400" ht="10.5" customHeight="1">
      <c r="A400" s="1"/>
      <c r="B400" s="48" t="s">
        <v>127</v>
      </c>
      <c r="C400" s="136">
        <v>2415.0</v>
      </c>
      <c r="D400" s="276" t="s">
        <v>106</v>
      </c>
      <c r="E400" s="276" t="s">
        <v>106</v>
      </c>
      <c r="F400" s="276" t="s">
        <v>106</v>
      </c>
      <c r="G400" s="276" t="s">
        <v>106</v>
      </c>
      <c r="H400" s="136">
        <v>2606.0</v>
      </c>
      <c r="I400" s="136">
        <v>2519.0</v>
      </c>
      <c r="J400" s="136">
        <v>149.0</v>
      </c>
      <c r="K400" s="1"/>
      <c r="L400" s="1"/>
      <c r="M400" s="1"/>
      <c r="N400" s="1"/>
      <c r="O400" s="1"/>
      <c r="P400" s="1"/>
      <c r="Q400" s="1"/>
      <c r="R400" s="1"/>
      <c r="S400" s="1"/>
    </row>
    <row r="401" ht="10.5" customHeight="1">
      <c r="A401" s="1"/>
      <c r="B401" s="48" t="s">
        <v>128</v>
      </c>
      <c r="C401" s="136">
        <v>2387.0</v>
      </c>
      <c r="D401" s="276" t="s">
        <v>106</v>
      </c>
      <c r="E401" s="276" t="s">
        <v>106</v>
      </c>
      <c r="F401" s="276" t="s">
        <v>106</v>
      </c>
      <c r="G401" s="276" t="s">
        <v>106</v>
      </c>
      <c r="H401" s="136">
        <v>2659.0</v>
      </c>
      <c r="I401" s="136">
        <v>2575.0</v>
      </c>
      <c r="J401" s="136">
        <v>179.0</v>
      </c>
      <c r="K401" s="1"/>
      <c r="L401" s="1"/>
      <c r="M401" s="1"/>
      <c r="N401" s="1"/>
      <c r="O401" s="1"/>
      <c r="P401" s="1"/>
      <c r="Q401" s="1"/>
      <c r="R401" s="1"/>
      <c r="S401" s="1"/>
    </row>
    <row r="402" ht="10.5" customHeight="1">
      <c r="A402" s="1"/>
      <c r="B402" s="48" t="s">
        <v>129</v>
      </c>
      <c r="C402" s="169">
        <v>1512.0</v>
      </c>
      <c r="D402" s="289" t="s">
        <v>106</v>
      </c>
      <c r="E402" s="289" t="s">
        <v>106</v>
      </c>
      <c r="F402" s="289" t="s">
        <v>106</v>
      </c>
      <c r="G402" s="289" t="s">
        <v>106</v>
      </c>
      <c r="H402" s="169">
        <v>2729.0</v>
      </c>
      <c r="I402" s="169">
        <v>2652.0</v>
      </c>
      <c r="J402" s="169">
        <v>158.0</v>
      </c>
      <c r="K402" s="1"/>
      <c r="L402" s="1"/>
      <c r="M402" s="1"/>
      <c r="N402" s="1"/>
      <c r="O402" s="1"/>
      <c r="P402" s="1"/>
      <c r="Q402" s="1"/>
      <c r="R402" s="1"/>
      <c r="S402" s="1"/>
    </row>
    <row r="403" ht="10.5" customHeight="1">
      <c r="A403" s="1"/>
      <c r="B403" s="48" t="s">
        <v>130</v>
      </c>
      <c r="C403" s="169">
        <v>1670.0</v>
      </c>
      <c r="D403" s="289" t="s">
        <v>106</v>
      </c>
      <c r="E403" s="289" t="s">
        <v>106</v>
      </c>
      <c r="F403" s="289" t="s">
        <v>106</v>
      </c>
      <c r="G403" s="289" t="s">
        <v>106</v>
      </c>
      <c r="H403" s="169">
        <v>2801.0</v>
      </c>
      <c r="I403" s="169">
        <v>2734.0</v>
      </c>
      <c r="J403" s="169">
        <v>158.0</v>
      </c>
      <c r="K403" s="1"/>
      <c r="L403" s="1"/>
      <c r="M403" s="1"/>
      <c r="N403" s="1"/>
      <c r="O403" s="1"/>
      <c r="P403" s="1"/>
      <c r="Q403" s="1"/>
      <c r="R403" s="1"/>
      <c r="S403" s="1"/>
    </row>
    <row r="404" ht="10.5" customHeight="1">
      <c r="A404" s="1"/>
      <c r="B404" s="48"/>
      <c r="C404" s="169"/>
      <c r="D404" s="289"/>
      <c r="E404" s="289"/>
      <c r="F404" s="289"/>
      <c r="G404" s="289"/>
      <c r="H404" s="169"/>
      <c r="I404" s="169"/>
      <c r="J404" s="169"/>
      <c r="K404" s="1"/>
      <c r="L404" s="1"/>
      <c r="M404" s="1"/>
      <c r="N404" s="1"/>
      <c r="O404" s="1"/>
      <c r="P404" s="1"/>
      <c r="Q404" s="1"/>
      <c r="R404" s="1"/>
      <c r="S404" s="1"/>
    </row>
    <row r="405" ht="10.5" customHeight="1">
      <c r="A405" s="1"/>
      <c r="B405" s="85" t="s">
        <v>131</v>
      </c>
      <c r="C405" s="169">
        <v>1893.0</v>
      </c>
      <c r="D405" s="289" t="s">
        <v>106</v>
      </c>
      <c r="E405" s="289" t="s">
        <v>106</v>
      </c>
      <c r="F405" s="289" t="s">
        <v>106</v>
      </c>
      <c r="G405" s="289" t="s">
        <v>106</v>
      </c>
      <c r="H405" s="169">
        <v>2883.0</v>
      </c>
      <c r="I405" s="169">
        <v>2781.0</v>
      </c>
      <c r="J405" s="169">
        <v>111.0</v>
      </c>
      <c r="K405" s="1"/>
      <c r="L405" s="1"/>
      <c r="M405" s="1"/>
      <c r="N405" s="1"/>
      <c r="O405" s="1"/>
      <c r="P405" s="1"/>
      <c r="Q405" s="1"/>
      <c r="R405" s="1"/>
      <c r="S405" s="1"/>
    </row>
    <row r="406" ht="10.5" customHeight="1">
      <c r="A406" s="1"/>
      <c r="B406" s="85" t="s">
        <v>133</v>
      </c>
      <c r="C406" s="169">
        <v>2045.0</v>
      </c>
      <c r="D406" s="289" t="s">
        <v>106</v>
      </c>
      <c r="E406" s="289" t="s">
        <v>106</v>
      </c>
      <c r="F406" s="289" t="s">
        <v>106</v>
      </c>
      <c r="G406" s="289" t="s">
        <v>106</v>
      </c>
      <c r="H406" s="169">
        <v>2888.0</v>
      </c>
      <c r="I406" s="169">
        <v>2818.0</v>
      </c>
      <c r="J406" s="169">
        <v>211.0</v>
      </c>
      <c r="K406" s="1"/>
      <c r="L406" s="1"/>
      <c r="M406" s="1"/>
      <c r="N406" s="1"/>
      <c r="O406" s="1"/>
      <c r="P406" s="1"/>
      <c r="Q406" s="1"/>
      <c r="R406" s="1"/>
      <c r="S406" s="1"/>
    </row>
    <row r="407" ht="10.5" customHeight="1">
      <c r="A407" s="1"/>
      <c r="B407" s="85" t="s">
        <v>134</v>
      </c>
      <c r="C407" s="169">
        <v>1876.0</v>
      </c>
      <c r="D407" s="289" t="s">
        <v>106</v>
      </c>
      <c r="E407" s="289" t="s">
        <v>106</v>
      </c>
      <c r="F407" s="289" t="s">
        <v>106</v>
      </c>
      <c r="G407" s="289" t="s">
        <v>106</v>
      </c>
      <c r="H407" s="169">
        <v>2923.0</v>
      </c>
      <c r="I407" s="169">
        <v>2844.0</v>
      </c>
      <c r="J407" s="169">
        <v>223.0</v>
      </c>
      <c r="K407" s="1"/>
      <c r="L407" s="1"/>
      <c r="M407" s="1"/>
      <c r="N407" s="1"/>
      <c r="O407" s="1"/>
      <c r="P407" s="1"/>
      <c r="Q407" s="1"/>
      <c r="R407" s="1"/>
      <c r="S407" s="1"/>
    </row>
    <row r="408" ht="10.5" customHeight="1">
      <c r="A408" s="1"/>
      <c r="B408" s="85" t="s">
        <v>135</v>
      </c>
      <c r="C408" s="169">
        <v>2130.0</v>
      </c>
      <c r="D408" s="289" t="s">
        <v>106</v>
      </c>
      <c r="E408" s="289" t="s">
        <v>106</v>
      </c>
      <c r="F408" s="289" t="s">
        <v>106</v>
      </c>
      <c r="G408" s="289" t="s">
        <v>106</v>
      </c>
      <c r="H408" s="169">
        <v>2943.0</v>
      </c>
      <c r="I408" s="169">
        <v>2849.0</v>
      </c>
      <c r="J408" s="169">
        <v>231.0</v>
      </c>
      <c r="K408" s="1"/>
      <c r="L408" s="1"/>
      <c r="M408" s="1"/>
      <c r="N408" s="1"/>
      <c r="O408" s="1"/>
      <c r="P408" s="1"/>
      <c r="Q408" s="1"/>
      <c r="R408" s="1"/>
      <c r="S408" s="1"/>
    </row>
    <row r="409" ht="10.5" customHeight="1">
      <c r="A409" s="1"/>
      <c r="B409" s="85" t="s">
        <v>138</v>
      </c>
      <c r="C409" s="169">
        <v>1910.0</v>
      </c>
      <c r="D409" s="289" t="s">
        <v>106</v>
      </c>
      <c r="E409" s="289" t="s">
        <v>106</v>
      </c>
      <c r="F409" s="289" t="s">
        <v>106</v>
      </c>
      <c r="G409" s="289" t="s">
        <v>106</v>
      </c>
      <c r="H409" s="169">
        <v>3080.0</v>
      </c>
      <c r="I409" s="169">
        <v>2991.0</v>
      </c>
      <c r="J409" s="169">
        <v>240.0</v>
      </c>
      <c r="K409" s="1"/>
      <c r="L409" s="1"/>
      <c r="M409" s="1"/>
      <c r="N409" s="1"/>
      <c r="O409" s="1"/>
      <c r="P409" s="1"/>
      <c r="Q409" s="1"/>
      <c r="R409" s="1"/>
      <c r="S409" s="1"/>
    </row>
    <row r="410" ht="10.5" customHeight="1">
      <c r="A410" s="1"/>
      <c r="B410" s="11"/>
      <c r="C410" s="169"/>
      <c r="D410" s="289"/>
      <c r="E410" s="289"/>
      <c r="F410" s="289"/>
      <c r="G410" s="289"/>
      <c r="H410" s="169"/>
      <c r="I410" s="169"/>
      <c r="J410" s="169"/>
      <c r="K410" s="1"/>
      <c r="L410" s="1"/>
      <c r="M410" s="1"/>
      <c r="N410" s="1"/>
      <c r="O410" s="1"/>
      <c r="P410" s="1"/>
      <c r="Q410" s="1"/>
      <c r="R410" s="1"/>
      <c r="S410" s="1"/>
    </row>
    <row r="411" ht="10.5" customHeight="1">
      <c r="A411" s="1"/>
      <c r="B411" s="85" t="s">
        <v>139</v>
      </c>
      <c r="C411" s="169">
        <v>1389.0</v>
      </c>
      <c r="D411" s="289" t="s">
        <v>106</v>
      </c>
      <c r="E411" s="289" t="s">
        <v>106</v>
      </c>
      <c r="F411" s="289" t="s">
        <v>106</v>
      </c>
      <c r="G411" s="289" t="s">
        <v>106</v>
      </c>
      <c r="H411" s="169">
        <v>2997.0</v>
      </c>
      <c r="I411" s="169">
        <v>2944.0</v>
      </c>
      <c r="J411" s="169">
        <v>179.0</v>
      </c>
      <c r="K411" s="1"/>
      <c r="L411" s="1"/>
      <c r="M411" s="1"/>
      <c r="N411" s="1"/>
      <c r="O411" s="1"/>
      <c r="P411" s="1"/>
      <c r="Q411" s="1"/>
      <c r="R411" s="1"/>
      <c r="S411" s="1"/>
    </row>
    <row r="412" ht="10.5" customHeight="1">
      <c r="A412" s="1"/>
      <c r="B412" s="85" t="s">
        <v>143</v>
      </c>
      <c r="C412" s="169">
        <v>1973.0</v>
      </c>
      <c r="D412" s="289" t="s">
        <v>106</v>
      </c>
      <c r="E412" s="289" t="s">
        <v>106</v>
      </c>
      <c r="F412" s="289" t="s">
        <v>106</v>
      </c>
      <c r="G412" s="289" t="s">
        <v>106</v>
      </c>
      <c r="H412" s="169">
        <v>3258.0</v>
      </c>
      <c r="I412" s="169">
        <v>3066.0</v>
      </c>
      <c r="J412" s="169">
        <v>288.0</v>
      </c>
      <c r="K412" s="1"/>
      <c r="L412" s="1"/>
      <c r="M412" s="1"/>
      <c r="N412" s="1"/>
      <c r="O412" s="1"/>
      <c r="P412" s="1"/>
      <c r="Q412" s="1"/>
      <c r="R412" s="1"/>
      <c r="S412" s="1"/>
    </row>
    <row r="413" ht="10.5" customHeight="1">
      <c r="A413" s="1"/>
      <c r="B413" s="85" t="s">
        <v>149</v>
      </c>
      <c r="C413" s="169">
        <v>1837.0</v>
      </c>
      <c r="D413" s="289" t="s">
        <v>106</v>
      </c>
      <c r="E413" s="289" t="s">
        <v>106</v>
      </c>
      <c r="F413" s="289" t="s">
        <v>106</v>
      </c>
      <c r="G413" s="289" t="s">
        <v>106</v>
      </c>
      <c r="H413" s="169">
        <v>3102.0</v>
      </c>
      <c r="I413" s="169">
        <v>3008.0</v>
      </c>
      <c r="J413" s="169">
        <v>304.0</v>
      </c>
      <c r="K413" s="1"/>
      <c r="L413" s="1"/>
      <c r="M413" s="1"/>
      <c r="N413" s="1"/>
      <c r="O413" s="1"/>
      <c r="P413" s="1"/>
      <c r="Q413" s="1"/>
      <c r="R413" s="1"/>
      <c r="S413" s="1"/>
    </row>
    <row r="414" ht="10.5" customHeight="1">
      <c r="A414" s="1"/>
      <c r="B414" s="85" t="s">
        <v>151</v>
      </c>
      <c r="C414" s="169">
        <v>1817.0</v>
      </c>
      <c r="D414" s="289" t="s">
        <v>106</v>
      </c>
      <c r="E414" s="289" t="s">
        <v>106</v>
      </c>
      <c r="F414" s="289" t="s">
        <v>106</v>
      </c>
      <c r="G414" s="289" t="s">
        <v>106</v>
      </c>
      <c r="H414" s="169">
        <v>3230.0</v>
      </c>
      <c r="I414" s="169">
        <v>3122.0</v>
      </c>
      <c r="J414" s="169">
        <v>268.0</v>
      </c>
      <c r="K414" s="1"/>
      <c r="L414" s="1"/>
      <c r="M414" s="1"/>
      <c r="N414" s="1"/>
      <c r="O414" s="1"/>
      <c r="P414" s="1"/>
      <c r="Q414" s="1"/>
      <c r="R414" s="1"/>
      <c r="S414" s="1"/>
    </row>
    <row r="415" ht="10.5" customHeight="1">
      <c r="A415" s="1"/>
      <c r="B415" s="85" t="s">
        <v>153</v>
      </c>
      <c r="C415" s="169">
        <v>1700.0</v>
      </c>
      <c r="D415" s="289" t="s">
        <v>106</v>
      </c>
      <c r="E415" s="289" t="s">
        <v>106</v>
      </c>
      <c r="F415" s="289" t="s">
        <v>106</v>
      </c>
      <c r="G415" s="289" t="s">
        <v>106</v>
      </c>
      <c r="H415" s="169">
        <v>3175.0</v>
      </c>
      <c r="I415" s="169">
        <v>3109.0</v>
      </c>
      <c r="J415" s="169">
        <v>292.0</v>
      </c>
      <c r="K415" s="1"/>
      <c r="L415" s="1"/>
      <c r="M415" s="1"/>
      <c r="N415" s="1"/>
      <c r="O415" s="1"/>
      <c r="P415" s="1"/>
      <c r="Q415" s="1"/>
      <c r="R415" s="1"/>
      <c r="S415" s="1"/>
    </row>
    <row r="416" ht="10.5" customHeight="1">
      <c r="A416" s="1"/>
      <c r="B416" s="85"/>
      <c r="C416" s="169"/>
      <c r="D416" s="289"/>
      <c r="E416" s="289"/>
      <c r="F416" s="289"/>
      <c r="G416" s="289"/>
      <c r="H416" s="169"/>
      <c r="I416" s="169"/>
      <c r="J416" s="169"/>
      <c r="K416" s="1"/>
      <c r="L416" s="1"/>
      <c r="M416" s="1"/>
      <c r="N416" s="1"/>
      <c r="O416" s="1"/>
      <c r="P416" s="1"/>
      <c r="Q416" s="1"/>
      <c r="R416" s="1"/>
      <c r="S416" s="1"/>
    </row>
    <row r="417" ht="10.5" customHeight="1">
      <c r="A417" s="1"/>
      <c r="B417" s="85" t="s">
        <v>155</v>
      </c>
      <c r="C417" s="169">
        <v>1407.0</v>
      </c>
      <c r="D417" s="289" t="s">
        <v>106</v>
      </c>
      <c r="E417" s="289" t="s">
        <v>106</v>
      </c>
      <c r="F417" s="289" t="s">
        <v>106</v>
      </c>
      <c r="G417" s="289" t="s">
        <v>106</v>
      </c>
      <c r="H417" s="169">
        <v>3201.0</v>
      </c>
      <c r="I417" s="169">
        <v>3142.0</v>
      </c>
      <c r="J417" s="169">
        <v>69.0</v>
      </c>
      <c r="K417" s="1"/>
      <c r="L417" s="1"/>
      <c r="M417" s="1"/>
      <c r="N417" s="1"/>
      <c r="O417" s="1"/>
      <c r="P417" s="1"/>
      <c r="Q417" s="1"/>
      <c r="R417" s="1"/>
      <c r="S417" s="1"/>
    </row>
    <row r="418" ht="10.5" customHeight="1">
      <c r="A418" s="1"/>
      <c r="B418" s="85" t="s">
        <v>160</v>
      </c>
      <c r="C418" s="169">
        <v>1871.0</v>
      </c>
      <c r="D418" s="289" t="s">
        <v>106</v>
      </c>
      <c r="E418" s="289" t="s">
        <v>106</v>
      </c>
      <c r="F418" s="289" t="s">
        <v>106</v>
      </c>
      <c r="G418" s="289" t="s">
        <v>106</v>
      </c>
      <c r="H418" s="169">
        <v>3196.0</v>
      </c>
      <c r="I418" s="169">
        <v>3161.0</v>
      </c>
      <c r="J418" s="169">
        <v>105.0</v>
      </c>
      <c r="K418" s="1"/>
      <c r="L418" s="1"/>
      <c r="M418" s="1"/>
      <c r="N418" s="1"/>
      <c r="O418" s="1"/>
      <c r="P418" s="1"/>
      <c r="Q418" s="1"/>
      <c r="R418" s="1"/>
      <c r="S418" s="1"/>
    </row>
    <row r="419" ht="10.5" customHeight="1">
      <c r="A419" s="1"/>
      <c r="B419" s="96" t="s">
        <v>554</v>
      </c>
      <c r="C419" s="260">
        <v>1493.0</v>
      </c>
      <c r="D419" s="290" t="s">
        <v>106</v>
      </c>
      <c r="E419" s="290" t="s">
        <v>106</v>
      </c>
      <c r="F419" s="290" t="s">
        <v>106</v>
      </c>
      <c r="G419" s="290" t="s">
        <v>106</v>
      </c>
      <c r="H419" s="260">
        <v>3136.0</v>
      </c>
      <c r="I419" s="260">
        <v>3100.0</v>
      </c>
      <c r="J419" s="260">
        <v>65.0</v>
      </c>
      <c r="K419" s="1"/>
      <c r="L419" s="1"/>
      <c r="M419" s="1"/>
      <c r="N419" s="1"/>
      <c r="O419" s="1"/>
      <c r="P419" s="1"/>
      <c r="Q419" s="1"/>
      <c r="R419" s="1"/>
      <c r="S419" s="1"/>
    </row>
    <row r="420" ht="10.5" customHeight="1">
      <c r="A420" s="1"/>
      <c r="B420" s="291"/>
      <c r="C420" s="267"/>
      <c r="D420" s="292"/>
      <c r="E420" s="292"/>
      <c r="F420" s="292"/>
      <c r="G420" s="292"/>
      <c r="H420" s="267"/>
      <c r="I420" s="1"/>
      <c r="J420" s="1"/>
      <c r="K420" s="1"/>
      <c r="L420" s="1"/>
      <c r="M420" s="1"/>
      <c r="N420" s="1"/>
      <c r="O420" s="1"/>
      <c r="P420" s="1"/>
      <c r="Q420" s="1"/>
      <c r="R420" s="1"/>
      <c r="S420" s="1"/>
    </row>
    <row r="421" ht="12.0" customHeight="1">
      <c r="A421" s="1"/>
      <c r="B421" s="60" t="s">
        <v>560</v>
      </c>
      <c r="C421" s="1"/>
      <c r="D421" s="1"/>
      <c r="E421" s="1"/>
      <c r="F421" s="1"/>
      <c r="G421" s="1"/>
      <c r="H421" s="1"/>
      <c r="I421" s="1"/>
      <c r="J421" s="1"/>
      <c r="K421" s="1"/>
      <c r="L421" s="1"/>
      <c r="M421" s="1"/>
      <c r="N421" s="1"/>
      <c r="O421" s="1"/>
      <c r="P421" s="1"/>
      <c r="Q421" s="1"/>
      <c r="R421" s="1"/>
      <c r="S421" s="1"/>
    </row>
    <row r="422" ht="10.5" customHeight="1">
      <c r="A422" s="1"/>
      <c r="B422" s="60" t="s">
        <v>561</v>
      </c>
      <c r="C422" s="1"/>
      <c r="D422" s="1"/>
      <c r="E422" s="1"/>
      <c r="F422" s="1"/>
      <c r="G422" s="1"/>
      <c r="H422" s="1"/>
      <c r="I422" s="1"/>
      <c r="J422" s="1"/>
      <c r="K422" s="1"/>
      <c r="L422" s="1"/>
      <c r="M422" s="1"/>
      <c r="N422" s="1"/>
      <c r="O422" s="1"/>
      <c r="P422" s="1"/>
      <c r="Q422" s="1"/>
      <c r="R422" s="1"/>
      <c r="S422" s="1"/>
    </row>
    <row r="423" ht="6.0" customHeight="1">
      <c r="A423" s="1"/>
      <c r="B423" s="60"/>
      <c r="C423" s="1"/>
      <c r="D423" s="1"/>
      <c r="E423" s="1"/>
      <c r="F423" s="1"/>
      <c r="G423" s="1"/>
      <c r="H423" s="1"/>
      <c r="I423" s="1"/>
      <c r="J423" s="1"/>
      <c r="K423" s="1"/>
      <c r="L423" s="1"/>
      <c r="M423" s="1"/>
      <c r="N423" s="1"/>
      <c r="O423" s="1"/>
      <c r="P423" s="1"/>
      <c r="Q423" s="1"/>
      <c r="R423" s="1"/>
      <c r="S423" s="1"/>
    </row>
    <row r="424" ht="10.5" customHeight="1">
      <c r="A424" s="1"/>
      <c r="B424" s="185" t="s">
        <v>564</v>
      </c>
      <c r="C424" s="1"/>
      <c r="D424" s="1"/>
      <c r="E424" s="1"/>
      <c r="F424" s="1"/>
      <c r="G424" s="1"/>
      <c r="H424" s="1"/>
      <c r="I424" s="1"/>
      <c r="J424" s="1"/>
      <c r="K424" s="1"/>
      <c r="L424" s="1"/>
      <c r="M424" s="1"/>
      <c r="N424" s="1"/>
      <c r="O424" s="1"/>
      <c r="P424" s="1"/>
      <c r="Q424" s="1"/>
      <c r="R424" s="1"/>
      <c r="S424" s="1"/>
    </row>
    <row r="425" ht="10.5" customHeight="1">
      <c r="A425" s="1"/>
      <c r="B425" s="185" t="s">
        <v>566</v>
      </c>
      <c r="C425" s="1"/>
      <c r="D425" s="1"/>
      <c r="E425" s="1"/>
      <c r="F425" s="1"/>
      <c r="G425" s="1"/>
      <c r="H425" s="1"/>
      <c r="I425" s="1"/>
      <c r="J425" s="1"/>
      <c r="K425" s="1"/>
      <c r="L425" s="1"/>
      <c r="M425" s="1"/>
      <c r="N425" s="1"/>
      <c r="O425" s="1"/>
      <c r="P425" s="1"/>
      <c r="Q425" s="1"/>
      <c r="R425" s="1"/>
      <c r="S425" s="1"/>
    </row>
    <row r="426" ht="10.5" customHeight="1">
      <c r="A426" s="1"/>
      <c r="B426" s="185" t="s">
        <v>567</v>
      </c>
      <c r="C426" s="1"/>
      <c r="D426" s="1"/>
      <c r="E426" s="1"/>
      <c r="F426" s="1"/>
      <c r="G426" s="1"/>
      <c r="H426" s="1"/>
      <c r="I426" s="1"/>
      <c r="J426" s="1"/>
      <c r="K426" s="1"/>
      <c r="L426" s="1"/>
      <c r="M426" s="1"/>
      <c r="N426" s="1"/>
      <c r="O426" s="1"/>
      <c r="P426" s="1"/>
      <c r="Q426" s="1"/>
      <c r="R426" s="1"/>
      <c r="S426" s="1"/>
    </row>
    <row r="427" ht="10.5" customHeight="1">
      <c r="A427" s="1"/>
      <c r="B427" s="185" t="s">
        <v>568</v>
      </c>
      <c r="C427" s="1"/>
      <c r="D427" s="1"/>
      <c r="E427" s="1"/>
      <c r="F427" s="1"/>
      <c r="G427" s="1"/>
      <c r="H427" s="1"/>
      <c r="I427" s="1"/>
      <c r="J427" s="1"/>
      <c r="K427" s="1"/>
      <c r="L427" s="1"/>
      <c r="M427" s="1"/>
      <c r="N427" s="1"/>
      <c r="O427" s="1"/>
      <c r="P427" s="1"/>
      <c r="Q427" s="1"/>
      <c r="R427" s="1"/>
      <c r="S427" s="1"/>
    </row>
    <row r="428" ht="10.5" customHeight="1">
      <c r="A428" s="1"/>
      <c r="B428" s="1"/>
      <c r="C428" s="1"/>
      <c r="D428" s="1"/>
      <c r="E428" s="1"/>
      <c r="F428" s="1"/>
      <c r="G428" s="1"/>
      <c r="H428" s="1"/>
      <c r="I428" s="1"/>
      <c r="J428" s="1"/>
      <c r="K428" s="1"/>
      <c r="L428" s="1"/>
      <c r="M428" s="1"/>
      <c r="N428" s="1"/>
      <c r="O428" s="1"/>
      <c r="P428" s="1"/>
      <c r="Q428" s="1"/>
      <c r="R428" s="1"/>
      <c r="S428" s="1"/>
    </row>
    <row r="429" ht="10.5" customHeight="1">
      <c r="A429" s="1"/>
      <c r="B429" s="1"/>
      <c r="C429" s="113"/>
      <c r="D429" s="113"/>
      <c r="E429" s="113"/>
      <c r="F429" s="113"/>
      <c r="G429" s="113"/>
      <c r="H429" s="113"/>
      <c r="I429" s="1"/>
      <c r="J429" s="1"/>
      <c r="K429" s="1"/>
      <c r="L429" s="1"/>
      <c r="M429" s="1"/>
      <c r="N429" s="1"/>
      <c r="O429" s="1"/>
      <c r="P429" s="1"/>
      <c r="Q429" s="1"/>
      <c r="R429" s="1"/>
      <c r="S429" s="1"/>
    </row>
    <row r="430" ht="10.5" customHeight="1">
      <c r="A430" s="1"/>
      <c r="B430" s="1"/>
      <c r="C430" s="1"/>
      <c r="D430" s="1"/>
      <c r="E430" s="1"/>
      <c r="F430" s="1"/>
      <c r="G430" s="1"/>
      <c r="H430" s="1"/>
      <c r="I430" s="1"/>
      <c r="J430" s="1"/>
      <c r="K430" s="1"/>
      <c r="L430" s="1"/>
      <c r="M430" s="1"/>
      <c r="N430" s="1"/>
      <c r="O430" s="1"/>
      <c r="P430" s="1"/>
      <c r="Q430" s="1"/>
      <c r="R430" s="1"/>
      <c r="S430" s="1"/>
    </row>
    <row r="431" ht="10.5" customHeight="1">
      <c r="A431" s="1"/>
      <c r="B431" s="1"/>
      <c r="C431" s="113"/>
      <c r="D431" s="113"/>
      <c r="E431" s="113"/>
      <c r="F431" s="113"/>
      <c r="G431" s="113"/>
      <c r="H431" s="113"/>
      <c r="I431" s="1"/>
      <c r="J431" s="1"/>
      <c r="K431" s="1"/>
      <c r="L431" s="1"/>
      <c r="M431" s="1"/>
      <c r="N431" s="1"/>
      <c r="O431" s="1"/>
      <c r="P431" s="1"/>
      <c r="Q431" s="1"/>
      <c r="R431" s="1"/>
      <c r="S431" s="1"/>
    </row>
    <row r="432" ht="10.5" customHeight="1">
      <c r="A432" s="1"/>
      <c r="B432" s="1"/>
      <c r="C432" s="1"/>
      <c r="D432" s="1"/>
      <c r="E432" s="1"/>
      <c r="F432" s="1"/>
      <c r="G432" s="1"/>
      <c r="H432" s="1"/>
      <c r="I432" s="1"/>
      <c r="J432" s="1"/>
      <c r="K432" s="1"/>
      <c r="L432" s="1"/>
      <c r="M432" s="1"/>
      <c r="N432" s="1"/>
      <c r="O432" s="1"/>
      <c r="P432" s="1"/>
      <c r="Q432" s="1"/>
      <c r="R432" s="1"/>
      <c r="S432" s="1"/>
    </row>
    <row r="433" ht="10.5" customHeight="1">
      <c r="A433" s="1"/>
      <c r="B433" s="1"/>
      <c r="C433" s="1"/>
      <c r="D433" s="1"/>
      <c r="E433" s="1"/>
      <c r="F433" s="1"/>
      <c r="G433" s="1"/>
      <c r="H433" s="1"/>
      <c r="I433" s="1"/>
      <c r="J433" s="1"/>
      <c r="K433" s="1"/>
      <c r="L433" s="1"/>
      <c r="M433" s="1"/>
      <c r="N433" s="1"/>
      <c r="O433" s="1"/>
      <c r="P433" s="1"/>
      <c r="Q433" s="1"/>
      <c r="R433" s="1"/>
      <c r="S433" s="1"/>
    </row>
    <row r="434" ht="10.5" customHeight="1">
      <c r="A434" s="1"/>
      <c r="B434" s="1"/>
      <c r="C434" s="1"/>
      <c r="D434" s="1"/>
      <c r="E434" s="1"/>
      <c r="F434" s="1"/>
      <c r="G434" s="1"/>
      <c r="H434" s="1"/>
      <c r="I434" s="1"/>
      <c r="J434" s="1"/>
      <c r="K434" s="1"/>
      <c r="L434" s="1"/>
      <c r="M434" s="1"/>
      <c r="N434" s="1"/>
      <c r="O434" s="1"/>
      <c r="P434" s="1"/>
      <c r="Q434" s="1"/>
      <c r="R434" s="1"/>
      <c r="S434" s="1"/>
    </row>
    <row r="435" ht="10.5" customHeight="1">
      <c r="A435" s="1"/>
      <c r="B435" s="1"/>
      <c r="C435" s="1"/>
      <c r="D435" s="1"/>
      <c r="E435" s="1"/>
      <c r="F435" s="1"/>
      <c r="G435" s="1"/>
      <c r="H435" s="1"/>
      <c r="I435" s="1"/>
      <c r="J435" s="1"/>
      <c r="K435" s="1"/>
      <c r="L435" s="1"/>
      <c r="M435" s="1"/>
      <c r="N435" s="1"/>
      <c r="O435" s="1"/>
      <c r="P435" s="1"/>
      <c r="Q435" s="1"/>
      <c r="R435" s="1"/>
      <c r="S435" s="1"/>
    </row>
    <row r="436" ht="10.5" customHeight="1">
      <c r="A436" s="1"/>
      <c r="B436" s="1"/>
      <c r="C436" s="1"/>
      <c r="D436" s="1"/>
      <c r="E436" s="1"/>
      <c r="F436" s="1"/>
      <c r="G436" s="1"/>
      <c r="H436" s="1"/>
      <c r="I436" s="1"/>
      <c r="J436" s="1"/>
      <c r="K436" s="1"/>
      <c r="L436" s="1"/>
      <c r="M436" s="1"/>
      <c r="N436" s="1"/>
      <c r="O436" s="1"/>
      <c r="P436" s="1"/>
      <c r="Q436" s="1"/>
      <c r="R436" s="1"/>
      <c r="S436" s="1"/>
    </row>
    <row r="437" ht="10.5" customHeight="1">
      <c r="A437" s="1"/>
      <c r="B437" s="1"/>
      <c r="C437" s="1"/>
      <c r="D437" s="1"/>
      <c r="E437" s="1"/>
      <c r="F437" s="1"/>
      <c r="G437" s="1"/>
      <c r="H437" s="1"/>
      <c r="I437" s="1"/>
      <c r="J437" s="1"/>
      <c r="K437" s="1"/>
      <c r="L437" s="1"/>
      <c r="M437" s="1"/>
      <c r="N437" s="1"/>
      <c r="O437" s="1"/>
      <c r="P437" s="1"/>
      <c r="Q437" s="1"/>
      <c r="R437" s="1"/>
      <c r="S437" s="1"/>
    </row>
    <row r="438" ht="10.5" customHeight="1">
      <c r="A438" s="1"/>
      <c r="B438" s="1"/>
      <c r="C438" s="1"/>
      <c r="D438" s="1"/>
      <c r="E438" s="1"/>
      <c r="F438" s="1"/>
      <c r="G438" s="1"/>
      <c r="H438" s="1"/>
      <c r="I438" s="1"/>
      <c r="J438" s="1"/>
      <c r="K438" s="1"/>
      <c r="L438" s="1"/>
      <c r="M438" s="1"/>
      <c r="N438" s="1"/>
      <c r="O438" s="1"/>
      <c r="P438" s="1"/>
      <c r="Q438" s="1"/>
      <c r="R438" s="1"/>
      <c r="S438" s="1"/>
    </row>
    <row r="439" ht="10.5" customHeight="1">
      <c r="A439" s="1"/>
      <c r="B439" s="1"/>
      <c r="C439" s="1"/>
      <c r="D439" s="1"/>
      <c r="E439" s="1"/>
      <c r="F439" s="1"/>
      <c r="G439" s="1"/>
      <c r="H439" s="1"/>
      <c r="I439" s="1"/>
      <c r="J439" s="1"/>
      <c r="K439" s="1"/>
      <c r="L439" s="1"/>
      <c r="M439" s="1"/>
      <c r="N439" s="1"/>
      <c r="O439" s="1"/>
      <c r="P439" s="1"/>
      <c r="Q439" s="1"/>
      <c r="R439" s="1"/>
      <c r="S439" s="1"/>
    </row>
    <row r="440" ht="10.5" customHeight="1">
      <c r="A440" s="1"/>
      <c r="B440" s="1"/>
      <c r="C440" s="1"/>
      <c r="D440" s="1"/>
      <c r="E440" s="1"/>
      <c r="F440" s="1"/>
      <c r="G440" s="1"/>
      <c r="H440" s="1"/>
      <c r="I440" s="1"/>
      <c r="J440" s="1"/>
      <c r="K440" s="1"/>
      <c r="L440" s="1"/>
      <c r="M440" s="1"/>
      <c r="N440" s="1"/>
      <c r="O440" s="1"/>
      <c r="P440" s="1"/>
      <c r="Q440" s="1"/>
      <c r="R440" s="1"/>
      <c r="S440" s="1"/>
    </row>
    <row r="441" ht="10.5" customHeight="1">
      <c r="A441" s="1"/>
      <c r="B441" s="1"/>
      <c r="C441" s="1"/>
      <c r="D441" s="1"/>
      <c r="E441" s="1"/>
      <c r="F441" s="1"/>
      <c r="G441" s="1"/>
      <c r="H441" s="1"/>
      <c r="I441" s="1"/>
      <c r="J441" s="1"/>
      <c r="K441" s="1"/>
      <c r="L441" s="1"/>
      <c r="M441" s="1"/>
      <c r="N441" s="1"/>
      <c r="O441" s="1"/>
      <c r="P441" s="1"/>
      <c r="Q441" s="1"/>
      <c r="R441" s="1"/>
      <c r="S441" s="1"/>
    </row>
    <row r="442" ht="10.5" customHeight="1">
      <c r="A442" s="1"/>
      <c r="B442" s="1"/>
      <c r="C442" s="1"/>
      <c r="D442" s="1"/>
      <c r="E442" s="1"/>
      <c r="F442" s="1"/>
      <c r="G442" s="1"/>
      <c r="H442" s="1"/>
      <c r="I442" s="1"/>
      <c r="J442" s="1"/>
      <c r="K442" s="1"/>
      <c r="L442" s="1"/>
      <c r="M442" s="1"/>
      <c r="N442" s="1"/>
      <c r="O442" s="1"/>
      <c r="P442" s="1"/>
      <c r="Q442" s="1"/>
      <c r="R442" s="1"/>
      <c r="S442" s="1"/>
    </row>
    <row r="443" ht="10.5" customHeight="1">
      <c r="A443" s="1"/>
      <c r="B443" s="1"/>
      <c r="C443" s="1"/>
      <c r="D443" s="1"/>
      <c r="E443" s="1"/>
      <c r="F443" s="1"/>
      <c r="G443" s="1"/>
      <c r="H443" s="1"/>
      <c r="I443" s="1"/>
      <c r="J443" s="1"/>
      <c r="K443" s="1"/>
      <c r="L443" s="1"/>
      <c r="M443" s="1"/>
      <c r="N443" s="1"/>
      <c r="O443" s="1"/>
      <c r="P443" s="1"/>
      <c r="Q443" s="1"/>
      <c r="R443" s="1"/>
      <c r="S443" s="1"/>
    </row>
    <row r="444" ht="10.5" customHeight="1">
      <c r="A444" s="1"/>
      <c r="B444" s="1"/>
      <c r="C444" s="1"/>
      <c r="D444" s="1"/>
      <c r="E444" s="1"/>
      <c r="F444" s="1"/>
      <c r="G444" s="1"/>
      <c r="H444" s="1"/>
      <c r="I444" s="1"/>
      <c r="J444" s="1"/>
      <c r="K444" s="1"/>
      <c r="L444" s="1"/>
      <c r="M444" s="1"/>
      <c r="N444" s="1"/>
      <c r="O444" s="1"/>
      <c r="P444" s="1"/>
      <c r="Q444" s="1"/>
      <c r="R444" s="1"/>
      <c r="S444" s="1"/>
    </row>
    <row r="445" ht="10.5" customHeight="1">
      <c r="A445" s="1"/>
      <c r="B445" s="1"/>
      <c r="C445" s="1"/>
      <c r="D445" s="1"/>
      <c r="E445" s="1"/>
      <c r="F445" s="1"/>
      <c r="G445" s="1"/>
      <c r="H445" s="1"/>
      <c r="I445" s="1"/>
      <c r="J445" s="1"/>
      <c r="K445" s="1"/>
      <c r="L445" s="1"/>
      <c r="M445" s="1"/>
      <c r="N445" s="1"/>
      <c r="O445" s="1"/>
      <c r="P445" s="1"/>
      <c r="Q445" s="1"/>
      <c r="R445" s="1"/>
      <c r="S445" s="1"/>
    </row>
    <row r="446" ht="10.5" customHeight="1">
      <c r="A446" s="1"/>
      <c r="B446" s="1"/>
      <c r="C446" s="1"/>
      <c r="D446" s="1"/>
      <c r="E446" s="1"/>
      <c r="F446" s="1"/>
      <c r="G446" s="1"/>
      <c r="H446" s="1"/>
      <c r="I446" s="1"/>
      <c r="J446" s="1"/>
      <c r="K446" s="1"/>
      <c r="L446" s="1"/>
      <c r="M446" s="1"/>
      <c r="N446" s="1"/>
      <c r="O446" s="1"/>
      <c r="P446" s="1"/>
      <c r="Q446" s="1"/>
      <c r="R446" s="1"/>
      <c r="S446" s="1"/>
    </row>
    <row r="447" ht="10.5" customHeight="1">
      <c r="A447" s="1"/>
      <c r="B447" s="1"/>
      <c r="C447" s="1"/>
      <c r="D447" s="1"/>
      <c r="E447" s="1"/>
      <c r="F447" s="1"/>
      <c r="G447" s="1"/>
      <c r="H447" s="1"/>
      <c r="I447" s="1"/>
      <c r="J447" s="1"/>
      <c r="K447" s="1"/>
      <c r="L447" s="1"/>
      <c r="M447" s="1"/>
      <c r="N447" s="1"/>
      <c r="O447" s="1"/>
      <c r="P447" s="1"/>
      <c r="Q447" s="1"/>
      <c r="R447" s="1"/>
      <c r="S447" s="1"/>
    </row>
    <row r="448" ht="10.5" customHeight="1">
      <c r="A448" s="1"/>
      <c r="B448" s="1"/>
      <c r="C448" s="1"/>
      <c r="D448" s="1"/>
      <c r="E448" s="1"/>
      <c r="F448" s="1"/>
      <c r="G448" s="1"/>
      <c r="H448" s="1"/>
      <c r="I448" s="1"/>
      <c r="J448" s="1"/>
      <c r="K448" s="1"/>
      <c r="L448" s="1"/>
      <c r="M448" s="1"/>
      <c r="N448" s="1"/>
      <c r="O448" s="1"/>
      <c r="P448" s="1"/>
      <c r="Q448" s="1"/>
      <c r="R448" s="1"/>
      <c r="S448" s="1"/>
    </row>
    <row r="449" ht="10.5" customHeight="1">
      <c r="A449" s="1"/>
      <c r="B449" s="1"/>
      <c r="C449" s="1"/>
      <c r="D449" s="1"/>
      <c r="E449" s="1"/>
      <c r="F449" s="1"/>
      <c r="G449" s="110">
        <v>11.0</v>
      </c>
      <c r="H449" s="1"/>
      <c r="I449" s="1"/>
      <c r="J449" s="1"/>
      <c r="K449" s="1"/>
      <c r="L449" s="1"/>
      <c r="M449" s="1"/>
      <c r="N449" s="1"/>
      <c r="O449" s="1"/>
      <c r="P449" s="1"/>
      <c r="Q449" s="1"/>
      <c r="R449" s="1"/>
      <c r="S449" s="1"/>
    </row>
    <row r="450" ht="10.5" customHeight="1">
      <c r="A450" s="1"/>
      <c r="B450" s="1"/>
      <c r="C450" s="1"/>
      <c r="D450" s="1"/>
      <c r="E450" s="1"/>
      <c r="F450" s="1"/>
      <c r="G450" s="1"/>
      <c r="H450" s="1"/>
      <c r="I450" s="1"/>
      <c r="J450" s="1"/>
      <c r="K450" s="1"/>
      <c r="L450" s="1"/>
      <c r="M450" s="1"/>
      <c r="N450" s="1"/>
      <c r="O450" s="1"/>
      <c r="P450" s="1"/>
      <c r="Q450" s="1"/>
      <c r="R450" s="1"/>
      <c r="S450" s="1"/>
    </row>
    <row r="451" ht="10.5" customHeight="1">
      <c r="A451" s="1"/>
      <c r="B451" s="1"/>
      <c r="C451" s="1"/>
      <c r="D451" s="1"/>
      <c r="E451" s="1"/>
      <c r="F451" s="1"/>
      <c r="G451" s="1"/>
      <c r="H451" s="1"/>
      <c r="I451" s="1"/>
      <c r="J451" s="1"/>
      <c r="K451" s="1"/>
      <c r="L451" s="1"/>
      <c r="M451" s="1"/>
      <c r="N451" s="1"/>
      <c r="O451" s="1"/>
      <c r="P451" s="1"/>
      <c r="Q451" s="1"/>
      <c r="R451" s="1"/>
      <c r="S451" s="1"/>
    </row>
    <row r="452" ht="11.25" customHeight="1">
      <c r="A452" s="1"/>
      <c r="B452" s="1" t="s">
        <v>574</v>
      </c>
      <c r="C452" s="1"/>
      <c r="D452" s="1"/>
      <c r="E452" s="1"/>
      <c r="F452" s="1"/>
      <c r="G452" s="1"/>
      <c r="H452" s="1"/>
      <c r="I452" s="1"/>
      <c r="J452" s="1"/>
      <c r="K452" s="1"/>
      <c r="L452" s="1"/>
      <c r="M452" s="1"/>
      <c r="N452" s="1"/>
      <c r="O452" s="1"/>
      <c r="P452" s="1"/>
      <c r="Q452" s="1"/>
      <c r="R452" s="1"/>
      <c r="S452" s="1"/>
    </row>
    <row r="453" ht="10.5" customHeight="1">
      <c r="A453" s="1"/>
      <c r="B453" s="189" t="s">
        <v>31</v>
      </c>
      <c r="C453" s="128" t="s">
        <v>576</v>
      </c>
      <c r="D453" s="9"/>
      <c r="E453" s="9"/>
      <c r="F453" s="9"/>
      <c r="G453" s="10"/>
      <c r="H453" s="1"/>
      <c r="I453" s="15"/>
      <c r="J453" s="15"/>
      <c r="K453" s="1"/>
      <c r="L453" s="1"/>
      <c r="M453" s="1"/>
      <c r="N453" s="1"/>
      <c r="O453" s="1"/>
      <c r="P453" s="1"/>
      <c r="Q453" s="1"/>
      <c r="R453" s="1"/>
      <c r="S453" s="1"/>
    </row>
    <row r="454" ht="10.5" customHeight="1">
      <c r="A454" s="1"/>
      <c r="B454" s="5"/>
      <c r="C454" s="128" t="s">
        <v>348</v>
      </c>
      <c r="D454" s="128" t="s">
        <v>249</v>
      </c>
      <c r="E454" s="128" t="s">
        <v>350</v>
      </c>
      <c r="F454" s="128" t="s">
        <v>349</v>
      </c>
      <c r="G454" s="128" t="s">
        <v>2</v>
      </c>
      <c r="H454" s="1"/>
      <c r="I454" s="15"/>
      <c r="J454" s="15"/>
      <c r="K454" s="1"/>
      <c r="L454" s="1"/>
      <c r="M454" s="1"/>
      <c r="N454" s="1"/>
      <c r="O454" s="1"/>
      <c r="P454" s="1"/>
      <c r="Q454" s="1"/>
      <c r="R454" s="1"/>
      <c r="S454" s="1"/>
    </row>
    <row r="455" ht="10.5" customHeight="1">
      <c r="A455" s="1"/>
      <c r="B455" s="6"/>
      <c r="C455" s="128" t="s">
        <v>49</v>
      </c>
      <c r="D455" s="9"/>
      <c r="E455" s="9"/>
      <c r="F455" s="9"/>
      <c r="G455" s="10"/>
      <c r="H455" s="1"/>
      <c r="I455" s="15"/>
      <c r="J455" s="15"/>
      <c r="K455" s="1"/>
      <c r="L455" s="1"/>
      <c r="M455" s="1"/>
      <c r="N455" s="1"/>
      <c r="O455" s="1"/>
      <c r="P455" s="1"/>
      <c r="Q455" s="1"/>
      <c r="R455" s="1"/>
      <c r="S455" s="1"/>
    </row>
    <row r="456" ht="10.5" customHeight="1">
      <c r="A456" s="1"/>
      <c r="B456" s="238">
        <v>1970.0</v>
      </c>
      <c r="C456" s="278">
        <v>607.0</v>
      </c>
      <c r="D456" s="278">
        <v>642.0</v>
      </c>
      <c r="E456" s="278">
        <v>143.0</v>
      </c>
      <c r="F456" s="278">
        <v>4.0</v>
      </c>
      <c r="G456" s="309">
        <f t="shared" ref="G456:G460" si="10">SUM(C456:F456)</f>
        <v>1396</v>
      </c>
      <c r="H456" s="15"/>
      <c r="I456" s="15"/>
      <c r="J456" s="15"/>
      <c r="K456" s="1"/>
      <c r="L456" s="1"/>
      <c r="M456" s="1"/>
      <c r="N456" s="1"/>
      <c r="O456" s="1"/>
      <c r="P456" s="1"/>
      <c r="Q456" s="1"/>
      <c r="R456" s="1"/>
      <c r="S456" s="1"/>
    </row>
    <row r="457" ht="10.5" customHeight="1">
      <c r="A457" s="1"/>
      <c r="B457" s="238">
        <v>1971.0</v>
      </c>
      <c r="C457" s="278">
        <v>769.0</v>
      </c>
      <c r="D457" s="278">
        <v>661.0</v>
      </c>
      <c r="E457" s="278">
        <v>232.0</v>
      </c>
      <c r="F457" s="278">
        <v>8.0</v>
      </c>
      <c r="G457" s="169">
        <f t="shared" si="10"/>
        <v>1670</v>
      </c>
      <c r="H457" s="15"/>
      <c r="I457" s="15"/>
      <c r="J457" s="15"/>
      <c r="K457" s="1"/>
      <c r="L457" s="1"/>
      <c r="M457" s="1"/>
      <c r="N457" s="1"/>
      <c r="O457" s="1"/>
      <c r="P457" s="1"/>
      <c r="Q457" s="1"/>
      <c r="R457" s="1"/>
      <c r="S457" s="1"/>
    </row>
    <row r="458" ht="10.5" customHeight="1">
      <c r="A458" s="1"/>
      <c r="B458" s="238">
        <v>1972.0</v>
      </c>
      <c r="C458" s="278">
        <v>787.0</v>
      </c>
      <c r="D458" s="278">
        <v>732.0</v>
      </c>
      <c r="E458" s="278">
        <v>214.0</v>
      </c>
      <c r="F458" s="278">
        <v>13.0</v>
      </c>
      <c r="G458" s="169">
        <f t="shared" si="10"/>
        <v>1746</v>
      </c>
      <c r="H458" s="15"/>
      <c r="I458" s="15"/>
      <c r="J458" s="15"/>
      <c r="K458" s="1"/>
      <c r="L458" s="1"/>
      <c r="M458" s="1"/>
      <c r="N458" s="1"/>
      <c r="O458" s="1"/>
      <c r="P458" s="1"/>
      <c r="Q458" s="1"/>
      <c r="R458" s="1"/>
      <c r="S458" s="1"/>
    </row>
    <row r="459" ht="10.5" customHeight="1">
      <c r="A459" s="1"/>
      <c r="B459" s="238">
        <v>1973.0</v>
      </c>
      <c r="C459" s="278">
        <v>612.0</v>
      </c>
      <c r="D459" s="278">
        <v>1038.0</v>
      </c>
      <c r="E459" s="278">
        <v>206.0</v>
      </c>
      <c r="F459" s="278">
        <v>15.0</v>
      </c>
      <c r="G459" s="169">
        <f t="shared" si="10"/>
        <v>1871</v>
      </c>
      <c r="H459" s="15"/>
      <c r="I459" s="15"/>
      <c r="J459" s="15"/>
      <c r="K459" s="1"/>
      <c r="L459" s="1"/>
      <c r="M459" s="1"/>
      <c r="N459" s="1"/>
      <c r="O459" s="1"/>
      <c r="P459" s="1"/>
      <c r="Q459" s="1"/>
      <c r="R459" s="1"/>
      <c r="S459" s="1"/>
    </row>
    <row r="460" ht="10.5" customHeight="1">
      <c r="A460" s="1"/>
      <c r="B460" s="238">
        <v>1974.0</v>
      </c>
      <c r="C460" s="278">
        <v>657.0</v>
      </c>
      <c r="D460" s="278">
        <v>750.0</v>
      </c>
      <c r="E460" s="278">
        <v>180.0</v>
      </c>
      <c r="F460" s="278">
        <v>9.0</v>
      </c>
      <c r="G460" s="169">
        <f t="shared" si="10"/>
        <v>1596</v>
      </c>
      <c r="H460" s="15"/>
      <c r="I460" s="15"/>
      <c r="J460" s="15"/>
      <c r="K460" s="1"/>
      <c r="L460" s="1"/>
      <c r="M460" s="1"/>
      <c r="N460" s="1"/>
      <c r="O460" s="1"/>
      <c r="P460" s="1"/>
      <c r="Q460" s="1"/>
      <c r="R460" s="1"/>
      <c r="S460" s="1"/>
    </row>
    <row r="461" ht="10.5" customHeight="1">
      <c r="A461" s="1"/>
      <c r="B461" s="238"/>
      <c r="C461" s="278"/>
      <c r="D461" s="278"/>
      <c r="E461" s="278"/>
      <c r="F461" s="278"/>
      <c r="G461" s="169"/>
      <c r="H461" s="15"/>
      <c r="I461" s="15"/>
      <c r="J461" s="15"/>
      <c r="K461" s="1"/>
      <c r="L461" s="1"/>
      <c r="M461" s="1"/>
      <c r="N461" s="1"/>
      <c r="O461" s="1"/>
      <c r="P461" s="1"/>
      <c r="Q461" s="1"/>
      <c r="R461" s="1"/>
      <c r="S461" s="1"/>
    </row>
    <row r="462" ht="10.5" customHeight="1">
      <c r="A462" s="1"/>
      <c r="B462" s="238">
        <v>1975.0</v>
      </c>
      <c r="C462" s="278">
        <v>642.0</v>
      </c>
      <c r="D462" s="278">
        <v>884.0</v>
      </c>
      <c r="E462" s="278">
        <v>258.0</v>
      </c>
      <c r="F462" s="278">
        <v>8.0</v>
      </c>
      <c r="G462" s="169">
        <f t="shared" ref="G462:G466" si="11">SUM(C462:F462)</f>
        <v>1792</v>
      </c>
      <c r="H462" s="15"/>
      <c r="I462" s="15"/>
      <c r="J462" s="15"/>
      <c r="K462" s="1"/>
      <c r="L462" s="1"/>
      <c r="M462" s="1"/>
      <c r="N462" s="1"/>
      <c r="O462" s="1"/>
      <c r="P462" s="1"/>
      <c r="Q462" s="1"/>
      <c r="R462" s="1"/>
      <c r="S462" s="1"/>
    </row>
    <row r="463" ht="10.5" customHeight="1">
      <c r="A463" s="1"/>
      <c r="B463" s="238">
        <v>1976.0</v>
      </c>
      <c r="C463" s="278">
        <v>656.0</v>
      </c>
      <c r="D463" s="278">
        <v>1157.0</v>
      </c>
      <c r="E463" s="278">
        <v>421.0</v>
      </c>
      <c r="F463" s="278">
        <v>5.0</v>
      </c>
      <c r="G463" s="169">
        <f t="shared" si="11"/>
        <v>2239</v>
      </c>
      <c r="H463" s="15"/>
      <c r="I463" s="15"/>
      <c r="J463" s="15"/>
      <c r="K463" s="1"/>
      <c r="L463" s="1"/>
      <c r="M463" s="1"/>
      <c r="N463" s="1"/>
      <c r="O463" s="1"/>
      <c r="P463" s="1"/>
      <c r="Q463" s="1"/>
      <c r="R463" s="1"/>
      <c r="S463" s="1"/>
    </row>
    <row r="464" ht="10.5" customHeight="1">
      <c r="A464" s="1"/>
      <c r="B464" s="238">
        <v>1977.0</v>
      </c>
      <c r="C464" s="278">
        <v>626.0</v>
      </c>
      <c r="D464" s="278">
        <v>949.0</v>
      </c>
      <c r="E464" s="278">
        <v>282.0</v>
      </c>
      <c r="F464" s="278">
        <v>3.0</v>
      </c>
      <c r="G464" s="169">
        <f t="shared" si="11"/>
        <v>1860</v>
      </c>
      <c r="H464" s="15"/>
      <c r="I464" s="15"/>
      <c r="J464" s="15"/>
      <c r="K464" s="1"/>
      <c r="L464" s="1"/>
      <c r="M464" s="1"/>
      <c r="N464" s="1"/>
      <c r="O464" s="1"/>
      <c r="P464" s="1"/>
      <c r="Q464" s="1"/>
      <c r="R464" s="1"/>
      <c r="S464" s="1"/>
    </row>
    <row r="465" ht="10.5" customHeight="1">
      <c r="A465" s="1"/>
      <c r="B465" s="238">
        <v>1978.0</v>
      </c>
      <c r="C465" s="278">
        <v>395.0</v>
      </c>
      <c r="D465" s="278">
        <v>993.0</v>
      </c>
      <c r="E465" s="278">
        <v>300.0</v>
      </c>
      <c r="F465" s="278">
        <v>2.0</v>
      </c>
      <c r="G465" s="169">
        <f t="shared" si="11"/>
        <v>1690</v>
      </c>
      <c r="H465" s="15"/>
      <c r="I465" s="15"/>
      <c r="J465" s="15"/>
      <c r="K465" s="1"/>
      <c r="L465" s="1"/>
      <c r="M465" s="1"/>
      <c r="N465" s="1"/>
      <c r="O465" s="1"/>
      <c r="P465" s="1"/>
      <c r="Q465" s="1"/>
      <c r="R465" s="1"/>
      <c r="S465" s="1"/>
    </row>
    <row r="466" ht="10.5" customHeight="1">
      <c r="A466" s="1"/>
      <c r="B466" s="238">
        <v>1979.0</v>
      </c>
      <c r="C466" s="278">
        <v>662.0</v>
      </c>
      <c r="D466" s="278">
        <v>1236.0</v>
      </c>
      <c r="E466" s="278">
        <v>185.0</v>
      </c>
      <c r="F466" s="278">
        <v>3.0</v>
      </c>
      <c r="G466" s="169">
        <f t="shared" si="11"/>
        <v>2086</v>
      </c>
      <c r="H466" s="15"/>
      <c r="I466" s="15"/>
      <c r="J466" s="15"/>
      <c r="K466" s="1"/>
      <c r="L466" s="1"/>
      <c r="M466" s="1"/>
      <c r="N466" s="1"/>
      <c r="O466" s="1"/>
      <c r="P466" s="1"/>
      <c r="Q466" s="1"/>
      <c r="R466" s="1"/>
      <c r="S466" s="1"/>
    </row>
    <row r="467" ht="10.5" customHeight="1">
      <c r="A467" s="1"/>
      <c r="B467" s="238"/>
      <c r="C467" s="278"/>
      <c r="D467" s="278"/>
      <c r="E467" s="278"/>
      <c r="F467" s="278"/>
      <c r="G467" s="169"/>
      <c r="H467" s="15"/>
      <c r="I467" s="15"/>
      <c r="J467" s="15"/>
      <c r="K467" s="1"/>
      <c r="L467" s="1"/>
      <c r="M467" s="1"/>
      <c r="N467" s="1"/>
      <c r="O467" s="1"/>
      <c r="P467" s="1"/>
      <c r="Q467" s="1"/>
      <c r="R467" s="1"/>
      <c r="S467" s="1"/>
    </row>
    <row r="468" ht="10.5" customHeight="1">
      <c r="A468" s="1"/>
      <c r="B468" s="238">
        <v>1980.0</v>
      </c>
      <c r="C468" s="278">
        <v>623.0</v>
      </c>
      <c r="D468" s="278">
        <v>556.0</v>
      </c>
      <c r="E468" s="278">
        <v>288.0</v>
      </c>
      <c r="F468" s="278">
        <v>3.0</v>
      </c>
      <c r="G468" s="169">
        <f t="shared" ref="G468:G472" si="12">SUM(C468:F468)</f>
        <v>1470</v>
      </c>
      <c r="H468" s="15"/>
      <c r="I468" s="15"/>
      <c r="J468" s="15"/>
      <c r="K468" s="1"/>
      <c r="L468" s="1"/>
      <c r="M468" s="1"/>
      <c r="N468" s="1"/>
      <c r="O468" s="1"/>
      <c r="P468" s="1"/>
      <c r="Q468" s="1"/>
      <c r="R468" s="1"/>
      <c r="S468" s="1"/>
    </row>
    <row r="469" ht="10.5" customHeight="1">
      <c r="A469" s="1"/>
      <c r="B469" s="238">
        <v>1981.0</v>
      </c>
      <c r="C469" s="278">
        <v>861.0</v>
      </c>
      <c r="D469" s="278">
        <v>1099.0</v>
      </c>
      <c r="E469" s="278">
        <v>375.0</v>
      </c>
      <c r="F469" s="278">
        <v>4.0</v>
      </c>
      <c r="G469" s="169">
        <f t="shared" si="12"/>
        <v>2339</v>
      </c>
      <c r="H469" s="15"/>
      <c r="I469" s="15"/>
      <c r="J469" s="15"/>
      <c r="K469" s="1"/>
      <c r="L469" s="1"/>
      <c r="M469" s="1"/>
      <c r="N469" s="1"/>
      <c r="O469" s="1"/>
      <c r="P469" s="1"/>
      <c r="Q469" s="1"/>
      <c r="R469" s="1"/>
      <c r="S469" s="1"/>
    </row>
    <row r="470" ht="10.5" customHeight="1">
      <c r="A470" s="1"/>
      <c r="B470" s="238">
        <v>1982.0</v>
      </c>
      <c r="C470" s="278">
        <v>914.0</v>
      </c>
      <c r="D470" s="278">
        <v>1121.0</v>
      </c>
      <c r="E470" s="278">
        <v>373.0</v>
      </c>
      <c r="F470" s="278">
        <v>12.0</v>
      </c>
      <c r="G470" s="169">
        <f t="shared" si="12"/>
        <v>2420</v>
      </c>
      <c r="H470" s="15"/>
      <c r="I470" s="15"/>
      <c r="J470" s="15"/>
      <c r="K470" s="1"/>
      <c r="L470" s="1"/>
      <c r="M470" s="1"/>
      <c r="N470" s="1"/>
      <c r="O470" s="1"/>
      <c r="P470" s="1"/>
      <c r="Q470" s="1"/>
      <c r="R470" s="1"/>
      <c r="S470" s="1"/>
    </row>
    <row r="471" ht="10.5" customHeight="1">
      <c r="A471" s="1"/>
      <c r="B471" s="238">
        <v>1983.0</v>
      </c>
      <c r="C471" s="278">
        <v>912.0</v>
      </c>
      <c r="D471" s="278">
        <v>694.0</v>
      </c>
      <c r="E471" s="278">
        <v>159.0</v>
      </c>
      <c r="F471" s="278">
        <v>9.0</v>
      </c>
      <c r="G471" s="169">
        <f t="shared" si="12"/>
        <v>1774</v>
      </c>
      <c r="H471" s="15"/>
      <c r="I471" s="15"/>
      <c r="J471" s="15"/>
      <c r="K471" s="1"/>
      <c r="L471" s="1"/>
      <c r="M471" s="1"/>
      <c r="N471" s="1"/>
      <c r="O471" s="1"/>
      <c r="P471" s="1"/>
      <c r="Q471" s="1"/>
      <c r="R471" s="1"/>
      <c r="S471" s="1"/>
    </row>
    <row r="472" ht="10.5" customHeight="1">
      <c r="A472" s="1"/>
      <c r="B472" s="238">
        <v>1984.0</v>
      </c>
      <c r="C472" s="278">
        <v>920.0</v>
      </c>
      <c r="D472" s="278">
        <v>1100.0</v>
      </c>
      <c r="E472" s="278">
        <v>287.0</v>
      </c>
      <c r="F472" s="278">
        <v>25.0</v>
      </c>
      <c r="G472" s="169">
        <f t="shared" si="12"/>
        <v>2332</v>
      </c>
      <c r="H472" s="15"/>
      <c r="I472" s="15"/>
      <c r="J472" s="15"/>
      <c r="K472" s="1"/>
      <c r="L472" s="1"/>
      <c r="M472" s="1"/>
      <c r="N472" s="1"/>
      <c r="O472" s="1"/>
      <c r="P472" s="1"/>
      <c r="Q472" s="1"/>
      <c r="R472" s="1"/>
      <c r="S472" s="1"/>
    </row>
    <row r="473" ht="10.5" customHeight="1">
      <c r="A473" s="1"/>
      <c r="B473" s="238"/>
      <c r="C473" s="278"/>
      <c r="D473" s="278"/>
      <c r="E473" s="278"/>
      <c r="F473" s="278"/>
      <c r="G473" s="169"/>
      <c r="H473" s="15"/>
      <c r="I473" s="15"/>
      <c r="J473" s="15"/>
      <c r="K473" s="1"/>
      <c r="L473" s="1"/>
      <c r="M473" s="1"/>
      <c r="N473" s="1"/>
      <c r="O473" s="1"/>
      <c r="P473" s="1"/>
      <c r="Q473" s="1"/>
      <c r="R473" s="1"/>
      <c r="S473" s="1"/>
    </row>
    <row r="474" ht="10.5" customHeight="1">
      <c r="A474" s="1"/>
      <c r="B474" s="238">
        <v>1985.0</v>
      </c>
      <c r="C474" s="278">
        <v>963.0</v>
      </c>
      <c r="D474" s="278">
        <v>446.0</v>
      </c>
      <c r="E474" s="278">
        <v>240.0</v>
      </c>
      <c r="F474" s="278">
        <v>31.0</v>
      </c>
      <c r="G474" s="169">
        <f t="shared" ref="G474:G478" si="13">SUM(C474:F474)</f>
        <v>1680</v>
      </c>
      <c r="H474" s="15"/>
      <c r="I474" s="15"/>
      <c r="J474" s="15"/>
      <c r="K474" s="1"/>
      <c r="L474" s="1"/>
      <c r="M474" s="1"/>
      <c r="N474" s="1"/>
      <c r="O474" s="1"/>
      <c r="P474" s="1"/>
      <c r="Q474" s="1"/>
      <c r="R474" s="1"/>
      <c r="S474" s="1"/>
    </row>
    <row r="475" ht="10.5" customHeight="1">
      <c r="A475" s="1"/>
      <c r="B475" s="238">
        <v>1986.0</v>
      </c>
      <c r="C475" s="278">
        <v>929.0</v>
      </c>
      <c r="D475" s="278">
        <v>1156.0</v>
      </c>
      <c r="E475" s="278">
        <v>188.0</v>
      </c>
      <c r="F475" s="278">
        <v>48.0</v>
      </c>
      <c r="G475" s="169">
        <f t="shared" si="13"/>
        <v>2321</v>
      </c>
      <c r="H475" s="15"/>
      <c r="I475" s="15"/>
      <c r="J475" s="15"/>
      <c r="K475" s="1"/>
      <c r="L475" s="1"/>
      <c r="M475" s="1"/>
      <c r="N475" s="1"/>
      <c r="O475" s="1"/>
      <c r="P475" s="1"/>
      <c r="Q475" s="1"/>
      <c r="R475" s="1"/>
      <c r="S475" s="1"/>
    </row>
    <row r="476" ht="10.5" customHeight="1">
      <c r="A476" s="1"/>
      <c r="B476" s="238">
        <v>1987.0</v>
      </c>
      <c r="C476" s="278">
        <v>1102.0</v>
      </c>
      <c r="D476" s="278">
        <v>1664.0</v>
      </c>
      <c r="E476" s="278">
        <v>318.0</v>
      </c>
      <c r="F476" s="278">
        <v>51.0</v>
      </c>
      <c r="G476" s="169">
        <f t="shared" si="13"/>
        <v>3135</v>
      </c>
      <c r="H476" s="15"/>
      <c r="I476" s="15"/>
      <c r="J476" s="15"/>
      <c r="K476" s="1"/>
      <c r="L476" s="1"/>
      <c r="M476" s="1"/>
      <c r="N476" s="1"/>
      <c r="O476" s="1"/>
      <c r="P476" s="1"/>
      <c r="Q476" s="1"/>
      <c r="R476" s="1"/>
      <c r="S476" s="1"/>
    </row>
    <row r="477" ht="10.5" customHeight="1">
      <c r="A477" s="1"/>
      <c r="B477" s="238">
        <v>1988.0</v>
      </c>
      <c r="C477" s="278">
        <v>1008.0</v>
      </c>
      <c r="D477" s="278">
        <v>2097.0</v>
      </c>
      <c r="E477" s="278">
        <v>370.0</v>
      </c>
      <c r="F477" s="278">
        <v>60.0</v>
      </c>
      <c r="G477" s="169">
        <f t="shared" si="13"/>
        <v>3535</v>
      </c>
      <c r="H477" s="15"/>
      <c r="I477" s="15"/>
      <c r="J477" s="15"/>
      <c r="K477" s="1"/>
      <c r="L477" s="1"/>
      <c r="M477" s="1"/>
      <c r="N477" s="1"/>
      <c r="O477" s="1"/>
      <c r="P477" s="1"/>
      <c r="Q477" s="1"/>
      <c r="R477" s="1"/>
      <c r="S477" s="1"/>
    </row>
    <row r="478" ht="10.5" customHeight="1">
      <c r="A478" s="1"/>
      <c r="B478" s="238">
        <v>1989.0</v>
      </c>
      <c r="C478" s="278">
        <v>883.0</v>
      </c>
      <c r="D478" s="278">
        <v>898.0</v>
      </c>
      <c r="E478" s="278">
        <v>198.0</v>
      </c>
      <c r="F478" s="278">
        <v>24.0</v>
      </c>
      <c r="G478" s="169">
        <f t="shared" si="13"/>
        <v>2003</v>
      </c>
      <c r="H478" s="15"/>
      <c r="I478" s="15"/>
      <c r="J478" s="15"/>
      <c r="K478" s="1"/>
      <c r="L478" s="1"/>
      <c r="M478" s="1"/>
      <c r="N478" s="1"/>
      <c r="O478" s="1"/>
      <c r="P478" s="1"/>
      <c r="Q478" s="1"/>
      <c r="R478" s="1"/>
      <c r="S478" s="1"/>
    </row>
    <row r="479" ht="10.5" customHeight="1">
      <c r="A479" s="1"/>
      <c r="B479" s="238"/>
      <c r="C479" s="278"/>
      <c r="D479" s="278"/>
      <c r="E479" s="278"/>
      <c r="F479" s="278"/>
      <c r="G479" s="169"/>
      <c r="H479" s="15"/>
      <c r="I479" s="15"/>
      <c r="J479" s="15"/>
      <c r="K479" s="1"/>
      <c r="L479" s="1"/>
      <c r="M479" s="1"/>
      <c r="N479" s="1"/>
      <c r="O479" s="1"/>
      <c r="P479" s="1"/>
      <c r="Q479" s="1"/>
      <c r="R479" s="1"/>
      <c r="S479" s="1"/>
    </row>
    <row r="480" ht="10.5" customHeight="1">
      <c r="A480" s="1"/>
      <c r="B480" s="238">
        <v>1990.0</v>
      </c>
      <c r="C480" s="278">
        <v>798.0</v>
      </c>
      <c r="D480" s="278">
        <v>663.0</v>
      </c>
      <c r="E480" s="278">
        <v>217.0</v>
      </c>
      <c r="F480" s="278">
        <v>24.0</v>
      </c>
      <c r="G480" s="169">
        <f t="shared" ref="G480:G483" si="14">SUM(C480:F480)</f>
        <v>1702</v>
      </c>
      <c r="H480" s="15"/>
      <c r="I480" s="15"/>
      <c r="J480" s="15"/>
      <c r="K480" s="1"/>
      <c r="L480" s="1"/>
      <c r="M480" s="1"/>
      <c r="N480" s="1"/>
      <c r="O480" s="1"/>
      <c r="P480" s="1"/>
      <c r="Q480" s="1"/>
      <c r="R480" s="1"/>
      <c r="S480" s="1"/>
    </row>
    <row r="481" ht="11.25" customHeight="1">
      <c r="A481" s="1"/>
      <c r="B481" s="238">
        <v>1991.0</v>
      </c>
      <c r="C481" s="278">
        <v>737.0</v>
      </c>
      <c r="D481" s="278">
        <v>1106.0</v>
      </c>
      <c r="E481" s="278">
        <v>269.0</v>
      </c>
      <c r="F481" s="278">
        <v>20.0</v>
      </c>
      <c r="G481" s="169">
        <f t="shared" si="14"/>
        <v>2132</v>
      </c>
      <c r="H481" s="15"/>
      <c r="I481" s="324"/>
      <c r="J481" s="325"/>
      <c r="K481" s="1"/>
      <c r="L481" s="1"/>
      <c r="M481" s="1"/>
      <c r="N481" s="1"/>
      <c r="O481" s="1"/>
      <c r="P481" s="1"/>
      <c r="Q481" s="1"/>
      <c r="R481" s="1"/>
      <c r="S481" s="1"/>
    </row>
    <row r="482" ht="11.25" customHeight="1">
      <c r="A482" s="1"/>
      <c r="B482" s="238">
        <v>1992.0</v>
      </c>
      <c r="C482" s="278">
        <v>924.0</v>
      </c>
      <c r="D482" s="278">
        <v>251.0</v>
      </c>
      <c r="E482" s="278">
        <v>123.0</v>
      </c>
      <c r="F482" s="278">
        <v>20.0</v>
      </c>
      <c r="G482" s="169">
        <f t="shared" si="14"/>
        <v>1318</v>
      </c>
      <c r="H482" s="15"/>
      <c r="J482" s="1"/>
      <c r="K482" s="1"/>
      <c r="L482" s="1"/>
      <c r="M482" s="1"/>
      <c r="N482" s="1"/>
      <c r="O482" s="1"/>
      <c r="P482" s="1"/>
      <c r="Q482" s="1"/>
      <c r="R482" s="1"/>
      <c r="S482" s="1"/>
    </row>
    <row r="483" ht="11.25" customHeight="1">
      <c r="A483" s="1"/>
      <c r="B483" s="279">
        <v>1993.0</v>
      </c>
      <c r="C483" s="327">
        <v>1020.0</v>
      </c>
      <c r="D483" s="327">
        <v>789.0</v>
      </c>
      <c r="E483" s="327">
        <v>151.0</v>
      </c>
      <c r="F483" s="327">
        <v>15.0</v>
      </c>
      <c r="G483" s="260">
        <f t="shared" si="14"/>
        <v>1975</v>
      </c>
      <c r="H483" s="329"/>
      <c r="I483" s="1"/>
      <c r="J483" s="1"/>
      <c r="K483" s="1"/>
      <c r="L483" s="1"/>
      <c r="M483" s="1"/>
      <c r="N483" s="1"/>
      <c r="O483" s="1"/>
      <c r="P483" s="1"/>
      <c r="Q483" s="1"/>
      <c r="R483" s="1"/>
      <c r="S483" s="1"/>
    </row>
    <row r="484" ht="11.25" customHeight="1">
      <c r="A484" s="1"/>
      <c r="B484" s="29" t="s">
        <v>31</v>
      </c>
      <c r="C484" s="332" t="s">
        <v>608</v>
      </c>
      <c r="D484" s="334"/>
      <c r="E484" s="334"/>
      <c r="F484" s="334"/>
      <c r="G484" s="334"/>
      <c r="H484" s="334"/>
      <c r="I484" s="334"/>
      <c r="J484" s="334"/>
      <c r="K484" s="335"/>
      <c r="L484" s="336"/>
      <c r="M484" s="1"/>
      <c r="N484" s="1"/>
      <c r="O484" s="1"/>
      <c r="P484" s="1"/>
      <c r="Q484" s="1"/>
      <c r="R484" s="1"/>
      <c r="S484" s="1"/>
    </row>
    <row r="485" ht="10.5" customHeight="1">
      <c r="A485" s="1"/>
      <c r="B485" s="5"/>
      <c r="C485" s="337" t="s">
        <v>352</v>
      </c>
      <c r="D485" s="338" t="s">
        <v>353</v>
      </c>
      <c r="E485" s="338" t="s">
        <v>354</v>
      </c>
      <c r="F485" s="337" t="s">
        <v>249</v>
      </c>
      <c r="G485" s="337" t="s">
        <v>609</v>
      </c>
      <c r="H485" s="338" t="s">
        <v>263</v>
      </c>
      <c r="I485" s="338" t="s">
        <v>357</v>
      </c>
      <c r="J485" s="338" t="s">
        <v>256</v>
      </c>
      <c r="K485" s="338" t="s">
        <v>358</v>
      </c>
      <c r="L485" s="337" t="s">
        <v>2</v>
      </c>
      <c r="M485" s="1"/>
      <c r="N485" s="1"/>
      <c r="O485" s="1"/>
      <c r="P485" s="1"/>
      <c r="Q485" s="1"/>
      <c r="R485" s="1"/>
      <c r="S485" s="1"/>
    </row>
    <row r="486" ht="10.5" customHeight="1">
      <c r="A486" s="1"/>
      <c r="B486" s="5"/>
      <c r="C486" s="339" t="s">
        <v>348</v>
      </c>
      <c r="D486" s="339" t="s">
        <v>348</v>
      </c>
      <c r="E486" s="339" t="s">
        <v>348</v>
      </c>
      <c r="F486" s="339"/>
      <c r="G486" s="339" t="s">
        <v>349</v>
      </c>
      <c r="H486" s="339"/>
      <c r="I486" s="339" t="s">
        <v>360</v>
      </c>
      <c r="J486" s="339"/>
      <c r="K486" s="339" t="s">
        <v>361</v>
      </c>
      <c r="L486" s="339"/>
      <c r="M486" s="1"/>
      <c r="N486" s="1"/>
      <c r="O486" s="1"/>
      <c r="P486" s="1"/>
      <c r="Q486" s="1"/>
      <c r="R486" s="1"/>
      <c r="S486" s="1"/>
    </row>
    <row r="487" ht="10.5" customHeight="1">
      <c r="A487" s="1"/>
      <c r="B487" s="6"/>
      <c r="C487" s="340" t="s">
        <v>49</v>
      </c>
      <c r="D487" s="9"/>
      <c r="E487" s="9"/>
      <c r="F487" s="9"/>
      <c r="G487" s="9"/>
      <c r="H487" s="9"/>
      <c r="I487" s="9"/>
      <c r="J487" s="9"/>
      <c r="K487" s="9"/>
      <c r="L487" s="10"/>
      <c r="M487" s="1"/>
      <c r="N487" s="1"/>
      <c r="O487" s="1"/>
      <c r="P487" s="1"/>
      <c r="Q487" s="1"/>
      <c r="R487" s="1"/>
      <c r="S487" s="1"/>
    </row>
    <row r="488" ht="10.5" customHeight="1">
      <c r="A488" s="1"/>
      <c r="B488" s="343">
        <v>1994.0</v>
      </c>
      <c r="C488" s="309">
        <v>738.0</v>
      </c>
      <c r="D488" s="309">
        <v>38.0</v>
      </c>
      <c r="E488" s="309">
        <v>365.0</v>
      </c>
      <c r="F488" s="309">
        <v>451.0</v>
      </c>
      <c r="G488" s="309">
        <v>22.0</v>
      </c>
      <c r="H488" s="309">
        <v>47.0</v>
      </c>
      <c r="I488" s="309">
        <v>72.0</v>
      </c>
      <c r="J488" s="309">
        <v>9.0</v>
      </c>
      <c r="K488" s="309">
        <v>90.0</v>
      </c>
      <c r="L488" s="346">
        <f t="shared" ref="L488:L492" si="15">SUM(C488:K488)</f>
        <v>1832</v>
      </c>
      <c r="M488" s="1"/>
      <c r="N488" s="1"/>
      <c r="O488" s="1"/>
      <c r="P488" s="1"/>
      <c r="Q488" s="1"/>
      <c r="R488" s="1"/>
      <c r="S488" s="1"/>
    </row>
    <row r="489" ht="10.5" customHeight="1">
      <c r="A489" s="1"/>
      <c r="B489" s="11">
        <v>1995.0</v>
      </c>
      <c r="C489" s="169">
        <v>815.0</v>
      </c>
      <c r="D489" s="169">
        <v>30.0</v>
      </c>
      <c r="E489" s="169">
        <v>278.0</v>
      </c>
      <c r="F489" s="169">
        <v>639.0</v>
      </c>
      <c r="G489" s="169">
        <v>12.0</v>
      </c>
      <c r="H489" s="169">
        <v>34.0</v>
      </c>
      <c r="I489" s="169">
        <v>41.0</v>
      </c>
      <c r="J489" s="169">
        <v>9.0</v>
      </c>
      <c r="K489" s="169">
        <v>110.0</v>
      </c>
      <c r="L489" s="346">
        <f t="shared" si="15"/>
        <v>1968</v>
      </c>
      <c r="M489" s="1"/>
      <c r="N489" s="1"/>
      <c r="O489" s="1"/>
      <c r="P489" s="1"/>
      <c r="Q489" s="1"/>
      <c r="R489" s="1"/>
      <c r="S489" s="1"/>
    </row>
    <row r="490" ht="10.5" customHeight="1">
      <c r="A490" s="1"/>
      <c r="B490" s="11">
        <v>1996.0</v>
      </c>
      <c r="C490" s="169">
        <v>806.0</v>
      </c>
      <c r="D490" s="169">
        <v>18.0</v>
      </c>
      <c r="E490" s="169">
        <v>345.0</v>
      </c>
      <c r="F490" s="169">
        <v>1217.0</v>
      </c>
      <c r="G490" s="169">
        <v>24.0</v>
      </c>
      <c r="H490" s="169">
        <v>65.0</v>
      </c>
      <c r="I490" s="169">
        <v>78.0</v>
      </c>
      <c r="J490" s="169">
        <v>8.0</v>
      </c>
      <c r="K490" s="169">
        <v>139.0</v>
      </c>
      <c r="L490" s="346">
        <f t="shared" si="15"/>
        <v>2700</v>
      </c>
      <c r="M490" s="1"/>
      <c r="N490" s="1"/>
      <c r="O490" s="1"/>
      <c r="P490" s="1"/>
      <c r="Q490" s="1"/>
      <c r="R490" s="1"/>
      <c r="S490" s="1"/>
    </row>
    <row r="491" ht="10.5" customHeight="1">
      <c r="A491" s="1"/>
      <c r="B491" s="11">
        <v>1997.0</v>
      </c>
      <c r="C491" s="169">
        <v>605.0</v>
      </c>
      <c r="D491" s="169">
        <v>24.0</v>
      </c>
      <c r="E491" s="169">
        <v>310.0</v>
      </c>
      <c r="F491" s="169">
        <v>1180.0</v>
      </c>
      <c r="G491" s="169">
        <v>23.0</v>
      </c>
      <c r="H491" s="169">
        <v>74.0</v>
      </c>
      <c r="I491" s="169">
        <v>96.0</v>
      </c>
      <c r="J491" s="169">
        <v>18.0</v>
      </c>
      <c r="K491" s="169">
        <v>170.0</v>
      </c>
      <c r="L491" s="346">
        <f t="shared" si="15"/>
        <v>2500</v>
      </c>
      <c r="M491" s="1"/>
      <c r="N491" s="1"/>
      <c r="O491" s="1"/>
      <c r="P491" s="1"/>
      <c r="Q491" s="1"/>
      <c r="R491" s="1"/>
      <c r="S491" s="1"/>
    </row>
    <row r="492" ht="10.5" customHeight="1">
      <c r="A492" s="1"/>
      <c r="B492" s="11">
        <v>1998.0</v>
      </c>
      <c r="C492" s="169">
        <v>590.0</v>
      </c>
      <c r="D492" s="169">
        <v>10.0</v>
      </c>
      <c r="E492" s="169">
        <v>225.0</v>
      </c>
      <c r="F492" s="169">
        <v>590.0</v>
      </c>
      <c r="G492" s="169">
        <v>22.0</v>
      </c>
      <c r="H492" s="169">
        <v>39.0</v>
      </c>
      <c r="I492" s="169">
        <v>52.0</v>
      </c>
      <c r="J492" s="169">
        <v>14.0</v>
      </c>
      <c r="K492" s="169">
        <v>146.0</v>
      </c>
      <c r="L492" s="346">
        <f t="shared" si="15"/>
        <v>1688</v>
      </c>
      <c r="M492" s="1"/>
      <c r="N492" s="1"/>
      <c r="O492" s="1"/>
      <c r="P492" s="1"/>
      <c r="Q492" s="1"/>
      <c r="R492" s="1"/>
      <c r="S492" s="1"/>
    </row>
    <row r="493" ht="10.5" customHeight="1">
      <c r="A493" s="1"/>
      <c r="B493" s="11"/>
      <c r="C493" s="169"/>
      <c r="D493" s="169"/>
      <c r="E493" s="169"/>
      <c r="F493" s="169"/>
      <c r="G493" s="169"/>
      <c r="H493" s="169"/>
      <c r="I493" s="169"/>
      <c r="J493" s="169"/>
      <c r="K493" s="169"/>
      <c r="L493" s="346"/>
      <c r="M493" s="1"/>
      <c r="N493" s="1"/>
      <c r="O493" s="1"/>
      <c r="P493" s="1"/>
      <c r="Q493" s="1"/>
      <c r="R493" s="1"/>
      <c r="S493" s="1"/>
    </row>
    <row r="494" ht="10.5" customHeight="1">
      <c r="A494" s="1"/>
      <c r="B494" s="11">
        <v>1999.0</v>
      </c>
      <c r="C494" s="169">
        <v>610.0</v>
      </c>
      <c r="D494" s="169">
        <v>11.0</v>
      </c>
      <c r="E494" s="169">
        <v>295.0</v>
      </c>
      <c r="F494" s="169">
        <v>538.0</v>
      </c>
      <c r="G494" s="169">
        <v>37.0</v>
      </c>
      <c r="H494" s="169">
        <v>52.0</v>
      </c>
      <c r="I494" s="169">
        <v>70.0</v>
      </c>
      <c r="J494" s="169">
        <v>17.0</v>
      </c>
      <c r="K494" s="169">
        <v>140.0</v>
      </c>
      <c r="L494" s="346">
        <f t="shared" ref="L494:L498" si="16">SUM(C494:K494)</f>
        <v>1770</v>
      </c>
      <c r="M494" s="1"/>
      <c r="N494" s="1"/>
      <c r="O494" s="1"/>
      <c r="P494" s="1"/>
      <c r="Q494" s="1"/>
      <c r="R494" s="1"/>
      <c r="S494" s="1"/>
    </row>
    <row r="495" ht="10.5" customHeight="1">
      <c r="A495" s="1"/>
      <c r="B495" s="11">
        <v>2000.0</v>
      </c>
      <c r="C495" s="169">
        <v>691.0</v>
      </c>
      <c r="D495" s="169">
        <v>14.0</v>
      </c>
      <c r="E495" s="169">
        <v>325.0</v>
      </c>
      <c r="F495" s="169">
        <v>908.0</v>
      </c>
      <c r="G495" s="169">
        <v>44.0</v>
      </c>
      <c r="H495" s="169">
        <v>75.0</v>
      </c>
      <c r="I495" s="169">
        <v>102.0</v>
      </c>
      <c r="J495" s="169">
        <v>18.0</v>
      </c>
      <c r="K495" s="169">
        <v>172.0</v>
      </c>
      <c r="L495" s="346">
        <f t="shared" si="16"/>
        <v>2349</v>
      </c>
      <c r="M495" s="1"/>
      <c r="N495" s="1"/>
      <c r="O495" s="1"/>
      <c r="P495" s="1"/>
      <c r="Q495" s="1"/>
      <c r="R495" s="1"/>
      <c r="S495" s="1"/>
    </row>
    <row r="496" ht="10.5" customHeight="1">
      <c r="A496" s="1"/>
      <c r="B496" s="11">
        <v>2001.0</v>
      </c>
      <c r="C496" s="169">
        <v>730.0</v>
      </c>
      <c r="D496" s="169">
        <v>9.0</v>
      </c>
      <c r="E496" s="169">
        <v>240.0</v>
      </c>
      <c r="F496" s="169">
        <v>1100.0</v>
      </c>
      <c r="G496" s="169">
        <v>50.0</v>
      </c>
      <c r="H496" s="169">
        <v>60.0</v>
      </c>
      <c r="I496" s="169">
        <v>115.0</v>
      </c>
      <c r="J496" s="169">
        <v>16.0</v>
      </c>
      <c r="K496" s="169">
        <v>130.0</v>
      </c>
      <c r="L496" s="346">
        <f t="shared" si="16"/>
        <v>2450</v>
      </c>
      <c r="M496" s="1"/>
      <c r="N496" s="1"/>
      <c r="O496" s="1"/>
      <c r="P496" s="1"/>
      <c r="Q496" s="1"/>
      <c r="R496" s="1"/>
      <c r="S496" s="1"/>
    </row>
    <row r="497" ht="10.5" customHeight="1">
      <c r="A497" s="1"/>
      <c r="B497" s="11">
        <v>2002.0</v>
      </c>
      <c r="C497" s="169">
        <v>892.0</v>
      </c>
      <c r="D497" s="169">
        <v>10.0</v>
      </c>
      <c r="E497" s="169">
        <v>320.0</v>
      </c>
      <c r="F497" s="169">
        <v>820.0</v>
      </c>
      <c r="G497" s="169">
        <v>40.0</v>
      </c>
      <c r="H497" s="169">
        <v>68.0</v>
      </c>
      <c r="I497" s="169">
        <v>119.0</v>
      </c>
      <c r="J497" s="169">
        <v>12.0</v>
      </c>
      <c r="K497" s="169">
        <v>146.0</v>
      </c>
      <c r="L497" s="346">
        <f t="shared" si="16"/>
        <v>2427</v>
      </c>
      <c r="M497" s="1"/>
      <c r="N497" s="1"/>
      <c r="O497" s="1"/>
      <c r="P497" s="1"/>
      <c r="Q497" s="1"/>
      <c r="R497" s="1"/>
      <c r="S497" s="1"/>
    </row>
    <row r="498" ht="10.5" customHeight="1">
      <c r="A498" s="1"/>
      <c r="B498" s="11">
        <v>2003.0</v>
      </c>
      <c r="C498" s="169">
        <v>530.0</v>
      </c>
      <c r="D498" s="169">
        <v>8.0</v>
      </c>
      <c r="E498" s="169">
        <v>280.0</v>
      </c>
      <c r="F498" s="169">
        <v>480.0</v>
      </c>
      <c r="G498" s="169">
        <v>32.0</v>
      </c>
      <c r="H498" s="169">
        <v>35.0</v>
      </c>
      <c r="I498" s="169">
        <v>36.0</v>
      </c>
      <c r="J498" s="169">
        <v>9.0</v>
      </c>
      <c r="K498" s="169">
        <v>130.0</v>
      </c>
      <c r="L498" s="346">
        <f t="shared" si="16"/>
        <v>1540</v>
      </c>
      <c r="M498" s="1"/>
      <c r="N498" s="1"/>
      <c r="O498" s="1"/>
      <c r="P498" s="1"/>
      <c r="Q498" s="1"/>
      <c r="R498" s="1"/>
      <c r="S498" s="1"/>
    </row>
    <row r="499" ht="10.5" customHeight="1">
      <c r="A499" s="1"/>
      <c r="B499" s="11"/>
      <c r="C499" s="169"/>
      <c r="D499" s="169"/>
      <c r="E499" s="169"/>
      <c r="F499" s="169"/>
      <c r="G499" s="169"/>
      <c r="H499" s="169"/>
      <c r="I499" s="169"/>
      <c r="J499" s="169"/>
      <c r="K499" s="169"/>
      <c r="L499" s="346"/>
      <c r="M499" s="1"/>
      <c r="N499" s="1"/>
      <c r="O499" s="1"/>
      <c r="P499" s="1"/>
      <c r="Q499" s="1"/>
      <c r="R499" s="1"/>
      <c r="S499" s="1"/>
    </row>
    <row r="500" ht="10.5" customHeight="1">
      <c r="A500" s="1"/>
      <c r="B500" s="11">
        <v>2004.0</v>
      </c>
      <c r="C500" s="169">
        <v>520.0</v>
      </c>
      <c r="D500" s="169">
        <v>14.0</v>
      </c>
      <c r="E500" s="169">
        <v>300.0</v>
      </c>
      <c r="F500" s="169">
        <v>510.0</v>
      </c>
      <c r="G500" s="169">
        <v>34.0</v>
      </c>
      <c r="H500" s="169">
        <v>63.0</v>
      </c>
      <c r="I500" s="169">
        <v>80.0</v>
      </c>
      <c r="J500" s="169">
        <v>14.0</v>
      </c>
      <c r="K500" s="169">
        <v>145.0</v>
      </c>
      <c r="L500" s="346">
        <f t="shared" ref="L500:L504" si="17">SUM(C500:K500)</f>
        <v>1680</v>
      </c>
      <c r="M500" s="1"/>
      <c r="N500" s="1"/>
      <c r="O500" s="1"/>
      <c r="P500" s="1"/>
      <c r="Q500" s="1"/>
      <c r="R500" s="1"/>
      <c r="S500" s="1"/>
    </row>
    <row r="501" ht="10.5" customHeight="1">
      <c r="A501" s="1"/>
      <c r="B501" s="11">
        <v>2005.0</v>
      </c>
      <c r="C501" s="169">
        <v>645.0</v>
      </c>
      <c r="D501" s="169">
        <v>15.0</v>
      </c>
      <c r="E501" s="169">
        <v>306.0</v>
      </c>
      <c r="F501" s="169">
        <v>580.0</v>
      </c>
      <c r="G501" s="169">
        <v>42.0</v>
      </c>
      <c r="H501" s="169">
        <v>50.0</v>
      </c>
      <c r="I501" s="169">
        <v>92.0</v>
      </c>
      <c r="J501" s="169">
        <v>14.0</v>
      </c>
      <c r="K501" s="169">
        <v>162.0</v>
      </c>
      <c r="L501" s="346">
        <f t="shared" si="17"/>
        <v>1906</v>
      </c>
      <c r="M501" s="1"/>
      <c r="N501" s="1"/>
      <c r="O501" s="1"/>
      <c r="P501" s="1"/>
      <c r="Q501" s="1"/>
      <c r="R501" s="1"/>
      <c r="S501" s="1"/>
    </row>
    <row r="502" ht="10.5" customHeight="1">
      <c r="A502" s="1"/>
      <c r="B502" s="11">
        <v>2006.0</v>
      </c>
      <c r="C502" s="169">
        <v>730.0</v>
      </c>
      <c r="D502" s="169">
        <v>8.0</v>
      </c>
      <c r="E502" s="169">
        <v>250.0</v>
      </c>
      <c r="F502" s="169">
        <v>780.0</v>
      </c>
      <c r="G502" s="169">
        <v>31.0</v>
      </c>
      <c r="H502" s="169">
        <v>81.0</v>
      </c>
      <c r="I502" s="169">
        <v>77.0</v>
      </c>
      <c r="J502" s="169">
        <v>10.0</v>
      </c>
      <c r="K502" s="169">
        <v>138.0</v>
      </c>
      <c r="L502" s="346">
        <f t="shared" si="17"/>
        <v>2105</v>
      </c>
      <c r="M502" s="1"/>
      <c r="N502" s="1"/>
      <c r="O502" s="1"/>
      <c r="P502" s="1"/>
      <c r="Q502" s="1"/>
      <c r="R502" s="1"/>
      <c r="S502" s="1"/>
    </row>
    <row r="503" ht="10.5" customHeight="1">
      <c r="A503" s="1"/>
      <c r="B503" s="11">
        <v>2007.0</v>
      </c>
      <c r="C503" s="169">
        <v>812.0</v>
      </c>
      <c r="D503" s="169">
        <v>15.0</v>
      </c>
      <c r="E503" s="169">
        <v>265.0</v>
      </c>
      <c r="F503" s="169">
        <v>570.0</v>
      </c>
      <c r="G503" s="169">
        <v>29.0</v>
      </c>
      <c r="H503" s="169">
        <v>60.0</v>
      </c>
      <c r="I503" s="169">
        <v>25.0</v>
      </c>
      <c r="J503" s="169">
        <v>11.0</v>
      </c>
      <c r="K503" s="169">
        <v>118.0</v>
      </c>
      <c r="L503" s="346">
        <f t="shared" si="17"/>
        <v>1905</v>
      </c>
      <c r="M503" s="1"/>
      <c r="N503" s="1"/>
      <c r="O503" s="1"/>
      <c r="P503" s="1"/>
      <c r="Q503" s="1"/>
      <c r="R503" s="1"/>
      <c r="S503" s="1"/>
    </row>
    <row r="504" ht="10.5" customHeight="1">
      <c r="A504" s="1"/>
      <c r="B504" s="11">
        <v>2008.0</v>
      </c>
      <c r="C504" s="169">
        <v>860.0</v>
      </c>
      <c r="D504" s="169">
        <v>22.0</v>
      </c>
      <c r="E504" s="169">
        <v>332.0</v>
      </c>
      <c r="F504" s="169">
        <v>560.0</v>
      </c>
      <c r="G504" s="169">
        <v>38.0</v>
      </c>
      <c r="H504" s="169">
        <v>110.0</v>
      </c>
      <c r="I504" s="169">
        <v>45.0</v>
      </c>
      <c r="J504" s="169">
        <v>13.0</v>
      </c>
      <c r="K504" s="169">
        <v>150.0</v>
      </c>
      <c r="L504" s="346">
        <f t="shared" si="17"/>
        <v>2130</v>
      </c>
      <c r="M504" s="1"/>
      <c r="N504" s="1"/>
      <c r="O504" s="1"/>
      <c r="P504" s="1"/>
      <c r="Q504" s="1"/>
      <c r="R504" s="1"/>
      <c r="S504" s="1"/>
    </row>
    <row r="505" ht="10.5" customHeight="1">
      <c r="A505" s="1"/>
      <c r="B505" s="11"/>
      <c r="C505" s="169"/>
      <c r="D505" s="169"/>
      <c r="E505" s="169"/>
      <c r="F505" s="169"/>
      <c r="G505" s="169"/>
      <c r="H505" s="169"/>
      <c r="I505" s="169"/>
      <c r="J505" s="169"/>
      <c r="K505" s="169"/>
      <c r="L505" s="346"/>
      <c r="M505" s="1"/>
      <c r="N505" s="1"/>
      <c r="O505" s="1"/>
      <c r="P505" s="1"/>
      <c r="Q505" s="1"/>
      <c r="R505" s="1"/>
      <c r="S505" s="1"/>
    </row>
    <row r="506" ht="10.5" customHeight="1">
      <c r="A506" s="1"/>
      <c r="B506" s="11">
        <v>2009.0</v>
      </c>
      <c r="C506" s="169">
        <v>714.0</v>
      </c>
      <c r="D506" s="169">
        <v>20.0</v>
      </c>
      <c r="E506" s="169">
        <v>277.0</v>
      </c>
      <c r="F506" s="169">
        <v>622.0</v>
      </c>
      <c r="G506" s="169">
        <v>35.0</v>
      </c>
      <c r="H506" s="169">
        <v>99.0</v>
      </c>
      <c r="I506" s="169">
        <v>41.0</v>
      </c>
      <c r="J506" s="169">
        <v>13.0</v>
      </c>
      <c r="K506" s="169">
        <v>137.0</v>
      </c>
      <c r="L506" s="346">
        <f t="shared" ref="L506:L510" si="18">SUM(C506:K506)</f>
        <v>1958</v>
      </c>
      <c r="M506" s="1"/>
      <c r="N506" s="1"/>
      <c r="O506" s="1"/>
      <c r="P506" s="1"/>
      <c r="Q506" s="1"/>
      <c r="R506" s="1"/>
      <c r="S506" s="1"/>
    </row>
    <row r="507" ht="10.5" customHeight="1">
      <c r="A507" s="1"/>
      <c r="B507" s="11">
        <v>2010.0</v>
      </c>
      <c r="C507" s="169">
        <v>530.0</v>
      </c>
      <c r="D507" s="169">
        <v>18.0</v>
      </c>
      <c r="E507" s="169">
        <v>252.0</v>
      </c>
      <c r="F507" s="169">
        <v>378.0</v>
      </c>
      <c r="G507" s="169">
        <v>30.0</v>
      </c>
      <c r="H507" s="169">
        <v>65.0</v>
      </c>
      <c r="I507" s="169">
        <v>24.0</v>
      </c>
      <c r="J507" s="169">
        <v>10.0</v>
      </c>
      <c r="K507" s="169">
        <v>123.0</v>
      </c>
      <c r="L507" s="346">
        <f t="shared" si="18"/>
        <v>1430</v>
      </c>
      <c r="M507" s="1"/>
      <c r="N507" s="1"/>
      <c r="O507" s="1"/>
      <c r="P507" s="1"/>
      <c r="Q507" s="1"/>
      <c r="R507" s="1"/>
      <c r="S507" s="1"/>
    </row>
    <row r="508" ht="10.5" customHeight="1">
      <c r="A508" s="1"/>
      <c r="B508" s="11" t="s">
        <v>487</v>
      </c>
      <c r="C508" s="169">
        <v>710.0</v>
      </c>
      <c r="D508" s="169">
        <v>21.0</v>
      </c>
      <c r="E508" s="169">
        <v>336.0</v>
      </c>
      <c r="F508" s="169">
        <v>551.0</v>
      </c>
      <c r="G508" s="169">
        <v>40.0</v>
      </c>
      <c r="H508" s="169">
        <v>176.0</v>
      </c>
      <c r="I508" s="169">
        <v>34.0</v>
      </c>
      <c r="J508" s="169">
        <v>11.0</v>
      </c>
      <c r="K508" s="169">
        <v>126.0</v>
      </c>
      <c r="L508" s="346">
        <f t="shared" si="18"/>
        <v>2005</v>
      </c>
      <c r="M508" s="1"/>
      <c r="N508" s="1"/>
      <c r="O508" s="1"/>
      <c r="P508" s="1"/>
      <c r="Q508" s="1"/>
      <c r="R508" s="1"/>
      <c r="S508" s="1"/>
    </row>
    <row r="509" ht="10.5" customHeight="1">
      <c r="A509" s="1"/>
      <c r="B509" s="11" t="s">
        <v>489</v>
      </c>
      <c r="C509" s="169">
        <v>898.0</v>
      </c>
      <c r="D509" s="169">
        <v>19.0</v>
      </c>
      <c r="E509" s="169">
        <v>273.0</v>
      </c>
      <c r="F509" s="169">
        <v>360.0</v>
      </c>
      <c r="G509" s="169">
        <v>32.0</v>
      </c>
      <c r="H509" s="169">
        <v>141.0</v>
      </c>
      <c r="I509" s="169">
        <v>25.0</v>
      </c>
      <c r="J509" s="169">
        <v>8.0</v>
      </c>
      <c r="K509" s="169">
        <v>114.0</v>
      </c>
      <c r="L509" s="346">
        <f t="shared" si="18"/>
        <v>1870</v>
      </c>
      <c r="M509" s="1"/>
      <c r="N509" s="1"/>
      <c r="O509" s="1"/>
      <c r="P509" s="1"/>
      <c r="Q509" s="1"/>
      <c r="R509" s="1"/>
      <c r="S509" s="1"/>
    </row>
    <row r="510" ht="10.5" customHeight="1">
      <c r="A510" s="1"/>
      <c r="B510" s="11" t="s">
        <v>55</v>
      </c>
      <c r="C510" s="169">
        <v>928.0</v>
      </c>
      <c r="D510" s="169">
        <v>20.0</v>
      </c>
      <c r="E510" s="169">
        <v>320.0</v>
      </c>
      <c r="F510" s="169">
        <v>270.0</v>
      </c>
      <c r="G510" s="169">
        <v>42.0</v>
      </c>
      <c r="H510" s="169">
        <v>146.0</v>
      </c>
      <c r="I510" s="169">
        <v>28.0</v>
      </c>
      <c r="J510" s="169">
        <v>6.0</v>
      </c>
      <c r="K510" s="169">
        <v>110.0</v>
      </c>
      <c r="L510" s="346">
        <f t="shared" si="18"/>
        <v>1870</v>
      </c>
      <c r="M510" s="1"/>
      <c r="N510" s="1"/>
      <c r="O510" s="1"/>
      <c r="P510" s="1"/>
      <c r="Q510" s="1"/>
      <c r="R510" s="1"/>
      <c r="S510" s="1"/>
    </row>
    <row r="511" ht="10.5" customHeight="1">
      <c r="A511" s="1"/>
      <c r="B511" s="11"/>
      <c r="C511" s="169"/>
      <c r="D511" s="169"/>
      <c r="E511" s="169"/>
      <c r="F511" s="169"/>
      <c r="G511" s="169"/>
      <c r="H511" s="169"/>
      <c r="I511" s="169"/>
      <c r="J511" s="169"/>
      <c r="K511" s="169"/>
      <c r="L511" s="356"/>
      <c r="M511" s="1"/>
      <c r="N511" s="1"/>
      <c r="O511" s="1"/>
      <c r="P511" s="1"/>
      <c r="Q511" s="1"/>
      <c r="R511" s="1"/>
      <c r="S511" s="1"/>
    </row>
    <row r="512" ht="10.5" customHeight="1">
      <c r="A512" s="1"/>
      <c r="B512" s="11" t="s">
        <v>57</v>
      </c>
      <c r="C512" s="169">
        <v>899.0</v>
      </c>
      <c r="D512" s="169">
        <v>12.0</v>
      </c>
      <c r="E512" s="169">
        <v>285.0</v>
      </c>
      <c r="F512" s="169">
        <v>245.0</v>
      </c>
      <c r="G512" s="169">
        <v>39.0</v>
      </c>
      <c r="H512" s="169">
        <v>138.0</v>
      </c>
      <c r="I512" s="169">
        <v>21.0</v>
      </c>
      <c r="J512" s="169">
        <v>4.0</v>
      </c>
      <c r="K512" s="169">
        <v>107.0</v>
      </c>
      <c r="L512" s="357">
        <v>1750.0</v>
      </c>
      <c r="M512" s="1"/>
      <c r="N512" s="1"/>
      <c r="O512" s="1"/>
      <c r="P512" s="1"/>
      <c r="Q512" s="1"/>
      <c r="R512" s="1"/>
      <c r="S512" s="1"/>
    </row>
    <row r="513" ht="10.5" customHeight="1">
      <c r="A513" s="1"/>
      <c r="B513" s="11" t="s">
        <v>58</v>
      </c>
      <c r="C513" s="169">
        <v>697.0</v>
      </c>
      <c r="D513" s="169">
        <v>15.0</v>
      </c>
      <c r="E513" s="169">
        <v>259.0</v>
      </c>
      <c r="F513" s="169">
        <v>176.0</v>
      </c>
      <c r="G513" s="169">
        <v>41.0</v>
      </c>
      <c r="H513" s="169">
        <v>144.0</v>
      </c>
      <c r="I513" s="169">
        <v>20.0</v>
      </c>
      <c r="J513" s="169">
        <v>2.0</v>
      </c>
      <c r="K513" s="169">
        <v>86.0</v>
      </c>
      <c r="L513" s="357">
        <v>1440.0</v>
      </c>
      <c r="M513" s="1"/>
      <c r="N513" s="1"/>
      <c r="O513" s="1"/>
      <c r="P513" s="1"/>
      <c r="Q513" s="1"/>
      <c r="R513" s="1"/>
      <c r="S513" s="1"/>
    </row>
    <row r="514" ht="10.5" customHeight="1">
      <c r="A514" s="1"/>
      <c r="B514" s="11" t="s">
        <v>628</v>
      </c>
      <c r="C514" s="169">
        <v>1098.0</v>
      </c>
      <c r="D514" s="169">
        <v>11.0</v>
      </c>
      <c r="E514" s="169">
        <v>266.0</v>
      </c>
      <c r="F514" s="169">
        <v>308.0</v>
      </c>
      <c r="G514" s="169">
        <v>37.0</v>
      </c>
      <c r="H514" s="169">
        <v>104.0</v>
      </c>
      <c r="I514" s="169">
        <v>14.0</v>
      </c>
      <c r="J514" s="169">
        <v>2.0</v>
      </c>
      <c r="K514" s="169">
        <v>70.0</v>
      </c>
      <c r="L514" s="357">
        <v>1910.0</v>
      </c>
      <c r="M514" s="1"/>
      <c r="N514" s="1"/>
      <c r="O514" s="1"/>
      <c r="P514" s="1"/>
      <c r="Q514" s="1"/>
      <c r="R514" s="1"/>
      <c r="S514" s="1"/>
    </row>
    <row r="515" ht="10.5" customHeight="1">
      <c r="A515" s="1"/>
      <c r="B515" s="52" t="s">
        <v>629</v>
      </c>
      <c r="C515" s="260">
        <v>587.0</v>
      </c>
      <c r="D515" s="260">
        <v>9.0</v>
      </c>
      <c r="E515" s="260">
        <v>312.0</v>
      </c>
      <c r="F515" s="260">
        <v>328.0</v>
      </c>
      <c r="G515" s="260">
        <v>46.0</v>
      </c>
      <c r="H515" s="260">
        <v>130.0</v>
      </c>
      <c r="I515" s="260">
        <v>25.0</v>
      </c>
      <c r="J515" s="260">
        <v>4.0</v>
      </c>
      <c r="K515" s="260">
        <v>84.0</v>
      </c>
      <c r="L515" s="359">
        <v>1525.0</v>
      </c>
      <c r="M515" s="1"/>
      <c r="N515" s="1"/>
      <c r="O515" s="1"/>
      <c r="P515" s="1"/>
      <c r="Q515" s="1"/>
      <c r="R515" s="1"/>
      <c r="S515" s="1"/>
    </row>
    <row r="516" ht="12.0" customHeight="1">
      <c r="A516" s="1"/>
      <c r="B516" s="60" t="s">
        <v>630</v>
      </c>
      <c r="C516" s="1"/>
      <c r="D516" s="1"/>
      <c r="E516" s="1"/>
      <c r="F516" s="1"/>
      <c r="G516" s="1"/>
      <c r="H516" s="1"/>
      <c r="I516" s="1"/>
      <c r="J516" s="1"/>
      <c r="K516" s="1"/>
      <c r="L516" s="1"/>
      <c r="M516" s="1"/>
      <c r="N516" s="1"/>
      <c r="O516" s="1"/>
      <c r="P516" s="1"/>
      <c r="Q516" s="1"/>
      <c r="R516" s="1"/>
      <c r="S516" s="1"/>
    </row>
    <row r="517" ht="6.0" customHeight="1">
      <c r="A517" s="1"/>
      <c r="B517" s="60"/>
      <c r="C517" s="1"/>
      <c r="D517" s="1"/>
      <c r="E517" s="1"/>
      <c r="F517" s="1"/>
      <c r="G517" s="1"/>
      <c r="H517" s="1"/>
      <c r="I517" s="113"/>
      <c r="J517" s="113"/>
      <c r="K517" s="1"/>
      <c r="L517" s="1"/>
      <c r="M517" s="1"/>
      <c r="N517" s="1"/>
      <c r="O517" s="1"/>
      <c r="P517" s="1"/>
      <c r="Q517" s="1"/>
      <c r="R517" s="1"/>
      <c r="S517" s="1"/>
    </row>
    <row r="518" ht="10.5" customHeight="1">
      <c r="A518" s="1"/>
      <c r="B518" s="185" t="s">
        <v>631</v>
      </c>
      <c r="C518" s="1"/>
      <c r="D518" s="1"/>
      <c r="E518" s="1"/>
      <c r="F518" s="1"/>
      <c r="G518" s="1"/>
      <c r="H518" s="1"/>
      <c r="I518" s="1"/>
      <c r="J518" s="1"/>
      <c r="K518" s="1"/>
      <c r="L518" s="1"/>
      <c r="M518" s="1"/>
      <c r="N518" s="1"/>
      <c r="O518" s="1"/>
      <c r="P518" s="1"/>
      <c r="Q518" s="1"/>
      <c r="R518" s="1"/>
      <c r="S518" s="1"/>
    </row>
    <row r="519" ht="10.5" customHeight="1">
      <c r="A519" s="1"/>
      <c r="B519" s="185" t="s">
        <v>632</v>
      </c>
      <c r="C519" s="1"/>
      <c r="D519" s="1"/>
      <c r="E519" s="1"/>
      <c r="F519" s="1"/>
      <c r="G519" s="1"/>
      <c r="H519" s="1"/>
      <c r="I519" s="1"/>
      <c r="J519" s="1"/>
      <c r="K519" s="1"/>
      <c r="L519" s="1"/>
      <c r="M519" s="1"/>
      <c r="N519" s="1"/>
      <c r="O519" s="1"/>
      <c r="P519" s="1"/>
      <c r="Q519" s="1"/>
      <c r="R519" s="1"/>
      <c r="S519" s="1"/>
    </row>
    <row r="520" ht="10.5" customHeight="1">
      <c r="A520" s="1"/>
      <c r="B520" s="1"/>
      <c r="C520" s="113"/>
      <c r="D520" s="113"/>
      <c r="E520" s="113"/>
      <c r="F520" s="113"/>
      <c r="G520" s="113"/>
      <c r="H520" s="113"/>
      <c r="I520" s="1"/>
      <c r="J520" s="1"/>
      <c r="K520" s="1"/>
      <c r="L520" s="1"/>
      <c r="M520" s="1"/>
      <c r="N520" s="1"/>
      <c r="O520" s="1"/>
      <c r="P520" s="1"/>
      <c r="Q520" s="1"/>
      <c r="R520" s="1"/>
      <c r="S520" s="1"/>
    </row>
    <row r="521" ht="10.5" customHeight="1">
      <c r="A521" s="1"/>
      <c r="B521" s="1"/>
      <c r="C521" s="1"/>
      <c r="D521" s="1"/>
      <c r="E521" s="1"/>
      <c r="F521" s="1"/>
      <c r="G521" s="1"/>
      <c r="H521" s="1"/>
      <c r="I521" s="1"/>
      <c r="J521" s="1"/>
      <c r="K521" s="1"/>
      <c r="L521" s="1"/>
      <c r="M521" s="1"/>
      <c r="N521" s="1"/>
      <c r="O521" s="1"/>
      <c r="P521" s="1"/>
      <c r="Q521" s="1"/>
      <c r="R521" s="1"/>
      <c r="S521" s="1"/>
    </row>
    <row r="522" ht="10.5" customHeight="1">
      <c r="A522" s="1"/>
      <c r="B522" s="1"/>
      <c r="C522" s="1"/>
      <c r="D522" s="1"/>
      <c r="E522" s="1"/>
      <c r="F522" s="1"/>
      <c r="G522" s="1"/>
      <c r="H522" s="1"/>
      <c r="I522" s="1"/>
      <c r="J522" s="1"/>
      <c r="K522" s="1"/>
      <c r="L522" s="1"/>
      <c r="M522" s="1"/>
      <c r="N522" s="1"/>
      <c r="O522" s="1"/>
      <c r="P522" s="1"/>
      <c r="Q522" s="1"/>
      <c r="R522" s="1"/>
      <c r="S522" s="1"/>
    </row>
    <row r="523" ht="10.5" customHeight="1">
      <c r="A523" s="1"/>
      <c r="B523" s="1"/>
      <c r="C523" s="1"/>
      <c r="D523" s="1"/>
      <c r="E523" s="1"/>
      <c r="F523" s="1"/>
      <c r="G523" s="1"/>
      <c r="H523" s="1"/>
      <c r="I523" s="1"/>
      <c r="J523" s="1"/>
      <c r="K523" s="1"/>
      <c r="L523" s="1"/>
      <c r="M523" s="1"/>
      <c r="N523" s="1"/>
      <c r="O523" s="1"/>
      <c r="P523" s="1"/>
      <c r="Q523" s="1"/>
      <c r="R523" s="1"/>
      <c r="S523" s="1"/>
    </row>
    <row r="524" ht="10.5" customHeight="1">
      <c r="A524" s="1"/>
      <c r="B524" s="1"/>
      <c r="C524" s="1"/>
      <c r="D524" s="1"/>
      <c r="E524" s="1"/>
      <c r="F524" s="1"/>
      <c r="G524" s="1"/>
      <c r="H524" s="1"/>
      <c r="I524" s="1"/>
      <c r="J524" s="1"/>
      <c r="K524" s="1"/>
      <c r="L524" s="1"/>
      <c r="M524" s="1"/>
      <c r="N524" s="1"/>
      <c r="O524" s="1"/>
      <c r="P524" s="1"/>
      <c r="Q524" s="1"/>
      <c r="R524" s="1"/>
      <c r="S524" s="1"/>
    </row>
    <row r="525" ht="10.5" customHeight="1">
      <c r="A525" s="1"/>
      <c r="B525" s="1"/>
      <c r="C525" s="1"/>
      <c r="D525" s="1"/>
      <c r="E525" s="1"/>
      <c r="F525" s="1"/>
      <c r="G525" s="1"/>
      <c r="H525" s="1"/>
      <c r="I525" s="1"/>
      <c r="J525" s="1"/>
      <c r="K525" s="1"/>
      <c r="L525" s="1"/>
      <c r="M525" s="1"/>
      <c r="N525" s="1"/>
      <c r="O525" s="1"/>
      <c r="P525" s="1"/>
      <c r="Q525" s="1"/>
      <c r="R525" s="1"/>
      <c r="S525" s="1"/>
    </row>
    <row r="526" ht="10.5" customHeight="1">
      <c r="A526" s="1"/>
      <c r="B526" s="1"/>
      <c r="C526" s="1"/>
      <c r="D526" s="1"/>
      <c r="E526" s="1"/>
      <c r="F526" s="1"/>
      <c r="G526" s="1"/>
      <c r="H526" s="1"/>
      <c r="I526" s="1"/>
      <c r="J526" s="1"/>
      <c r="K526" s="1"/>
      <c r="L526" s="1"/>
      <c r="M526" s="1"/>
      <c r="N526" s="1"/>
      <c r="O526" s="1"/>
      <c r="P526" s="1"/>
      <c r="Q526" s="1"/>
      <c r="R526" s="1"/>
      <c r="S526" s="1"/>
    </row>
    <row r="527" ht="10.5" customHeight="1">
      <c r="A527" s="1"/>
      <c r="B527" s="1"/>
      <c r="C527" s="1"/>
      <c r="D527" s="1"/>
      <c r="E527" s="1"/>
      <c r="F527" s="1"/>
      <c r="G527" s="1"/>
      <c r="H527" s="1"/>
      <c r="I527" s="1"/>
      <c r="J527" s="1"/>
      <c r="K527" s="1"/>
      <c r="L527" s="1"/>
      <c r="M527" s="1"/>
      <c r="N527" s="1"/>
      <c r="O527" s="1"/>
      <c r="P527" s="1"/>
      <c r="Q527" s="1"/>
      <c r="R527" s="1"/>
      <c r="S527" s="1"/>
    </row>
    <row r="528" ht="10.5" customHeight="1">
      <c r="A528" s="1"/>
      <c r="B528" s="1"/>
      <c r="C528" s="1"/>
      <c r="D528" s="1"/>
      <c r="E528" s="1"/>
      <c r="F528" s="1"/>
      <c r="G528" s="1"/>
      <c r="H528" s="1"/>
      <c r="I528" s="1"/>
      <c r="J528" s="1"/>
      <c r="K528" s="1"/>
      <c r="L528" s="1"/>
      <c r="M528" s="1"/>
      <c r="N528" s="1"/>
      <c r="O528" s="1"/>
      <c r="P528" s="1"/>
      <c r="Q528" s="1"/>
      <c r="R528" s="1"/>
      <c r="S528" s="1"/>
    </row>
    <row r="529" ht="10.5" customHeight="1">
      <c r="A529" s="1"/>
      <c r="B529" s="1"/>
      <c r="C529" s="1"/>
      <c r="D529" s="1"/>
      <c r="E529" s="1"/>
      <c r="F529" s="1"/>
      <c r="G529" s="1"/>
      <c r="H529" s="1"/>
      <c r="I529" s="1"/>
      <c r="J529" s="1"/>
      <c r="K529" s="1"/>
      <c r="L529" s="1"/>
      <c r="M529" s="1"/>
      <c r="N529" s="1"/>
      <c r="O529" s="1"/>
      <c r="P529" s="1"/>
      <c r="Q529" s="1"/>
      <c r="R529" s="1"/>
      <c r="S529" s="1"/>
    </row>
    <row r="530" ht="10.5" customHeight="1">
      <c r="A530" s="1"/>
      <c r="B530" s="1"/>
      <c r="C530" s="1"/>
      <c r="D530" s="1"/>
      <c r="E530" s="1"/>
      <c r="F530" s="1"/>
      <c r="G530" s="1"/>
      <c r="H530" s="1"/>
      <c r="I530" s="1"/>
      <c r="J530" s="1"/>
      <c r="K530" s="1"/>
      <c r="L530" s="1"/>
      <c r="M530" s="1"/>
      <c r="N530" s="1"/>
      <c r="O530" s="1"/>
      <c r="P530" s="1"/>
      <c r="Q530" s="1"/>
      <c r="R530" s="1"/>
      <c r="S530" s="1"/>
    </row>
    <row r="531" ht="10.5" customHeight="1">
      <c r="A531" s="1"/>
      <c r="B531" s="1"/>
      <c r="C531" s="1"/>
      <c r="D531" s="1"/>
      <c r="E531" s="1"/>
      <c r="F531" s="1"/>
      <c r="G531" s="1"/>
      <c r="H531" s="1"/>
      <c r="I531" s="1"/>
      <c r="J531" s="1"/>
      <c r="K531" s="1"/>
      <c r="L531" s="1"/>
      <c r="M531" s="1"/>
      <c r="N531" s="1"/>
      <c r="O531" s="1"/>
      <c r="P531" s="1"/>
      <c r="Q531" s="1"/>
      <c r="R531" s="1"/>
      <c r="S531" s="1"/>
    </row>
    <row r="532" ht="10.5" customHeight="1">
      <c r="A532" s="1"/>
      <c r="B532" s="1"/>
      <c r="C532" s="1"/>
      <c r="D532" s="1"/>
      <c r="E532" s="1"/>
      <c r="F532" s="1"/>
      <c r="G532" s="1"/>
      <c r="H532" s="1"/>
      <c r="I532" s="1"/>
      <c r="J532" s="1"/>
      <c r="K532" s="1"/>
      <c r="L532" s="1"/>
      <c r="M532" s="1"/>
      <c r="N532" s="1"/>
      <c r="O532" s="1"/>
      <c r="P532" s="1"/>
      <c r="Q532" s="1"/>
      <c r="R532" s="1"/>
      <c r="S532" s="1"/>
    </row>
    <row r="533" ht="10.5" customHeight="1">
      <c r="A533" s="1"/>
      <c r="B533" s="1"/>
      <c r="C533" s="1"/>
      <c r="D533" s="1"/>
      <c r="E533" s="1"/>
      <c r="F533" s="1"/>
      <c r="G533" s="1"/>
      <c r="H533" s="1"/>
      <c r="I533" s="1"/>
      <c r="J533" s="1"/>
      <c r="K533" s="1"/>
      <c r="L533" s="1"/>
      <c r="M533" s="1"/>
      <c r="N533" s="1"/>
      <c r="O533" s="1"/>
      <c r="P533" s="1"/>
      <c r="Q533" s="1"/>
      <c r="R533" s="1"/>
      <c r="S533" s="1"/>
    </row>
    <row r="534" ht="10.5" customHeight="1">
      <c r="A534" s="1"/>
      <c r="B534" s="1"/>
      <c r="C534" s="1"/>
      <c r="D534" s="1"/>
      <c r="E534" s="1"/>
      <c r="F534" s="1"/>
      <c r="G534" s="1"/>
      <c r="H534" s="1"/>
      <c r="I534" s="1"/>
      <c r="J534" s="1"/>
      <c r="K534" s="1"/>
      <c r="L534" s="1"/>
      <c r="M534" s="1"/>
      <c r="N534" s="1"/>
      <c r="O534" s="1"/>
      <c r="P534" s="1"/>
      <c r="Q534" s="1"/>
      <c r="R534" s="1"/>
      <c r="S534" s="1"/>
    </row>
    <row r="535" ht="10.5" customHeight="1">
      <c r="A535" s="1"/>
      <c r="B535" s="1"/>
      <c r="C535" s="1"/>
      <c r="D535" s="1"/>
      <c r="E535" s="1"/>
      <c r="F535" s="1"/>
      <c r="G535" s="1"/>
      <c r="H535" s="1"/>
      <c r="I535" s="1"/>
      <c r="J535" s="1"/>
      <c r="K535" s="1"/>
      <c r="L535" s="1"/>
      <c r="M535" s="1"/>
      <c r="N535" s="1"/>
      <c r="O535" s="1"/>
      <c r="P535" s="1"/>
      <c r="Q535" s="1"/>
      <c r="R535" s="1"/>
      <c r="S535" s="1"/>
    </row>
    <row r="536" ht="10.5" customHeight="1">
      <c r="A536" s="1"/>
      <c r="B536" s="1"/>
      <c r="C536" s="1"/>
      <c r="D536" s="1"/>
      <c r="E536" s="1"/>
      <c r="F536" s="1"/>
      <c r="G536" s="1"/>
      <c r="H536" s="1"/>
      <c r="I536" s="1"/>
      <c r="J536" s="1"/>
      <c r="K536" s="1"/>
      <c r="L536" s="1"/>
      <c r="M536" s="1"/>
      <c r="N536" s="1"/>
      <c r="O536" s="1"/>
      <c r="P536" s="1"/>
      <c r="Q536" s="1"/>
      <c r="R536" s="1"/>
      <c r="S536" s="1"/>
    </row>
    <row r="537" ht="10.5" customHeight="1">
      <c r="A537" s="1"/>
      <c r="B537" s="1"/>
      <c r="C537" s="1"/>
      <c r="D537" s="1"/>
      <c r="E537" s="1"/>
      <c r="F537" s="1"/>
      <c r="G537" s="1"/>
      <c r="H537" s="1"/>
      <c r="I537" s="1"/>
      <c r="J537" s="1"/>
      <c r="K537" s="1"/>
      <c r="L537" s="1"/>
      <c r="M537" s="1"/>
      <c r="N537" s="1"/>
      <c r="O537" s="1"/>
      <c r="P537" s="1"/>
      <c r="Q537" s="1"/>
      <c r="R537" s="1"/>
      <c r="S537" s="1"/>
    </row>
    <row r="538" ht="10.5" customHeight="1">
      <c r="A538" s="1"/>
      <c r="B538" s="1"/>
      <c r="C538" s="1"/>
      <c r="D538" s="1"/>
      <c r="E538" s="1"/>
      <c r="F538" s="1"/>
      <c r="G538" s="1"/>
      <c r="H538" s="1"/>
      <c r="I538" s="1"/>
      <c r="J538" s="1"/>
      <c r="K538" s="1"/>
      <c r="L538" s="1"/>
      <c r="M538" s="1"/>
      <c r="N538" s="1"/>
      <c r="O538" s="1"/>
      <c r="P538" s="1"/>
      <c r="Q538" s="1"/>
      <c r="R538" s="1"/>
      <c r="S538" s="1"/>
    </row>
    <row r="539" ht="10.5" customHeight="1">
      <c r="A539" s="1"/>
      <c r="B539" s="1"/>
      <c r="C539" s="1"/>
      <c r="D539" s="1"/>
      <c r="E539" s="1"/>
      <c r="F539" s="1"/>
      <c r="G539" s="1"/>
      <c r="H539" s="1"/>
      <c r="I539" s="1"/>
      <c r="J539" s="1"/>
      <c r="K539" s="1"/>
      <c r="L539" s="1"/>
      <c r="M539" s="1"/>
      <c r="N539" s="1"/>
      <c r="O539" s="1"/>
      <c r="P539" s="1"/>
      <c r="Q539" s="1"/>
      <c r="R539" s="1"/>
      <c r="S539" s="1"/>
    </row>
    <row r="540" ht="10.5" customHeight="1">
      <c r="A540" s="1"/>
      <c r="B540" s="1"/>
      <c r="C540" s="1"/>
      <c r="D540" s="1"/>
      <c r="E540" s="1"/>
      <c r="F540" s="1"/>
      <c r="G540" s="1"/>
      <c r="H540" s="1"/>
      <c r="I540" s="1"/>
      <c r="J540" s="1"/>
      <c r="K540" s="1"/>
      <c r="L540" s="1"/>
      <c r="M540" s="1"/>
      <c r="N540" s="1"/>
      <c r="O540" s="1"/>
      <c r="P540" s="1"/>
      <c r="Q540" s="1"/>
      <c r="R540" s="1"/>
      <c r="S540" s="1"/>
    </row>
    <row r="541" ht="10.5" customHeight="1">
      <c r="A541" s="1"/>
      <c r="B541" s="1"/>
      <c r="C541" s="1"/>
      <c r="D541" s="1"/>
      <c r="E541" s="1"/>
      <c r="F541" s="1"/>
      <c r="G541" s="110">
        <v>12.0</v>
      </c>
      <c r="H541" s="1"/>
      <c r="I541" s="1"/>
      <c r="J541" s="1"/>
      <c r="K541" s="1"/>
      <c r="L541" s="1"/>
      <c r="M541" s="1"/>
      <c r="N541" s="1"/>
      <c r="O541" s="1"/>
      <c r="P541" s="1"/>
      <c r="Q541" s="1"/>
      <c r="R541" s="1"/>
      <c r="S541" s="1"/>
    </row>
    <row r="542" ht="10.5" customHeight="1">
      <c r="A542" s="1"/>
      <c r="B542" s="1"/>
      <c r="C542" s="1"/>
      <c r="D542" s="1"/>
      <c r="E542" s="1"/>
      <c r="F542" s="1"/>
      <c r="G542" s="1"/>
      <c r="H542" s="1"/>
      <c r="I542" s="1"/>
      <c r="J542" s="1"/>
      <c r="K542" s="1"/>
      <c r="L542" s="1"/>
      <c r="M542" s="1"/>
      <c r="N542" s="1"/>
      <c r="O542" s="1"/>
      <c r="P542" s="1"/>
      <c r="Q542" s="1"/>
      <c r="R542" s="1"/>
      <c r="S542" s="1"/>
    </row>
    <row r="543" ht="10.5" customHeight="1">
      <c r="A543" s="1"/>
      <c r="B543" s="1"/>
      <c r="C543" s="1"/>
      <c r="D543" s="1"/>
      <c r="E543" s="1"/>
      <c r="F543" s="1"/>
      <c r="G543" s="1"/>
      <c r="H543" s="1"/>
      <c r="I543" s="1"/>
      <c r="J543" s="1"/>
      <c r="K543" s="1"/>
      <c r="L543" s="1"/>
      <c r="M543" s="1"/>
      <c r="N543" s="1"/>
      <c r="O543" s="1"/>
      <c r="P543" s="1"/>
      <c r="Q543" s="1"/>
      <c r="R543" s="1"/>
      <c r="S543" s="1"/>
    </row>
    <row r="544" ht="10.5" customHeight="1">
      <c r="A544" s="1"/>
      <c r="B544" s="1" t="s">
        <v>636</v>
      </c>
      <c r="C544" s="1"/>
      <c r="D544" s="1"/>
      <c r="E544" s="1"/>
      <c r="F544" s="1"/>
      <c r="G544" s="1"/>
      <c r="H544" s="1"/>
      <c r="I544" s="1"/>
      <c r="J544" s="1"/>
      <c r="K544" s="1"/>
      <c r="L544" s="1"/>
      <c r="M544" s="1"/>
      <c r="N544" s="1"/>
      <c r="O544" s="1"/>
      <c r="P544" s="1"/>
      <c r="Q544" s="1"/>
      <c r="R544" s="1"/>
      <c r="S544" s="1"/>
    </row>
    <row r="545" ht="35.25" customHeight="1">
      <c r="A545" s="1"/>
      <c r="B545" s="189" t="s">
        <v>31</v>
      </c>
      <c r="C545" s="128" t="s">
        <v>638</v>
      </c>
      <c r="D545" s="128" t="s">
        <v>639</v>
      </c>
      <c r="E545" s="128" t="s">
        <v>640</v>
      </c>
      <c r="F545" s="128" t="s">
        <v>641</v>
      </c>
      <c r="G545" s="10"/>
      <c r="H545" s="367" t="s">
        <v>643</v>
      </c>
      <c r="I545" s="368" t="s">
        <v>644</v>
      </c>
      <c r="J545" s="1"/>
      <c r="K545" s="1"/>
      <c r="L545" s="1"/>
      <c r="M545" s="1"/>
      <c r="N545" s="1"/>
      <c r="O545" s="1"/>
      <c r="P545" s="1"/>
      <c r="Q545" s="1"/>
      <c r="R545" s="1"/>
      <c r="S545" s="1"/>
    </row>
    <row r="546" ht="10.5" customHeight="1">
      <c r="A546" s="1"/>
      <c r="B546" s="6"/>
      <c r="C546" s="8" t="s">
        <v>48</v>
      </c>
      <c r="D546" s="8" t="s">
        <v>49</v>
      </c>
      <c r="E546" s="8" t="s">
        <v>50</v>
      </c>
      <c r="F546" s="8" t="s">
        <v>52</v>
      </c>
      <c r="G546" s="10"/>
      <c r="H546" s="369" t="s">
        <v>646</v>
      </c>
      <c r="I546" s="370"/>
      <c r="J546" s="1"/>
      <c r="K546" s="1"/>
      <c r="L546" s="1"/>
      <c r="M546" s="1"/>
      <c r="N546" s="1"/>
      <c r="O546" s="1"/>
      <c r="P546" s="1"/>
      <c r="Q546" s="1"/>
      <c r="R546" s="1"/>
      <c r="S546" s="1"/>
    </row>
    <row r="547" ht="10.5" customHeight="1">
      <c r="A547" s="1"/>
      <c r="B547" s="48" t="s">
        <v>115</v>
      </c>
      <c r="C547" s="278">
        <v>174.0</v>
      </c>
      <c r="D547" s="278">
        <v>536.0</v>
      </c>
      <c r="E547" s="278">
        <v>254524.0</v>
      </c>
      <c r="F547" s="371">
        <v>475.0</v>
      </c>
      <c r="G547" s="70"/>
      <c r="H547" s="284">
        <v>34.2</v>
      </c>
      <c r="I547" s="11" t="s">
        <v>649</v>
      </c>
      <c r="J547" s="1"/>
      <c r="K547" s="1"/>
      <c r="L547" s="1"/>
      <c r="M547" s="1"/>
      <c r="N547" s="1"/>
      <c r="O547" s="1"/>
      <c r="P547" s="1"/>
      <c r="Q547" s="1"/>
      <c r="R547" s="1"/>
      <c r="S547" s="1"/>
    </row>
    <row r="548" ht="10.5" customHeight="1">
      <c r="A548" s="1"/>
      <c r="B548" s="48" t="s">
        <v>117</v>
      </c>
      <c r="C548" s="278">
        <v>161.0</v>
      </c>
      <c r="D548" s="278">
        <v>433.0</v>
      </c>
      <c r="E548" s="278">
        <v>225353.0</v>
      </c>
      <c r="F548" s="372">
        <v>520.0</v>
      </c>
      <c r="G548" s="87"/>
      <c r="H548" s="284">
        <v>37.5</v>
      </c>
      <c r="I548" s="11" t="s">
        <v>653</v>
      </c>
      <c r="J548" s="1"/>
      <c r="K548" s="1"/>
      <c r="L548" s="1"/>
      <c r="M548" s="1"/>
      <c r="N548" s="1"/>
      <c r="O548" s="1"/>
      <c r="P548" s="1"/>
      <c r="Q548" s="1"/>
      <c r="R548" s="1"/>
      <c r="S548" s="1"/>
    </row>
    <row r="549" ht="10.5" customHeight="1">
      <c r="A549" s="1"/>
      <c r="B549" s="48" t="s">
        <v>121</v>
      </c>
      <c r="C549" s="278">
        <v>131.0</v>
      </c>
      <c r="D549" s="278">
        <v>358.0</v>
      </c>
      <c r="E549" s="278">
        <v>197158.0</v>
      </c>
      <c r="F549" s="372">
        <v>550.0</v>
      </c>
      <c r="G549" s="87"/>
      <c r="H549" s="284">
        <v>39.6</v>
      </c>
      <c r="I549" s="238">
        <v>1998.0</v>
      </c>
      <c r="J549" s="1"/>
      <c r="K549" s="1"/>
      <c r="L549" s="1"/>
      <c r="M549" s="1"/>
      <c r="N549" s="1"/>
      <c r="O549" s="1"/>
      <c r="P549" s="1"/>
      <c r="Q549" s="1"/>
      <c r="R549" s="1"/>
      <c r="S549" s="1"/>
    </row>
    <row r="550" ht="10.5" customHeight="1">
      <c r="A550" s="1"/>
      <c r="B550" s="48" t="s">
        <v>122</v>
      </c>
      <c r="C550" s="278">
        <v>99.0</v>
      </c>
      <c r="D550" s="278">
        <v>224.0</v>
      </c>
      <c r="E550" s="278">
        <v>163177.0</v>
      </c>
      <c r="F550" s="372">
        <v>730.0</v>
      </c>
      <c r="G550" s="87"/>
      <c r="H550" s="284">
        <v>52.6</v>
      </c>
      <c r="I550" s="238" t="s">
        <v>123</v>
      </c>
      <c r="J550" s="1"/>
      <c r="K550" s="1"/>
      <c r="L550" s="1"/>
      <c r="M550" s="1"/>
      <c r="N550" s="1"/>
      <c r="O550" s="1"/>
      <c r="P550" s="1"/>
      <c r="Q550" s="1"/>
      <c r="R550" s="1"/>
      <c r="S550" s="1"/>
    </row>
    <row r="551" ht="10.5" customHeight="1">
      <c r="A551" s="1"/>
      <c r="B551" s="48" t="s">
        <v>654</v>
      </c>
      <c r="C551" s="278">
        <v>142.0</v>
      </c>
      <c r="D551" s="278">
        <v>473.0</v>
      </c>
      <c r="E551" s="278">
        <v>245837.0</v>
      </c>
      <c r="F551" s="372">
        <v>520.0</v>
      </c>
      <c r="G551" s="87"/>
      <c r="H551" s="284">
        <v>34.7</v>
      </c>
      <c r="I551" s="238" t="s">
        <v>125</v>
      </c>
      <c r="J551" s="1"/>
      <c r="K551" s="1"/>
      <c r="L551" s="1"/>
      <c r="M551" s="1"/>
      <c r="N551" s="1"/>
      <c r="O551" s="1"/>
      <c r="P551" s="1"/>
      <c r="Q551" s="1"/>
      <c r="R551" s="1"/>
      <c r="S551" s="1"/>
    </row>
    <row r="552" ht="10.5" customHeight="1">
      <c r="A552" s="1"/>
      <c r="B552" s="48"/>
      <c r="C552" s="278"/>
      <c r="D552" s="278"/>
      <c r="E552" s="278"/>
      <c r="F552" s="372"/>
      <c r="G552" s="87"/>
      <c r="H552" s="284"/>
      <c r="I552" s="238"/>
      <c r="J552" s="1"/>
      <c r="K552" s="1"/>
      <c r="L552" s="1"/>
      <c r="M552" s="1"/>
      <c r="N552" s="1"/>
      <c r="O552" s="1"/>
      <c r="P552" s="1"/>
      <c r="Q552" s="1"/>
      <c r="R552" s="1"/>
      <c r="S552" s="1"/>
    </row>
    <row r="553" ht="10.5" customHeight="1">
      <c r="A553" s="1"/>
      <c r="B553" s="48" t="s">
        <v>125</v>
      </c>
      <c r="C553" s="278">
        <v>88.0</v>
      </c>
      <c r="D553" s="278">
        <v>206.0</v>
      </c>
      <c r="E553" s="278">
        <v>156691.0</v>
      </c>
      <c r="F553" s="372">
        <v>760.0</v>
      </c>
      <c r="G553" s="87"/>
      <c r="H553" s="54">
        <v>50.8</v>
      </c>
      <c r="I553" s="55" t="s">
        <v>127</v>
      </c>
      <c r="J553" s="1"/>
      <c r="K553" s="1"/>
      <c r="L553" s="1"/>
      <c r="M553" s="1"/>
      <c r="N553" s="1"/>
      <c r="O553" s="1"/>
      <c r="P553" s="1"/>
      <c r="Q553" s="1"/>
      <c r="R553" s="1"/>
      <c r="S553" s="1"/>
    </row>
    <row r="554" ht="10.5" customHeight="1">
      <c r="A554" s="1"/>
      <c r="B554" s="168" t="s">
        <v>127</v>
      </c>
      <c r="C554" s="169">
        <v>75.0</v>
      </c>
      <c r="D554" s="169">
        <v>258.0</v>
      </c>
      <c r="E554" s="169">
        <v>386526.0</v>
      </c>
      <c r="F554" s="372">
        <v>1500.0</v>
      </c>
      <c r="G554" s="87"/>
      <c r="H554" s="54">
        <v>100.2</v>
      </c>
      <c r="I554" s="55" t="s">
        <v>128</v>
      </c>
      <c r="J554" s="1"/>
      <c r="K554" s="1"/>
      <c r="L554" s="1"/>
      <c r="M554" s="1"/>
      <c r="N554" s="1"/>
      <c r="O554" s="1"/>
      <c r="P554" s="1"/>
      <c r="Q554" s="1"/>
      <c r="R554" s="1"/>
      <c r="S554" s="1"/>
    </row>
    <row r="555" ht="10.5" customHeight="1">
      <c r="A555" s="1"/>
      <c r="B555" s="48" t="s">
        <v>128</v>
      </c>
      <c r="C555" s="169">
        <v>95.0</v>
      </c>
      <c r="D555" s="169">
        <v>260.0</v>
      </c>
      <c r="E555" s="169">
        <v>376784.0</v>
      </c>
      <c r="F555" s="372">
        <v>1450.0</v>
      </c>
      <c r="G555" s="87"/>
      <c r="H555" s="54">
        <v>78.5</v>
      </c>
      <c r="I555" s="375" t="s">
        <v>129</v>
      </c>
      <c r="J555" s="1"/>
      <c r="K555" s="1"/>
      <c r="L555" s="1"/>
      <c r="M555" s="1"/>
      <c r="N555" s="1"/>
      <c r="O555" s="1"/>
      <c r="P555" s="1"/>
      <c r="Q555" s="1"/>
      <c r="R555" s="1"/>
      <c r="S555" s="1"/>
    </row>
    <row r="556" ht="10.5" customHeight="1">
      <c r="A556" s="1"/>
      <c r="B556" s="48" t="s">
        <v>129</v>
      </c>
      <c r="C556" s="169">
        <v>130.0</v>
      </c>
      <c r="D556" s="169">
        <v>449.0</v>
      </c>
      <c r="E556" s="169">
        <v>404226.0</v>
      </c>
      <c r="F556" s="372">
        <v>900.0</v>
      </c>
      <c r="G556" s="87"/>
      <c r="H556" s="284">
        <v>60.1</v>
      </c>
      <c r="I556" s="254" t="s">
        <v>130</v>
      </c>
      <c r="J556" s="1"/>
      <c r="K556" s="1"/>
      <c r="L556" s="1"/>
      <c r="M556" s="1"/>
      <c r="N556" s="1"/>
      <c r="O556" s="1"/>
      <c r="P556" s="1"/>
      <c r="Q556" s="1"/>
      <c r="R556" s="1"/>
      <c r="S556" s="1"/>
    </row>
    <row r="557" ht="10.5" customHeight="1">
      <c r="A557" s="1"/>
      <c r="B557" s="48" t="s">
        <v>130</v>
      </c>
      <c r="C557" s="169">
        <v>86.0</v>
      </c>
      <c r="D557" s="169">
        <v>313.0</v>
      </c>
      <c r="E557" s="169">
        <v>140883.0</v>
      </c>
      <c r="F557" s="372">
        <v>450.0</v>
      </c>
      <c r="G557" s="87"/>
      <c r="H557" s="284">
        <v>30.0</v>
      </c>
      <c r="I557" s="254" t="s">
        <v>131</v>
      </c>
      <c r="J557" s="1"/>
      <c r="K557" s="1"/>
      <c r="L557" s="1"/>
      <c r="M557" s="1"/>
      <c r="N557" s="1"/>
      <c r="O557" s="1"/>
      <c r="P557" s="1"/>
      <c r="Q557" s="1"/>
      <c r="R557" s="1"/>
      <c r="S557" s="1"/>
    </row>
    <row r="558" ht="10.5" customHeight="1">
      <c r="A558" s="1"/>
      <c r="B558" s="48"/>
      <c r="C558" s="169"/>
      <c r="D558" s="169"/>
      <c r="E558" s="169"/>
      <c r="F558" s="372"/>
      <c r="G558" s="87"/>
      <c r="H558" s="54"/>
      <c r="I558" s="254"/>
      <c r="J558" s="1"/>
      <c r="K558" s="1"/>
      <c r="L558" s="1"/>
      <c r="M558" s="1"/>
      <c r="N558" s="1"/>
      <c r="O558" s="1"/>
      <c r="P558" s="1"/>
      <c r="Q558" s="1"/>
      <c r="R558" s="1"/>
      <c r="S558" s="1"/>
    </row>
    <row r="559" ht="10.5" customHeight="1">
      <c r="A559" s="1"/>
      <c r="B559" s="48" t="s">
        <v>131</v>
      </c>
      <c r="C559" s="169">
        <v>37.0</v>
      </c>
      <c r="D559" s="169">
        <v>110.0</v>
      </c>
      <c r="E559" s="169">
        <v>131532.0</v>
      </c>
      <c r="F559" s="372">
        <v>1191.41</v>
      </c>
      <c r="G559" s="87"/>
      <c r="H559" s="284">
        <v>71.8</v>
      </c>
      <c r="I559" s="238" t="s">
        <v>133</v>
      </c>
      <c r="J559" s="1"/>
      <c r="K559" s="1"/>
      <c r="L559" s="1"/>
      <c r="M559" s="1"/>
      <c r="N559" s="1"/>
      <c r="O559" s="1"/>
      <c r="P559" s="1"/>
      <c r="Q559" s="1"/>
      <c r="R559" s="1"/>
      <c r="S559" s="1"/>
    </row>
    <row r="560" ht="10.5" customHeight="1">
      <c r="A560" s="1"/>
      <c r="B560" s="48" t="s">
        <v>133</v>
      </c>
      <c r="C560" s="169">
        <v>69.0</v>
      </c>
      <c r="D560" s="169">
        <v>202.0</v>
      </c>
      <c r="E560" s="169">
        <v>300246.0</v>
      </c>
      <c r="F560" s="372">
        <v>1483.43</v>
      </c>
      <c r="G560" s="87"/>
      <c r="H560" s="54">
        <v>112.4</v>
      </c>
      <c r="I560" s="238" t="s">
        <v>134</v>
      </c>
      <c r="J560" s="1"/>
      <c r="K560" s="1"/>
      <c r="L560" s="1"/>
      <c r="M560" s="1"/>
      <c r="N560" s="1"/>
      <c r="O560" s="1"/>
      <c r="P560" s="1"/>
      <c r="Q560" s="1"/>
      <c r="R560" s="1"/>
      <c r="S560" s="1"/>
    </row>
    <row r="561" ht="10.5" customHeight="1">
      <c r="A561" s="1"/>
      <c r="B561" s="293">
        <v>39295.0</v>
      </c>
      <c r="C561" s="169">
        <v>87.0</v>
      </c>
      <c r="D561" s="169">
        <v>293.0</v>
      </c>
      <c r="E561" s="169">
        <v>520353.0</v>
      </c>
      <c r="F561" s="372">
        <v>1774.43</v>
      </c>
      <c r="G561" s="87"/>
      <c r="H561" s="54">
        <v>120.7</v>
      </c>
      <c r="I561" s="238" t="s">
        <v>135</v>
      </c>
      <c r="J561" s="1"/>
      <c r="K561" s="1"/>
      <c r="L561" s="1"/>
      <c r="M561" s="1"/>
      <c r="N561" s="1"/>
      <c r="O561" s="1"/>
      <c r="P561" s="1"/>
      <c r="Q561" s="1"/>
      <c r="R561" s="1"/>
      <c r="S561" s="1"/>
    </row>
    <row r="562" ht="10.5" customHeight="1">
      <c r="A562" s="1"/>
      <c r="B562" s="293">
        <v>39692.0</v>
      </c>
      <c r="C562" s="169">
        <v>86.0</v>
      </c>
      <c r="D562" s="169">
        <v>318.0</v>
      </c>
      <c r="E562" s="169">
        <v>475261.0</v>
      </c>
      <c r="F562" s="372">
        <v>1494.65</v>
      </c>
      <c r="G562" s="87"/>
      <c r="H562" s="54">
        <v>104.8</v>
      </c>
      <c r="I562" s="293">
        <v>40087.0</v>
      </c>
      <c r="J562" s="1"/>
      <c r="K562" s="1"/>
      <c r="L562" s="1"/>
      <c r="M562" s="1"/>
      <c r="N562" s="1"/>
      <c r="O562" s="1"/>
      <c r="P562" s="1"/>
      <c r="Q562" s="1"/>
      <c r="R562" s="1"/>
      <c r="S562" s="1"/>
    </row>
    <row r="563" ht="10.5" customHeight="1">
      <c r="A563" s="1"/>
      <c r="B563" s="293">
        <v>40087.0</v>
      </c>
      <c r="C563" s="169">
        <v>87.0</v>
      </c>
      <c r="D563" s="169">
        <v>226.0</v>
      </c>
      <c r="E563" s="169">
        <v>312637.0</v>
      </c>
      <c r="F563" s="372">
        <v>1383.5</v>
      </c>
      <c r="G563" s="87"/>
      <c r="H563" s="54">
        <v>100.0</v>
      </c>
      <c r="I563" s="293">
        <v>40483.0</v>
      </c>
      <c r="J563" s="1"/>
      <c r="K563" s="1"/>
      <c r="L563" s="1"/>
      <c r="M563" s="1"/>
      <c r="N563" s="1"/>
      <c r="O563" s="1"/>
      <c r="P563" s="1"/>
      <c r="Q563" s="1"/>
      <c r="R563" s="1"/>
      <c r="S563" s="1"/>
    </row>
    <row r="564" ht="10.5" customHeight="1">
      <c r="A564" s="1"/>
      <c r="B564" s="293"/>
      <c r="C564" s="169"/>
      <c r="D564" s="169"/>
      <c r="E564" s="169"/>
      <c r="F564" s="372"/>
      <c r="G564" s="87"/>
      <c r="H564" s="54"/>
      <c r="I564" s="293"/>
      <c r="J564" s="1"/>
      <c r="K564" s="1"/>
      <c r="L564" s="1"/>
      <c r="M564" s="1"/>
      <c r="N564" s="1"/>
      <c r="O564" s="1"/>
      <c r="P564" s="1"/>
      <c r="Q564" s="1"/>
      <c r="R564" s="1"/>
      <c r="S564" s="1"/>
    </row>
    <row r="565" ht="10.5" customHeight="1">
      <c r="A565" s="1"/>
      <c r="B565" s="85" t="s">
        <v>139</v>
      </c>
      <c r="C565" s="376">
        <v>69.0</v>
      </c>
      <c r="D565" s="376">
        <v>178.0</v>
      </c>
      <c r="E565" s="376">
        <v>297964.0</v>
      </c>
      <c r="F565" s="372">
        <v>1671.61</v>
      </c>
      <c r="G565" s="87"/>
      <c r="H565" s="54">
        <v>124.7</v>
      </c>
      <c r="I565" s="11" t="s">
        <v>143</v>
      </c>
      <c r="J565" s="1"/>
      <c r="K565" s="1"/>
      <c r="L565" s="1"/>
      <c r="M565" s="1"/>
      <c r="N565" s="1"/>
      <c r="O565" s="1"/>
      <c r="P565" s="1"/>
      <c r="Q565" s="1"/>
      <c r="R565" s="1"/>
      <c r="S565" s="1"/>
    </row>
    <row r="566" ht="10.5" customHeight="1">
      <c r="A566" s="1"/>
      <c r="B566" s="85" t="s">
        <v>143</v>
      </c>
      <c r="C566" s="376">
        <v>49.0</v>
      </c>
      <c r="D566" s="376">
        <v>156.0</v>
      </c>
      <c r="E566" s="376">
        <v>416834.0</v>
      </c>
      <c r="F566" s="372">
        <v>2675.01</v>
      </c>
      <c r="G566" s="87"/>
      <c r="H566" s="54">
        <v>187.7</v>
      </c>
      <c r="I566" s="11" t="s">
        <v>149</v>
      </c>
      <c r="J566" s="1"/>
      <c r="K566" s="1"/>
      <c r="L566" s="1"/>
      <c r="M566" s="1"/>
      <c r="N566" s="1"/>
      <c r="O566" s="1"/>
      <c r="P566" s="1"/>
      <c r="Q566" s="1"/>
      <c r="R566" s="1"/>
      <c r="S566" s="1"/>
    </row>
    <row r="567" ht="10.5" customHeight="1">
      <c r="A567" s="1"/>
      <c r="B567" s="85" t="s">
        <v>149</v>
      </c>
      <c r="C567" s="376">
        <v>63.0</v>
      </c>
      <c r="D567" s="376">
        <v>169.0</v>
      </c>
      <c r="E567" s="376">
        <v>455638.0</v>
      </c>
      <c r="F567" s="372">
        <v>2691.62</v>
      </c>
      <c r="G567" s="87"/>
      <c r="H567" s="54">
        <v>187.7</v>
      </c>
      <c r="I567" s="11" t="s">
        <v>151</v>
      </c>
      <c r="J567" s="377"/>
      <c r="K567" s="1"/>
      <c r="L567" s="1"/>
      <c r="M567" s="1"/>
      <c r="N567" s="1"/>
      <c r="O567" s="1"/>
      <c r="P567" s="1"/>
      <c r="Q567" s="1"/>
      <c r="R567" s="1"/>
      <c r="S567" s="1"/>
    </row>
    <row r="568" ht="10.5" customHeight="1">
      <c r="A568" s="1"/>
      <c r="B568" s="85" t="s">
        <v>151</v>
      </c>
      <c r="C568" s="376">
        <v>79.0</v>
      </c>
      <c r="D568" s="376">
        <v>305.0</v>
      </c>
      <c r="E568" s="376">
        <v>800511.0</v>
      </c>
      <c r="F568" s="372">
        <v>2626.78</v>
      </c>
      <c r="G568" s="87"/>
      <c r="H568" s="54">
        <v>182.2</v>
      </c>
      <c r="I568" s="11" t="s">
        <v>153</v>
      </c>
      <c r="J568" s="324"/>
      <c r="K568" s="1"/>
      <c r="L568" s="1"/>
      <c r="M568" s="1"/>
      <c r="N568" s="1"/>
      <c r="O568" s="1"/>
      <c r="P568" s="1"/>
      <c r="Q568" s="1"/>
      <c r="R568" s="1"/>
      <c r="S568" s="1"/>
    </row>
    <row r="569" ht="10.5" customHeight="1">
      <c r="A569" s="1"/>
      <c r="B569" s="85" t="s">
        <v>153</v>
      </c>
      <c r="C569" s="376">
        <v>70.0</v>
      </c>
      <c r="D569" s="376">
        <v>139.0</v>
      </c>
      <c r="E569" s="376">
        <v>329933.0</v>
      </c>
      <c r="F569" s="372">
        <v>2380.9</v>
      </c>
      <c r="G569" s="87"/>
      <c r="H569" s="54">
        <v>175.1</v>
      </c>
      <c r="I569" s="11" t="s">
        <v>155</v>
      </c>
      <c r="J569" s="324"/>
      <c r="K569" s="1"/>
      <c r="L569" s="1"/>
      <c r="M569" s="1"/>
      <c r="N569" s="1"/>
      <c r="O569" s="1"/>
      <c r="P569" s="1"/>
      <c r="Q569" s="1"/>
      <c r="R569" s="1"/>
      <c r="S569" s="1"/>
    </row>
    <row r="570" ht="10.5" customHeight="1">
      <c r="A570" s="1"/>
      <c r="B570" s="85"/>
      <c r="C570" s="376"/>
      <c r="D570" s="376"/>
      <c r="E570" s="376"/>
      <c r="F570" s="372"/>
      <c r="G570" s="87"/>
      <c r="H570" s="54"/>
      <c r="I570" s="11"/>
      <c r="J570" s="324"/>
      <c r="K570" s="1"/>
      <c r="L570" s="1"/>
      <c r="M570" s="1"/>
      <c r="N570" s="1"/>
      <c r="O570" s="1"/>
      <c r="P570" s="1"/>
      <c r="Q570" s="1"/>
      <c r="R570" s="1"/>
      <c r="S570" s="1"/>
    </row>
    <row r="571" ht="10.5" customHeight="1">
      <c r="A571" s="1"/>
      <c r="B571" s="85" t="s">
        <v>155</v>
      </c>
      <c r="C571" s="376">
        <v>48.0</v>
      </c>
      <c r="D571" s="376">
        <v>81.0</v>
      </c>
      <c r="E571" s="376">
        <v>278443.0</v>
      </c>
      <c r="F571" s="372">
        <v>3434.39</v>
      </c>
      <c r="G571" s="87"/>
      <c r="H571" s="54">
        <v>223.3</v>
      </c>
      <c r="I571" s="11" t="s">
        <v>160</v>
      </c>
      <c r="J571" s="324"/>
      <c r="K571" s="1"/>
      <c r="L571" s="1"/>
      <c r="M571" s="1"/>
      <c r="N571" s="1"/>
      <c r="O571" s="1"/>
      <c r="P571" s="1"/>
      <c r="Q571" s="1"/>
      <c r="R571" s="1"/>
      <c r="S571" s="1"/>
    </row>
    <row r="572" ht="10.5" customHeight="1">
      <c r="A572" s="1"/>
      <c r="B572" s="85" t="s">
        <v>160</v>
      </c>
      <c r="C572" s="376">
        <v>42.0</v>
      </c>
      <c r="D572" s="376">
        <v>175.0</v>
      </c>
      <c r="E572" s="376">
        <v>459167.0</v>
      </c>
      <c r="F572" s="372" t="s">
        <v>656</v>
      </c>
      <c r="G572" s="87"/>
      <c r="H572" s="54">
        <v>175.9</v>
      </c>
      <c r="I572" s="11" t="s">
        <v>162</v>
      </c>
      <c r="J572" s="324"/>
      <c r="K572" s="1"/>
      <c r="L572" s="1"/>
      <c r="M572" s="1"/>
      <c r="N572" s="1"/>
      <c r="O572" s="1"/>
      <c r="P572" s="1"/>
      <c r="Q572" s="1"/>
      <c r="R572" s="1"/>
      <c r="S572" s="1"/>
    </row>
    <row r="573" ht="10.5" customHeight="1">
      <c r="A573" s="1"/>
      <c r="B573" s="96" t="s">
        <v>657</v>
      </c>
      <c r="C573" s="378">
        <v>25.0</v>
      </c>
      <c r="D573" s="378">
        <v>90.0</v>
      </c>
      <c r="E573" s="378" t="s">
        <v>10</v>
      </c>
      <c r="F573" s="379" t="s">
        <v>10</v>
      </c>
      <c r="G573" s="94"/>
      <c r="H573" s="54" t="s">
        <v>10</v>
      </c>
      <c r="I573" s="52" t="s">
        <v>185</v>
      </c>
      <c r="J573" s="380"/>
      <c r="K573" s="1"/>
      <c r="L573" s="1"/>
      <c r="M573" s="1"/>
      <c r="N573" s="1"/>
      <c r="O573" s="1"/>
      <c r="P573" s="1"/>
      <c r="Q573" s="1"/>
      <c r="R573" s="1"/>
      <c r="S573" s="1"/>
    </row>
    <row r="574" ht="10.5" customHeight="1">
      <c r="A574" s="1"/>
      <c r="B574" s="8" t="s">
        <v>659</v>
      </c>
      <c r="C574" s="382"/>
      <c r="D574" s="382"/>
      <c r="E574" s="382"/>
      <c r="F574" s="382"/>
      <c r="G574" s="382"/>
      <c r="H574" s="382"/>
      <c r="I574" s="382"/>
      <c r="J574" s="382"/>
      <c r="K574" s="383"/>
      <c r="L574" s="386"/>
      <c r="M574" s="1"/>
      <c r="N574" s="1"/>
      <c r="O574" s="1"/>
      <c r="P574" s="1"/>
      <c r="Q574" s="1"/>
      <c r="R574" s="1"/>
      <c r="S574" s="1"/>
    </row>
    <row r="575" ht="10.5" customHeight="1">
      <c r="A575" s="1"/>
      <c r="B575" s="29" t="s">
        <v>31</v>
      </c>
      <c r="C575" s="337" t="s">
        <v>352</v>
      </c>
      <c r="D575" s="338" t="s">
        <v>353</v>
      </c>
      <c r="E575" s="338" t="s">
        <v>354</v>
      </c>
      <c r="F575" s="337" t="s">
        <v>249</v>
      </c>
      <c r="G575" s="337" t="s">
        <v>609</v>
      </c>
      <c r="H575" s="338" t="s">
        <v>263</v>
      </c>
      <c r="I575" s="338" t="s">
        <v>357</v>
      </c>
      <c r="J575" s="338" t="s">
        <v>256</v>
      </c>
      <c r="K575" s="338" t="s">
        <v>358</v>
      </c>
      <c r="L575" s="337" t="s">
        <v>2</v>
      </c>
      <c r="M575" s="1" t="s">
        <v>11</v>
      </c>
      <c r="N575" s="1"/>
      <c r="O575" s="1"/>
      <c r="P575" s="1"/>
      <c r="Q575" s="1"/>
      <c r="R575" s="1"/>
      <c r="S575" s="1"/>
    </row>
    <row r="576" ht="10.5" customHeight="1">
      <c r="A576" s="1"/>
      <c r="B576" s="5"/>
      <c r="C576" s="339" t="s">
        <v>348</v>
      </c>
      <c r="D576" s="339" t="s">
        <v>348</v>
      </c>
      <c r="E576" s="339" t="s">
        <v>348</v>
      </c>
      <c r="F576" s="339"/>
      <c r="G576" s="339" t="s">
        <v>349</v>
      </c>
      <c r="H576" s="339"/>
      <c r="I576" s="339" t="s">
        <v>360</v>
      </c>
      <c r="J576" s="339"/>
      <c r="K576" s="339" t="s">
        <v>361</v>
      </c>
      <c r="L576" s="339"/>
      <c r="M576" s="1"/>
      <c r="N576" s="1"/>
      <c r="O576" s="1"/>
      <c r="P576" s="1"/>
      <c r="Q576" s="1"/>
      <c r="R576" s="1"/>
      <c r="S576" s="1"/>
    </row>
    <row r="577" ht="10.5" customHeight="1">
      <c r="A577" s="1"/>
      <c r="B577" s="6"/>
      <c r="C577" s="128" t="s">
        <v>49</v>
      </c>
      <c r="D577" s="9"/>
      <c r="E577" s="9"/>
      <c r="F577" s="9"/>
      <c r="G577" s="9"/>
      <c r="H577" s="9"/>
      <c r="I577" s="9"/>
      <c r="J577" s="9"/>
      <c r="K577" s="9"/>
      <c r="L577" s="10"/>
      <c r="M577" s="1"/>
      <c r="N577" s="1"/>
      <c r="O577" s="1"/>
      <c r="P577" s="1"/>
      <c r="Q577" s="1"/>
      <c r="R577" s="1"/>
      <c r="S577" s="1"/>
    </row>
    <row r="578" ht="10.5" customHeight="1">
      <c r="A578" s="1"/>
      <c r="B578" s="48" t="s">
        <v>113</v>
      </c>
      <c r="C578" s="387" t="s">
        <v>40</v>
      </c>
      <c r="D578" s="388">
        <v>8.88</v>
      </c>
      <c r="E578" s="387" t="s">
        <v>40</v>
      </c>
      <c r="F578" s="388">
        <v>220.23</v>
      </c>
      <c r="G578" s="388">
        <v>3.0</v>
      </c>
      <c r="H578" s="389">
        <v>26.64</v>
      </c>
      <c r="I578" s="388">
        <v>170.0</v>
      </c>
      <c r="J578" s="388">
        <v>5.35</v>
      </c>
      <c r="K578" s="389">
        <v>12.9</v>
      </c>
      <c r="L578" s="389">
        <f t="shared" ref="L578:L582" si="19">SUM(C578:K578)</f>
        <v>447</v>
      </c>
      <c r="M578" s="1"/>
      <c r="N578" s="1"/>
      <c r="O578" s="1"/>
      <c r="P578" s="1"/>
      <c r="Q578" s="1"/>
      <c r="R578" s="1"/>
      <c r="S578" s="1"/>
    </row>
    <row r="579" ht="10.5" customHeight="1">
      <c r="A579" s="1"/>
      <c r="B579" s="48" t="s">
        <v>114</v>
      </c>
      <c r="C579" s="388" t="s">
        <v>40</v>
      </c>
      <c r="D579" s="388">
        <v>2.5</v>
      </c>
      <c r="E579" s="388" t="s">
        <v>40</v>
      </c>
      <c r="F579" s="389">
        <v>132.74</v>
      </c>
      <c r="G579" s="365" t="s">
        <v>40</v>
      </c>
      <c r="H579" s="389">
        <v>5.1</v>
      </c>
      <c r="I579" s="388">
        <v>92.66</v>
      </c>
      <c r="J579" s="388">
        <v>5.0</v>
      </c>
      <c r="K579" s="389">
        <v>8.3</v>
      </c>
      <c r="L579" s="389">
        <f t="shared" si="19"/>
        <v>246.3</v>
      </c>
      <c r="M579" s="1"/>
      <c r="N579" s="1"/>
      <c r="O579" s="1"/>
      <c r="P579" s="1"/>
      <c r="Q579" s="1"/>
      <c r="R579" s="1"/>
      <c r="S579" s="1"/>
    </row>
    <row r="580" ht="10.5" customHeight="1">
      <c r="A580" s="1"/>
      <c r="B580" s="48" t="s">
        <v>115</v>
      </c>
      <c r="C580" s="388" t="s">
        <v>40</v>
      </c>
      <c r="D580" s="388">
        <v>1.0</v>
      </c>
      <c r="E580" s="388" t="s">
        <v>40</v>
      </c>
      <c r="F580" s="389">
        <v>219.8</v>
      </c>
      <c r="G580" s="365" t="s">
        <v>40</v>
      </c>
      <c r="H580" s="389">
        <v>27.5</v>
      </c>
      <c r="I580" s="388">
        <v>151.5</v>
      </c>
      <c r="J580" s="388">
        <v>5.0</v>
      </c>
      <c r="K580" s="389">
        <v>40.2</v>
      </c>
      <c r="L580" s="389">
        <f t="shared" si="19"/>
        <v>445</v>
      </c>
      <c r="M580" s="1"/>
      <c r="N580" s="1"/>
      <c r="O580" s="1"/>
      <c r="P580" s="1"/>
      <c r="Q580" s="1"/>
      <c r="R580" s="1"/>
      <c r="S580" s="1"/>
    </row>
    <row r="581" ht="10.5" customHeight="1">
      <c r="A581" s="1"/>
      <c r="B581" s="48" t="s">
        <v>117</v>
      </c>
      <c r="C581" s="388" t="s">
        <v>40</v>
      </c>
      <c r="D581" s="388">
        <v>0.9</v>
      </c>
      <c r="E581" s="388" t="s">
        <v>40</v>
      </c>
      <c r="F581" s="389">
        <v>187.0</v>
      </c>
      <c r="G581" s="365" t="s">
        <v>40</v>
      </c>
      <c r="H581" s="389">
        <v>18.9</v>
      </c>
      <c r="I581" s="388">
        <v>102.7</v>
      </c>
      <c r="J581" s="388">
        <v>6.2</v>
      </c>
      <c r="K581" s="389">
        <v>39.3</v>
      </c>
      <c r="L581" s="389">
        <f t="shared" si="19"/>
        <v>355</v>
      </c>
      <c r="M581" s="1"/>
      <c r="N581" s="1"/>
      <c r="O581" s="1"/>
      <c r="P581" s="1"/>
      <c r="Q581" s="1"/>
      <c r="R581" s="1"/>
      <c r="S581" s="1"/>
    </row>
    <row r="582" ht="10.5" customHeight="1">
      <c r="A582" s="1"/>
      <c r="B582" s="48" t="s">
        <v>121</v>
      </c>
      <c r="C582" s="389" t="s">
        <v>40</v>
      </c>
      <c r="D582" s="365" t="s">
        <v>40</v>
      </c>
      <c r="E582" s="388" t="s">
        <v>40</v>
      </c>
      <c r="F582" s="388">
        <v>140.0</v>
      </c>
      <c r="G582" s="388">
        <v>0.2</v>
      </c>
      <c r="H582" s="389">
        <v>17.0</v>
      </c>
      <c r="I582" s="388">
        <v>70.0</v>
      </c>
      <c r="J582" s="388">
        <v>4.4</v>
      </c>
      <c r="K582" s="389">
        <v>33.0</v>
      </c>
      <c r="L582" s="389">
        <f t="shared" si="19"/>
        <v>264.6</v>
      </c>
      <c r="M582" s="1"/>
      <c r="N582" s="1"/>
      <c r="O582" s="1"/>
      <c r="P582" s="1"/>
      <c r="Q582" s="1"/>
      <c r="R582" s="1"/>
      <c r="S582" s="1"/>
    </row>
    <row r="583" ht="10.5" customHeight="1">
      <c r="A583" s="1"/>
      <c r="B583" s="48"/>
      <c r="C583" s="389"/>
      <c r="D583" s="391"/>
      <c r="E583" s="388"/>
      <c r="F583" s="388"/>
      <c r="G583" s="388"/>
      <c r="H583" s="389"/>
      <c r="I583" s="388"/>
      <c r="J583" s="388"/>
      <c r="K583" s="389"/>
      <c r="L583" s="389"/>
      <c r="M583" s="1"/>
      <c r="N583" s="1"/>
      <c r="O583" s="1"/>
      <c r="P583" s="1"/>
      <c r="Q583" s="1"/>
      <c r="R583" s="1"/>
      <c r="S583" s="1"/>
    </row>
    <row r="584" ht="10.5" customHeight="1">
      <c r="A584" s="1"/>
      <c r="B584" s="48" t="s">
        <v>122</v>
      </c>
      <c r="C584" s="389" t="s">
        <v>40</v>
      </c>
      <c r="D584" s="391">
        <v>0.75</v>
      </c>
      <c r="E584" s="388" t="s">
        <v>40</v>
      </c>
      <c r="F584" s="388">
        <v>83.0</v>
      </c>
      <c r="G584" s="388">
        <v>0.2</v>
      </c>
      <c r="H584" s="389">
        <v>3.0</v>
      </c>
      <c r="I584" s="388">
        <v>40.0</v>
      </c>
      <c r="J584" s="388">
        <v>10.0</v>
      </c>
      <c r="K584" s="389">
        <v>19.0</v>
      </c>
      <c r="L584" s="389">
        <f t="shared" ref="L584:L588" si="20">SUM(C584:K584)</f>
        <v>155.95</v>
      </c>
      <c r="M584" s="1"/>
      <c r="N584" s="1"/>
      <c r="O584" s="1"/>
      <c r="P584" s="1"/>
      <c r="Q584" s="1"/>
      <c r="R584" s="1"/>
      <c r="S584" s="1"/>
    </row>
    <row r="585" ht="10.5" customHeight="1">
      <c r="A585" s="1"/>
      <c r="B585" s="48" t="s">
        <v>123</v>
      </c>
      <c r="C585" s="389" t="s">
        <v>40</v>
      </c>
      <c r="D585" s="365" t="s">
        <v>40</v>
      </c>
      <c r="E585" s="388" t="s">
        <v>40</v>
      </c>
      <c r="F585" s="388">
        <v>214.2</v>
      </c>
      <c r="G585" s="388">
        <v>0.4</v>
      </c>
      <c r="H585" s="389">
        <v>24.15</v>
      </c>
      <c r="I585" s="388">
        <v>70.2</v>
      </c>
      <c r="J585" s="388">
        <v>9.9</v>
      </c>
      <c r="K585" s="389">
        <v>33.6</v>
      </c>
      <c r="L585" s="389">
        <f t="shared" si="20"/>
        <v>352.45</v>
      </c>
      <c r="M585" s="1"/>
      <c r="N585" s="1"/>
      <c r="O585" s="1"/>
      <c r="P585" s="1"/>
      <c r="Q585" s="1"/>
      <c r="R585" s="1"/>
      <c r="S585" s="1"/>
    </row>
    <row r="586" ht="10.5" customHeight="1">
      <c r="A586" s="1"/>
      <c r="B586" s="48" t="s">
        <v>125</v>
      </c>
      <c r="C586" s="389" t="s">
        <v>40</v>
      </c>
      <c r="D586" s="365" t="s">
        <v>40</v>
      </c>
      <c r="E586" s="388" t="s">
        <v>40</v>
      </c>
      <c r="F586" s="389">
        <v>87.5</v>
      </c>
      <c r="G586" s="365" t="s">
        <v>40</v>
      </c>
      <c r="H586" s="389">
        <v>14.28</v>
      </c>
      <c r="I586" s="388">
        <v>41.65</v>
      </c>
      <c r="J586" s="388">
        <v>5.75</v>
      </c>
      <c r="K586" s="389">
        <v>26.4</v>
      </c>
      <c r="L586" s="389">
        <f t="shared" si="20"/>
        <v>175.58</v>
      </c>
      <c r="M586" s="1"/>
      <c r="N586" s="1"/>
      <c r="O586" s="1"/>
      <c r="P586" s="1"/>
      <c r="Q586" s="1"/>
      <c r="R586" s="1"/>
      <c r="S586" s="1"/>
    </row>
    <row r="587" ht="10.5" customHeight="1">
      <c r="A587" s="1"/>
      <c r="B587" s="168" t="s">
        <v>127</v>
      </c>
      <c r="C587" s="388" t="s">
        <v>40</v>
      </c>
      <c r="D587" s="389">
        <v>0.4</v>
      </c>
      <c r="E587" s="388" t="s">
        <v>40</v>
      </c>
      <c r="F587" s="389">
        <v>100.0</v>
      </c>
      <c r="G587" s="391">
        <v>0.13</v>
      </c>
      <c r="H587" s="389">
        <v>18.9</v>
      </c>
      <c r="I587" s="389">
        <v>57.6</v>
      </c>
      <c r="J587" s="391">
        <v>6.5</v>
      </c>
      <c r="K587" s="389">
        <v>13.75</v>
      </c>
      <c r="L587" s="389">
        <f t="shared" si="20"/>
        <v>197.28</v>
      </c>
      <c r="M587" s="1"/>
      <c r="N587" s="1"/>
      <c r="O587" s="1"/>
      <c r="P587" s="1"/>
      <c r="Q587" s="1"/>
      <c r="R587" s="1"/>
      <c r="S587" s="1"/>
    </row>
    <row r="588" ht="10.5" customHeight="1">
      <c r="A588" s="1"/>
      <c r="B588" s="85" t="s">
        <v>128</v>
      </c>
      <c r="C588" s="388" t="s">
        <v>40</v>
      </c>
      <c r="D588" s="388">
        <v>0.03</v>
      </c>
      <c r="E588" s="388" t="s">
        <v>40</v>
      </c>
      <c r="F588" s="389">
        <v>126.05</v>
      </c>
      <c r="G588" s="391">
        <v>0.3</v>
      </c>
      <c r="H588" s="389">
        <v>12.46</v>
      </c>
      <c r="I588" s="389">
        <v>63.71</v>
      </c>
      <c r="J588" s="391">
        <v>7.24</v>
      </c>
      <c r="K588" s="389">
        <v>9.73</v>
      </c>
      <c r="L588" s="389">
        <f t="shared" si="20"/>
        <v>219.52</v>
      </c>
      <c r="M588" s="1"/>
      <c r="N588" s="1"/>
      <c r="O588" s="1"/>
      <c r="P588" s="1"/>
      <c r="Q588" s="1"/>
      <c r="R588" s="1"/>
      <c r="S588" s="1"/>
    </row>
    <row r="589" ht="10.5" customHeight="1">
      <c r="A589" s="1"/>
      <c r="B589" s="48"/>
      <c r="C589" s="388"/>
      <c r="D589" s="388"/>
      <c r="E589" s="388"/>
      <c r="F589" s="389"/>
      <c r="G589" s="391"/>
      <c r="H589" s="389"/>
      <c r="I589" s="392"/>
      <c r="J589" s="391"/>
      <c r="K589" s="389"/>
      <c r="L589" s="389"/>
      <c r="M589" s="1"/>
      <c r="N589" s="1"/>
      <c r="O589" s="1"/>
      <c r="P589" s="1"/>
      <c r="Q589" s="1"/>
      <c r="R589" s="1"/>
      <c r="S589" s="1"/>
    </row>
    <row r="590" ht="10.5" customHeight="1">
      <c r="A590" s="1"/>
      <c r="B590" s="48" t="s">
        <v>129</v>
      </c>
      <c r="C590" s="388" t="s">
        <v>40</v>
      </c>
      <c r="D590" s="389">
        <v>0.3</v>
      </c>
      <c r="E590" s="388" t="s">
        <v>40</v>
      </c>
      <c r="F590" s="389">
        <v>187.25</v>
      </c>
      <c r="G590" s="389">
        <v>0.4</v>
      </c>
      <c r="H590" s="389">
        <v>21.95</v>
      </c>
      <c r="I590" s="389">
        <v>115.78</v>
      </c>
      <c r="J590" s="389">
        <v>24.67</v>
      </c>
      <c r="K590" s="389">
        <v>22.65</v>
      </c>
      <c r="L590" s="389">
        <f t="shared" ref="L590:L594" si="21">SUM(C590:K590)</f>
        <v>373</v>
      </c>
      <c r="M590" s="1"/>
      <c r="N590" s="1"/>
      <c r="O590" s="1"/>
      <c r="P590" s="1"/>
      <c r="Q590" s="1"/>
      <c r="R590" s="1"/>
      <c r="S590" s="1"/>
    </row>
    <row r="591" ht="10.5" customHeight="1">
      <c r="A591" s="1"/>
      <c r="B591" s="48" t="s">
        <v>130</v>
      </c>
      <c r="C591" s="388" t="s">
        <v>40</v>
      </c>
      <c r="D591" s="388" t="s">
        <v>40</v>
      </c>
      <c r="E591" s="388" t="s">
        <v>40</v>
      </c>
      <c r="F591" s="389">
        <v>162.95</v>
      </c>
      <c r="G591" s="389">
        <v>0.5</v>
      </c>
      <c r="H591" s="389">
        <v>14.5</v>
      </c>
      <c r="I591" s="389">
        <v>56.84</v>
      </c>
      <c r="J591" s="389">
        <v>13.15</v>
      </c>
      <c r="K591" s="389">
        <v>12.0</v>
      </c>
      <c r="L591" s="389">
        <f t="shared" si="21"/>
        <v>259.94</v>
      </c>
      <c r="M591" s="1"/>
      <c r="N591" s="1"/>
      <c r="O591" s="1"/>
      <c r="P591" s="1"/>
      <c r="Q591" s="1"/>
      <c r="R591" s="1"/>
      <c r="S591" s="1"/>
    </row>
    <row r="592" ht="10.5" customHeight="1">
      <c r="A592" s="1"/>
      <c r="B592" s="48" t="s">
        <v>131</v>
      </c>
      <c r="C592" s="388" t="s">
        <v>40</v>
      </c>
      <c r="D592" s="389">
        <v>0.1</v>
      </c>
      <c r="E592" s="388" t="s">
        <v>40</v>
      </c>
      <c r="F592" s="389">
        <v>38.4</v>
      </c>
      <c r="G592" s="389">
        <v>0.25</v>
      </c>
      <c r="H592" s="389">
        <v>16.0</v>
      </c>
      <c r="I592" s="389">
        <v>25.6</v>
      </c>
      <c r="J592" s="389">
        <v>5.25</v>
      </c>
      <c r="K592" s="389">
        <v>10.4</v>
      </c>
      <c r="L592" s="389">
        <f t="shared" si="21"/>
        <v>96</v>
      </c>
      <c r="M592" s="1"/>
      <c r="N592" s="1"/>
      <c r="O592" s="1"/>
      <c r="P592" s="1"/>
      <c r="Q592" s="1"/>
      <c r="R592" s="1"/>
      <c r="S592" s="1"/>
    </row>
    <row r="593" ht="10.5" customHeight="1">
      <c r="A593" s="1"/>
      <c r="B593" s="48" t="s">
        <v>133</v>
      </c>
      <c r="C593" s="388" t="s">
        <v>40</v>
      </c>
      <c r="D593" s="388" t="s">
        <v>40</v>
      </c>
      <c r="E593" s="388" t="s">
        <v>40</v>
      </c>
      <c r="F593" s="389">
        <v>96.5</v>
      </c>
      <c r="G593" s="389">
        <v>7.0</v>
      </c>
      <c r="H593" s="389">
        <v>3.5</v>
      </c>
      <c r="I593" s="389">
        <v>56.0</v>
      </c>
      <c r="J593" s="389">
        <v>3.0</v>
      </c>
      <c r="K593" s="389">
        <v>10.0</v>
      </c>
      <c r="L593" s="389">
        <f t="shared" si="21"/>
        <v>176</v>
      </c>
      <c r="M593" s="1"/>
      <c r="N593" s="1"/>
      <c r="O593" s="1"/>
      <c r="P593" s="1"/>
      <c r="Q593" s="1"/>
      <c r="R593" s="1"/>
      <c r="S593" s="1"/>
    </row>
    <row r="594" ht="10.5" customHeight="1">
      <c r="A594" s="1"/>
      <c r="B594" s="48" t="s">
        <v>134</v>
      </c>
      <c r="C594" s="388" t="s">
        <v>40</v>
      </c>
      <c r="D594" s="388" t="s">
        <v>40</v>
      </c>
      <c r="E594" s="388" t="s">
        <v>40</v>
      </c>
      <c r="F594" s="389">
        <v>142.5</v>
      </c>
      <c r="G594" s="389">
        <v>0.85</v>
      </c>
      <c r="H594" s="389">
        <v>36.0</v>
      </c>
      <c r="I594" s="389">
        <v>61.75</v>
      </c>
      <c r="J594" s="389">
        <v>2.7</v>
      </c>
      <c r="K594" s="389">
        <v>11.2</v>
      </c>
      <c r="L594" s="389">
        <f t="shared" si="21"/>
        <v>255</v>
      </c>
      <c r="M594" s="1"/>
      <c r="N594" s="1"/>
      <c r="O594" s="1"/>
      <c r="P594" s="1"/>
      <c r="Q594" s="1"/>
      <c r="R594" s="1"/>
      <c r="S594" s="1"/>
    </row>
    <row r="595" ht="10.5" customHeight="1">
      <c r="A595" s="1"/>
      <c r="B595" s="48"/>
      <c r="C595" s="389"/>
      <c r="D595" s="389"/>
      <c r="E595" s="389"/>
      <c r="F595" s="389"/>
      <c r="G595" s="389"/>
      <c r="H595" s="389"/>
      <c r="I595" s="389"/>
      <c r="J595" s="389"/>
      <c r="K595" s="389"/>
      <c r="L595" s="389"/>
      <c r="M595" s="1"/>
      <c r="N595" s="1"/>
      <c r="O595" s="1"/>
      <c r="P595" s="1"/>
      <c r="Q595" s="1"/>
      <c r="R595" s="1"/>
      <c r="S595" s="1"/>
    </row>
    <row r="596" ht="10.5" customHeight="1">
      <c r="A596" s="1"/>
      <c r="B596" s="85" t="s">
        <v>135</v>
      </c>
      <c r="C596" s="388" t="s">
        <v>40</v>
      </c>
      <c r="D596" s="388" t="s">
        <v>40</v>
      </c>
      <c r="E596" s="388" t="s">
        <v>40</v>
      </c>
      <c r="F596" s="389">
        <v>170.5</v>
      </c>
      <c r="G596" s="389">
        <v>0.9</v>
      </c>
      <c r="H596" s="389">
        <v>23.0</v>
      </c>
      <c r="I596" s="389">
        <v>66.0</v>
      </c>
      <c r="J596" s="389">
        <v>2.1</v>
      </c>
      <c r="K596" s="389">
        <v>14.0</v>
      </c>
      <c r="L596" s="389">
        <f t="shared" ref="L596:L600" si="22">SUM(C596:K596)</f>
        <v>276.5</v>
      </c>
      <c r="M596" s="1"/>
      <c r="N596" s="1"/>
      <c r="O596" s="1"/>
      <c r="P596" s="1"/>
      <c r="Q596" s="1"/>
      <c r="R596" s="1"/>
      <c r="S596" s="1"/>
    </row>
    <row r="597" ht="10.5" customHeight="1">
      <c r="A597" s="1"/>
      <c r="B597" s="85" t="s">
        <v>138</v>
      </c>
      <c r="C597" s="388" t="s">
        <v>40</v>
      </c>
      <c r="D597" s="389">
        <v>0.06</v>
      </c>
      <c r="E597" s="388" t="s">
        <v>40</v>
      </c>
      <c r="F597" s="389">
        <v>102.0</v>
      </c>
      <c r="G597" s="389">
        <v>0.48</v>
      </c>
      <c r="H597" s="389">
        <v>30.0</v>
      </c>
      <c r="I597" s="389">
        <v>47.8</v>
      </c>
      <c r="J597" s="389">
        <v>2.96</v>
      </c>
      <c r="K597" s="389">
        <v>13.2</v>
      </c>
      <c r="L597" s="389">
        <f t="shared" si="22"/>
        <v>196.5</v>
      </c>
      <c r="M597" s="1"/>
      <c r="N597" s="1"/>
      <c r="O597" s="1"/>
      <c r="P597" s="1"/>
      <c r="Q597" s="1"/>
      <c r="R597" s="1"/>
      <c r="S597" s="1"/>
    </row>
    <row r="598" ht="10.5" customHeight="1">
      <c r="A598" s="1"/>
      <c r="B598" s="85" t="s">
        <v>139</v>
      </c>
      <c r="C598" s="388" t="s">
        <v>40</v>
      </c>
      <c r="D598" s="388" t="s">
        <v>40</v>
      </c>
      <c r="E598" s="388" t="s">
        <v>40</v>
      </c>
      <c r="F598" s="389">
        <v>81.55</v>
      </c>
      <c r="G598" s="389">
        <v>0.6</v>
      </c>
      <c r="H598" s="389">
        <v>14.0</v>
      </c>
      <c r="I598" s="389">
        <v>46.5</v>
      </c>
      <c r="J598" s="389">
        <v>2.75</v>
      </c>
      <c r="K598" s="389">
        <v>9.6</v>
      </c>
      <c r="L598" s="389">
        <f t="shared" si="22"/>
        <v>155</v>
      </c>
      <c r="M598" s="1"/>
      <c r="N598" s="1"/>
      <c r="O598" s="1"/>
      <c r="P598" s="1"/>
      <c r="Q598" s="1"/>
      <c r="R598" s="1"/>
      <c r="S598" s="1"/>
    </row>
    <row r="599" ht="10.5" customHeight="1">
      <c r="A599" s="1"/>
      <c r="B599" s="85" t="s">
        <v>143</v>
      </c>
      <c r="C599" s="388" t="s">
        <v>40</v>
      </c>
      <c r="D599" s="388" t="s">
        <v>40</v>
      </c>
      <c r="E599" s="388" t="s">
        <v>40</v>
      </c>
      <c r="F599" s="389">
        <v>60.5</v>
      </c>
      <c r="G599" s="389">
        <v>0.8</v>
      </c>
      <c r="H599" s="389">
        <v>13.7</v>
      </c>
      <c r="I599" s="389">
        <v>49.45</v>
      </c>
      <c r="J599" s="389">
        <v>1.05</v>
      </c>
      <c r="K599" s="389">
        <v>10.0</v>
      </c>
      <c r="L599" s="389">
        <f t="shared" si="22"/>
        <v>135.5</v>
      </c>
      <c r="M599" s="1"/>
      <c r="N599" s="1"/>
      <c r="O599" s="1"/>
      <c r="P599" s="1"/>
      <c r="Q599" s="1"/>
      <c r="R599" s="1"/>
      <c r="S599" s="1"/>
    </row>
    <row r="600" ht="10.5" customHeight="1">
      <c r="A600" s="1"/>
      <c r="B600" s="85" t="s">
        <v>149</v>
      </c>
      <c r="C600" s="388" t="s">
        <v>40</v>
      </c>
      <c r="D600" s="388" t="s">
        <v>40</v>
      </c>
      <c r="E600" s="388" t="s">
        <v>40</v>
      </c>
      <c r="F600" s="389">
        <v>68.8</v>
      </c>
      <c r="G600" s="389">
        <v>1.3</v>
      </c>
      <c r="H600" s="389">
        <v>21.0</v>
      </c>
      <c r="I600" s="389">
        <v>42.6</v>
      </c>
      <c r="J600" s="389">
        <v>1.5</v>
      </c>
      <c r="K600" s="389">
        <v>12.0</v>
      </c>
      <c r="L600" s="389">
        <f t="shared" si="22"/>
        <v>147.2</v>
      </c>
      <c r="M600" s="1"/>
      <c r="N600" s="1"/>
      <c r="O600" s="1"/>
      <c r="P600" s="1"/>
      <c r="Q600" s="1"/>
      <c r="R600" s="1"/>
      <c r="S600" s="1"/>
    </row>
    <row r="601" ht="10.5" customHeight="1">
      <c r="A601" s="1"/>
      <c r="B601" s="85"/>
      <c r="C601" s="388"/>
      <c r="D601" s="388"/>
      <c r="E601" s="388"/>
      <c r="F601" s="389"/>
      <c r="G601" s="389"/>
      <c r="H601" s="389"/>
      <c r="I601" s="389"/>
      <c r="J601" s="389"/>
      <c r="K601" s="389"/>
      <c r="L601" s="389"/>
      <c r="M601" s="1"/>
      <c r="N601" s="1"/>
      <c r="O601" s="1"/>
      <c r="P601" s="1"/>
      <c r="Q601" s="1"/>
      <c r="R601" s="1"/>
      <c r="S601" s="1"/>
    </row>
    <row r="602" ht="10.5" customHeight="1">
      <c r="A602" s="1"/>
      <c r="B602" s="85" t="s">
        <v>151</v>
      </c>
      <c r="C602" s="388" t="s">
        <v>40</v>
      </c>
      <c r="D602" s="388" t="s">
        <v>40</v>
      </c>
      <c r="E602" s="388" t="s">
        <v>40</v>
      </c>
      <c r="F602" s="389">
        <v>139.2</v>
      </c>
      <c r="G602" s="389">
        <v>4.4</v>
      </c>
      <c r="H602" s="389">
        <v>32.2</v>
      </c>
      <c r="I602" s="389">
        <v>54.0</v>
      </c>
      <c r="J602" s="389">
        <v>4.8</v>
      </c>
      <c r="K602" s="389">
        <v>30.4</v>
      </c>
      <c r="L602" s="389">
        <f t="shared" ref="L602:L603" si="23">SUM(C602:K602)</f>
        <v>265</v>
      </c>
      <c r="M602" s="1"/>
      <c r="N602" s="1"/>
      <c r="O602" s="1"/>
      <c r="P602" s="1"/>
      <c r="Q602" s="1"/>
      <c r="R602" s="1"/>
      <c r="S602" s="1"/>
    </row>
    <row r="603" ht="10.5" customHeight="1">
      <c r="A603" s="1"/>
      <c r="B603" s="85" t="s">
        <v>153</v>
      </c>
      <c r="C603" s="388" t="s">
        <v>40</v>
      </c>
      <c r="D603" s="388" t="s">
        <v>40</v>
      </c>
      <c r="E603" s="388" t="s">
        <v>40</v>
      </c>
      <c r="F603" s="389">
        <v>45.0</v>
      </c>
      <c r="G603" s="389">
        <v>2.2</v>
      </c>
      <c r="H603" s="389">
        <v>17.6</v>
      </c>
      <c r="I603" s="389">
        <v>48.0</v>
      </c>
      <c r="J603" s="389">
        <v>2.6</v>
      </c>
      <c r="K603" s="389">
        <v>5.1</v>
      </c>
      <c r="L603" s="389">
        <f t="shared" si="23"/>
        <v>120.5</v>
      </c>
      <c r="M603" s="1"/>
      <c r="N603" s="1"/>
      <c r="O603" s="1"/>
      <c r="P603" s="1"/>
      <c r="Q603" s="1"/>
      <c r="R603" s="1"/>
      <c r="S603" s="1"/>
    </row>
    <row r="604" ht="10.5" customHeight="1">
      <c r="A604" s="1"/>
      <c r="B604" s="85" t="s">
        <v>155</v>
      </c>
      <c r="C604" s="388" t="s">
        <v>40</v>
      </c>
      <c r="D604" s="388" t="s">
        <v>40</v>
      </c>
      <c r="E604" s="388" t="s">
        <v>40</v>
      </c>
      <c r="F604" s="389">
        <v>24.2</v>
      </c>
      <c r="G604" s="389">
        <v>1.6</v>
      </c>
      <c r="H604" s="389">
        <v>9.8</v>
      </c>
      <c r="I604" s="389">
        <v>32.5</v>
      </c>
      <c r="J604" s="389" t="s">
        <v>40</v>
      </c>
      <c r="K604" s="389">
        <v>2.4</v>
      </c>
      <c r="L604" s="389">
        <v>70.5</v>
      </c>
      <c r="M604" s="1"/>
      <c r="N604" s="1"/>
      <c r="O604" s="1"/>
      <c r="P604" s="1"/>
      <c r="Q604" s="1"/>
      <c r="R604" s="1"/>
      <c r="S604" s="1"/>
    </row>
    <row r="605" ht="10.5" customHeight="1">
      <c r="A605" s="1"/>
      <c r="B605" s="11" t="s">
        <v>160</v>
      </c>
      <c r="C605" s="389" t="s">
        <v>40</v>
      </c>
      <c r="D605" s="389" t="s">
        <v>40</v>
      </c>
      <c r="E605" s="389" t="s">
        <v>40</v>
      </c>
      <c r="F605" s="389">
        <v>24.6</v>
      </c>
      <c r="G605" s="389">
        <v>1.5</v>
      </c>
      <c r="H605" s="389">
        <v>50.4</v>
      </c>
      <c r="I605" s="389">
        <v>62.4</v>
      </c>
      <c r="J605" s="389">
        <v>2.4</v>
      </c>
      <c r="K605" s="389">
        <v>10.7</v>
      </c>
      <c r="L605" s="389">
        <v>152.0</v>
      </c>
      <c r="M605" s="1"/>
      <c r="N605" s="1"/>
      <c r="O605" s="1"/>
      <c r="P605" s="1"/>
      <c r="Q605" s="1"/>
      <c r="R605" s="1"/>
      <c r="S605" s="1"/>
    </row>
    <row r="606" ht="10.5" customHeight="1">
      <c r="A606" s="1"/>
      <c r="B606" s="52" t="s">
        <v>674</v>
      </c>
      <c r="C606" s="394" t="s">
        <v>40</v>
      </c>
      <c r="D606" s="394" t="s">
        <v>40</v>
      </c>
      <c r="E606" s="394" t="s">
        <v>40</v>
      </c>
      <c r="F606" s="394">
        <v>18.9</v>
      </c>
      <c r="G606" s="394">
        <v>1.0</v>
      </c>
      <c r="H606" s="394">
        <v>7.5</v>
      </c>
      <c r="I606" s="394">
        <v>37.5</v>
      </c>
      <c r="J606" s="394">
        <v>4.5</v>
      </c>
      <c r="K606" s="394">
        <v>8.8</v>
      </c>
      <c r="L606" s="394">
        <v>78.2</v>
      </c>
      <c r="M606" s="1"/>
      <c r="N606" s="1"/>
      <c r="O606" s="1"/>
      <c r="P606" s="1"/>
      <c r="Q606" s="1"/>
      <c r="R606" s="1"/>
      <c r="S606" s="1"/>
    </row>
    <row r="607" ht="6.0" customHeight="1">
      <c r="A607" s="1"/>
      <c r="B607" s="242"/>
      <c r="C607" s="391"/>
      <c r="D607" s="391"/>
      <c r="E607" s="391"/>
      <c r="F607" s="391"/>
      <c r="G607" s="391"/>
      <c r="H607" s="391"/>
      <c r="I607" s="391"/>
      <c r="J607" s="391"/>
      <c r="K607" s="1"/>
      <c r="L607" s="1"/>
      <c r="M607" s="1"/>
      <c r="N607" s="1"/>
      <c r="O607" s="1"/>
      <c r="P607" s="1"/>
      <c r="Q607" s="1"/>
      <c r="R607" s="1"/>
      <c r="S607" s="1"/>
    </row>
    <row r="608" ht="11.25" customHeight="1">
      <c r="A608" s="1"/>
      <c r="B608" s="185" t="s">
        <v>675</v>
      </c>
      <c r="C608" s="396"/>
      <c r="D608" s="396"/>
      <c r="E608" s="396"/>
      <c r="F608" s="396"/>
      <c r="G608" s="396"/>
      <c r="H608" s="396"/>
      <c r="I608" s="154"/>
      <c r="J608" s="154"/>
      <c r="K608" s="1"/>
      <c r="L608" s="1"/>
      <c r="M608" s="1"/>
      <c r="N608" s="1"/>
      <c r="O608" s="1"/>
      <c r="P608" s="1"/>
      <c r="Q608" s="1"/>
      <c r="R608" s="1"/>
      <c r="S608" s="1"/>
    </row>
    <row r="609" ht="10.5" customHeight="1">
      <c r="A609" s="1"/>
      <c r="B609" s="185" t="s">
        <v>676</v>
      </c>
      <c r="C609" s="396"/>
      <c r="D609" s="396"/>
      <c r="E609" s="396"/>
      <c r="F609" s="396"/>
      <c r="G609" s="396"/>
      <c r="H609" s="154"/>
      <c r="I609" s="1"/>
      <c r="J609" s="1"/>
      <c r="K609" s="1"/>
      <c r="L609" s="1"/>
      <c r="M609" s="1"/>
      <c r="N609" s="1"/>
      <c r="O609" s="1"/>
      <c r="P609" s="1"/>
      <c r="Q609" s="1"/>
      <c r="R609" s="1"/>
      <c r="S609" s="1"/>
    </row>
    <row r="610" ht="10.5" customHeight="1">
      <c r="A610" s="1"/>
      <c r="B610" s="185" t="s">
        <v>679</v>
      </c>
      <c r="C610" s="154"/>
      <c r="D610" s="154"/>
      <c r="E610" s="154"/>
      <c r="F610" s="154"/>
      <c r="G610" s="154"/>
      <c r="H610" s="1"/>
      <c r="I610" s="1"/>
      <c r="J610" s="1"/>
      <c r="K610" s="1"/>
      <c r="L610" s="1"/>
      <c r="M610" s="1"/>
      <c r="N610" s="1"/>
      <c r="O610" s="1"/>
      <c r="P610" s="1"/>
      <c r="Q610" s="1"/>
      <c r="R610" s="1"/>
      <c r="S610" s="1"/>
    </row>
    <row r="611" ht="10.5" customHeight="1">
      <c r="A611" s="1"/>
      <c r="B611" s="185" t="s">
        <v>680</v>
      </c>
      <c r="C611" s="1"/>
      <c r="D611" s="1"/>
      <c r="E611" s="1"/>
      <c r="F611" s="1"/>
      <c r="G611" s="1"/>
      <c r="H611" s="1"/>
      <c r="I611" s="1"/>
      <c r="J611" s="1"/>
      <c r="K611" s="1"/>
      <c r="L611" s="1"/>
      <c r="M611" s="1"/>
      <c r="N611" s="1"/>
      <c r="O611" s="1"/>
      <c r="P611" s="1"/>
      <c r="Q611" s="1"/>
      <c r="R611" s="1"/>
      <c r="S611" s="1"/>
    </row>
    <row r="612" ht="10.5" customHeight="1">
      <c r="A612" s="1"/>
      <c r="B612" s="185" t="s">
        <v>681</v>
      </c>
      <c r="C612" s="1"/>
      <c r="D612" s="1"/>
      <c r="E612" s="1"/>
      <c r="F612" s="1"/>
      <c r="G612" s="1"/>
      <c r="H612" s="1"/>
      <c r="I612" s="1"/>
      <c r="J612" s="1"/>
      <c r="K612" s="1"/>
      <c r="L612" s="1"/>
      <c r="M612" s="1"/>
      <c r="N612" s="1"/>
      <c r="O612" s="1"/>
      <c r="P612" s="1"/>
      <c r="Q612" s="1"/>
      <c r="R612" s="1"/>
      <c r="S612" s="1"/>
    </row>
    <row r="613" ht="10.5" customHeight="1">
      <c r="A613" s="1"/>
      <c r="B613" s="185" t="s">
        <v>682</v>
      </c>
      <c r="C613" s="1"/>
      <c r="D613" s="1"/>
      <c r="E613" s="1"/>
      <c r="F613" s="1"/>
      <c r="G613" s="1"/>
      <c r="H613" s="1"/>
      <c r="I613" s="1"/>
      <c r="J613" s="1"/>
      <c r="K613" s="1"/>
      <c r="L613" s="1"/>
      <c r="M613" s="1"/>
      <c r="N613" s="1"/>
      <c r="O613" s="1"/>
      <c r="P613" s="1"/>
      <c r="Q613" s="1"/>
      <c r="R613" s="1"/>
      <c r="S613" s="1"/>
    </row>
    <row r="614" ht="10.5" customHeight="1">
      <c r="A614" s="1"/>
      <c r="B614" s="185"/>
      <c r="C614" s="1"/>
      <c r="D614" s="1"/>
      <c r="E614" s="1"/>
      <c r="F614" s="1"/>
      <c r="G614" s="1"/>
      <c r="H614" s="1"/>
      <c r="I614" s="1"/>
      <c r="J614" s="1"/>
      <c r="K614" s="1"/>
      <c r="L614" s="1"/>
      <c r="M614" s="1"/>
      <c r="N614" s="1"/>
      <c r="O614" s="1"/>
      <c r="P614" s="1"/>
      <c r="Q614" s="1"/>
      <c r="R614" s="1"/>
      <c r="S614" s="1"/>
    </row>
    <row r="615" ht="10.5" customHeight="1">
      <c r="A615" s="1"/>
      <c r="B615" s="185"/>
      <c r="C615" s="1"/>
      <c r="D615" s="1"/>
      <c r="E615" s="1"/>
      <c r="F615" s="1"/>
      <c r="G615" s="1"/>
      <c r="H615" s="1"/>
      <c r="I615" s="1"/>
      <c r="J615" s="1"/>
      <c r="K615" s="1"/>
      <c r="L615" s="1"/>
      <c r="M615" s="1"/>
      <c r="N615" s="1"/>
      <c r="O615" s="1"/>
      <c r="P615" s="1"/>
      <c r="Q615" s="1"/>
      <c r="R615" s="1"/>
      <c r="S615" s="1"/>
    </row>
    <row r="616" ht="10.5" customHeight="1">
      <c r="A616" s="1"/>
      <c r="B616" s="185"/>
      <c r="C616" s="1"/>
      <c r="D616" s="1"/>
      <c r="E616" s="1"/>
      <c r="F616" s="1"/>
      <c r="G616" s="1"/>
      <c r="H616" s="1"/>
      <c r="I616" s="1"/>
      <c r="J616" s="1"/>
      <c r="K616" s="1"/>
      <c r="L616" s="1"/>
      <c r="M616" s="1"/>
      <c r="N616" s="1"/>
      <c r="O616" s="1"/>
      <c r="P616" s="1"/>
      <c r="Q616" s="1"/>
      <c r="R616" s="1"/>
      <c r="S616" s="1"/>
    </row>
    <row r="617" ht="10.5" customHeight="1">
      <c r="A617" s="1"/>
      <c r="B617" s="185"/>
      <c r="C617" s="1"/>
      <c r="D617" s="1"/>
      <c r="E617" s="1"/>
      <c r="F617" s="1"/>
      <c r="G617" s="1"/>
      <c r="H617" s="1"/>
      <c r="I617" s="1"/>
      <c r="J617" s="1"/>
      <c r="K617" s="1"/>
      <c r="L617" s="1"/>
      <c r="M617" s="1"/>
      <c r="N617" s="1"/>
      <c r="O617" s="1"/>
      <c r="P617" s="1"/>
      <c r="Q617" s="1"/>
      <c r="R617" s="1"/>
      <c r="S617" s="1"/>
    </row>
    <row r="618" ht="10.5" customHeight="1">
      <c r="A618" s="1"/>
      <c r="B618" s="185"/>
      <c r="C618" s="1"/>
      <c r="D618" s="1"/>
      <c r="E618" s="1"/>
      <c r="F618" s="1"/>
      <c r="G618" s="1"/>
      <c r="H618" s="1"/>
      <c r="I618" s="1"/>
      <c r="J618" s="1"/>
      <c r="K618" s="1"/>
      <c r="L618" s="1"/>
      <c r="M618" s="1"/>
      <c r="N618" s="1"/>
      <c r="O618" s="1"/>
      <c r="P618" s="1"/>
      <c r="Q618" s="1"/>
      <c r="R618" s="1"/>
      <c r="S618" s="1"/>
    </row>
    <row r="619" ht="10.5" customHeight="1">
      <c r="A619" s="1"/>
      <c r="B619" s="185"/>
      <c r="C619" s="1"/>
      <c r="D619" s="1"/>
      <c r="E619" s="1"/>
      <c r="F619" s="1"/>
      <c r="G619" s="1"/>
      <c r="H619" s="1"/>
      <c r="I619" s="1"/>
      <c r="J619" s="1"/>
      <c r="K619" s="1"/>
      <c r="L619" s="1"/>
      <c r="M619" s="1"/>
      <c r="N619" s="1"/>
      <c r="O619" s="1"/>
      <c r="P619" s="1"/>
      <c r="Q619" s="1"/>
      <c r="R619" s="1"/>
      <c r="S619" s="1"/>
    </row>
    <row r="620" ht="10.5" customHeight="1">
      <c r="A620" s="1"/>
      <c r="B620" s="185"/>
      <c r="C620" s="1"/>
      <c r="D620" s="1"/>
      <c r="E620" s="1"/>
      <c r="F620" s="1"/>
      <c r="G620" s="1"/>
      <c r="H620" s="1"/>
      <c r="I620" s="1"/>
      <c r="J620" s="1"/>
      <c r="K620" s="1"/>
      <c r="L620" s="1"/>
      <c r="M620" s="1"/>
      <c r="N620" s="1"/>
      <c r="O620" s="1"/>
      <c r="P620" s="1"/>
      <c r="Q620" s="1"/>
      <c r="R620" s="1"/>
      <c r="S620" s="1"/>
    </row>
    <row r="621" ht="10.5" customHeight="1">
      <c r="A621" s="1"/>
      <c r="B621" s="185"/>
      <c r="C621" s="1"/>
      <c r="D621" s="1"/>
      <c r="E621" s="1"/>
      <c r="F621" s="1"/>
      <c r="G621" s="1"/>
      <c r="H621" s="1"/>
      <c r="I621" s="1"/>
      <c r="J621" s="1"/>
      <c r="K621" s="1"/>
      <c r="L621" s="1"/>
      <c r="M621" s="1"/>
      <c r="N621" s="1"/>
      <c r="O621" s="1"/>
      <c r="P621" s="1"/>
      <c r="Q621" s="1"/>
      <c r="R621" s="1"/>
      <c r="S621" s="1"/>
    </row>
    <row r="622" ht="10.5" customHeight="1">
      <c r="A622" s="1"/>
      <c r="B622" s="185"/>
      <c r="C622" s="1"/>
      <c r="D622" s="1"/>
      <c r="E622" s="1"/>
      <c r="F622" s="1"/>
      <c r="G622" s="1"/>
      <c r="H622" s="1"/>
      <c r="I622" s="1"/>
      <c r="J622" s="1"/>
      <c r="K622" s="1"/>
      <c r="L622" s="1"/>
      <c r="M622" s="1"/>
      <c r="N622" s="1"/>
      <c r="O622" s="1"/>
      <c r="P622" s="1"/>
      <c r="Q622" s="1"/>
      <c r="R622" s="1"/>
      <c r="S622" s="1"/>
    </row>
    <row r="623" ht="10.5" customHeight="1">
      <c r="A623" s="1"/>
      <c r="B623" s="185"/>
      <c r="C623" s="1"/>
      <c r="D623" s="1"/>
      <c r="E623" s="1"/>
      <c r="F623" s="1"/>
      <c r="G623" s="1"/>
      <c r="H623" s="1"/>
      <c r="I623" s="1"/>
      <c r="J623" s="1"/>
      <c r="K623" s="1"/>
      <c r="L623" s="1"/>
      <c r="M623" s="1"/>
      <c r="N623" s="1"/>
      <c r="O623" s="1"/>
      <c r="P623" s="1"/>
      <c r="Q623" s="1"/>
      <c r="R623" s="1"/>
      <c r="S623" s="1"/>
    </row>
    <row r="624" ht="10.5" customHeight="1">
      <c r="A624" s="1"/>
      <c r="B624" s="1"/>
      <c r="C624" s="1"/>
      <c r="D624" s="1"/>
      <c r="E624" s="1"/>
      <c r="F624" s="1"/>
      <c r="G624" s="1"/>
      <c r="H624" s="1"/>
      <c r="I624" s="1"/>
      <c r="J624" s="1"/>
      <c r="K624" s="1"/>
      <c r="L624" s="1"/>
      <c r="M624" s="1"/>
      <c r="N624" s="1"/>
      <c r="O624" s="1"/>
      <c r="P624" s="1"/>
      <c r="Q624" s="1"/>
      <c r="R624" s="1"/>
      <c r="S624" s="1"/>
    </row>
    <row r="625" ht="10.5" customHeight="1">
      <c r="A625" s="1"/>
      <c r="B625" s="1"/>
      <c r="C625" s="1"/>
      <c r="D625" s="1"/>
      <c r="E625" s="1"/>
      <c r="F625" s="1"/>
      <c r="G625" s="1"/>
      <c r="H625" s="1"/>
      <c r="I625" s="1"/>
      <c r="J625" s="1"/>
      <c r="K625" s="1"/>
      <c r="L625" s="1"/>
      <c r="M625" s="1"/>
      <c r="N625" s="1"/>
      <c r="O625" s="1"/>
      <c r="P625" s="1"/>
      <c r="Q625" s="1"/>
      <c r="R625" s="1"/>
      <c r="S625" s="1"/>
    </row>
    <row r="626" ht="10.5" customHeight="1">
      <c r="A626" s="1"/>
      <c r="B626" s="1"/>
      <c r="C626" s="1"/>
      <c r="D626" s="1"/>
      <c r="E626" s="1"/>
      <c r="F626" s="1"/>
      <c r="G626" s="110">
        <v>13.0</v>
      </c>
      <c r="H626" s="1"/>
      <c r="I626" s="1"/>
      <c r="J626" s="1"/>
      <c r="K626" s="1"/>
      <c r="L626" s="1"/>
      <c r="M626" s="1"/>
      <c r="N626" s="1"/>
      <c r="O626" s="1"/>
      <c r="P626" s="1"/>
      <c r="Q626" s="1"/>
      <c r="R626" s="1"/>
      <c r="S626" s="1"/>
    </row>
    <row r="627" ht="10.5" customHeight="1">
      <c r="A627" s="1"/>
      <c r="B627" s="1"/>
      <c r="C627" s="1"/>
      <c r="D627" s="1"/>
      <c r="E627" s="1"/>
      <c r="F627" s="1"/>
      <c r="G627" s="1"/>
      <c r="H627" s="1"/>
      <c r="I627" s="1"/>
      <c r="J627" s="1"/>
      <c r="K627" s="1"/>
      <c r="L627" s="1"/>
      <c r="M627" s="1"/>
      <c r="N627" s="1"/>
      <c r="O627" s="1"/>
      <c r="P627" s="1"/>
      <c r="Q627" s="1"/>
      <c r="R627" s="1"/>
      <c r="S627" s="1"/>
    </row>
    <row r="628" ht="10.5" customHeight="1">
      <c r="A628" s="1"/>
      <c r="B628" s="1"/>
      <c r="C628" s="1"/>
      <c r="D628" s="1"/>
      <c r="E628" s="1"/>
      <c r="F628" s="1"/>
      <c r="G628" s="1"/>
      <c r="H628" s="1"/>
      <c r="I628" s="236"/>
      <c r="J628" s="1"/>
      <c r="K628" s="1"/>
      <c r="L628" s="1"/>
      <c r="M628" s="1"/>
      <c r="N628" s="1"/>
      <c r="O628" s="1"/>
      <c r="P628" s="1"/>
      <c r="Q628" s="1"/>
      <c r="R628" s="1"/>
      <c r="S628" s="1"/>
    </row>
    <row r="629" ht="10.5" customHeight="1">
      <c r="A629" s="1"/>
      <c r="B629" s="1" t="s">
        <v>683</v>
      </c>
      <c r="C629" s="1"/>
      <c r="D629" s="1"/>
      <c r="E629" s="1"/>
      <c r="F629" s="1"/>
      <c r="G629" s="1"/>
      <c r="H629" s="1"/>
      <c r="I629" s="1"/>
      <c r="J629" s="1"/>
      <c r="K629" s="1"/>
      <c r="L629" s="1"/>
      <c r="M629" s="1"/>
      <c r="N629" s="1"/>
      <c r="O629" s="1"/>
      <c r="P629" s="1"/>
      <c r="Q629" s="1"/>
      <c r="R629" s="1"/>
      <c r="S629" s="1"/>
    </row>
    <row r="630" ht="46.5" customHeight="1">
      <c r="A630" s="1"/>
      <c r="B630" s="189" t="s">
        <v>684</v>
      </c>
      <c r="C630" s="273" t="s">
        <v>685</v>
      </c>
      <c r="D630" s="128" t="s">
        <v>686</v>
      </c>
      <c r="E630" s="128" t="s">
        <v>687</v>
      </c>
      <c r="F630" s="128" t="s">
        <v>688</v>
      </c>
      <c r="G630" s="190" t="s">
        <v>689</v>
      </c>
      <c r="H630" s="273" t="s">
        <v>243</v>
      </c>
      <c r="I630" s="190" t="s">
        <v>690</v>
      </c>
      <c r="J630" s="1"/>
      <c r="K630" s="1"/>
      <c r="L630" s="1"/>
      <c r="M630" s="1"/>
      <c r="N630" s="1"/>
      <c r="O630" s="1"/>
      <c r="P630" s="1"/>
      <c r="Q630" s="1"/>
      <c r="R630" s="1"/>
      <c r="S630" s="1"/>
    </row>
    <row r="631" ht="10.5" customHeight="1">
      <c r="A631" s="1"/>
      <c r="B631" s="6"/>
      <c r="C631" s="398" t="s">
        <v>49</v>
      </c>
      <c r="D631" s="9"/>
      <c r="E631" s="9"/>
      <c r="F631" s="9"/>
      <c r="G631" s="9"/>
      <c r="H631" s="10"/>
      <c r="I631" s="399" t="s">
        <v>52</v>
      </c>
      <c r="J631" s="1"/>
      <c r="K631" s="1"/>
      <c r="L631" s="1"/>
      <c r="M631" s="1"/>
      <c r="N631" s="1"/>
      <c r="O631" s="1"/>
      <c r="P631" s="1"/>
      <c r="Q631" s="1"/>
      <c r="R631" s="1"/>
      <c r="S631" s="1"/>
    </row>
    <row r="632" ht="10.5" customHeight="1">
      <c r="A632" s="1"/>
      <c r="B632" s="238"/>
      <c r="C632" s="278"/>
      <c r="D632" s="278"/>
      <c r="E632" s="278"/>
      <c r="F632" s="278"/>
      <c r="G632" s="169"/>
      <c r="H632" s="136"/>
      <c r="I632" s="276"/>
      <c r="J632" s="1"/>
      <c r="K632" s="1"/>
      <c r="L632" s="1"/>
      <c r="M632" s="1"/>
      <c r="N632" s="1"/>
      <c r="O632" s="1"/>
      <c r="P632" s="1"/>
      <c r="Q632" s="1"/>
      <c r="R632" s="1"/>
      <c r="S632" s="1"/>
    </row>
    <row r="633" ht="10.5" customHeight="1">
      <c r="A633" s="1"/>
      <c r="B633" s="238" t="s">
        <v>93</v>
      </c>
      <c r="C633" s="278">
        <v>380.0</v>
      </c>
      <c r="D633" s="278">
        <v>179.0</v>
      </c>
      <c r="E633" s="278">
        <f t="shared" ref="E633:E637" si="24">SUM(C633:D633)</f>
        <v>559</v>
      </c>
      <c r="F633" s="278">
        <v>146.0</v>
      </c>
      <c r="G633" s="169">
        <v>267.0</v>
      </c>
      <c r="H633" s="136" t="s">
        <v>40</v>
      </c>
      <c r="I633" s="276" t="s">
        <v>40</v>
      </c>
      <c r="J633" s="1"/>
      <c r="K633" s="1"/>
      <c r="L633" s="1"/>
      <c r="M633" s="1"/>
      <c r="N633" s="1"/>
      <c r="O633" s="1"/>
      <c r="P633" s="1"/>
      <c r="Q633" s="1"/>
      <c r="R633" s="1"/>
      <c r="S633" s="1"/>
    </row>
    <row r="634" ht="10.5" customHeight="1">
      <c r="A634" s="1"/>
      <c r="B634" s="238" t="s">
        <v>97</v>
      </c>
      <c r="C634" s="278">
        <v>52.0</v>
      </c>
      <c r="D634" s="278">
        <v>361.0</v>
      </c>
      <c r="E634" s="278">
        <f t="shared" si="24"/>
        <v>413</v>
      </c>
      <c r="F634" s="278">
        <v>145.0</v>
      </c>
      <c r="G634" s="169">
        <v>257.0</v>
      </c>
      <c r="H634" s="136" t="s">
        <v>40</v>
      </c>
      <c r="I634" s="276" t="s">
        <v>40</v>
      </c>
      <c r="J634" s="1"/>
      <c r="K634" s="1"/>
      <c r="L634" s="1"/>
      <c r="M634" s="1"/>
      <c r="N634" s="1"/>
      <c r="O634" s="1"/>
      <c r="P634" s="1"/>
      <c r="Q634" s="1"/>
      <c r="R634" s="1"/>
      <c r="S634" s="1"/>
    </row>
    <row r="635" ht="10.5" customHeight="1">
      <c r="A635" s="1"/>
      <c r="B635" s="238">
        <v>1987.0</v>
      </c>
      <c r="C635" s="278">
        <v>15.0</v>
      </c>
      <c r="D635" s="278">
        <v>461.0</v>
      </c>
      <c r="E635" s="278">
        <f t="shared" si="24"/>
        <v>476</v>
      </c>
      <c r="F635" s="278">
        <v>131.0</v>
      </c>
      <c r="G635" s="169">
        <v>260.0</v>
      </c>
      <c r="H635" s="136" t="s">
        <v>40</v>
      </c>
      <c r="I635" s="276" t="s">
        <v>40</v>
      </c>
      <c r="J635" s="1"/>
      <c r="K635" s="1"/>
      <c r="L635" s="1"/>
      <c r="M635" s="1"/>
      <c r="N635" s="1"/>
      <c r="O635" s="1"/>
      <c r="P635" s="1"/>
      <c r="Q635" s="1"/>
      <c r="R635" s="1"/>
      <c r="S635" s="1"/>
    </row>
    <row r="636" ht="10.5" customHeight="1">
      <c r="A636" s="1"/>
      <c r="B636" s="238">
        <v>1988.0</v>
      </c>
      <c r="C636" s="278">
        <v>12.0</v>
      </c>
      <c r="D636" s="278">
        <v>461.0</v>
      </c>
      <c r="E636" s="278">
        <f t="shared" si="24"/>
        <v>473</v>
      </c>
      <c r="F636" s="278">
        <v>159.0</v>
      </c>
      <c r="G636" s="169">
        <v>178.0</v>
      </c>
      <c r="H636" s="136" t="s">
        <v>40</v>
      </c>
      <c r="I636" s="276" t="s">
        <v>40</v>
      </c>
      <c r="J636" s="1"/>
      <c r="K636" s="1"/>
      <c r="L636" s="1"/>
      <c r="M636" s="1"/>
      <c r="N636" s="1"/>
      <c r="O636" s="1"/>
      <c r="P636" s="1"/>
      <c r="Q636" s="1"/>
      <c r="R636" s="1"/>
      <c r="S636" s="1"/>
    </row>
    <row r="637" ht="10.5" customHeight="1">
      <c r="A637" s="1"/>
      <c r="B637" s="238">
        <v>1989.0</v>
      </c>
      <c r="C637" s="278">
        <v>86.0</v>
      </c>
      <c r="D637" s="278">
        <v>386.0</v>
      </c>
      <c r="E637" s="278">
        <f t="shared" si="24"/>
        <v>472</v>
      </c>
      <c r="F637" s="278">
        <v>165.0</v>
      </c>
      <c r="G637" s="169">
        <v>167.0</v>
      </c>
      <c r="H637" s="136">
        <v>23.0</v>
      </c>
      <c r="I637" s="276">
        <v>206.07</v>
      </c>
      <c r="J637" s="1"/>
      <c r="K637" s="1"/>
      <c r="L637" s="1"/>
      <c r="M637" s="1"/>
      <c r="N637" s="1"/>
      <c r="O637" s="1"/>
      <c r="P637" s="1"/>
      <c r="Q637" s="1"/>
      <c r="R637" s="1"/>
      <c r="S637" s="1"/>
    </row>
    <row r="638" ht="10.5" customHeight="1">
      <c r="A638" s="1"/>
      <c r="B638" s="238"/>
      <c r="C638" s="278"/>
      <c r="D638" s="278"/>
      <c r="E638" s="278"/>
      <c r="F638" s="278"/>
      <c r="G638" s="169"/>
      <c r="H638" s="136"/>
      <c r="I638" s="276"/>
      <c r="J638" s="1"/>
      <c r="K638" s="1"/>
      <c r="L638" s="1"/>
      <c r="M638" s="1"/>
      <c r="N638" s="1"/>
      <c r="O638" s="1"/>
      <c r="P638" s="1"/>
      <c r="Q638" s="1"/>
      <c r="R638" s="1"/>
      <c r="S638" s="1"/>
    </row>
    <row r="639" ht="10.5" customHeight="1">
      <c r="A639" s="1"/>
      <c r="B639" s="238">
        <v>1990.0</v>
      </c>
      <c r="C639" s="278">
        <v>52.0</v>
      </c>
      <c r="D639" s="278">
        <v>236.0</v>
      </c>
      <c r="E639" s="278">
        <f t="shared" ref="E639:E643" si="25">SUM(C639:D639)</f>
        <v>288</v>
      </c>
      <c r="F639" s="278">
        <v>194.0</v>
      </c>
      <c r="G639" s="169">
        <v>122.0</v>
      </c>
      <c r="H639" s="136" t="s">
        <v>40</v>
      </c>
      <c r="I639" s="276" t="s">
        <v>40</v>
      </c>
      <c r="J639" s="1"/>
      <c r="K639" s="1"/>
      <c r="L639" s="1"/>
      <c r="M639" s="1"/>
      <c r="N639" s="1"/>
      <c r="O639" s="1"/>
      <c r="P639" s="1"/>
      <c r="Q639" s="1"/>
      <c r="R639" s="1"/>
      <c r="S639" s="1"/>
    </row>
    <row r="640" ht="10.5" customHeight="1">
      <c r="A640" s="1"/>
      <c r="B640" s="238">
        <v>1991.0</v>
      </c>
      <c r="C640" s="278">
        <v>19.0</v>
      </c>
      <c r="D640" s="278">
        <v>223.0</v>
      </c>
      <c r="E640" s="278">
        <f t="shared" si="25"/>
        <v>242</v>
      </c>
      <c r="F640" s="278">
        <v>195.0</v>
      </c>
      <c r="G640" s="169">
        <v>50.0</v>
      </c>
      <c r="H640" s="136" t="s">
        <v>40</v>
      </c>
      <c r="I640" s="276" t="s">
        <v>40</v>
      </c>
      <c r="J640" s="1"/>
      <c r="K640" s="1"/>
      <c r="L640" s="1"/>
      <c r="M640" s="1"/>
      <c r="N640" s="1"/>
      <c r="O640" s="1"/>
      <c r="P640" s="1"/>
      <c r="Q640" s="1"/>
      <c r="R640" s="1"/>
      <c r="S640" s="1"/>
    </row>
    <row r="641" ht="10.5" customHeight="1">
      <c r="A641" s="1"/>
      <c r="B641" s="238">
        <v>1992.0</v>
      </c>
      <c r="C641" s="278" t="s">
        <v>40</v>
      </c>
      <c r="D641" s="278">
        <v>100.0</v>
      </c>
      <c r="E641" s="278">
        <f t="shared" si="25"/>
        <v>100</v>
      </c>
      <c r="F641" s="278">
        <v>199.0</v>
      </c>
      <c r="G641" s="169">
        <v>44.0</v>
      </c>
      <c r="H641" s="136">
        <v>18.0</v>
      </c>
      <c r="I641" s="276">
        <v>458.0</v>
      </c>
      <c r="J641" s="1"/>
      <c r="K641" s="1"/>
      <c r="L641" s="1"/>
      <c r="M641" s="1"/>
      <c r="N641" s="1"/>
      <c r="O641" s="1"/>
      <c r="P641" s="1"/>
      <c r="Q641" s="1"/>
      <c r="R641" s="1"/>
      <c r="S641" s="1"/>
    </row>
    <row r="642" ht="10.5" customHeight="1">
      <c r="A642" s="1"/>
      <c r="B642" s="238">
        <v>1993.0</v>
      </c>
      <c r="C642" s="278">
        <v>121.0</v>
      </c>
      <c r="D642" s="278">
        <v>307.0</v>
      </c>
      <c r="E642" s="278">
        <f t="shared" si="25"/>
        <v>428</v>
      </c>
      <c r="F642" s="278">
        <v>200.0</v>
      </c>
      <c r="G642" s="169">
        <v>87.0</v>
      </c>
      <c r="H642" s="136">
        <v>6.0</v>
      </c>
      <c r="I642" s="276">
        <v>440.0</v>
      </c>
      <c r="J642" s="1"/>
      <c r="K642" s="1"/>
      <c r="L642" s="1"/>
      <c r="M642" s="1"/>
      <c r="N642" s="1"/>
      <c r="O642" s="1"/>
      <c r="P642" s="1"/>
      <c r="Q642" s="1"/>
      <c r="R642" s="1"/>
      <c r="S642" s="1"/>
    </row>
    <row r="643" ht="10.5" customHeight="1">
      <c r="A643" s="1"/>
      <c r="B643" s="238">
        <v>1994.0</v>
      </c>
      <c r="C643" s="278">
        <v>240.0</v>
      </c>
      <c r="D643" s="278">
        <v>201.0</v>
      </c>
      <c r="E643" s="278">
        <f t="shared" si="25"/>
        <v>441</v>
      </c>
      <c r="F643" s="278">
        <v>184.0</v>
      </c>
      <c r="G643" s="169">
        <v>226.0</v>
      </c>
      <c r="H643" s="136">
        <v>31.0</v>
      </c>
      <c r="I643" s="276">
        <v>357.0</v>
      </c>
      <c r="J643" s="1"/>
      <c r="K643" s="1"/>
      <c r="L643" s="1"/>
      <c r="M643" s="1"/>
      <c r="N643" s="1"/>
      <c r="O643" s="1"/>
      <c r="P643" s="1"/>
      <c r="Q643" s="1"/>
      <c r="R643" s="1"/>
      <c r="S643" s="1"/>
    </row>
    <row r="644" ht="10.5" customHeight="1">
      <c r="A644" s="1"/>
      <c r="B644" s="238"/>
      <c r="C644" s="278"/>
      <c r="D644" s="278"/>
      <c r="E644" s="278"/>
      <c r="F644" s="278"/>
      <c r="G644" s="169"/>
      <c r="H644" s="136"/>
      <c r="I644" s="276"/>
      <c r="J644" s="1"/>
      <c r="K644" s="1"/>
      <c r="L644" s="1"/>
      <c r="M644" s="1"/>
      <c r="N644" s="1"/>
      <c r="O644" s="1"/>
      <c r="P644" s="1"/>
      <c r="Q644" s="1"/>
      <c r="R644" s="1"/>
      <c r="S644" s="1"/>
    </row>
    <row r="645" ht="10.5" customHeight="1">
      <c r="A645" s="1"/>
      <c r="B645" s="238">
        <v>1995.0</v>
      </c>
      <c r="C645" s="278">
        <v>1.0</v>
      </c>
      <c r="D645" s="278">
        <v>187.0</v>
      </c>
      <c r="E645" s="278">
        <f t="shared" ref="E645:E649" si="26">SUM(C645:D645)</f>
        <v>188</v>
      </c>
      <c r="F645" s="278">
        <v>183.0</v>
      </c>
      <c r="G645" s="169">
        <v>120.0</v>
      </c>
      <c r="H645" s="136">
        <v>35.0</v>
      </c>
      <c r="I645" s="276">
        <v>482.0</v>
      </c>
      <c r="J645" s="1"/>
      <c r="K645" s="1"/>
      <c r="L645" s="1"/>
      <c r="M645" s="1"/>
      <c r="N645" s="1"/>
      <c r="O645" s="1"/>
      <c r="P645" s="1"/>
      <c r="Q645" s="1"/>
      <c r="R645" s="1"/>
      <c r="S645" s="1"/>
    </row>
    <row r="646" ht="10.5" customHeight="1">
      <c r="A646" s="1"/>
      <c r="B646" s="238">
        <v>1996.0</v>
      </c>
      <c r="C646" s="278">
        <v>101.0</v>
      </c>
      <c r="D646" s="278">
        <v>362.0</v>
      </c>
      <c r="E646" s="278">
        <f t="shared" si="26"/>
        <v>463</v>
      </c>
      <c r="F646" s="278">
        <v>181.0</v>
      </c>
      <c r="G646" s="169">
        <v>150.0</v>
      </c>
      <c r="H646" s="136">
        <v>112.0</v>
      </c>
      <c r="I646" s="276">
        <v>550.0</v>
      </c>
      <c r="J646" s="1"/>
      <c r="K646" s="1"/>
      <c r="L646" s="1"/>
      <c r="M646" s="1"/>
      <c r="N646" s="1"/>
      <c r="O646" s="1"/>
      <c r="P646" s="1"/>
      <c r="Q646" s="1"/>
      <c r="R646" s="1"/>
      <c r="S646" s="1"/>
    </row>
    <row r="647" ht="10.5" customHeight="1">
      <c r="A647" s="1"/>
      <c r="B647" s="238">
        <v>1997.0</v>
      </c>
      <c r="C647" s="278" t="s">
        <v>106</v>
      </c>
      <c r="D647" s="278">
        <v>381.0</v>
      </c>
      <c r="E647" s="278">
        <f t="shared" si="26"/>
        <v>381</v>
      </c>
      <c r="F647" s="278">
        <v>179.0</v>
      </c>
      <c r="G647" s="169">
        <v>64.0</v>
      </c>
      <c r="H647" s="136">
        <v>57.0</v>
      </c>
      <c r="I647" s="276">
        <v>530.0</v>
      </c>
      <c r="J647" s="1"/>
      <c r="K647" s="1"/>
      <c r="L647" s="1"/>
      <c r="M647" s="1"/>
      <c r="N647" s="1"/>
      <c r="O647" s="1"/>
      <c r="P647" s="1"/>
      <c r="Q647" s="1"/>
      <c r="R647" s="1"/>
      <c r="S647" s="1"/>
    </row>
    <row r="648" ht="10.5" customHeight="1">
      <c r="A648" s="1"/>
      <c r="B648" s="238">
        <v>1998.0</v>
      </c>
      <c r="C648" s="278" t="s">
        <v>106</v>
      </c>
      <c r="D648" s="278">
        <v>301.0</v>
      </c>
      <c r="E648" s="278">
        <f t="shared" si="26"/>
        <v>301</v>
      </c>
      <c r="F648" s="278">
        <v>177.0</v>
      </c>
      <c r="G648" s="169">
        <v>58.0</v>
      </c>
      <c r="H648" s="136">
        <v>58.0</v>
      </c>
      <c r="I648" s="289" t="s">
        <v>10</v>
      </c>
      <c r="J648" s="1"/>
      <c r="K648" s="1"/>
      <c r="L648" s="1"/>
      <c r="M648" s="1"/>
      <c r="N648" s="1"/>
      <c r="O648" s="1"/>
      <c r="P648" s="1"/>
      <c r="Q648" s="1"/>
      <c r="R648" s="1"/>
      <c r="S648" s="1"/>
    </row>
    <row r="649" ht="10.5" customHeight="1">
      <c r="A649" s="1"/>
      <c r="B649" s="238" t="s">
        <v>123</v>
      </c>
      <c r="C649" s="278" t="s">
        <v>106</v>
      </c>
      <c r="D649" s="278">
        <v>178.0</v>
      </c>
      <c r="E649" s="278">
        <f t="shared" si="26"/>
        <v>178</v>
      </c>
      <c r="F649" s="278">
        <v>174.0</v>
      </c>
      <c r="G649" s="169">
        <v>36.0</v>
      </c>
      <c r="H649" s="136">
        <v>24.0</v>
      </c>
      <c r="I649" s="289" t="s">
        <v>10</v>
      </c>
      <c r="J649" s="1"/>
      <c r="K649" s="1"/>
      <c r="L649" s="1"/>
      <c r="M649" s="1"/>
      <c r="N649" s="1"/>
      <c r="O649" s="1"/>
      <c r="P649" s="1"/>
      <c r="Q649" s="1"/>
      <c r="R649" s="1"/>
      <c r="S649" s="1"/>
    </row>
    <row r="650" ht="10.5" customHeight="1">
      <c r="A650" s="1"/>
      <c r="B650" s="238"/>
      <c r="C650" s="278"/>
      <c r="D650" s="278"/>
      <c r="E650" s="278"/>
      <c r="F650" s="278"/>
      <c r="G650" s="169"/>
      <c r="H650" s="136"/>
      <c r="I650" s="276"/>
      <c r="J650" s="1"/>
      <c r="K650" s="1"/>
      <c r="L650" s="1"/>
      <c r="M650" s="1"/>
      <c r="N650" s="1"/>
      <c r="O650" s="1"/>
      <c r="P650" s="1"/>
      <c r="Q650" s="1"/>
      <c r="R650" s="1"/>
      <c r="S650" s="1"/>
    </row>
    <row r="651" ht="10.5" customHeight="1">
      <c r="A651" s="1"/>
      <c r="B651" s="238" t="s">
        <v>125</v>
      </c>
      <c r="C651" s="278" t="s">
        <v>106</v>
      </c>
      <c r="D651" s="278">
        <v>393.0</v>
      </c>
      <c r="E651" s="278">
        <f t="shared" ref="E651:E655" si="27">SUM(C651:D651)</f>
        <v>393</v>
      </c>
      <c r="F651" s="278">
        <v>186.0</v>
      </c>
      <c r="G651" s="169">
        <v>23.0</v>
      </c>
      <c r="H651" s="136">
        <v>40.0</v>
      </c>
      <c r="I651" s="289" t="s">
        <v>10</v>
      </c>
      <c r="J651" s="1"/>
      <c r="K651" s="1"/>
      <c r="L651" s="1"/>
      <c r="M651" s="1"/>
      <c r="N651" s="1"/>
      <c r="O651" s="1"/>
      <c r="P651" s="1"/>
      <c r="Q651" s="1"/>
      <c r="R651" s="1"/>
      <c r="S651" s="1"/>
    </row>
    <row r="652" ht="10.5" customHeight="1">
      <c r="A652" s="1"/>
      <c r="B652" s="238" t="s">
        <v>127</v>
      </c>
      <c r="C652" s="169" t="s">
        <v>106</v>
      </c>
      <c r="D652" s="169">
        <v>171.0</v>
      </c>
      <c r="E652" s="169">
        <f t="shared" si="27"/>
        <v>171</v>
      </c>
      <c r="F652" s="267">
        <v>190.0</v>
      </c>
      <c r="G652" s="169">
        <v>16.0</v>
      </c>
      <c r="H652" s="169">
        <v>48.0</v>
      </c>
      <c r="I652" s="289" t="s">
        <v>10</v>
      </c>
      <c r="J652" s="1"/>
      <c r="K652" s="1"/>
      <c r="L652" s="1"/>
      <c r="M652" s="1"/>
      <c r="N652" s="1"/>
      <c r="O652" s="1"/>
      <c r="P652" s="1"/>
      <c r="Q652" s="1"/>
      <c r="R652" s="1"/>
      <c r="S652" s="1"/>
    </row>
    <row r="653" ht="10.5" customHeight="1">
      <c r="A653" s="1"/>
      <c r="B653" s="238" t="s">
        <v>128</v>
      </c>
      <c r="C653" s="169" t="s">
        <v>106</v>
      </c>
      <c r="D653" s="169">
        <v>214.0</v>
      </c>
      <c r="E653" s="169">
        <f t="shared" si="27"/>
        <v>214</v>
      </c>
      <c r="F653" s="267">
        <v>174.0</v>
      </c>
      <c r="G653" s="169">
        <v>22.0</v>
      </c>
      <c r="H653" s="169">
        <v>66.0</v>
      </c>
      <c r="I653" s="289" t="s">
        <v>10</v>
      </c>
      <c r="J653" s="1"/>
      <c r="K653" s="1"/>
      <c r="L653" s="1"/>
      <c r="M653" s="1"/>
      <c r="N653" s="1"/>
      <c r="O653" s="1"/>
      <c r="P653" s="1"/>
      <c r="Q653" s="1"/>
      <c r="R653" s="1"/>
      <c r="S653" s="1"/>
    </row>
    <row r="654" ht="10.5" customHeight="1">
      <c r="A654" s="1"/>
      <c r="B654" s="238" t="s">
        <v>129</v>
      </c>
      <c r="C654" s="169" t="s">
        <v>106</v>
      </c>
      <c r="D654" s="169">
        <v>216.0</v>
      </c>
      <c r="E654" s="278">
        <f t="shared" si="27"/>
        <v>216</v>
      </c>
      <c r="F654" s="278">
        <v>169.0</v>
      </c>
      <c r="G654" s="169">
        <v>10.0</v>
      </c>
      <c r="H654" s="169">
        <v>49.0</v>
      </c>
      <c r="I654" s="289" t="s">
        <v>10</v>
      </c>
      <c r="J654" s="1"/>
      <c r="K654" s="1"/>
      <c r="L654" s="1"/>
      <c r="M654" s="1"/>
      <c r="N654" s="1"/>
      <c r="O654" s="1"/>
      <c r="P654" s="1"/>
      <c r="Q654" s="1"/>
      <c r="R654" s="1"/>
      <c r="S654" s="1"/>
    </row>
    <row r="655" ht="10.5" customHeight="1">
      <c r="A655" s="1"/>
      <c r="B655" s="238" t="s">
        <v>130</v>
      </c>
      <c r="C655" s="169" t="s">
        <v>106</v>
      </c>
      <c r="D655" s="169">
        <v>368.0</v>
      </c>
      <c r="E655" s="278">
        <f t="shared" si="27"/>
        <v>368</v>
      </c>
      <c r="F655" s="278">
        <v>179.0</v>
      </c>
      <c r="G655" s="169">
        <v>10.0</v>
      </c>
      <c r="H655" s="169">
        <v>38.0</v>
      </c>
      <c r="I655" s="289" t="s">
        <v>10</v>
      </c>
      <c r="J655" s="1"/>
      <c r="K655" s="1"/>
      <c r="L655" s="1"/>
      <c r="M655" s="1"/>
      <c r="N655" s="1"/>
      <c r="O655" s="1"/>
      <c r="P655" s="1"/>
      <c r="Q655" s="1"/>
      <c r="R655" s="1"/>
      <c r="S655" s="1"/>
    </row>
    <row r="656" ht="10.5" customHeight="1">
      <c r="A656" s="1"/>
      <c r="B656" s="238"/>
      <c r="C656" s="169"/>
      <c r="D656" s="169"/>
      <c r="E656" s="169"/>
      <c r="F656" s="278"/>
      <c r="G656" s="169"/>
      <c r="H656" s="169"/>
      <c r="I656" s="405"/>
      <c r="J656" s="1"/>
      <c r="K656" s="1"/>
      <c r="L656" s="1"/>
      <c r="M656" s="1"/>
      <c r="N656" s="1"/>
      <c r="O656" s="1"/>
      <c r="P656" s="1"/>
      <c r="Q656" s="1"/>
      <c r="R656" s="1"/>
      <c r="S656" s="1"/>
    </row>
    <row r="657" ht="10.5" customHeight="1">
      <c r="A657" s="1"/>
      <c r="B657" s="48" t="s">
        <v>131</v>
      </c>
      <c r="C657" s="169" t="s">
        <v>106</v>
      </c>
      <c r="D657" s="169">
        <v>250.0</v>
      </c>
      <c r="E657" s="169">
        <v>250.0</v>
      </c>
      <c r="F657" s="278">
        <v>191.0</v>
      </c>
      <c r="G657" s="169">
        <v>12.0</v>
      </c>
      <c r="H657" s="169">
        <v>38.0</v>
      </c>
      <c r="I657" s="289" t="s">
        <v>10</v>
      </c>
      <c r="J657" s="1"/>
      <c r="K657" s="1"/>
      <c r="L657" s="1"/>
      <c r="M657" s="1"/>
      <c r="N657" s="1"/>
      <c r="O657" s="1"/>
      <c r="P657" s="1"/>
      <c r="Q657" s="1"/>
      <c r="R657" s="1"/>
      <c r="S657" s="1"/>
    </row>
    <row r="658" ht="10.5" customHeight="1">
      <c r="A658" s="1"/>
      <c r="B658" s="48" t="s">
        <v>133</v>
      </c>
      <c r="C658" s="169" t="s">
        <v>106</v>
      </c>
      <c r="D658" s="169">
        <v>108.0</v>
      </c>
      <c r="E658" s="169">
        <v>108.0</v>
      </c>
      <c r="F658" s="169">
        <v>182.0</v>
      </c>
      <c r="G658" s="169">
        <v>8.0</v>
      </c>
      <c r="H658" s="169">
        <v>28.0</v>
      </c>
      <c r="I658" s="289" t="s">
        <v>10</v>
      </c>
      <c r="J658" s="1"/>
      <c r="K658" s="1"/>
      <c r="L658" s="1"/>
      <c r="M658" s="1"/>
      <c r="N658" s="1"/>
      <c r="O658" s="1"/>
      <c r="P658" s="1"/>
      <c r="Q658" s="1"/>
      <c r="R658" s="1"/>
      <c r="S658" s="1"/>
    </row>
    <row r="659" ht="10.5" customHeight="1">
      <c r="A659" s="1"/>
      <c r="B659" s="48" t="s">
        <v>134</v>
      </c>
      <c r="C659" s="169" t="s">
        <v>106</v>
      </c>
      <c r="D659" s="169">
        <v>166.0</v>
      </c>
      <c r="E659" s="169">
        <v>166.0</v>
      </c>
      <c r="F659" s="169">
        <v>185.0</v>
      </c>
      <c r="G659" s="169">
        <v>11.0</v>
      </c>
      <c r="H659" s="169">
        <v>27.0</v>
      </c>
      <c r="I659" s="289" t="s">
        <v>10</v>
      </c>
      <c r="J659" s="1"/>
      <c r="K659" s="1"/>
      <c r="L659" s="1"/>
      <c r="M659" s="1"/>
      <c r="N659" s="1"/>
      <c r="O659" s="1"/>
      <c r="P659" s="1"/>
      <c r="Q659" s="1"/>
      <c r="R659" s="1"/>
      <c r="S659" s="1"/>
    </row>
    <row r="660" ht="10.5" customHeight="1">
      <c r="A660" s="1"/>
      <c r="B660" s="293">
        <v>39692.0</v>
      </c>
      <c r="C660" s="169" t="s">
        <v>106</v>
      </c>
      <c r="D660" s="169">
        <v>251.0</v>
      </c>
      <c r="E660" s="169">
        <v>251.0</v>
      </c>
      <c r="F660" s="169">
        <v>177.0</v>
      </c>
      <c r="G660" s="169">
        <v>10.0</v>
      </c>
      <c r="H660" s="169">
        <v>37.0</v>
      </c>
      <c r="I660" s="289" t="s">
        <v>10</v>
      </c>
      <c r="J660" s="1"/>
      <c r="K660" s="1"/>
      <c r="L660" s="1"/>
      <c r="M660" s="1"/>
      <c r="N660" s="1"/>
      <c r="O660" s="1"/>
      <c r="P660" s="1"/>
      <c r="Q660" s="1"/>
      <c r="R660" s="1"/>
      <c r="S660" s="1"/>
    </row>
    <row r="661" ht="10.5" customHeight="1">
      <c r="A661" s="1"/>
      <c r="B661" s="293">
        <v>40087.0</v>
      </c>
      <c r="C661" s="169" t="s">
        <v>106</v>
      </c>
      <c r="D661" s="169">
        <v>279.0</v>
      </c>
      <c r="E661" s="169">
        <v>279.0</v>
      </c>
      <c r="F661" s="169">
        <v>184.0</v>
      </c>
      <c r="G661" s="169">
        <v>8.0</v>
      </c>
      <c r="H661" s="169">
        <v>52.0</v>
      </c>
      <c r="I661" s="289" t="s">
        <v>10</v>
      </c>
      <c r="J661" s="1"/>
      <c r="K661" s="1"/>
      <c r="L661" s="1"/>
      <c r="M661" s="1"/>
      <c r="N661" s="1"/>
      <c r="O661" s="1"/>
      <c r="P661" s="1"/>
      <c r="Q661" s="1"/>
      <c r="R661" s="1"/>
      <c r="S661" s="1"/>
    </row>
    <row r="662" ht="10.5" customHeight="1">
      <c r="A662" s="1"/>
      <c r="B662" s="48"/>
      <c r="C662" s="169"/>
      <c r="D662" s="169"/>
      <c r="E662" s="169"/>
      <c r="F662" s="169"/>
      <c r="G662" s="169"/>
      <c r="H662" s="169"/>
      <c r="I662" s="289"/>
      <c r="J662" s="1"/>
      <c r="K662" s="1"/>
      <c r="L662" s="1"/>
      <c r="M662" s="1"/>
      <c r="N662" s="1"/>
      <c r="O662" s="1"/>
      <c r="P662" s="1"/>
      <c r="Q662" s="1"/>
      <c r="R662" s="1"/>
      <c r="S662" s="1"/>
    </row>
    <row r="663" ht="10.5" customHeight="1">
      <c r="A663" s="1"/>
      <c r="B663" s="293">
        <v>40483.0</v>
      </c>
      <c r="C663" s="169" t="s">
        <v>106</v>
      </c>
      <c r="D663" s="169">
        <v>190.0</v>
      </c>
      <c r="E663" s="169">
        <v>190.0</v>
      </c>
      <c r="F663" s="169">
        <v>182.0</v>
      </c>
      <c r="G663" s="169">
        <v>9.0</v>
      </c>
      <c r="H663" s="169">
        <v>24.0</v>
      </c>
      <c r="I663" s="289" t="s">
        <v>10</v>
      </c>
      <c r="J663" s="1"/>
      <c r="K663" s="1"/>
      <c r="L663" s="1"/>
      <c r="M663" s="1"/>
      <c r="N663" s="1"/>
      <c r="O663" s="1"/>
      <c r="P663" s="1"/>
      <c r="Q663" s="1"/>
      <c r="R663" s="1"/>
      <c r="S663" s="1"/>
    </row>
    <row r="664" ht="10.5" customHeight="1">
      <c r="A664" s="1"/>
      <c r="B664" s="85" t="s">
        <v>143</v>
      </c>
      <c r="C664" s="169" t="s">
        <v>106</v>
      </c>
      <c r="D664" s="169">
        <v>164.0</v>
      </c>
      <c r="E664" s="169">
        <v>164.0</v>
      </c>
      <c r="F664" s="169">
        <v>183.0</v>
      </c>
      <c r="G664" s="169">
        <v>7.0</v>
      </c>
      <c r="H664" s="169">
        <v>25.0</v>
      </c>
      <c r="I664" s="289" t="s">
        <v>10</v>
      </c>
      <c r="J664" s="154"/>
      <c r="K664" s="1"/>
      <c r="L664" s="1"/>
      <c r="M664" s="1"/>
      <c r="N664" s="1"/>
      <c r="O664" s="1"/>
      <c r="P664" s="1"/>
      <c r="Q664" s="1"/>
      <c r="R664" s="1"/>
      <c r="S664" s="1"/>
    </row>
    <row r="665" ht="10.5" customHeight="1">
      <c r="A665" s="1"/>
      <c r="B665" s="85" t="s">
        <v>149</v>
      </c>
      <c r="C665" s="169" t="s">
        <v>106</v>
      </c>
      <c r="D665" s="169">
        <v>133.0</v>
      </c>
      <c r="E665" s="169">
        <v>133.0</v>
      </c>
      <c r="F665" s="169">
        <v>159.0</v>
      </c>
      <c r="G665" s="169">
        <v>6.0</v>
      </c>
      <c r="H665" s="169">
        <v>19.0</v>
      </c>
      <c r="I665" s="289" t="s">
        <v>10</v>
      </c>
      <c r="J665" s="1"/>
      <c r="K665" s="154"/>
      <c r="L665" s="1"/>
      <c r="M665" s="1"/>
      <c r="N665" s="1"/>
      <c r="O665" s="1"/>
      <c r="P665" s="1"/>
      <c r="Q665" s="1"/>
      <c r="R665" s="1"/>
      <c r="S665" s="1"/>
    </row>
    <row r="666" ht="10.5" customHeight="1">
      <c r="A666" s="1"/>
      <c r="B666" s="85" t="s">
        <v>151</v>
      </c>
      <c r="C666" s="169" t="s">
        <v>106</v>
      </c>
      <c r="D666" s="169">
        <v>145.0</v>
      </c>
      <c r="E666" s="169">
        <v>145.0</v>
      </c>
      <c r="F666" s="169">
        <v>165.0</v>
      </c>
      <c r="G666" s="169">
        <v>5.0</v>
      </c>
      <c r="H666" s="169">
        <v>20.0</v>
      </c>
      <c r="I666" s="289" t="s">
        <v>10</v>
      </c>
      <c r="J666" s="1"/>
      <c r="K666" s="1"/>
      <c r="L666" s="1"/>
      <c r="M666" s="1"/>
      <c r="N666" s="1"/>
      <c r="O666" s="1"/>
      <c r="P666" s="1"/>
      <c r="Q666" s="1"/>
      <c r="R666" s="1"/>
      <c r="S666" s="1"/>
    </row>
    <row r="667" ht="10.5" customHeight="1">
      <c r="A667" s="1"/>
      <c r="B667" s="85" t="s">
        <v>153</v>
      </c>
      <c r="C667" s="169" t="s">
        <v>106</v>
      </c>
      <c r="D667" s="169">
        <v>262.0</v>
      </c>
      <c r="E667" s="169">
        <v>262.0</v>
      </c>
      <c r="F667" s="169">
        <v>153.0</v>
      </c>
      <c r="G667" s="169">
        <v>7.0</v>
      </c>
      <c r="H667" s="169">
        <v>26.0</v>
      </c>
      <c r="I667" s="289" t="s">
        <v>10</v>
      </c>
      <c r="J667" s="1"/>
      <c r="K667" s="1"/>
      <c r="L667" s="1"/>
      <c r="M667" s="1"/>
      <c r="N667" s="1"/>
      <c r="O667" s="1"/>
      <c r="P667" s="1"/>
      <c r="Q667" s="1"/>
      <c r="R667" s="1"/>
      <c r="S667" s="1"/>
    </row>
    <row r="668" ht="10.5" customHeight="1">
      <c r="A668" s="1"/>
      <c r="B668" s="85"/>
      <c r="C668" s="169"/>
      <c r="D668" s="169"/>
      <c r="E668" s="169"/>
      <c r="F668" s="169"/>
      <c r="G668" s="169"/>
      <c r="H668" s="169"/>
      <c r="I668" s="289"/>
      <c r="J668" s="1"/>
      <c r="K668" s="1"/>
      <c r="L668" s="1"/>
      <c r="M668" s="1"/>
      <c r="N668" s="1"/>
      <c r="O668" s="1"/>
      <c r="P668" s="1"/>
      <c r="Q668" s="1"/>
      <c r="R668" s="1"/>
      <c r="S668" s="1"/>
    </row>
    <row r="669" ht="10.5" customHeight="1">
      <c r="A669" s="1"/>
      <c r="B669" s="85" t="s">
        <v>155</v>
      </c>
      <c r="C669" s="169" t="s">
        <v>106</v>
      </c>
      <c r="D669" s="169">
        <v>120.0</v>
      </c>
      <c r="E669" s="169">
        <v>120.0</v>
      </c>
      <c r="F669" s="169">
        <v>149.0</v>
      </c>
      <c r="G669" s="169">
        <v>10.0</v>
      </c>
      <c r="H669" s="169">
        <v>29.0</v>
      </c>
      <c r="I669" s="289" t="s">
        <v>10</v>
      </c>
      <c r="J669" s="1"/>
      <c r="K669" s="1"/>
      <c r="L669" s="1"/>
      <c r="M669" s="1"/>
      <c r="N669" s="1"/>
      <c r="O669" s="1"/>
      <c r="P669" s="1"/>
      <c r="Q669" s="1"/>
      <c r="R669" s="1"/>
      <c r="S669" s="1"/>
    </row>
    <row r="670" ht="10.5" customHeight="1">
      <c r="A670" s="1"/>
      <c r="B670" s="85" t="s">
        <v>160</v>
      </c>
      <c r="C670" s="169" t="s">
        <v>106</v>
      </c>
      <c r="D670" s="169">
        <v>69.0</v>
      </c>
      <c r="E670" s="169">
        <v>69.0</v>
      </c>
      <c r="F670" s="169">
        <v>161.0</v>
      </c>
      <c r="G670" s="169">
        <v>10.0</v>
      </c>
      <c r="H670" s="169">
        <v>13.0</v>
      </c>
      <c r="I670" s="289" t="s">
        <v>10</v>
      </c>
      <c r="J670" s="1"/>
      <c r="K670" s="1"/>
      <c r="L670" s="1"/>
      <c r="M670" s="1"/>
      <c r="N670" s="1"/>
      <c r="O670" s="1"/>
      <c r="P670" s="1"/>
      <c r="Q670" s="1"/>
      <c r="R670" s="1"/>
      <c r="S670" s="1"/>
    </row>
    <row r="671" ht="10.5" customHeight="1">
      <c r="A671" s="1"/>
      <c r="B671" s="85" t="s">
        <v>162</v>
      </c>
      <c r="C671" s="169" t="s">
        <v>106</v>
      </c>
      <c r="D671" s="169">
        <v>150.0</v>
      </c>
      <c r="E671" s="169">
        <v>150.0</v>
      </c>
      <c r="F671" s="169">
        <v>155.0</v>
      </c>
      <c r="G671" s="169">
        <v>8.0</v>
      </c>
      <c r="H671" s="169">
        <v>14.0</v>
      </c>
      <c r="I671" s="289" t="s">
        <v>10</v>
      </c>
      <c r="J671" s="1"/>
      <c r="K671" s="1"/>
      <c r="L671" s="1"/>
      <c r="M671" s="1"/>
      <c r="N671" s="1"/>
      <c r="O671" s="1"/>
      <c r="P671" s="1"/>
      <c r="Q671" s="1"/>
      <c r="R671" s="1"/>
      <c r="S671" s="1"/>
    </row>
    <row r="672" ht="10.5" customHeight="1">
      <c r="A672" s="1"/>
      <c r="B672" s="96" t="s">
        <v>699</v>
      </c>
      <c r="C672" s="260" t="s">
        <v>106</v>
      </c>
      <c r="D672" s="260">
        <v>77.0</v>
      </c>
      <c r="E672" s="260">
        <v>77.0</v>
      </c>
      <c r="F672" s="260">
        <v>156.0</v>
      </c>
      <c r="G672" s="260">
        <v>7.0</v>
      </c>
      <c r="H672" s="241">
        <v>8.0</v>
      </c>
      <c r="I672" s="290" t="s">
        <v>10</v>
      </c>
      <c r="J672" s="1"/>
      <c r="K672" s="1"/>
      <c r="L672" s="1"/>
      <c r="M672" s="1"/>
      <c r="N672" s="1"/>
      <c r="O672" s="1"/>
      <c r="P672" s="1"/>
      <c r="Q672" s="1"/>
      <c r="R672" s="1"/>
      <c r="S672" s="1"/>
    </row>
    <row r="673" ht="12.0" customHeight="1">
      <c r="A673" s="1"/>
      <c r="B673" s="60" t="s">
        <v>327</v>
      </c>
      <c r="C673" s="60" t="s">
        <v>82</v>
      </c>
      <c r="D673" s="1"/>
      <c r="E673" s="1"/>
      <c r="F673" s="1"/>
      <c r="G673" s="1"/>
      <c r="H673" s="1"/>
      <c r="I673" s="1"/>
      <c r="J673" s="1"/>
      <c r="K673" s="1"/>
      <c r="L673" s="1"/>
      <c r="M673" s="1"/>
      <c r="N673" s="1"/>
      <c r="O673" s="1"/>
      <c r="P673" s="1"/>
      <c r="Q673" s="1"/>
      <c r="R673" s="1"/>
      <c r="S673" s="1"/>
    </row>
    <row r="674" ht="10.5" customHeight="1">
      <c r="A674" s="1"/>
      <c r="B674" s="60"/>
      <c r="C674" s="60" t="s">
        <v>701</v>
      </c>
      <c r="D674" s="1"/>
      <c r="E674" s="1"/>
      <c r="F674" s="1"/>
      <c r="G674" s="1"/>
      <c r="H674" s="1"/>
      <c r="I674" s="1"/>
      <c r="J674" s="1"/>
      <c r="K674" s="1"/>
      <c r="L674" s="1"/>
      <c r="M674" s="1"/>
      <c r="N674" s="1"/>
      <c r="O674" s="1"/>
      <c r="P674" s="1"/>
      <c r="Q674" s="1"/>
      <c r="R674" s="1"/>
      <c r="S674" s="1"/>
    </row>
    <row r="675" ht="13.5" customHeight="1">
      <c r="A675" s="1"/>
      <c r="B675" s="60"/>
      <c r="C675" s="60" t="s">
        <v>329</v>
      </c>
      <c r="D675" s="1"/>
      <c r="E675" s="1"/>
      <c r="F675" s="1"/>
      <c r="G675" s="1"/>
      <c r="H675" s="1"/>
      <c r="I675" s="1"/>
      <c r="J675" s="1"/>
      <c r="K675" s="1"/>
      <c r="L675" s="1"/>
      <c r="M675" s="1"/>
      <c r="N675" s="1"/>
      <c r="O675" s="1"/>
      <c r="P675" s="1"/>
      <c r="Q675" s="1"/>
      <c r="R675" s="1"/>
      <c r="S675" s="1"/>
    </row>
    <row r="676" ht="6.0" customHeight="1">
      <c r="A676" s="1"/>
      <c r="B676" s="60"/>
      <c r="C676" s="186"/>
      <c r="D676" s="1"/>
      <c r="E676" s="1"/>
      <c r="F676" s="1"/>
      <c r="G676" s="1"/>
      <c r="H676" s="1"/>
      <c r="I676" s="1"/>
      <c r="J676" s="1"/>
      <c r="K676" s="1"/>
      <c r="L676" s="1"/>
      <c r="M676" s="1"/>
      <c r="N676" s="1"/>
      <c r="O676" s="1"/>
      <c r="P676" s="1"/>
      <c r="Q676" s="1"/>
      <c r="R676" s="1"/>
      <c r="S676" s="1"/>
    </row>
    <row r="677" ht="10.5" customHeight="1">
      <c r="A677" s="1"/>
      <c r="B677" s="185" t="s">
        <v>702</v>
      </c>
      <c r="C677" s="186"/>
      <c r="D677" s="1"/>
      <c r="E677" s="1"/>
      <c r="F677" s="1"/>
      <c r="G677" s="1"/>
      <c r="H677" s="1"/>
      <c r="I677" s="1"/>
      <c r="J677" s="1"/>
      <c r="K677" s="1"/>
      <c r="L677" s="1"/>
      <c r="M677" s="1"/>
      <c r="N677" s="1"/>
      <c r="O677" s="1"/>
      <c r="P677" s="1"/>
      <c r="Q677" s="1"/>
      <c r="R677" s="1"/>
      <c r="S677" s="1"/>
    </row>
    <row r="678" ht="10.5" customHeight="1">
      <c r="A678" s="1"/>
      <c r="B678" s="185" t="s">
        <v>703</v>
      </c>
      <c r="C678" s="186"/>
      <c r="D678" s="1"/>
      <c r="E678" s="1"/>
      <c r="F678" s="1"/>
      <c r="G678" s="1"/>
      <c r="H678" s="1"/>
      <c r="I678" s="1"/>
      <c r="J678" s="1"/>
      <c r="K678" s="1"/>
      <c r="L678" s="1"/>
      <c r="M678" s="1"/>
      <c r="N678" s="1"/>
      <c r="O678" s="1"/>
      <c r="P678" s="1"/>
      <c r="Q678" s="1"/>
      <c r="R678" s="1"/>
      <c r="S678" s="1"/>
    </row>
    <row r="679" ht="10.5" customHeight="1">
      <c r="A679" s="1"/>
      <c r="B679" s="1"/>
      <c r="C679" s="15"/>
      <c r="D679" s="15"/>
      <c r="E679" s="15"/>
      <c r="F679" s="15"/>
      <c r="G679" s="15"/>
      <c r="H679" s="15"/>
      <c r="I679" s="1"/>
      <c r="J679" s="1"/>
      <c r="K679" s="1"/>
      <c r="L679" s="1"/>
      <c r="M679" s="1"/>
      <c r="N679" s="1"/>
      <c r="O679" s="1"/>
      <c r="P679" s="1"/>
      <c r="Q679" s="1"/>
      <c r="R679" s="1"/>
      <c r="S679" s="1"/>
    </row>
    <row r="680" ht="10.5" customHeight="1">
      <c r="A680" s="1"/>
      <c r="B680" s="1"/>
      <c r="C680" s="15"/>
      <c r="D680" s="15"/>
      <c r="E680" s="15"/>
      <c r="F680" s="15"/>
      <c r="G680" s="15"/>
      <c r="H680" s="15"/>
      <c r="I680" s="1"/>
      <c r="J680" s="1"/>
      <c r="K680" s="1"/>
      <c r="L680" s="1"/>
      <c r="M680" s="1"/>
      <c r="N680" s="1"/>
      <c r="O680" s="1"/>
      <c r="P680" s="1"/>
      <c r="Q680" s="1"/>
      <c r="R680" s="1"/>
      <c r="S680" s="1"/>
    </row>
    <row r="681" ht="10.5" customHeight="1">
      <c r="A681" s="1"/>
      <c r="B681" s="1"/>
      <c r="C681" s="1"/>
      <c r="D681" s="1"/>
      <c r="E681" s="1"/>
      <c r="F681" s="1"/>
      <c r="G681" s="1"/>
      <c r="H681" s="1"/>
      <c r="I681" s="1"/>
      <c r="J681" s="1"/>
      <c r="K681" s="1"/>
      <c r="L681" s="1"/>
      <c r="M681" s="1"/>
      <c r="N681" s="1"/>
      <c r="O681" s="1"/>
      <c r="P681" s="1"/>
      <c r="Q681" s="1"/>
      <c r="R681" s="1"/>
      <c r="S681" s="1"/>
    </row>
    <row r="682" ht="10.5" customHeight="1">
      <c r="A682" s="1"/>
      <c r="B682" s="1"/>
      <c r="C682" s="1"/>
      <c r="D682" s="1"/>
      <c r="E682" s="1"/>
      <c r="F682" s="1"/>
      <c r="G682" s="1"/>
      <c r="H682" s="1"/>
      <c r="I682" s="1"/>
      <c r="J682" s="1"/>
      <c r="K682" s="1"/>
      <c r="L682" s="1"/>
      <c r="M682" s="1"/>
      <c r="N682" s="1"/>
      <c r="O682" s="1"/>
      <c r="P682" s="1"/>
      <c r="Q682" s="1"/>
      <c r="R682" s="1"/>
      <c r="S682" s="1"/>
    </row>
    <row r="683" ht="10.5" customHeight="1">
      <c r="A683" s="1"/>
      <c r="B683" s="1"/>
      <c r="C683" s="1"/>
      <c r="D683" s="1"/>
      <c r="E683" s="1"/>
      <c r="F683" s="1"/>
      <c r="G683" s="1"/>
      <c r="H683" s="1"/>
      <c r="I683" s="1"/>
      <c r="J683" s="1"/>
      <c r="K683" s="1"/>
      <c r="L683" s="1"/>
      <c r="M683" s="1"/>
      <c r="N683" s="1"/>
      <c r="O683" s="1"/>
      <c r="P683" s="1"/>
      <c r="Q683" s="1"/>
      <c r="R683" s="1"/>
      <c r="S683" s="1"/>
    </row>
    <row r="684" ht="10.5" customHeight="1">
      <c r="A684" s="1"/>
      <c r="B684" s="1"/>
      <c r="C684" s="1"/>
      <c r="D684" s="1"/>
      <c r="E684" s="1"/>
      <c r="F684" s="1"/>
      <c r="G684" s="1"/>
      <c r="H684" s="1"/>
      <c r="I684" s="1"/>
      <c r="J684" s="1"/>
      <c r="K684" s="1"/>
      <c r="L684" s="1"/>
      <c r="M684" s="1"/>
      <c r="N684" s="1"/>
      <c r="O684" s="1"/>
      <c r="P684" s="1"/>
      <c r="Q684" s="1"/>
      <c r="R684" s="1"/>
      <c r="S684" s="1"/>
    </row>
    <row r="685" ht="10.5" customHeight="1">
      <c r="A685" s="1"/>
      <c r="B685" s="1"/>
      <c r="C685" s="1"/>
      <c r="D685" s="1"/>
      <c r="E685" s="1"/>
      <c r="F685" s="1"/>
      <c r="G685" s="1"/>
      <c r="H685" s="1"/>
      <c r="I685" s="1"/>
      <c r="J685" s="1"/>
      <c r="K685" s="1"/>
      <c r="L685" s="1"/>
      <c r="M685" s="1"/>
      <c r="N685" s="1"/>
      <c r="O685" s="1"/>
      <c r="P685" s="1"/>
      <c r="Q685" s="1"/>
      <c r="R685" s="1"/>
      <c r="S685" s="1"/>
    </row>
    <row r="686" ht="10.5" customHeight="1">
      <c r="A686" s="1"/>
      <c r="B686" s="1"/>
      <c r="C686" s="1"/>
      <c r="D686" s="1"/>
      <c r="E686" s="1"/>
      <c r="F686" s="1"/>
      <c r="G686" s="1"/>
      <c r="H686" s="1"/>
      <c r="I686" s="1"/>
      <c r="J686" s="1"/>
      <c r="K686" s="1"/>
      <c r="L686" s="1"/>
      <c r="M686" s="1"/>
      <c r="N686" s="1"/>
      <c r="O686" s="1"/>
      <c r="P686" s="1"/>
      <c r="Q686" s="1"/>
      <c r="R686" s="1"/>
      <c r="S686" s="1"/>
    </row>
    <row r="687" ht="10.5" customHeight="1">
      <c r="A687" s="1"/>
      <c r="B687" s="1"/>
      <c r="C687" s="1"/>
      <c r="D687" s="1"/>
      <c r="E687" s="1"/>
      <c r="F687" s="1"/>
      <c r="G687" s="1"/>
      <c r="H687" s="1"/>
      <c r="I687" s="1"/>
      <c r="J687" s="1"/>
      <c r="K687" s="1"/>
      <c r="L687" s="1"/>
      <c r="M687" s="1"/>
      <c r="N687" s="1"/>
      <c r="O687" s="1"/>
      <c r="P687" s="1"/>
      <c r="Q687" s="1"/>
      <c r="R687" s="1"/>
      <c r="S687" s="1"/>
    </row>
    <row r="688" ht="10.5" customHeight="1">
      <c r="A688" s="1"/>
      <c r="B688" s="1"/>
      <c r="C688" s="1"/>
      <c r="D688" s="1"/>
      <c r="E688" s="1"/>
      <c r="F688" s="1"/>
      <c r="G688" s="1"/>
      <c r="H688" s="1"/>
      <c r="I688" s="1"/>
      <c r="J688" s="1"/>
      <c r="K688" s="1"/>
      <c r="L688" s="1"/>
      <c r="M688" s="1"/>
      <c r="N688" s="1"/>
      <c r="O688" s="1"/>
      <c r="P688" s="1"/>
      <c r="Q688" s="1"/>
      <c r="R688" s="1"/>
      <c r="S688" s="1"/>
    </row>
    <row r="689" ht="10.5" customHeight="1">
      <c r="A689" s="1"/>
      <c r="B689" s="1"/>
      <c r="C689" s="1"/>
      <c r="D689" s="1"/>
      <c r="E689" s="1"/>
      <c r="F689" s="1"/>
      <c r="G689" s="1"/>
      <c r="H689" s="1"/>
      <c r="I689" s="1"/>
      <c r="J689" s="1"/>
      <c r="K689" s="1"/>
      <c r="L689" s="1"/>
      <c r="M689" s="1"/>
      <c r="N689" s="1"/>
      <c r="O689" s="1"/>
      <c r="P689" s="1"/>
      <c r="Q689" s="1"/>
      <c r="R689" s="1"/>
      <c r="S689" s="1"/>
    </row>
    <row r="690" ht="10.5" customHeight="1">
      <c r="A690" s="1"/>
      <c r="B690" s="1"/>
      <c r="C690" s="1"/>
      <c r="D690" s="1"/>
      <c r="E690" s="1"/>
      <c r="F690" s="1"/>
      <c r="G690" s="1"/>
      <c r="H690" s="1"/>
      <c r="I690" s="1"/>
      <c r="J690" s="1"/>
      <c r="K690" s="1"/>
      <c r="L690" s="1"/>
      <c r="M690" s="1"/>
      <c r="N690" s="1"/>
      <c r="O690" s="1"/>
      <c r="P690" s="1"/>
      <c r="Q690" s="1"/>
      <c r="R690" s="1"/>
      <c r="S690" s="1"/>
    </row>
    <row r="691" ht="10.5" customHeight="1">
      <c r="A691" s="1"/>
      <c r="B691" s="1"/>
      <c r="C691" s="1"/>
      <c r="D691" s="1"/>
      <c r="E691" s="1"/>
      <c r="F691" s="1"/>
      <c r="G691" s="1"/>
      <c r="H691" s="1"/>
      <c r="I691" s="1"/>
      <c r="J691" s="1"/>
      <c r="K691" s="1"/>
      <c r="L691" s="1"/>
      <c r="M691" s="1"/>
      <c r="N691" s="1"/>
      <c r="O691" s="1"/>
      <c r="P691" s="1"/>
      <c r="Q691" s="1"/>
      <c r="R691" s="1"/>
      <c r="S691" s="1"/>
    </row>
    <row r="692" ht="10.5" customHeight="1">
      <c r="A692" s="1"/>
      <c r="B692" s="1"/>
      <c r="C692" s="1"/>
      <c r="D692" s="1"/>
      <c r="E692" s="1"/>
      <c r="F692" s="1"/>
      <c r="G692" s="1"/>
      <c r="H692" s="1"/>
      <c r="I692" s="1"/>
      <c r="J692" s="1"/>
      <c r="K692" s="1"/>
      <c r="L692" s="1"/>
      <c r="M692" s="1"/>
      <c r="N692" s="1"/>
      <c r="O692" s="1"/>
      <c r="P692" s="1"/>
      <c r="Q692" s="1"/>
      <c r="R692" s="1"/>
      <c r="S692" s="1"/>
    </row>
    <row r="693" ht="10.5" customHeight="1">
      <c r="A693" s="1"/>
      <c r="B693" s="1"/>
      <c r="C693" s="1"/>
      <c r="D693" s="1"/>
      <c r="E693" s="1"/>
      <c r="F693" s="1"/>
      <c r="G693" s="1"/>
      <c r="H693" s="1"/>
      <c r="I693" s="1"/>
      <c r="J693" s="1"/>
      <c r="K693" s="1"/>
      <c r="L693" s="1"/>
      <c r="M693" s="1"/>
      <c r="N693" s="1"/>
      <c r="O693" s="1"/>
      <c r="P693" s="1"/>
      <c r="Q693" s="1"/>
      <c r="R693" s="1"/>
      <c r="S693" s="1"/>
    </row>
    <row r="694" ht="10.5" customHeight="1">
      <c r="A694" s="1"/>
      <c r="B694" s="1"/>
      <c r="C694" s="1"/>
      <c r="D694" s="1"/>
      <c r="E694" s="1"/>
      <c r="F694" s="1"/>
      <c r="G694" s="1"/>
      <c r="H694" s="1"/>
      <c r="I694" s="1"/>
      <c r="J694" s="1"/>
      <c r="K694" s="1"/>
      <c r="L694" s="1"/>
      <c r="M694" s="1"/>
      <c r="N694" s="1"/>
      <c r="O694" s="1"/>
      <c r="P694" s="1"/>
      <c r="Q694" s="1"/>
      <c r="R694" s="1"/>
      <c r="S694" s="1"/>
    </row>
    <row r="695" ht="10.5" customHeight="1">
      <c r="A695" s="1"/>
      <c r="B695" s="1"/>
      <c r="C695" s="1"/>
      <c r="D695" s="1"/>
      <c r="E695" s="1"/>
      <c r="F695" s="1"/>
      <c r="G695" s="110">
        <v>14.0</v>
      </c>
      <c r="H695" s="1"/>
      <c r="I695" s="1"/>
      <c r="J695" s="1"/>
      <c r="K695" s="1"/>
      <c r="L695" s="1"/>
      <c r="M695" s="1"/>
      <c r="N695" s="1"/>
      <c r="O695" s="1"/>
      <c r="P695" s="1"/>
      <c r="Q695" s="1"/>
      <c r="R695" s="1"/>
      <c r="S695" s="1"/>
    </row>
    <row r="696" ht="10.5" customHeight="1">
      <c r="A696" s="1"/>
      <c r="B696" s="1"/>
      <c r="C696" s="1"/>
      <c r="D696" s="1"/>
      <c r="E696" s="1"/>
      <c r="F696" s="1"/>
      <c r="G696" s="1"/>
      <c r="H696" s="1"/>
      <c r="I696" s="1"/>
      <c r="J696" s="1"/>
      <c r="K696" s="1"/>
      <c r="L696" s="1"/>
      <c r="M696" s="1"/>
      <c r="N696" s="1"/>
      <c r="O696" s="1"/>
      <c r="P696" s="1"/>
      <c r="Q696" s="1"/>
      <c r="R696" s="1"/>
      <c r="S696" s="1"/>
    </row>
    <row r="697" ht="10.5" customHeight="1">
      <c r="A697" s="1"/>
      <c r="B697" s="1"/>
      <c r="C697" s="1"/>
      <c r="D697" s="1"/>
      <c r="E697" s="1"/>
      <c r="F697" s="1"/>
      <c r="G697" s="1"/>
      <c r="H697" s="1"/>
      <c r="I697" s="1"/>
      <c r="J697" s="1"/>
      <c r="K697" s="1"/>
      <c r="L697" s="1"/>
      <c r="M697" s="1"/>
      <c r="N697" s="1"/>
      <c r="O697" s="1"/>
      <c r="P697" s="1"/>
      <c r="Q697" s="1"/>
      <c r="R697" s="1"/>
      <c r="S697" s="1"/>
    </row>
    <row r="698" ht="10.5" customHeight="1">
      <c r="A698" s="1"/>
      <c r="B698" s="111" t="s">
        <v>706</v>
      </c>
      <c r="C698" s="1"/>
      <c r="D698" s="1"/>
      <c r="E698" s="1"/>
      <c r="F698" s="1"/>
      <c r="G698" s="1"/>
      <c r="H698" s="416"/>
      <c r="I698" s="1"/>
      <c r="J698" s="1"/>
      <c r="K698" s="1"/>
      <c r="L698" s="1"/>
      <c r="M698" s="1"/>
      <c r="N698" s="1"/>
      <c r="O698" s="1"/>
      <c r="P698" s="1"/>
      <c r="Q698" s="1"/>
      <c r="R698" s="1"/>
      <c r="S698" s="1"/>
    </row>
    <row r="699" ht="11.25" customHeight="1">
      <c r="A699" s="1"/>
      <c r="B699" s="189" t="s">
        <v>31</v>
      </c>
      <c r="C699" s="31" t="s">
        <v>708</v>
      </c>
      <c r="D699" s="31" t="s">
        <v>709</v>
      </c>
      <c r="E699" s="31" t="s">
        <v>640</v>
      </c>
      <c r="F699" s="128" t="s">
        <v>710</v>
      </c>
      <c r="G699" s="10"/>
      <c r="H699" s="29" t="s">
        <v>711</v>
      </c>
      <c r="I699" s="368" t="s">
        <v>684</v>
      </c>
      <c r="J699" s="1"/>
      <c r="K699" s="1"/>
      <c r="L699" s="1"/>
      <c r="M699" s="1"/>
      <c r="N699" s="1"/>
      <c r="O699" s="1"/>
      <c r="P699" s="1"/>
      <c r="Q699" s="1"/>
      <c r="R699" s="1"/>
      <c r="S699" s="1"/>
    </row>
    <row r="700" ht="23.25" customHeight="1">
      <c r="A700" s="1"/>
      <c r="B700" s="5"/>
      <c r="C700" s="6"/>
      <c r="D700" s="6"/>
      <c r="E700" s="6"/>
      <c r="F700" s="128" t="s">
        <v>712</v>
      </c>
      <c r="G700" s="10"/>
      <c r="H700" s="6"/>
      <c r="I700" s="5"/>
      <c r="J700" s="1"/>
      <c r="K700" s="1"/>
      <c r="L700" s="1"/>
      <c r="M700" s="1"/>
      <c r="N700" s="1"/>
      <c r="O700" s="1"/>
      <c r="P700" s="1"/>
      <c r="Q700" s="1"/>
      <c r="R700" s="1"/>
      <c r="S700" s="1"/>
    </row>
    <row r="701" ht="10.5" customHeight="1">
      <c r="A701" s="1"/>
      <c r="B701" s="6"/>
      <c r="C701" s="8" t="s">
        <v>48</v>
      </c>
      <c r="D701" s="8" t="s">
        <v>49</v>
      </c>
      <c r="E701" s="8" t="s">
        <v>50</v>
      </c>
      <c r="F701" s="8" t="s">
        <v>52</v>
      </c>
      <c r="G701" s="10"/>
      <c r="H701" s="423" t="s">
        <v>646</v>
      </c>
      <c r="I701" s="6"/>
      <c r="J701" s="1"/>
      <c r="K701" s="1"/>
      <c r="L701" s="1"/>
      <c r="M701" s="1"/>
      <c r="N701" s="1"/>
      <c r="O701" s="1"/>
      <c r="P701" s="1"/>
      <c r="Q701" s="1"/>
      <c r="R701" s="1"/>
      <c r="S701" s="1"/>
    </row>
    <row r="702" ht="10.5" customHeight="1">
      <c r="A702" s="1"/>
      <c r="B702" s="48" t="s">
        <v>115</v>
      </c>
      <c r="C702" s="278">
        <v>135.0</v>
      </c>
      <c r="D702" s="278">
        <v>145.0</v>
      </c>
      <c r="E702" s="278">
        <v>318173.0</v>
      </c>
      <c r="F702" s="425">
        <v>2200.0</v>
      </c>
      <c r="G702" s="70"/>
      <c r="H702" s="427">
        <v>49.4</v>
      </c>
      <c r="I702" s="429" t="s">
        <v>117</v>
      </c>
      <c r="J702" s="1"/>
      <c r="K702" s="1"/>
      <c r="L702" s="1"/>
      <c r="M702" s="1"/>
      <c r="N702" s="1"/>
      <c r="O702" s="1"/>
      <c r="P702" s="1"/>
      <c r="Q702" s="1"/>
      <c r="R702" s="1"/>
      <c r="S702" s="1"/>
    </row>
    <row r="703" ht="10.5" customHeight="1">
      <c r="A703" s="1"/>
      <c r="B703" s="48" t="s">
        <v>117</v>
      </c>
      <c r="C703" s="278">
        <v>95.0</v>
      </c>
      <c r="D703" s="278">
        <v>106.0</v>
      </c>
      <c r="E703" s="278">
        <v>105935.0</v>
      </c>
      <c r="F703" s="433">
        <v>1001.49</v>
      </c>
      <c r="G703" s="87"/>
      <c r="H703" s="434">
        <v>22.5</v>
      </c>
      <c r="I703" s="238" t="s">
        <v>121</v>
      </c>
      <c r="J703" s="1"/>
      <c r="K703" s="1"/>
      <c r="L703" s="1"/>
      <c r="M703" s="1"/>
      <c r="N703" s="1"/>
      <c r="O703" s="1"/>
      <c r="P703" s="1"/>
      <c r="Q703" s="1"/>
      <c r="R703" s="1"/>
      <c r="S703" s="1"/>
    </row>
    <row r="704" ht="10.5" customHeight="1">
      <c r="A704" s="1"/>
      <c r="B704" s="48" t="s">
        <v>121</v>
      </c>
      <c r="C704" s="278">
        <v>59.0</v>
      </c>
      <c r="D704" s="278">
        <v>73.0</v>
      </c>
      <c r="E704" s="278">
        <v>143603.0</v>
      </c>
      <c r="F704" s="433">
        <v>1976.48</v>
      </c>
      <c r="G704" s="87"/>
      <c r="H704" s="434">
        <v>44.4</v>
      </c>
      <c r="I704" s="238" t="s">
        <v>122</v>
      </c>
      <c r="J704" s="1"/>
      <c r="K704" s="1"/>
      <c r="L704" s="1"/>
      <c r="M704" s="1"/>
      <c r="N704" s="1"/>
      <c r="O704" s="1"/>
      <c r="P704" s="1"/>
      <c r="Q704" s="1"/>
      <c r="R704" s="1"/>
      <c r="S704" s="1"/>
    </row>
    <row r="705" ht="10.5" customHeight="1">
      <c r="A705" s="1"/>
      <c r="B705" s="48" t="s">
        <v>122</v>
      </c>
      <c r="C705" s="278">
        <v>95.0</v>
      </c>
      <c r="D705" s="278">
        <v>138.0</v>
      </c>
      <c r="E705" s="278">
        <v>212281.0</v>
      </c>
      <c r="F705" s="433">
        <v>1538.13</v>
      </c>
      <c r="G705" s="87"/>
      <c r="H705" s="434">
        <v>34.6</v>
      </c>
      <c r="I705" s="437" t="s">
        <v>123</v>
      </c>
      <c r="J705" s="1"/>
      <c r="K705" s="1"/>
      <c r="L705" s="1"/>
      <c r="M705" s="1"/>
      <c r="N705" s="1"/>
      <c r="O705" s="1"/>
      <c r="P705" s="1"/>
      <c r="Q705" s="1"/>
      <c r="R705" s="1"/>
      <c r="S705" s="1"/>
    </row>
    <row r="706" ht="10.5" customHeight="1">
      <c r="A706" s="1"/>
      <c r="B706" s="438" t="s">
        <v>123</v>
      </c>
      <c r="C706" s="278">
        <v>83.0</v>
      </c>
      <c r="D706" s="278">
        <v>136.0</v>
      </c>
      <c r="E706" s="278">
        <v>334937.0</v>
      </c>
      <c r="F706" s="433">
        <v>2460.45</v>
      </c>
      <c r="G706" s="87"/>
      <c r="H706" s="434">
        <v>55.3</v>
      </c>
      <c r="I706" s="238" t="s">
        <v>125</v>
      </c>
      <c r="J706" s="1"/>
      <c r="K706" s="1"/>
      <c r="L706" s="1"/>
      <c r="M706" s="1"/>
      <c r="N706" s="1"/>
      <c r="O706" s="1"/>
      <c r="P706" s="1"/>
      <c r="Q706" s="1"/>
      <c r="R706" s="1"/>
      <c r="S706" s="1"/>
    </row>
    <row r="707" ht="10.5" customHeight="1">
      <c r="A707" s="1"/>
      <c r="B707" s="48"/>
      <c r="C707" s="278"/>
      <c r="D707" s="278"/>
      <c r="E707" s="278"/>
      <c r="F707" s="433"/>
      <c r="G707" s="87"/>
      <c r="H707" s="434"/>
      <c r="I707" s="238"/>
      <c r="J707" s="1"/>
      <c r="K707" s="1"/>
      <c r="L707" s="1"/>
      <c r="M707" s="1"/>
      <c r="N707" s="1"/>
      <c r="O707" s="1"/>
      <c r="P707" s="1"/>
      <c r="Q707" s="1"/>
      <c r="R707" s="1"/>
      <c r="S707" s="1"/>
    </row>
    <row r="708" ht="10.5" customHeight="1">
      <c r="A708" s="1"/>
      <c r="B708" s="48" t="s">
        <v>125</v>
      </c>
      <c r="C708" s="278">
        <v>165.0</v>
      </c>
      <c r="D708" s="278">
        <v>222.0</v>
      </c>
      <c r="E708" s="278">
        <v>454720.0</v>
      </c>
      <c r="F708" s="433">
        <v>2045.35</v>
      </c>
      <c r="G708" s="87"/>
      <c r="H708" s="440">
        <v>46.0</v>
      </c>
      <c r="I708" s="238" t="s">
        <v>127</v>
      </c>
      <c r="J708" s="1"/>
      <c r="K708" s="1"/>
      <c r="L708" s="1"/>
      <c r="M708" s="1"/>
      <c r="N708" s="1"/>
      <c r="O708" s="1"/>
      <c r="P708" s="1"/>
      <c r="Q708" s="1"/>
      <c r="R708" s="1"/>
      <c r="S708" s="1"/>
    </row>
    <row r="709" ht="10.5" customHeight="1">
      <c r="A709" s="1"/>
      <c r="B709" s="48" t="s">
        <v>127</v>
      </c>
      <c r="C709" s="169">
        <v>94.0</v>
      </c>
      <c r="D709" s="169">
        <v>134.0</v>
      </c>
      <c r="E709" s="169">
        <v>324410.0</v>
      </c>
      <c r="F709" s="433">
        <v>2425.86</v>
      </c>
      <c r="G709" s="87"/>
      <c r="H709" s="442">
        <v>54.5</v>
      </c>
      <c r="I709" s="55" t="s">
        <v>128</v>
      </c>
      <c r="J709" s="1"/>
      <c r="K709" s="1"/>
      <c r="L709" s="1"/>
      <c r="M709" s="1"/>
      <c r="N709" s="1"/>
      <c r="O709" s="1"/>
      <c r="P709" s="1"/>
      <c r="Q709" s="1"/>
      <c r="R709" s="1"/>
      <c r="S709" s="1"/>
    </row>
    <row r="710" ht="10.5" customHeight="1">
      <c r="A710" s="1"/>
      <c r="B710" s="48" t="s">
        <v>128</v>
      </c>
      <c r="C710" s="169">
        <v>50.0</v>
      </c>
      <c r="D710" s="169">
        <v>67.0</v>
      </c>
      <c r="E710" s="169">
        <v>338009.0</v>
      </c>
      <c r="F710" s="433">
        <v>5049.89</v>
      </c>
      <c r="G710" s="87"/>
      <c r="H710" s="442">
        <v>113.5</v>
      </c>
      <c r="I710" s="375" t="s">
        <v>129</v>
      </c>
      <c r="J710" s="1"/>
      <c r="K710" s="1"/>
      <c r="L710" s="1"/>
      <c r="M710" s="1"/>
      <c r="N710" s="1"/>
      <c r="O710" s="1"/>
      <c r="P710" s="1"/>
      <c r="Q710" s="1"/>
      <c r="R710" s="1"/>
      <c r="S710" s="1"/>
    </row>
    <row r="711" ht="10.5" customHeight="1">
      <c r="A711" s="1"/>
      <c r="B711" s="48" t="s">
        <v>129</v>
      </c>
      <c r="C711" s="169">
        <v>72.0</v>
      </c>
      <c r="D711" s="169">
        <v>128.0</v>
      </c>
      <c r="E711" s="169">
        <v>367305.0</v>
      </c>
      <c r="F711" s="433">
        <v>2870.15</v>
      </c>
      <c r="G711" s="87"/>
      <c r="H711" s="440">
        <v>64.6</v>
      </c>
      <c r="I711" s="254" t="s">
        <v>130</v>
      </c>
      <c r="J711" s="1"/>
      <c r="K711" s="1"/>
      <c r="L711" s="1"/>
      <c r="M711" s="1"/>
      <c r="N711" s="1"/>
      <c r="O711" s="1"/>
      <c r="P711" s="1"/>
      <c r="Q711" s="1"/>
      <c r="R711" s="1"/>
      <c r="S711" s="1"/>
    </row>
    <row r="712" ht="10.5" customHeight="1">
      <c r="A712" s="1"/>
      <c r="B712" s="48" t="s">
        <v>130</v>
      </c>
      <c r="C712" s="169">
        <v>40.0</v>
      </c>
      <c r="D712" s="169">
        <v>72.0</v>
      </c>
      <c r="E712" s="169">
        <v>178456.0</v>
      </c>
      <c r="F712" s="433">
        <v>2464.21</v>
      </c>
      <c r="G712" s="87"/>
      <c r="H712" s="440">
        <v>55.4</v>
      </c>
      <c r="I712" s="254" t="s">
        <v>131</v>
      </c>
      <c r="J712" s="1"/>
      <c r="K712" s="1"/>
      <c r="L712" s="1"/>
      <c r="M712" s="1"/>
      <c r="N712" s="1"/>
      <c r="O712" s="1"/>
      <c r="P712" s="1"/>
      <c r="Q712" s="1"/>
      <c r="R712" s="1"/>
      <c r="S712" s="1"/>
    </row>
    <row r="713" ht="10.5" customHeight="1">
      <c r="A713" s="1"/>
      <c r="B713" s="48"/>
      <c r="C713" s="169"/>
      <c r="D713" s="169"/>
      <c r="E713" s="169"/>
      <c r="F713" s="433"/>
      <c r="G713" s="87"/>
      <c r="H713" s="444"/>
      <c r="I713" s="254"/>
      <c r="J713" s="1"/>
      <c r="K713" s="1"/>
      <c r="L713" s="1"/>
      <c r="M713" s="1"/>
      <c r="N713" s="1"/>
      <c r="O713" s="1"/>
      <c r="P713" s="1"/>
      <c r="Q713" s="1"/>
      <c r="R713" s="1"/>
      <c r="S713" s="1"/>
    </row>
    <row r="714" ht="10.5" customHeight="1">
      <c r="A714" s="1"/>
      <c r="B714" s="48" t="s">
        <v>131</v>
      </c>
      <c r="C714" s="169">
        <v>49.0</v>
      </c>
      <c r="D714" s="169">
        <v>84.0</v>
      </c>
      <c r="E714" s="169">
        <v>238569.0</v>
      </c>
      <c r="F714" s="433">
        <v>2849.11</v>
      </c>
      <c r="G714" s="87"/>
      <c r="H714" s="440">
        <v>65.2</v>
      </c>
      <c r="I714" s="254" t="s">
        <v>133</v>
      </c>
      <c r="J714" s="1"/>
      <c r="K714" s="1"/>
      <c r="L714" s="1"/>
      <c r="M714" s="1"/>
      <c r="N714" s="1"/>
      <c r="O714" s="1"/>
      <c r="P714" s="1"/>
      <c r="Q714" s="1"/>
      <c r="R714" s="1"/>
      <c r="S714" s="1"/>
    </row>
    <row r="715" ht="10.5" customHeight="1">
      <c r="A715" s="1"/>
      <c r="B715" s="48" t="s">
        <v>133</v>
      </c>
      <c r="C715" s="169">
        <v>41.0</v>
      </c>
      <c r="D715" s="169">
        <v>66.0</v>
      </c>
      <c r="E715" s="169">
        <v>361907.0</v>
      </c>
      <c r="F715" s="433">
        <v>5514.38</v>
      </c>
      <c r="G715" s="87"/>
      <c r="H715" s="440" t="s">
        <v>723</v>
      </c>
      <c r="I715" s="254" t="s">
        <v>134</v>
      </c>
      <c r="J715" s="1"/>
      <c r="K715" s="1"/>
      <c r="L715" s="1"/>
      <c r="M715" s="1"/>
      <c r="N715" s="1"/>
      <c r="O715" s="1"/>
      <c r="P715" s="1"/>
      <c r="Q715" s="1"/>
      <c r="R715" s="1"/>
      <c r="S715" s="1"/>
    </row>
    <row r="716" ht="10.5" customHeight="1">
      <c r="A716" s="1"/>
      <c r="B716" s="293">
        <v>39295.0</v>
      </c>
      <c r="C716" s="169">
        <v>54.0</v>
      </c>
      <c r="D716" s="169">
        <v>100.0</v>
      </c>
      <c r="E716" s="169">
        <v>615157.0</v>
      </c>
      <c r="F716" s="433">
        <v>6122.1</v>
      </c>
      <c r="G716" s="87"/>
      <c r="H716" s="440">
        <v>131.4</v>
      </c>
      <c r="I716" s="254" t="s">
        <v>135</v>
      </c>
      <c r="J716" s="1"/>
      <c r="K716" s="1"/>
      <c r="L716" s="1"/>
      <c r="M716" s="1"/>
      <c r="N716" s="1"/>
      <c r="O716" s="1"/>
      <c r="P716" s="1"/>
      <c r="Q716" s="1"/>
      <c r="R716" s="1"/>
      <c r="S716" s="1"/>
    </row>
    <row r="717" ht="10.5" customHeight="1">
      <c r="A717" s="1"/>
      <c r="B717" s="293">
        <v>39692.0</v>
      </c>
      <c r="C717" s="169">
        <v>55.0</v>
      </c>
      <c r="D717" s="169">
        <v>113.0</v>
      </c>
      <c r="E717" s="169">
        <v>716143.0</v>
      </c>
      <c r="F717" s="433">
        <v>6360.69</v>
      </c>
      <c r="G717" s="87"/>
      <c r="H717" s="440" t="s">
        <v>724</v>
      </c>
      <c r="I717" s="293">
        <v>40087.0</v>
      </c>
      <c r="J717" s="1"/>
      <c r="K717" s="1"/>
      <c r="L717" s="1"/>
      <c r="M717" s="1"/>
      <c r="N717" s="1"/>
      <c r="O717" s="1"/>
      <c r="P717" s="1"/>
      <c r="Q717" s="1"/>
      <c r="R717" s="1"/>
      <c r="S717" s="1"/>
    </row>
    <row r="718" ht="10.5" customHeight="1">
      <c r="A718" s="1"/>
      <c r="B718" s="293">
        <v>40087.0</v>
      </c>
      <c r="C718" s="169">
        <v>57.0</v>
      </c>
      <c r="D718" s="169">
        <v>100.0</v>
      </c>
      <c r="E718" s="169">
        <v>463990.0</v>
      </c>
      <c r="F718" s="433">
        <v>4659.65</v>
      </c>
      <c r="G718" s="87"/>
      <c r="H718" s="440">
        <v>100.0</v>
      </c>
      <c r="I718" s="293">
        <v>40483.0</v>
      </c>
      <c r="J718" s="1"/>
      <c r="K718" s="1"/>
      <c r="L718" s="1"/>
      <c r="M718" s="1"/>
      <c r="N718" s="1"/>
      <c r="O718" s="1"/>
      <c r="P718" s="1"/>
      <c r="Q718" s="1"/>
      <c r="R718" s="1"/>
      <c r="S718" s="1"/>
    </row>
    <row r="719" ht="10.5" customHeight="1">
      <c r="A719" s="1"/>
      <c r="B719" s="293"/>
      <c r="C719" s="169"/>
      <c r="D719" s="169"/>
      <c r="E719" s="169"/>
      <c r="F719" s="433"/>
      <c r="G719" s="87"/>
      <c r="H719" s="440"/>
      <c r="I719" s="293"/>
      <c r="J719" s="1"/>
      <c r="K719" s="1"/>
      <c r="L719" s="1"/>
      <c r="M719" s="1"/>
      <c r="N719" s="1"/>
      <c r="O719" s="1"/>
      <c r="P719" s="1"/>
      <c r="Q719" s="1"/>
      <c r="R719" s="1"/>
      <c r="S719" s="1"/>
    </row>
    <row r="720" ht="10.5" customHeight="1">
      <c r="A720" s="1"/>
      <c r="B720" s="11" t="s">
        <v>139</v>
      </c>
      <c r="C720" s="169">
        <v>55.0</v>
      </c>
      <c r="D720" s="169">
        <v>73.0</v>
      </c>
      <c r="E720" s="169">
        <v>378088.0</v>
      </c>
      <c r="F720" s="433">
        <v>5200.52</v>
      </c>
      <c r="G720" s="87"/>
      <c r="H720" s="440">
        <v>100.8</v>
      </c>
      <c r="I720" s="11" t="s">
        <v>143</v>
      </c>
      <c r="J720" s="1"/>
      <c r="K720" s="1"/>
      <c r="L720" s="1"/>
      <c r="M720" s="1"/>
      <c r="N720" s="1"/>
      <c r="O720" s="1"/>
      <c r="P720" s="1"/>
      <c r="Q720" s="1"/>
      <c r="R720" s="1"/>
      <c r="S720" s="1"/>
    </row>
    <row r="721" ht="10.5" customHeight="1">
      <c r="A721" s="1"/>
      <c r="B721" s="85" t="s">
        <v>143</v>
      </c>
      <c r="C721" s="169">
        <v>45.0</v>
      </c>
      <c r="D721" s="169">
        <v>67.0</v>
      </c>
      <c r="E721" s="169">
        <v>553268.0</v>
      </c>
      <c r="F721" s="433">
        <v>8287.26</v>
      </c>
      <c r="G721" s="87"/>
      <c r="H721" s="440" t="s">
        <v>725</v>
      </c>
      <c r="I721" s="11" t="s">
        <v>149</v>
      </c>
      <c r="J721" s="1"/>
      <c r="K721" s="1"/>
      <c r="L721" s="1"/>
      <c r="M721" s="1"/>
      <c r="N721" s="1"/>
      <c r="O721" s="1"/>
      <c r="P721" s="1"/>
      <c r="Q721" s="1"/>
      <c r="R721" s="1"/>
      <c r="S721" s="1"/>
    </row>
    <row r="722" ht="10.5" customHeight="1">
      <c r="A722" s="1"/>
      <c r="B722" s="85" t="s">
        <v>149</v>
      </c>
      <c r="C722" s="169">
        <v>47.0</v>
      </c>
      <c r="D722" s="169">
        <v>47.0</v>
      </c>
      <c r="E722" s="169">
        <v>411168.0</v>
      </c>
      <c r="F722" s="433">
        <v>8755.87</v>
      </c>
      <c r="G722" s="87"/>
      <c r="H722" s="440">
        <v>140.0</v>
      </c>
      <c r="I722" s="11" t="s">
        <v>151</v>
      </c>
      <c r="J722" s="1"/>
      <c r="K722" s="1"/>
      <c r="L722" s="1"/>
      <c r="M722" s="1"/>
      <c r="N722" s="1"/>
      <c r="O722" s="1"/>
      <c r="P722" s="1"/>
      <c r="Q722" s="1"/>
      <c r="R722" s="1"/>
      <c r="S722" s="1"/>
    </row>
    <row r="723" ht="10.5" customHeight="1">
      <c r="A723" s="1"/>
      <c r="B723" s="85" t="s">
        <v>151</v>
      </c>
      <c r="C723" s="169">
        <v>52.0</v>
      </c>
      <c r="D723" s="169">
        <v>84.0</v>
      </c>
      <c r="E723" s="169">
        <v>694087.0</v>
      </c>
      <c r="F723" s="433">
        <v>8233.51</v>
      </c>
      <c r="G723" s="87"/>
      <c r="H723" s="440">
        <v>136.0</v>
      </c>
      <c r="I723" s="11" t="s">
        <v>153</v>
      </c>
      <c r="J723" s="1"/>
      <c r="K723" s="1"/>
      <c r="L723" s="1"/>
      <c r="M723" s="1"/>
      <c r="N723" s="1"/>
      <c r="O723" s="1"/>
      <c r="P723" s="1"/>
      <c r="Q723" s="1"/>
      <c r="R723" s="1"/>
      <c r="S723" s="1"/>
    </row>
    <row r="724" ht="10.5" customHeight="1">
      <c r="A724" s="1"/>
      <c r="B724" s="85" t="s">
        <v>153</v>
      </c>
      <c r="C724" s="169">
        <v>58.0</v>
      </c>
      <c r="D724" s="169">
        <v>70.0</v>
      </c>
      <c r="E724" s="169">
        <v>534486.0</v>
      </c>
      <c r="F724" s="433">
        <v>7581.86</v>
      </c>
      <c r="G724" s="87"/>
      <c r="H724" s="440">
        <v>118.4</v>
      </c>
      <c r="I724" s="11" t="s">
        <v>155</v>
      </c>
      <c r="J724" s="1"/>
      <c r="K724" s="1"/>
      <c r="L724" s="1"/>
      <c r="M724" s="1"/>
      <c r="N724" s="1"/>
      <c r="O724" s="1"/>
      <c r="P724" s="1"/>
      <c r="Q724" s="1"/>
      <c r="R724" s="1"/>
      <c r="S724" s="1"/>
    </row>
    <row r="725" ht="10.5" customHeight="1">
      <c r="A725" s="1"/>
      <c r="B725" s="85"/>
      <c r="C725" s="169"/>
      <c r="D725" s="169"/>
      <c r="E725" s="169"/>
      <c r="F725" s="433"/>
      <c r="G725" s="87"/>
      <c r="H725" s="440"/>
      <c r="I725" s="11"/>
      <c r="J725" s="1"/>
      <c r="K725" s="1"/>
      <c r="L725" s="1"/>
      <c r="M725" s="1"/>
      <c r="N725" s="1"/>
      <c r="O725" s="1"/>
      <c r="P725" s="1"/>
      <c r="Q725" s="1"/>
      <c r="R725" s="1"/>
      <c r="S725" s="1"/>
    </row>
    <row r="726" ht="10.5" customHeight="1">
      <c r="A726" s="1"/>
      <c r="B726" s="85" t="s">
        <v>155</v>
      </c>
      <c r="C726" s="169">
        <v>23.0</v>
      </c>
      <c r="D726" s="169">
        <v>20.0</v>
      </c>
      <c r="E726" s="169">
        <v>154478.0</v>
      </c>
      <c r="F726" s="433">
        <v>7721.68</v>
      </c>
      <c r="G726" s="87"/>
      <c r="H726" s="440">
        <v>133.6</v>
      </c>
      <c r="I726" s="11" t="s">
        <v>160</v>
      </c>
      <c r="J726" s="1"/>
      <c r="K726" s="1"/>
      <c r="L726" s="1"/>
      <c r="M726" s="1"/>
      <c r="N726" s="1"/>
      <c r="O726" s="1"/>
      <c r="P726" s="1"/>
      <c r="Q726" s="1"/>
      <c r="R726" s="1"/>
      <c r="S726" s="1"/>
    </row>
    <row r="727" ht="10.5" customHeight="1">
      <c r="A727" s="1"/>
      <c r="B727" s="85" t="s">
        <v>160</v>
      </c>
      <c r="C727" s="169">
        <v>56.0</v>
      </c>
      <c r="D727" s="169">
        <v>104.0</v>
      </c>
      <c r="E727" s="169">
        <v>819928.0</v>
      </c>
      <c r="F727" s="433">
        <v>7871.89</v>
      </c>
      <c r="G727" s="87"/>
      <c r="H727" s="440">
        <v>128.3</v>
      </c>
      <c r="I727" s="11" t="s">
        <v>162</v>
      </c>
      <c r="J727" s="1"/>
      <c r="K727" s="1"/>
      <c r="L727" s="1"/>
      <c r="M727" s="1"/>
      <c r="N727" s="1"/>
      <c r="O727" s="1"/>
      <c r="P727" s="1"/>
      <c r="Q727" s="1"/>
      <c r="R727" s="1"/>
      <c r="S727" s="1"/>
    </row>
    <row r="728" ht="10.5" customHeight="1">
      <c r="A728" s="1"/>
      <c r="B728" s="96" t="s">
        <v>726</v>
      </c>
      <c r="C728" s="260">
        <v>56.0</v>
      </c>
      <c r="D728" s="260">
        <v>101.0</v>
      </c>
      <c r="E728" s="260" t="s">
        <v>10</v>
      </c>
      <c r="F728" s="446" t="s">
        <v>10</v>
      </c>
      <c r="G728" s="94"/>
      <c r="H728" s="447" t="s">
        <v>10</v>
      </c>
      <c r="I728" s="52" t="s">
        <v>185</v>
      </c>
      <c r="J728" s="1"/>
      <c r="K728" s="1"/>
      <c r="L728" s="1"/>
      <c r="M728" s="1"/>
      <c r="N728" s="1"/>
      <c r="O728" s="1"/>
      <c r="P728" s="1"/>
      <c r="Q728" s="1"/>
      <c r="R728" s="1"/>
      <c r="S728" s="1"/>
    </row>
    <row r="729" ht="10.5" customHeight="1">
      <c r="A729" s="1"/>
      <c r="B729" s="29" t="s">
        <v>31</v>
      </c>
      <c r="C729" s="448" t="s">
        <v>729</v>
      </c>
      <c r="D729" s="383"/>
      <c r="E729" s="383"/>
      <c r="F729" s="383"/>
      <c r="G729" s="383"/>
      <c r="H729" s="383"/>
      <c r="I729" s="383"/>
      <c r="J729" s="383"/>
      <c r="K729" s="195"/>
      <c r="L729" s="196"/>
      <c r="M729" s="1"/>
      <c r="N729" s="1"/>
      <c r="O729" s="1"/>
      <c r="P729" s="1"/>
      <c r="Q729" s="1"/>
      <c r="R729" s="1"/>
      <c r="S729" s="1"/>
    </row>
    <row r="730" ht="10.5" customHeight="1">
      <c r="A730" s="1"/>
      <c r="B730" s="5"/>
      <c r="C730" s="337" t="s">
        <v>352</v>
      </c>
      <c r="D730" s="338" t="s">
        <v>353</v>
      </c>
      <c r="E730" s="338" t="s">
        <v>354</v>
      </c>
      <c r="F730" s="337" t="s">
        <v>249</v>
      </c>
      <c r="G730" s="337" t="s">
        <v>609</v>
      </c>
      <c r="H730" s="338" t="s">
        <v>263</v>
      </c>
      <c r="I730" s="338" t="s">
        <v>357</v>
      </c>
      <c r="J730" s="337" t="s">
        <v>256</v>
      </c>
      <c r="K730" s="338" t="s">
        <v>358</v>
      </c>
      <c r="L730" s="337" t="s">
        <v>2</v>
      </c>
      <c r="M730" s="1"/>
      <c r="N730" s="1"/>
      <c r="O730" s="1"/>
      <c r="P730" s="1"/>
      <c r="Q730" s="1"/>
      <c r="R730" s="1"/>
      <c r="S730" s="1"/>
    </row>
    <row r="731" ht="10.5" customHeight="1">
      <c r="A731" s="1"/>
      <c r="B731" s="5"/>
      <c r="C731" s="339" t="s">
        <v>348</v>
      </c>
      <c r="D731" s="339" t="s">
        <v>348</v>
      </c>
      <c r="E731" s="339" t="s">
        <v>348</v>
      </c>
      <c r="F731" s="339"/>
      <c r="G731" s="339" t="s">
        <v>349</v>
      </c>
      <c r="H731" s="339"/>
      <c r="I731" s="339" t="s">
        <v>360</v>
      </c>
      <c r="J731" s="339"/>
      <c r="K731" s="339" t="s">
        <v>361</v>
      </c>
      <c r="L731" s="298"/>
      <c r="M731" s="1"/>
      <c r="N731" s="1"/>
      <c r="O731" s="1"/>
      <c r="P731" s="1"/>
      <c r="Q731" s="1"/>
      <c r="R731" s="1"/>
      <c r="S731" s="1"/>
    </row>
    <row r="732" ht="10.5" customHeight="1">
      <c r="A732" s="1"/>
      <c r="B732" s="6"/>
      <c r="C732" s="8" t="s">
        <v>49</v>
      </c>
      <c r="D732" s="9"/>
      <c r="E732" s="9"/>
      <c r="F732" s="9"/>
      <c r="G732" s="9"/>
      <c r="H732" s="9"/>
      <c r="I732" s="9"/>
      <c r="J732" s="9"/>
      <c r="K732" s="9"/>
      <c r="L732" s="10"/>
      <c r="M732" s="1"/>
      <c r="N732" s="1"/>
      <c r="O732" s="1"/>
      <c r="P732" s="1"/>
      <c r="Q732" s="1"/>
      <c r="R732" s="1"/>
      <c r="S732" s="1"/>
    </row>
    <row r="733" ht="10.5" customHeight="1">
      <c r="A733" s="1"/>
      <c r="B733" s="48" t="s">
        <v>113</v>
      </c>
      <c r="C733" s="364" t="s">
        <v>40</v>
      </c>
      <c r="D733" s="450" t="s">
        <v>40</v>
      </c>
      <c r="E733" s="451">
        <v>21.19</v>
      </c>
      <c r="F733" s="451">
        <v>32.25</v>
      </c>
      <c r="G733" s="452">
        <v>0.28</v>
      </c>
      <c r="H733" s="451">
        <v>1.84</v>
      </c>
      <c r="I733" s="454">
        <v>1.84</v>
      </c>
      <c r="J733" s="452">
        <v>0.65</v>
      </c>
      <c r="K733" s="455">
        <v>49.76</v>
      </c>
      <c r="L733" s="452">
        <f t="shared" ref="L733:L737" si="28">SUM(G733:K733)</f>
        <v>54.37</v>
      </c>
      <c r="M733" s="1"/>
      <c r="N733" s="1"/>
      <c r="O733" s="1"/>
      <c r="P733" s="1"/>
      <c r="Q733" s="1"/>
      <c r="R733" s="1"/>
      <c r="S733" s="1"/>
    </row>
    <row r="734" ht="10.5" customHeight="1">
      <c r="A734" s="1"/>
      <c r="B734" s="48" t="s">
        <v>114</v>
      </c>
      <c r="C734" s="450" t="s">
        <v>40</v>
      </c>
      <c r="D734" s="450" t="s">
        <v>40</v>
      </c>
      <c r="E734" s="451">
        <v>18.66</v>
      </c>
      <c r="F734" s="451">
        <v>16.27</v>
      </c>
      <c r="G734" s="452">
        <v>0.18</v>
      </c>
      <c r="H734" s="451">
        <v>2.08</v>
      </c>
      <c r="I734" s="452">
        <v>1.18</v>
      </c>
      <c r="J734" s="452">
        <v>0.5</v>
      </c>
      <c r="K734" s="455">
        <v>31.64</v>
      </c>
      <c r="L734" s="452">
        <f t="shared" si="28"/>
        <v>35.58</v>
      </c>
      <c r="M734" s="1"/>
      <c r="N734" s="1"/>
      <c r="O734" s="1"/>
      <c r="P734" s="1"/>
      <c r="Q734" s="1"/>
      <c r="R734" s="1"/>
      <c r="S734" s="1"/>
    </row>
    <row r="735" ht="10.5" customHeight="1">
      <c r="A735" s="1"/>
      <c r="B735" s="48" t="s">
        <v>115</v>
      </c>
      <c r="C735" s="450" t="s">
        <v>40</v>
      </c>
      <c r="D735" s="450" t="s">
        <v>40</v>
      </c>
      <c r="E735" s="451">
        <v>22.54</v>
      </c>
      <c r="F735" s="451">
        <v>38.28</v>
      </c>
      <c r="G735" s="452">
        <v>0.39</v>
      </c>
      <c r="H735" s="451">
        <v>2.47</v>
      </c>
      <c r="I735" s="452">
        <v>2.06</v>
      </c>
      <c r="J735" s="452">
        <v>0.71</v>
      </c>
      <c r="K735" s="455">
        <v>63.57</v>
      </c>
      <c r="L735" s="452">
        <f t="shared" si="28"/>
        <v>69.2</v>
      </c>
      <c r="M735" s="1"/>
      <c r="N735" s="1"/>
      <c r="O735" s="1"/>
      <c r="P735" s="1"/>
      <c r="Q735" s="1"/>
      <c r="R735" s="1"/>
      <c r="S735" s="1"/>
    </row>
    <row r="736" ht="10.5" customHeight="1">
      <c r="A736" s="1"/>
      <c r="B736" s="48" t="s">
        <v>117</v>
      </c>
      <c r="C736" s="450" t="s">
        <v>40</v>
      </c>
      <c r="D736" s="450" t="s">
        <v>40</v>
      </c>
      <c r="E736" s="451">
        <v>24.09</v>
      </c>
      <c r="F736" s="451">
        <v>26.96</v>
      </c>
      <c r="G736" s="452">
        <v>0.32</v>
      </c>
      <c r="H736" s="451">
        <v>5.25</v>
      </c>
      <c r="I736" s="452">
        <v>0.35</v>
      </c>
      <c r="J736" s="452">
        <v>0.35</v>
      </c>
      <c r="K736" s="455">
        <v>37.68</v>
      </c>
      <c r="L736" s="452">
        <f t="shared" si="28"/>
        <v>43.95</v>
      </c>
      <c r="M736" s="1"/>
      <c r="N736" s="1"/>
      <c r="O736" s="1"/>
      <c r="P736" s="1"/>
      <c r="Q736" s="1"/>
      <c r="R736" s="1"/>
      <c r="S736" s="1"/>
    </row>
    <row r="737" ht="10.5" customHeight="1">
      <c r="A737" s="1"/>
      <c r="B737" s="48" t="s">
        <v>121</v>
      </c>
      <c r="C737" s="450" t="s">
        <v>40</v>
      </c>
      <c r="D737" s="450" t="s">
        <v>40</v>
      </c>
      <c r="E737" s="451">
        <v>16.8</v>
      </c>
      <c r="F737" s="451">
        <v>17.6</v>
      </c>
      <c r="G737" s="452">
        <v>0.2</v>
      </c>
      <c r="H737" s="451">
        <v>4.3</v>
      </c>
      <c r="I737" s="452">
        <v>0.06</v>
      </c>
      <c r="J737" s="452">
        <v>0.2</v>
      </c>
      <c r="K737" s="455">
        <v>26.0</v>
      </c>
      <c r="L737" s="452">
        <f t="shared" si="28"/>
        <v>30.76</v>
      </c>
      <c r="M737" s="1"/>
      <c r="N737" s="1"/>
      <c r="O737" s="1"/>
      <c r="P737" s="1"/>
      <c r="Q737" s="1"/>
      <c r="R737" s="1"/>
      <c r="S737" s="1"/>
    </row>
    <row r="738" ht="10.5" customHeight="1">
      <c r="A738" s="1"/>
      <c r="B738" s="460"/>
      <c r="C738" s="364"/>
      <c r="D738" s="364"/>
      <c r="E738" s="451"/>
      <c r="F738" s="451"/>
      <c r="G738" s="452"/>
      <c r="H738" s="451"/>
      <c r="I738" s="452"/>
      <c r="J738" s="452"/>
      <c r="K738" s="455"/>
      <c r="L738" s="452"/>
      <c r="M738" s="1"/>
      <c r="N738" s="1"/>
      <c r="O738" s="1"/>
      <c r="P738" s="1"/>
      <c r="Q738" s="1"/>
      <c r="R738" s="1"/>
      <c r="S738" s="1"/>
    </row>
    <row r="739" ht="10.5" customHeight="1">
      <c r="A739" s="1"/>
      <c r="B739" s="48" t="s">
        <v>122</v>
      </c>
      <c r="C739" s="450" t="s">
        <v>40</v>
      </c>
      <c r="D739" s="450" t="s">
        <v>40</v>
      </c>
      <c r="E739" s="451">
        <v>9.0</v>
      </c>
      <c r="F739" s="451">
        <v>37.0</v>
      </c>
      <c r="G739" s="452">
        <v>0.1</v>
      </c>
      <c r="H739" s="451">
        <v>2.4</v>
      </c>
      <c r="I739" s="452">
        <v>0.5</v>
      </c>
      <c r="J739" s="452">
        <v>0.25</v>
      </c>
      <c r="K739" s="455">
        <v>49.0</v>
      </c>
      <c r="L739" s="452">
        <f t="shared" ref="L739:L743" si="29">SUM(G739:K739)</f>
        <v>52.25</v>
      </c>
      <c r="M739" s="1"/>
      <c r="N739" s="1"/>
      <c r="O739" s="1"/>
      <c r="P739" s="1"/>
      <c r="Q739" s="1"/>
      <c r="R739" s="1"/>
      <c r="S739" s="1"/>
    </row>
    <row r="740" ht="10.5" customHeight="1">
      <c r="A740" s="1"/>
      <c r="B740" s="168" t="s">
        <v>123</v>
      </c>
      <c r="C740" s="450" t="s">
        <v>40</v>
      </c>
      <c r="D740" s="450" t="s">
        <v>40</v>
      </c>
      <c r="E740" s="451">
        <v>22.95</v>
      </c>
      <c r="F740" s="451">
        <v>28.0</v>
      </c>
      <c r="G740" s="452">
        <v>0.2</v>
      </c>
      <c r="H740" s="451">
        <v>3.9</v>
      </c>
      <c r="I740" s="452">
        <v>1.0</v>
      </c>
      <c r="J740" s="452" t="s">
        <v>40</v>
      </c>
      <c r="K740" s="455">
        <v>57.5</v>
      </c>
      <c r="L740" s="452">
        <f t="shared" si="29"/>
        <v>62.6</v>
      </c>
      <c r="M740" s="1"/>
      <c r="N740" s="1"/>
      <c r="O740" s="1"/>
      <c r="P740" s="1"/>
      <c r="Q740" s="1"/>
      <c r="R740" s="1"/>
      <c r="S740" s="1"/>
    </row>
    <row r="741" ht="10.5" customHeight="1">
      <c r="A741" s="1"/>
      <c r="B741" s="48" t="s">
        <v>125</v>
      </c>
      <c r="C741" s="450" t="s">
        <v>40</v>
      </c>
      <c r="D741" s="450" t="s">
        <v>40</v>
      </c>
      <c r="E741" s="451">
        <v>38.25</v>
      </c>
      <c r="F741" s="451">
        <v>54.6</v>
      </c>
      <c r="G741" s="452">
        <v>0.16</v>
      </c>
      <c r="H741" s="451">
        <v>4.95</v>
      </c>
      <c r="I741" s="452">
        <v>2.38</v>
      </c>
      <c r="J741" s="452">
        <v>0.7</v>
      </c>
      <c r="K741" s="455">
        <v>82.8</v>
      </c>
      <c r="L741" s="452">
        <f t="shared" si="29"/>
        <v>90.99</v>
      </c>
      <c r="M741" s="1"/>
      <c r="N741" s="1"/>
      <c r="O741" s="1"/>
      <c r="P741" s="1"/>
      <c r="Q741" s="1"/>
      <c r="R741" s="1"/>
      <c r="S741" s="1"/>
    </row>
    <row r="742" ht="10.5" customHeight="1">
      <c r="A742" s="1"/>
      <c r="B742" s="48" t="s">
        <v>127</v>
      </c>
      <c r="C742" s="450" t="s">
        <v>40</v>
      </c>
      <c r="D742" s="450" t="s">
        <v>40</v>
      </c>
      <c r="E742" s="452">
        <v>18.75</v>
      </c>
      <c r="F742" s="464">
        <v>37.95</v>
      </c>
      <c r="G742" s="452">
        <v>0.2</v>
      </c>
      <c r="H742" s="452">
        <v>7.5</v>
      </c>
      <c r="I742" s="464">
        <v>0.38</v>
      </c>
      <c r="J742" s="452">
        <v>0.21</v>
      </c>
      <c r="K742" s="452">
        <v>55.2</v>
      </c>
      <c r="L742" s="452">
        <f t="shared" si="29"/>
        <v>63.49</v>
      </c>
      <c r="M742" s="1"/>
      <c r="N742" s="1"/>
      <c r="O742" s="1"/>
      <c r="P742" s="1"/>
      <c r="Q742" s="1"/>
      <c r="R742" s="1"/>
      <c r="S742" s="1"/>
    </row>
    <row r="743" ht="10.5" customHeight="1">
      <c r="A743" s="1"/>
      <c r="B743" s="48" t="s">
        <v>128</v>
      </c>
      <c r="C743" s="450" t="s">
        <v>40</v>
      </c>
      <c r="D743" s="450" t="s">
        <v>40</v>
      </c>
      <c r="E743" s="452">
        <v>15.9</v>
      </c>
      <c r="F743" s="464">
        <v>23.0</v>
      </c>
      <c r="G743" s="452">
        <v>0.11</v>
      </c>
      <c r="H743" s="452">
        <v>2.6</v>
      </c>
      <c r="I743" s="464">
        <v>0.3</v>
      </c>
      <c r="J743" s="452" t="s">
        <v>40</v>
      </c>
      <c r="K743" s="452">
        <v>18.1</v>
      </c>
      <c r="L743" s="452">
        <f t="shared" si="29"/>
        <v>21.11</v>
      </c>
      <c r="M743" s="1"/>
      <c r="N743" s="1"/>
      <c r="O743" s="1"/>
      <c r="P743" s="1"/>
      <c r="Q743" s="1"/>
      <c r="R743" s="1"/>
      <c r="S743" s="1"/>
    </row>
    <row r="744" ht="10.5" customHeight="1">
      <c r="A744" s="1"/>
      <c r="B744" s="48"/>
      <c r="C744" s="467"/>
      <c r="D744" s="467"/>
      <c r="E744" s="452"/>
      <c r="F744" s="464"/>
      <c r="G744" s="452"/>
      <c r="H744" s="452"/>
      <c r="I744" s="464"/>
      <c r="J744" s="452"/>
      <c r="K744" s="452"/>
      <c r="L744" s="452"/>
      <c r="M744" s="1"/>
      <c r="N744" s="1"/>
      <c r="O744" s="1"/>
      <c r="P744" s="1"/>
      <c r="Q744" s="1"/>
      <c r="R744" s="1"/>
      <c r="S744" s="1"/>
    </row>
    <row r="745" ht="10.5" customHeight="1">
      <c r="A745" s="1"/>
      <c r="B745" s="48" t="s">
        <v>129</v>
      </c>
      <c r="C745" s="450" t="s">
        <v>40</v>
      </c>
      <c r="D745" s="450" t="s">
        <v>40</v>
      </c>
      <c r="E745" s="452">
        <v>40.0</v>
      </c>
      <c r="F745" s="464">
        <v>30.5</v>
      </c>
      <c r="G745" s="452">
        <v>0.22</v>
      </c>
      <c r="H745" s="452">
        <v>3.3</v>
      </c>
      <c r="I745" s="464">
        <v>1.08</v>
      </c>
      <c r="J745" s="452" t="s">
        <v>40</v>
      </c>
      <c r="K745" s="452">
        <v>39.9</v>
      </c>
      <c r="L745" s="452">
        <f t="shared" ref="L745:L749" si="30">SUM(G745:K745)</f>
        <v>44.5</v>
      </c>
      <c r="M745" s="1"/>
      <c r="N745" s="1"/>
      <c r="O745" s="1"/>
      <c r="P745" s="1"/>
      <c r="Q745" s="1"/>
      <c r="R745" s="1"/>
      <c r="S745" s="1"/>
    </row>
    <row r="746" ht="10.5" customHeight="1">
      <c r="A746" s="1"/>
      <c r="B746" s="48" t="s">
        <v>130</v>
      </c>
      <c r="C746" s="450" t="s">
        <v>40</v>
      </c>
      <c r="D746" s="450" t="s">
        <v>40</v>
      </c>
      <c r="E746" s="452">
        <v>18.45</v>
      </c>
      <c r="F746" s="464">
        <v>27.5</v>
      </c>
      <c r="G746" s="452">
        <v>0.25</v>
      </c>
      <c r="H746" s="452">
        <v>2.15</v>
      </c>
      <c r="I746" s="464">
        <v>0.72</v>
      </c>
      <c r="J746" s="452">
        <v>0.05</v>
      </c>
      <c r="K746" s="452">
        <v>14.88</v>
      </c>
      <c r="L746" s="452">
        <f t="shared" si="30"/>
        <v>18.05</v>
      </c>
      <c r="M746" s="1"/>
      <c r="N746" s="1"/>
      <c r="O746" s="1"/>
      <c r="P746" s="1"/>
      <c r="Q746" s="1"/>
      <c r="R746" s="1"/>
      <c r="S746" s="1"/>
    </row>
    <row r="747" ht="10.5" customHeight="1">
      <c r="A747" s="1"/>
      <c r="B747" s="48" t="s">
        <v>131</v>
      </c>
      <c r="C747" s="450" t="s">
        <v>40</v>
      </c>
      <c r="D747" s="450" t="s">
        <v>40</v>
      </c>
      <c r="E747" s="452">
        <v>26.1</v>
      </c>
      <c r="F747" s="452">
        <v>26.0</v>
      </c>
      <c r="G747" s="452" t="s">
        <v>40</v>
      </c>
      <c r="H747" s="452">
        <v>2.93</v>
      </c>
      <c r="I747" s="451" t="s">
        <v>40</v>
      </c>
      <c r="J747" s="452">
        <v>0.02</v>
      </c>
      <c r="K747" s="452">
        <v>18.95</v>
      </c>
      <c r="L747" s="452">
        <f t="shared" si="30"/>
        <v>21.9</v>
      </c>
      <c r="M747" s="1"/>
      <c r="N747" s="1"/>
      <c r="O747" s="1"/>
      <c r="P747" s="1"/>
      <c r="Q747" s="1"/>
      <c r="R747" s="1"/>
      <c r="S747" s="1"/>
    </row>
    <row r="748" ht="10.5" customHeight="1">
      <c r="A748" s="1"/>
      <c r="B748" s="48" t="s">
        <v>133</v>
      </c>
      <c r="C748" s="450" t="s">
        <v>40</v>
      </c>
      <c r="D748" s="450" t="s">
        <v>40</v>
      </c>
      <c r="E748" s="452">
        <v>21.75</v>
      </c>
      <c r="F748" s="452">
        <v>20.75</v>
      </c>
      <c r="G748" s="452">
        <v>0.03</v>
      </c>
      <c r="H748" s="452">
        <v>2.42</v>
      </c>
      <c r="I748" s="451" t="s">
        <v>40</v>
      </c>
      <c r="J748" s="452">
        <v>0.05</v>
      </c>
      <c r="K748" s="452">
        <v>13.0</v>
      </c>
      <c r="L748" s="452">
        <f t="shared" si="30"/>
        <v>15.5</v>
      </c>
      <c r="M748" s="1"/>
      <c r="N748" s="1"/>
      <c r="O748" s="1"/>
      <c r="P748" s="1"/>
      <c r="Q748" s="1"/>
      <c r="R748" s="1"/>
      <c r="S748" s="1"/>
    </row>
    <row r="749" ht="10.5" customHeight="1">
      <c r="A749" s="1"/>
      <c r="B749" s="293">
        <v>39295.0</v>
      </c>
      <c r="C749" s="450" t="s">
        <v>40</v>
      </c>
      <c r="D749" s="450" t="s">
        <v>40</v>
      </c>
      <c r="E749" s="452">
        <v>21.5</v>
      </c>
      <c r="F749" s="452">
        <v>35.7</v>
      </c>
      <c r="G749" s="452">
        <v>0.08</v>
      </c>
      <c r="H749" s="452">
        <v>5.81</v>
      </c>
      <c r="I749" s="451" t="s">
        <v>40</v>
      </c>
      <c r="J749" s="452">
        <v>0.06</v>
      </c>
      <c r="K749" s="452">
        <v>25.65</v>
      </c>
      <c r="L749" s="452">
        <f t="shared" si="30"/>
        <v>31.6</v>
      </c>
      <c r="M749" s="1"/>
      <c r="N749" s="1"/>
      <c r="O749" s="1"/>
      <c r="P749" s="1"/>
      <c r="Q749" s="1"/>
      <c r="R749" s="1"/>
      <c r="S749" s="1"/>
    </row>
    <row r="750" ht="10.5" customHeight="1">
      <c r="A750" s="1"/>
      <c r="B750" s="293"/>
      <c r="C750" s="467"/>
      <c r="D750" s="467"/>
      <c r="E750" s="452"/>
      <c r="F750" s="452"/>
      <c r="G750" s="452"/>
      <c r="H750" s="452"/>
      <c r="I750" s="452"/>
      <c r="J750" s="452"/>
      <c r="K750" s="452"/>
      <c r="L750" s="452"/>
      <c r="M750" s="1"/>
      <c r="N750" s="1"/>
      <c r="O750" s="1"/>
      <c r="P750" s="1"/>
      <c r="Q750" s="1"/>
      <c r="R750" s="1"/>
      <c r="S750" s="1"/>
    </row>
    <row r="751" ht="10.5" customHeight="1">
      <c r="A751" s="1"/>
      <c r="B751" s="293">
        <v>39692.0</v>
      </c>
      <c r="C751" s="450" t="s">
        <v>40</v>
      </c>
      <c r="D751" s="450" t="s">
        <v>40</v>
      </c>
      <c r="E751" s="452">
        <v>31.0</v>
      </c>
      <c r="F751" s="452">
        <v>33.69</v>
      </c>
      <c r="G751" s="452" t="s">
        <v>40</v>
      </c>
      <c r="H751" s="452">
        <v>6.75</v>
      </c>
      <c r="I751" s="451" t="s">
        <v>40</v>
      </c>
      <c r="J751" s="452">
        <v>0.06</v>
      </c>
      <c r="K751" s="452">
        <v>28.0</v>
      </c>
      <c r="L751" s="452">
        <f t="shared" ref="L751:L755" si="31">SUM(G751:K751)</f>
        <v>34.81</v>
      </c>
      <c r="M751" s="1"/>
      <c r="N751" s="1"/>
      <c r="O751" s="1"/>
      <c r="P751" s="1"/>
      <c r="Q751" s="1"/>
      <c r="R751" s="1"/>
      <c r="S751" s="1"/>
    </row>
    <row r="752" ht="10.5" customHeight="1">
      <c r="A752" s="1"/>
      <c r="B752" s="293">
        <v>40087.0</v>
      </c>
      <c r="C752" s="450" t="s">
        <v>40</v>
      </c>
      <c r="D752" s="450" t="s">
        <v>40</v>
      </c>
      <c r="E752" s="452">
        <v>27.12</v>
      </c>
      <c r="F752" s="452">
        <v>35.0</v>
      </c>
      <c r="G752" s="452">
        <v>0.3</v>
      </c>
      <c r="H752" s="452">
        <v>3.52</v>
      </c>
      <c r="I752" s="451" t="s">
        <v>40</v>
      </c>
      <c r="J752" s="452">
        <v>0.06</v>
      </c>
      <c r="K752" s="452">
        <v>22.0</v>
      </c>
      <c r="L752" s="452">
        <f t="shared" si="31"/>
        <v>25.88</v>
      </c>
      <c r="M752" s="1"/>
      <c r="N752" s="1"/>
      <c r="O752" s="1"/>
      <c r="P752" s="1"/>
      <c r="Q752" s="1"/>
      <c r="R752" s="1"/>
      <c r="S752" s="1"/>
    </row>
    <row r="753" ht="10.5" customHeight="1">
      <c r="A753" s="1"/>
      <c r="B753" s="85" t="s">
        <v>139</v>
      </c>
      <c r="C753" s="450" t="s">
        <v>40</v>
      </c>
      <c r="D753" s="450" t="s">
        <v>40</v>
      </c>
      <c r="E753" s="452">
        <v>18.95</v>
      </c>
      <c r="F753" s="452">
        <v>20.7</v>
      </c>
      <c r="G753" s="452">
        <v>0.2</v>
      </c>
      <c r="H753" s="452">
        <v>3.5</v>
      </c>
      <c r="I753" s="451" t="s">
        <v>40</v>
      </c>
      <c r="J753" s="452" t="s">
        <v>40</v>
      </c>
      <c r="K753" s="452">
        <v>20.9</v>
      </c>
      <c r="L753" s="452">
        <f t="shared" si="31"/>
        <v>24.6</v>
      </c>
      <c r="M753" s="1"/>
      <c r="N753" s="1"/>
      <c r="O753" s="1"/>
      <c r="P753" s="1"/>
      <c r="Q753" s="1"/>
      <c r="R753" s="1"/>
      <c r="S753" s="1"/>
    </row>
    <row r="754" ht="10.5" customHeight="1">
      <c r="A754" s="1"/>
      <c r="B754" s="85" t="s">
        <v>143</v>
      </c>
      <c r="C754" s="467" t="s">
        <v>40</v>
      </c>
      <c r="D754" s="467" t="s">
        <v>40</v>
      </c>
      <c r="E754" s="452">
        <v>16.9</v>
      </c>
      <c r="F754" s="452">
        <v>21.8</v>
      </c>
      <c r="G754" s="452">
        <v>0.15</v>
      </c>
      <c r="H754" s="452">
        <v>3.35</v>
      </c>
      <c r="I754" s="452" t="s">
        <v>40</v>
      </c>
      <c r="J754" s="452" t="s">
        <v>40</v>
      </c>
      <c r="K754" s="452">
        <v>16.8</v>
      </c>
      <c r="L754" s="452">
        <f t="shared" si="31"/>
        <v>20.3</v>
      </c>
      <c r="M754" s="1"/>
      <c r="N754" s="1"/>
      <c r="O754" s="1"/>
      <c r="P754" s="1"/>
      <c r="Q754" s="1"/>
      <c r="R754" s="1"/>
      <c r="S754" s="1"/>
    </row>
    <row r="755" ht="10.5" customHeight="1">
      <c r="A755" s="1"/>
      <c r="B755" s="85" t="s">
        <v>149</v>
      </c>
      <c r="C755" s="467" t="s">
        <v>40</v>
      </c>
      <c r="D755" s="467" t="s">
        <v>40</v>
      </c>
      <c r="E755" s="452">
        <v>14.0</v>
      </c>
      <c r="F755" s="452">
        <v>15.1</v>
      </c>
      <c r="G755" s="452">
        <v>0.15</v>
      </c>
      <c r="H755" s="452">
        <v>1.5</v>
      </c>
      <c r="I755" s="452">
        <v>0.75</v>
      </c>
      <c r="J755" s="452" t="s">
        <v>40</v>
      </c>
      <c r="K755" s="452">
        <v>10.0</v>
      </c>
      <c r="L755" s="452">
        <f t="shared" si="31"/>
        <v>12.4</v>
      </c>
      <c r="M755" s="1"/>
      <c r="N755" s="1"/>
      <c r="O755" s="1"/>
      <c r="P755" s="1"/>
      <c r="Q755" s="1"/>
      <c r="R755" s="1"/>
      <c r="S755" s="1"/>
    </row>
    <row r="756" ht="10.5" customHeight="1">
      <c r="A756" s="1"/>
      <c r="B756" s="85"/>
      <c r="C756" s="467"/>
      <c r="D756" s="450"/>
      <c r="E756" s="452"/>
      <c r="F756" s="452"/>
      <c r="G756" s="452"/>
      <c r="H756" s="452"/>
      <c r="I756" s="451"/>
      <c r="J756" s="452"/>
      <c r="K756" s="452"/>
      <c r="L756" s="452"/>
      <c r="M756" s="1"/>
      <c r="N756" s="1"/>
      <c r="O756" s="1"/>
      <c r="P756" s="1"/>
      <c r="Q756" s="1"/>
      <c r="R756" s="1"/>
      <c r="S756" s="1"/>
    </row>
    <row r="757" ht="10.5" customHeight="1">
      <c r="A757" s="1"/>
      <c r="B757" s="85" t="s">
        <v>151</v>
      </c>
      <c r="C757" s="467" t="s">
        <v>40</v>
      </c>
      <c r="D757" s="450" t="s">
        <v>40</v>
      </c>
      <c r="E757" s="452">
        <v>18.2</v>
      </c>
      <c r="F757" s="452">
        <v>23.5</v>
      </c>
      <c r="G757" s="452">
        <v>0.09</v>
      </c>
      <c r="H757" s="452">
        <v>4.11</v>
      </c>
      <c r="I757" s="451">
        <v>0.1</v>
      </c>
      <c r="J757" s="452" t="s">
        <v>40</v>
      </c>
      <c r="K757" s="452">
        <v>28.5</v>
      </c>
      <c r="L757" s="452">
        <f t="shared" ref="L757:L758" si="32">SUM(G757:K757)</f>
        <v>32.8</v>
      </c>
      <c r="M757" s="1"/>
      <c r="N757" s="1"/>
      <c r="O757" s="1"/>
      <c r="P757" s="1"/>
      <c r="Q757" s="1"/>
      <c r="R757" s="1"/>
      <c r="S757" s="1"/>
    </row>
    <row r="758" ht="10.5" customHeight="1">
      <c r="A758" s="1"/>
      <c r="B758" s="85" t="s">
        <v>153</v>
      </c>
      <c r="C758" s="467" t="s">
        <v>40</v>
      </c>
      <c r="D758" s="450" t="s">
        <v>40</v>
      </c>
      <c r="E758" s="452">
        <v>22.7</v>
      </c>
      <c r="F758" s="452">
        <v>21.8</v>
      </c>
      <c r="G758" s="452">
        <v>0.1</v>
      </c>
      <c r="H758" s="452">
        <v>3.25</v>
      </c>
      <c r="I758" s="451" t="s">
        <v>40</v>
      </c>
      <c r="J758" s="452" t="s">
        <v>40</v>
      </c>
      <c r="K758" s="452">
        <v>14.45</v>
      </c>
      <c r="L758" s="452">
        <f t="shared" si="32"/>
        <v>17.8</v>
      </c>
      <c r="M758" s="154"/>
      <c r="N758" s="154"/>
      <c r="O758" s="154"/>
      <c r="P758" s="154"/>
      <c r="Q758" s="1"/>
      <c r="R758" s="1"/>
      <c r="S758" s="1"/>
    </row>
    <row r="759" ht="10.5" customHeight="1">
      <c r="A759" s="1"/>
      <c r="B759" s="85" t="s">
        <v>155</v>
      </c>
      <c r="C759" s="467" t="s">
        <v>40</v>
      </c>
      <c r="D759" s="450" t="s">
        <v>40</v>
      </c>
      <c r="E759" s="452">
        <v>10.0</v>
      </c>
      <c r="F759" s="452">
        <v>2.92</v>
      </c>
      <c r="G759" s="452" t="s">
        <v>40</v>
      </c>
      <c r="H759" s="452">
        <v>1.44</v>
      </c>
      <c r="I759" s="451" t="s">
        <v>40</v>
      </c>
      <c r="J759" s="452" t="s">
        <v>40</v>
      </c>
      <c r="K759" s="452">
        <v>3.32</v>
      </c>
      <c r="L759" s="452">
        <v>17.68</v>
      </c>
      <c r="M759" s="154"/>
      <c r="N759" s="154"/>
      <c r="O759" s="154"/>
      <c r="P759" s="154"/>
      <c r="Q759" s="1"/>
      <c r="R759" s="1"/>
      <c r="S759" s="1"/>
    </row>
    <row r="760" ht="10.5" customHeight="1">
      <c r="A760" s="1"/>
      <c r="B760" s="85" t="s">
        <v>160</v>
      </c>
      <c r="C760" s="467" t="s">
        <v>40</v>
      </c>
      <c r="D760" s="450" t="s">
        <v>40</v>
      </c>
      <c r="E760" s="452">
        <v>14.0</v>
      </c>
      <c r="F760" s="452">
        <v>34.1</v>
      </c>
      <c r="G760" s="452" t="s">
        <v>40</v>
      </c>
      <c r="H760" s="452">
        <v>4.8</v>
      </c>
      <c r="I760" s="451" t="s">
        <v>40</v>
      </c>
      <c r="J760" s="452" t="s">
        <v>40</v>
      </c>
      <c r="K760" s="452">
        <v>39.15</v>
      </c>
      <c r="L760" s="452">
        <v>92.05</v>
      </c>
      <c r="M760" s="154"/>
      <c r="N760" s="154"/>
      <c r="O760" s="154"/>
      <c r="P760" s="154"/>
      <c r="Q760" s="1"/>
      <c r="R760" s="1"/>
      <c r="S760" s="1"/>
    </row>
    <row r="761" ht="10.5" customHeight="1">
      <c r="A761" s="1"/>
      <c r="B761" s="96" t="s">
        <v>748</v>
      </c>
      <c r="C761" s="471" t="s">
        <v>40</v>
      </c>
      <c r="D761" s="471" t="s">
        <v>40</v>
      </c>
      <c r="E761" s="472">
        <v>9.8</v>
      </c>
      <c r="F761" s="472">
        <v>37.4</v>
      </c>
      <c r="G761" s="472" t="s">
        <v>40</v>
      </c>
      <c r="H761" s="472">
        <v>5.25</v>
      </c>
      <c r="I761" s="472" t="s">
        <v>40</v>
      </c>
      <c r="J761" s="472" t="s">
        <v>40</v>
      </c>
      <c r="K761" s="472">
        <v>36.4</v>
      </c>
      <c r="L761" s="472">
        <v>88.85</v>
      </c>
      <c r="M761" s="1"/>
      <c r="N761" s="1"/>
      <c r="O761" s="1"/>
      <c r="P761" s="1"/>
      <c r="Q761" s="1"/>
      <c r="R761" s="1"/>
      <c r="S761" s="1"/>
    </row>
    <row r="762" ht="6.0" customHeight="1">
      <c r="A762" s="1"/>
      <c r="B762" s="291"/>
      <c r="C762" s="473"/>
      <c r="D762" s="473"/>
      <c r="E762" s="464"/>
      <c r="F762" s="464"/>
      <c r="G762" s="464"/>
      <c r="H762" s="464"/>
      <c r="I762" s="464"/>
      <c r="J762" s="464"/>
      <c r="K762" s="1"/>
      <c r="L762" s="1"/>
      <c r="M762" s="1"/>
      <c r="N762" s="1"/>
      <c r="O762" s="1"/>
      <c r="P762" s="1"/>
      <c r="Q762" s="1"/>
      <c r="R762" s="1"/>
      <c r="S762" s="1"/>
    </row>
    <row r="763" ht="10.5" customHeight="1">
      <c r="A763" s="1"/>
      <c r="B763" s="185" t="s">
        <v>751</v>
      </c>
      <c r="C763" s="474"/>
      <c r="D763" s="474"/>
      <c r="E763" s="474"/>
      <c r="F763" s="474"/>
      <c r="G763" s="474"/>
      <c r="H763" s="15"/>
      <c r="I763" s="1"/>
      <c r="J763" s="1"/>
      <c r="K763" s="1"/>
      <c r="L763" s="1"/>
      <c r="M763" s="1"/>
      <c r="N763" s="1"/>
      <c r="O763" s="1"/>
      <c r="P763" s="1"/>
      <c r="Q763" s="1"/>
      <c r="R763" s="1"/>
      <c r="S763" s="1"/>
    </row>
    <row r="764" ht="10.5" customHeight="1">
      <c r="A764" s="1"/>
      <c r="B764" s="185" t="s">
        <v>753</v>
      </c>
      <c r="C764" s="185"/>
      <c r="D764" s="185"/>
      <c r="E764" s="185"/>
      <c r="F764" s="185"/>
      <c r="G764" s="185"/>
      <c r="H764" s="1"/>
      <c r="I764" s="1"/>
      <c r="J764" s="1"/>
      <c r="K764" s="1"/>
      <c r="L764" s="1"/>
      <c r="M764" s="1"/>
      <c r="N764" s="1"/>
      <c r="O764" s="1"/>
      <c r="P764" s="1"/>
      <c r="Q764" s="1"/>
      <c r="R764" s="1"/>
      <c r="S764" s="1"/>
    </row>
    <row r="765" ht="10.5" customHeight="1">
      <c r="A765" s="1"/>
      <c r="B765" s="185" t="s">
        <v>754</v>
      </c>
      <c r="C765" s="185"/>
      <c r="D765" s="185"/>
      <c r="E765" s="185"/>
      <c r="F765" s="185"/>
      <c r="G765" s="185"/>
      <c r="H765" s="1"/>
      <c r="I765" s="1"/>
      <c r="J765" s="1"/>
      <c r="K765" s="1"/>
      <c r="L765" s="1"/>
      <c r="M765" s="1"/>
      <c r="N765" s="1"/>
      <c r="O765" s="1"/>
      <c r="P765" s="1"/>
      <c r="Q765" s="1"/>
      <c r="R765" s="1"/>
      <c r="S765" s="1"/>
    </row>
    <row r="766" ht="10.5" customHeight="1">
      <c r="A766" s="1"/>
      <c r="B766" s="185" t="s">
        <v>755</v>
      </c>
      <c r="C766" s="185"/>
      <c r="D766" s="185"/>
      <c r="E766" s="185"/>
      <c r="F766" s="185"/>
      <c r="G766" s="185"/>
      <c r="H766" s="1"/>
      <c r="I766" s="1"/>
      <c r="J766" s="1"/>
      <c r="K766" s="1"/>
      <c r="L766" s="1"/>
      <c r="M766" s="1"/>
      <c r="N766" s="1"/>
      <c r="O766" s="1"/>
      <c r="P766" s="1"/>
      <c r="Q766" s="1"/>
      <c r="R766" s="1"/>
      <c r="S766" s="1"/>
    </row>
    <row r="767" ht="10.5" customHeight="1">
      <c r="A767" s="1"/>
      <c r="B767" s="185" t="s">
        <v>756</v>
      </c>
      <c r="H767" s="1"/>
      <c r="I767" s="1"/>
      <c r="J767" s="1"/>
      <c r="K767" s="1"/>
      <c r="L767" s="1"/>
      <c r="M767" s="1"/>
      <c r="N767" s="1"/>
      <c r="O767" s="1"/>
      <c r="P767" s="1"/>
      <c r="Q767" s="1"/>
      <c r="R767" s="1"/>
      <c r="S767" s="1"/>
    </row>
    <row r="768" ht="10.5" customHeight="1">
      <c r="A768" s="1"/>
      <c r="B768" s="185" t="s">
        <v>757</v>
      </c>
      <c r="C768" s="185"/>
      <c r="D768" s="185"/>
      <c r="E768" s="185" t="s">
        <v>11</v>
      </c>
      <c r="F768" s="185"/>
      <c r="G768" s="185"/>
      <c r="H768" s="1"/>
      <c r="I768" s="1"/>
      <c r="J768" s="1"/>
      <c r="K768" s="1"/>
      <c r="L768" s="1"/>
      <c r="M768" s="1"/>
      <c r="N768" s="1"/>
      <c r="O768" s="1"/>
      <c r="P768" s="1"/>
      <c r="Q768" s="1"/>
      <c r="R768" s="1"/>
      <c r="S768" s="1"/>
    </row>
    <row r="769" ht="10.5" customHeight="1">
      <c r="A769" s="1"/>
      <c r="B769" s="1"/>
      <c r="C769" s="1"/>
      <c r="D769" s="1"/>
      <c r="E769" s="1"/>
      <c r="F769" s="1"/>
      <c r="G769" s="1"/>
      <c r="H769" s="1"/>
      <c r="I769" s="1"/>
      <c r="J769" s="1"/>
      <c r="K769" s="1"/>
      <c r="L769" s="1"/>
      <c r="M769" s="1"/>
      <c r="N769" s="1"/>
      <c r="O769" s="1"/>
      <c r="P769" s="1"/>
      <c r="Q769" s="1"/>
      <c r="R769" s="1"/>
      <c r="S769" s="1"/>
    </row>
    <row r="770" ht="10.5" customHeight="1">
      <c r="A770" s="1"/>
      <c r="B770" s="1"/>
      <c r="C770" s="1"/>
      <c r="D770" s="1"/>
      <c r="E770" s="1"/>
      <c r="F770" s="1"/>
      <c r="G770" s="1"/>
      <c r="H770" s="1"/>
      <c r="I770" s="1"/>
      <c r="J770" s="1"/>
      <c r="K770" s="1"/>
      <c r="L770" s="1"/>
      <c r="M770" s="1"/>
      <c r="N770" s="1"/>
      <c r="O770" s="1"/>
      <c r="P770" s="1"/>
      <c r="Q770" s="1"/>
      <c r="R770" s="1"/>
      <c r="S770" s="1"/>
    </row>
    <row r="771" ht="10.5" customHeight="1">
      <c r="A771" s="1"/>
      <c r="B771" s="185"/>
      <c r="C771" s="185"/>
      <c r="D771" s="185"/>
      <c r="E771" s="185"/>
      <c r="F771" s="185"/>
      <c r="G771" s="185"/>
      <c r="H771" s="1"/>
      <c r="I771" s="1"/>
      <c r="J771" s="1"/>
      <c r="K771" s="1"/>
      <c r="L771" s="1"/>
      <c r="M771" s="1"/>
      <c r="N771" s="1"/>
      <c r="O771" s="1"/>
      <c r="P771" s="1"/>
      <c r="Q771" s="1"/>
      <c r="R771" s="1"/>
      <c r="S771" s="1"/>
    </row>
    <row r="772" ht="10.5" customHeight="1">
      <c r="A772" s="1"/>
      <c r="B772" s="185"/>
      <c r="C772" s="185"/>
      <c r="D772" s="185"/>
      <c r="E772" s="185"/>
      <c r="F772" s="185"/>
      <c r="G772" s="185"/>
      <c r="H772" s="1"/>
      <c r="I772" s="1"/>
      <c r="J772" s="1"/>
      <c r="K772" s="1"/>
      <c r="L772" s="1"/>
      <c r="M772" s="1"/>
      <c r="N772" s="1"/>
      <c r="O772" s="1"/>
      <c r="P772" s="1"/>
      <c r="Q772" s="1"/>
      <c r="R772" s="1"/>
      <c r="S772" s="1"/>
    </row>
    <row r="773" ht="10.5" customHeight="1">
      <c r="A773" s="1"/>
      <c r="B773" s="185"/>
      <c r="C773" s="185"/>
      <c r="D773" s="185"/>
      <c r="E773" s="185"/>
      <c r="F773" s="185"/>
      <c r="G773" s="185"/>
      <c r="H773" s="1"/>
      <c r="I773" s="1"/>
      <c r="J773" s="1"/>
      <c r="K773" s="1"/>
      <c r="L773" s="1"/>
      <c r="M773" s="1"/>
      <c r="N773" s="1"/>
      <c r="O773" s="1"/>
      <c r="P773" s="1"/>
      <c r="Q773" s="1"/>
      <c r="R773" s="1"/>
      <c r="S773" s="1"/>
    </row>
    <row r="774" ht="10.5" customHeight="1">
      <c r="A774" s="1"/>
      <c r="B774" s="185"/>
      <c r="C774" s="185"/>
      <c r="D774" s="185"/>
      <c r="E774" s="185"/>
      <c r="F774" s="185"/>
      <c r="G774" s="185"/>
      <c r="H774" s="1"/>
      <c r="I774" s="1"/>
      <c r="J774" s="1"/>
      <c r="K774" s="1"/>
      <c r="L774" s="1"/>
      <c r="M774" s="1"/>
      <c r="N774" s="1"/>
      <c r="O774" s="1"/>
      <c r="P774" s="1"/>
      <c r="Q774" s="1"/>
      <c r="R774" s="1"/>
      <c r="S774" s="1"/>
    </row>
    <row r="775" ht="10.5" customHeight="1">
      <c r="A775" s="1"/>
      <c r="B775" s="185"/>
      <c r="C775" s="185"/>
      <c r="D775" s="185"/>
      <c r="E775" s="185"/>
      <c r="F775" s="185"/>
      <c r="G775" s="185"/>
      <c r="H775" s="1"/>
      <c r="I775" s="1"/>
      <c r="J775" s="1"/>
      <c r="K775" s="1"/>
      <c r="L775" s="1"/>
      <c r="M775" s="1"/>
      <c r="N775" s="1"/>
      <c r="O775" s="1"/>
      <c r="P775" s="1"/>
      <c r="Q775" s="1"/>
      <c r="R775" s="1"/>
      <c r="S775" s="1"/>
    </row>
    <row r="776" ht="10.5" customHeight="1">
      <c r="A776" s="1"/>
      <c r="B776" s="185"/>
      <c r="C776" s="185"/>
      <c r="D776" s="185"/>
      <c r="E776" s="185"/>
      <c r="F776" s="185"/>
      <c r="G776" s="185"/>
      <c r="H776" s="1"/>
      <c r="I776" s="1"/>
      <c r="J776" s="1"/>
      <c r="K776" s="1"/>
      <c r="L776" s="1"/>
      <c r="M776" s="1"/>
      <c r="N776" s="1"/>
      <c r="O776" s="1"/>
      <c r="P776" s="1"/>
      <c r="Q776" s="1"/>
      <c r="R776" s="1"/>
      <c r="S776" s="1"/>
    </row>
    <row r="777" ht="10.5" customHeight="1">
      <c r="A777" s="1"/>
      <c r="B777" s="185"/>
      <c r="C777" s="185"/>
      <c r="D777" s="185"/>
      <c r="E777" s="185"/>
      <c r="F777" s="185"/>
      <c r="G777" s="185"/>
      <c r="H777" s="1"/>
      <c r="I777" s="1"/>
      <c r="J777" s="1"/>
      <c r="K777" s="1"/>
      <c r="L777" s="1"/>
      <c r="M777" s="1"/>
      <c r="N777" s="1"/>
      <c r="O777" s="1"/>
      <c r="P777" s="1"/>
      <c r="Q777" s="1"/>
      <c r="R777" s="1"/>
      <c r="S777" s="1"/>
    </row>
    <row r="778" ht="10.5" customHeight="1">
      <c r="A778" s="1"/>
      <c r="B778" s="185"/>
      <c r="C778" s="185"/>
      <c r="D778" s="185"/>
      <c r="E778" s="185"/>
      <c r="F778" s="185"/>
      <c r="G778" s="185"/>
      <c r="H778" s="1"/>
      <c r="I778" s="1"/>
      <c r="J778" s="1"/>
      <c r="K778" s="1"/>
      <c r="L778" s="1"/>
      <c r="M778" s="1"/>
      <c r="N778" s="1"/>
      <c r="O778" s="1"/>
      <c r="P778" s="1"/>
      <c r="Q778" s="1"/>
      <c r="R778" s="1"/>
      <c r="S778" s="1"/>
    </row>
    <row r="779" ht="10.5" customHeight="1">
      <c r="A779" s="1"/>
      <c r="B779" s="185"/>
      <c r="C779" s="185"/>
      <c r="D779" s="185"/>
      <c r="E779" s="185"/>
      <c r="F779" s="185"/>
      <c r="G779" s="185"/>
      <c r="H779" s="1"/>
      <c r="I779" s="1"/>
      <c r="J779" s="1"/>
      <c r="K779" s="1"/>
      <c r="L779" s="1"/>
      <c r="M779" s="1"/>
      <c r="N779" s="1"/>
      <c r="O779" s="1"/>
      <c r="P779" s="1"/>
      <c r="Q779" s="1"/>
      <c r="R779" s="1"/>
      <c r="S779" s="1"/>
    </row>
    <row r="780" ht="10.5" customHeight="1">
      <c r="A780" s="1"/>
      <c r="B780" s="185"/>
      <c r="C780" s="185"/>
      <c r="D780" s="185"/>
      <c r="E780" s="185"/>
      <c r="F780" s="185"/>
      <c r="G780" s="185"/>
      <c r="H780" s="1"/>
      <c r="I780" s="1"/>
      <c r="J780" s="1"/>
      <c r="K780" s="1"/>
      <c r="L780" s="1"/>
      <c r="M780" s="1"/>
      <c r="N780" s="1"/>
      <c r="O780" s="1"/>
      <c r="P780" s="1"/>
      <c r="Q780" s="1"/>
      <c r="R780" s="1"/>
      <c r="S780" s="1"/>
    </row>
    <row r="781" ht="10.5" customHeight="1">
      <c r="A781" s="1"/>
      <c r="B781" s="60"/>
      <c r="C781" s="60"/>
      <c r="D781" s="60"/>
      <c r="E781" s="60"/>
      <c r="F781" s="60"/>
      <c r="G781" s="60"/>
      <c r="H781" s="1"/>
      <c r="I781" s="1"/>
      <c r="J781" s="1"/>
      <c r="K781" s="1"/>
      <c r="L781" s="1"/>
      <c r="M781" s="1"/>
      <c r="N781" s="1"/>
      <c r="O781" s="1"/>
      <c r="P781" s="1"/>
      <c r="Q781" s="1"/>
      <c r="R781" s="1"/>
      <c r="S781" s="1"/>
    </row>
    <row r="782" ht="10.5" customHeight="1">
      <c r="A782" s="1"/>
      <c r="B782" s="60"/>
      <c r="C782" s="60"/>
      <c r="D782" s="60"/>
      <c r="E782" s="60"/>
      <c r="F782" s="60"/>
      <c r="G782" s="110">
        <v>15.0</v>
      </c>
      <c r="H782" s="1"/>
      <c r="I782" s="15"/>
      <c r="J782" s="15"/>
      <c r="K782" s="1"/>
      <c r="L782" s="1"/>
      <c r="M782" s="1"/>
      <c r="N782" s="1"/>
      <c r="O782" s="1"/>
      <c r="P782" s="1"/>
      <c r="Q782" s="1"/>
      <c r="R782" s="1"/>
      <c r="S782" s="1"/>
    </row>
    <row r="783" ht="10.5" customHeight="1">
      <c r="A783" s="1"/>
      <c r="B783" s="60"/>
      <c r="C783" s="60"/>
      <c r="D783" s="60"/>
      <c r="E783" s="60"/>
      <c r="F783" s="60"/>
      <c r="G783" s="110"/>
      <c r="H783" s="1"/>
      <c r="I783" s="15"/>
      <c r="J783" s="15"/>
      <c r="K783" s="1"/>
      <c r="L783" s="1"/>
      <c r="M783" s="1"/>
      <c r="N783" s="1"/>
      <c r="O783" s="1"/>
      <c r="P783" s="1"/>
      <c r="Q783" s="1"/>
      <c r="R783" s="1"/>
      <c r="S783" s="1"/>
    </row>
    <row r="784" ht="10.5" customHeight="1">
      <c r="A784" s="1"/>
      <c r="B784" s="60"/>
      <c r="C784" s="60"/>
      <c r="D784" s="60"/>
      <c r="E784" s="60"/>
      <c r="F784" s="60"/>
      <c r="G784" s="60"/>
      <c r="H784" s="1"/>
      <c r="I784" s="1"/>
      <c r="J784" s="1"/>
      <c r="K784" s="1"/>
      <c r="L784" s="1"/>
      <c r="M784" s="1"/>
      <c r="N784" s="1"/>
      <c r="O784" s="1"/>
      <c r="P784" s="1"/>
      <c r="Q784" s="1"/>
      <c r="R784" s="1"/>
      <c r="S784" s="1"/>
    </row>
    <row r="785" ht="10.5" customHeight="1">
      <c r="A785" s="1"/>
      <c r="B785" s="1" t="s">
        <v>760</v>
      </c>
      <c r="C785" s="1"/>
      <c r="D785" s="1"/>
      <c r="E785" s="1"/>
      <c r="F785" s="1"/>
      <c r="G785" s="1"/>
      <c r="H785" s="475"/>
      <c r="I785" s="1"/>
      <c r="J785" s="1"/>
      <c r="K785" s="1"/>
      <c r="L785" s="1"/>
      <c r="M785" s="1"/>
      <c r="N785" s="1"/>
      <c r="O785" s="1"/>
      <c r="P785" s="1"/>
      <c r="Q785" s="1"/>
      <c r="R785" s="1"/>
      <c r="S785" s="1"/>
    </row>
    <row r="786" ht="10.5" customHeight="1">
      <c r="A786" s="1"/>
      <c r="B786" s="29" t="s">
        <v>684</v>
      </c>
      <c r="C786" s="31" t="s">
        <v>761</v>
      </c>
      <c r="D786" s="128" t="s">
        <v>762</v>
      </c>
      <c r="E786" s="9"/>
      <c r="F786" s="9"/>
      <c r="G786" s="10"/>
      <c r="H786" s="476" t="s">
        <v>243</v>
      </c>
      <c r="I786" s="1"/>
      <c r="J786" s="1"/>
      <c r="K786" s="1"/>
      <c r="L786" s="1"/>
      <c r="M786" s="1"/>
      <c r="N786" s="1"/>
      <c r="O786" s="1"/>
      <c r="P786" s="1"/>
      <c r="Q786" s="1"/>
      <c r="R786" s="1"/>
      <c r="S786" s="1"/>
    </row>
    <row r="787" ht="33.75" customHeight="1">
      <c r="A787" s="1"/>
      <c r="B787" s="5"/>
      <c r="C787" s="6"/>
      <c r="D787" s="7" t="s">
        <v>763</v>
      </c>
      <c r="E787" s="7" t="s">
        <v>764</v>
      </c>
      <c r="F787" s="7" t="s">
        <v>765</v>
      </c>
      <c r="G787" s="7" t="s">
        <v>2</v>
      </c>
      <c r="H787" s="128" t="s">
        <v>766</v>
      </c>
      <c r="I787" s="253"/>
      <c r="J787" s="1"/>
      <c r="K787" s="1"/>
      <c r="L787" s="1"/>
      <c r="M787" s="1"/>
      <c r="N787" s="1"/>
      <c r="O787" s="1"/>
      <c r="P787" s="1"/>
      <c r="Q787" s="1"/>
      <c r="R787" s="1"/>
      <c r="S787" s="1"/>
    </row>
    <row r="788" ht="10.5" customHeight="1">
      <c r="A788" s="1"/>
      <c r="B788" s="6"/>
      <c r="C788" s="477" t="s">
        <v>520</v>
      </c>
      <c r="D788" s="35"/>
      <c r="E788" s="35"/>
      <c r="F788" s="35"/>
      <c r="G788" s="35"/>
      <c r="H788" s="35"/>
      <c r="I788" s="253"/>
      <c r="J788" s="1"/>
      <c r="K788" s="1"/>
      <c r="L788" s="1"/>
      <c r="M788" s="1"/>
      <c r="N788" s="1"/>
      <c r="O788" s="1"/>
      <c r="P788" s="1"/>
      <c r="Q788" s="1"/>
      <c r="R788" s="1"/>
      <c r="S788" s="1"/>
    </row>
    <row r="789" ht="10.5" customHeight="1">
      <c r="A789" s="1"/>
      <c r="B789" s="48" t="s">
        <v>93</v>
      </c>
      <c r="C789" s="30">
        <v>136868.0</v>
      </c>
      <c r="D789" s="30">
        <v>54215.0</v>
      </c>
      <c r="E789" s="30">
        <v>14589.0</v>
      </c>
      <c r="F789" s="30">
        <v>8278.0</v>
      </c>
      <c r="G789" s="30">
        <f t="shared" ref="G789:G793" si="33">SUM(D789:F789)</f>
        <v>77082</v>
      </c>
      <c r="H789" s="30" t="s">
        <v>40</v>
      </c>
      <c r="I789" s="1"/>
      <c r="J789" s="1"/>
      <c r="K789" s="1"/>
      <c r="L789" s="1"/>
      <c r="M789" s="1"/>
      <c r="N789" s="1"/>
      <c r="O789" s="1"/>
      <c r="P789" s="1"/>
      <c r="Q789" s="1"/>
      <c r="R789" s="1"/>
      <c r="S789" s="1"/>
    </row>
    <row r="790" ht="10.5" customHeight="1">
      <c r="A790" s="1"/>
      <c r="B790" s="48" t="s">
        <v>97</v>
      </c>
      <c r="C790" s="30">
        <v>78341.0</v>
      </c>
      <c r="D790" s="30">
        <v>43708.0</v>
      </c>
      <c r="E790" s="30">
        <v>25286.0</v>
      </c>
      <c r="F790" s="30">
        <v>9952.0</v>
      </c>
      <c r="G790" s="30">
        <f t="shared" si="33"/>
        <v>78946</v>
      </c>
      <c r="H790" s="30">
        <v>9943.0</v>
      </c>
      <c r="I790" s="1"/>
      <c r="J790" s="1"/>
      <c r="K790" s="1"/>
      <c r="L790" s="1"/>
      <c r="M790" s="1"/>
      <c r="N790" s="1"/>
      <c r="O790" s="1"/>
      <c r="P790" s="1"/>
      <c r="Q790" s="1"/>
      <c r="R790" s="1"/>
      <c r="S790" s="1"/>
    </row>
    <row r="791" ht="10.5" customHeight="1">
      <c r="A791" s="1"/>
      <c r="B791" s="48" t="s">
        <v>101</v>
      </c>
      <c r="C791" s="30">
        <v>83899.0</v>
      </c>
      <c r="D791" s="30">
        <v>37146.0</v>
      </c>
      <c r="E791" s="30">
        <v>25175.0</v>
      </c>
      <c r="F791" s="30">
        <v>11011.0</v>
      </c>
      <c r="G791" s="30">
        <f t="shared" si="33"/>
        <v>73332</v>
      </c>
      <c r="H791" s="30">
        <v>5435.0</v>
      </c>
      <c r="I791" s="1"/>
      <c r="J791" s="1"/>
      <c r="K791" s="1"/>
      <c r="L791" s="1"/>
      <c r="M791" s="1"/>
      <c r="N791" s="1"/>
      <c r="O791" s="1"/>
      <c r="P791" s="1"/>
      <c r="Q791" s="1"/>
      <c r="R791" s="1"/>
      <c r="S791" s="1"/>
    </row>
    <row r="792" ht="10.5" customHeight="1">
      <c r="A792" s="1"/>
      <c r="B792" s="48" t="s">
        <v>103</v>
      </c>
      <c r="C792" s="30">
        <v>164472.0</v>
      </c>
      <c r="D792" s="30">
        <v>83229.0</v>
      </c>
      <c r="E792" s="30">
        <v>40020.0</v>
      </c>
      <c r="F792" s="30">
        <v>6137.0</v>
      </c>
      <c r="G792" s="30">
        <f t="shared" si="33"/>
        <v>129386</v>
      </c>
      <c r="H792" s="30">
        <v>42880.0</v>
      </c>
      <c r="I792" s="1"/>
      <c r="J792" s="1"/>
      <c r="K792" s="1"/>
      <c r="L792" s="1"/>
      <c r="M792" s="1"/>
      <c r="N792" s="1"/>
      <c r="O792" s="1"/>
      <c r="P792" s="1"/>
      <c r="Q792" s="1"/>
      <c r="R792" s="1"/>
      <c r="S792" s="1"/>
    </row>
    <row r="793" ht="10.5" customHeight="1">
      <c r="A793" s="1"/>
      <c r="B793" s="48" t="s">
        <v>104</v>
      </c>
      <c r="C793" s="30">
        <v>116221.0</v>
      </c>
      <c r="D793" s="30">
        <v>40382.0</v>
      </c>
      <c r="E793" s="30">
        <v>27541.0</v>
      </c>
      <c r="F793" s="30">
        <v>4056.0</v>
      </c>
      <c r="G793" s="30">
        <f t="shared" si="33"/>
        <v>71979</v>
      </c>
      <c r="H793" s="30">
        <v>26748.0</v>
      </c>
      <c r="I793" s="1"/>
      <c r="J793" s="1"/>
      <c r="K793" s="1"/>
      <c r="L793" s="1"/>
      <c r="M793" s="1"/>
      <c r="N793" s="1"/>
      <c r="O793" s="1"/>
      <c r="P793" s="1"/>
      <c r="Q793" s="1"/>
      <c r="R793" s="1"/>
      <c r="S793" s="1"/>
    </row>
    <row r="794" ht="10.5" customHeight="1">
      <c r="A794" s="1"/>
      <c r="B794" s="48"/>
      <c r="C794" s="30"/>
      <c r="D794" s="30"/>
      <c r="E794" s="30"/>
      <c r="F794" s="30"/>
      <c r="G794" s="30"/>
      <c r="H794" s="30"/>
      <c r="I794" s="1"/>
      <c r="J794" s="1"/>
      <c r="K794" s="1"/>
      <c r="L794" s="1"/>
      <c r="M794" s="1"/>
      <c r="N794" s="1"/>
      <c r="O794" s="1"/>
      <c r="P794" s="1"/>
      <c r="Q794" s="1"/>
      <c r="R794" s="1"/>
      <c r="S794" s="1"/>
    </row>
    <row r="795" ht="10.5" customHeight="1">
      <c r="A795" s="1"/>
      <c r="B795" s="48" t="s">
        <v>108</v>
      </c>
      <c r="C795" s="30">
        <v>79042.0</v>
      </c>
      <c r="D795" s="30">
        <v>9808.0</v>
      </c>
      <c r="E795" s="30">
        <v>34027.0</v>
      </c>
      <c r="F795" s="30">
        <v>6053.0</v>
      </c>
      <c r="G795" s="30">
        <f t="shared" ref="G795:G799" si="34">SUM(D795:F795)</f>
        <v>49888</v>
      </c>
      <c r="H795" s="30">
        <v>23423.0</v>
      </c>
      <c r="I795" s="1"/>
      <c r="J795" s="1"/>
      <c r="K795" s="1"/>
      <c r="L795" s="1"/>
      <c r="M795" s="1"/>
      <c r="N795" s="1"/>
      <c r="O795" s="1"/>
      <c r="P795" s="1"/>
      <c r="Q795" s="1"/>
      <c r="R795" s="1"/>
      <c r="S795" s="1"/>
    </row>
    <row r="796" ht="10.5" customHeight="1">
      <c r="A796" s="1"/>
      <c r="B796" s="48" t="s">
        <v>111</v>
      </c>
      <c r="C796" s="30">
        <v>78774.0</v>
      </c>
      <c r="D796" s="30">
        <v>18489.0</v>
      </c>
      <c r="E796" s="30">
        <v>29599.0</v>
      </c>
      <c r="F796" s="30">
        <v>11210.0</v>
      </c>
      <c r="G796" s="30">
        <f t="shared" si="34"/>
        <v>59298</v>
      </c>
      <c r="H796" s="30">
        <v>21478.0</v>
      </c>
      <c r="I796" s="1"/>
      <c r="J796" s="1"/>
      <c r="K796" s="1"/>
      <c r="L796" s="1"/>
      <c r="M796" s="1"/>
      <c r="N796" s="1"/>
      <c r="O796" s="1"/>
      <c r="P796" s="1"/>
      <c r="Q796" s="1"/>
      <c r="R796" s="1"/>
      <c r="S796" s="1"/>
    </row>
    <row r="797" ht="10.5" customHeight="1">
      <c r="A797" s="1"/>
      <c r="B797" s="48" t="s">
        <v>112</v>
      </c>
      <c r="C797" s="30">
        <v>79649.0</v>
      </c>
      <c r="D797" s="30">
        <v>12555.0</v>
      </c>
      <c r="E797" s="30">
        <v>30651.0</v>
      </c>
      <c r="F797" s="30">
        <v>8630.0</v>
      </c>
      <c r="G797" s="30">
        <f t="shared" si="34"/>
        <v>51836</v>
      </c>
      <c r="H797" s="30">
        <v>7720.0</v>
      </c>
      <c r="I797" s="1"/>
      <c r="J797" s="1"/>
      <c r="K797" s="1"/>
      <c r="L797" s="1"/>
      <c r="M797" s="1"/>
      <c r="N797" s="1"/>
      <c r="O797" s="1"/>
      <c r="P797" s="1"/>
      <c r="Q797" s="1"/>
      <c r="R797" s="1"/>
      <c r="S797" s="1"/>
    </row>
    <row r="798" ht="10.5" customHeight="1">
      <c r="A798" s="1"/>
      <c r="B798" s="48" t="s">
        <v>113</v>
      </c>
      <c r="C798" s="30">
        <v>90393.0</v>
      </c>
      <c r="D798" s="30">
        <v>26523.0</v>
      </c>
      <c r="E798" s="30">
        <v>39057.0</v>
      </c>
      <c r="F798" s="30">
        <v>6578.0</v>
      </c>
      <c r="G798" s="30">
        <f t="shared" si="34"/>
        <v>72158</v>
      </c>
      <c r="H798" s="30">
        <v>20955.0</v>
      </c>
      <c r="I798" s="1"/>
      <c r="J798" s="1"/>
      <c r="K798" s="1"/>
      <c r="L798" s="1"/>
      <c r="M798" s="1"/>
      <c r="N798" s="1"/>
      <c r="O798" s="1"/>
      <c r="P798" s="1"/>
      <c r="Q798" s="1"/>
      <c r="R798" s="1"/>
      <c r="S798" s="1"/>
    </row>
    <row r="799" ht="10.5" customHeight="1">
      <c r="A799" s="1"/>
      <c r="B799" s="48" t="s">
        <v>114</v>
      </c>
      <c r="C799" s="30">
        <v>107810.0</v>
      </c>
      <c r="D799" s="30">
        <v>40000.0</v>
      </c>
      <c r="E799" s="30">
        <v>50000.0</v>
      </c>
      <c r="F799" s="30">
        <v>8000.0</v>
      </c>
      <c r="G799" s="30">
        <f t="shared" si="34"/>
        <v>98000</v>
      </c>
      <c r="H799" s="30">
        <v>32000.0</v>
      </c>
      <c r="I799" s="1"/>
      <c r="J799" s="1"/>
      <c r="K799" s="1"/>
      <c r="L799" s="1"/>
      <c r="M799" s="1"/>
      <c r="N799" s="1"/>
      <c r="O799" s="1"/>
      <c r="P799" s="1"/>
      <c r="Q799" s="1"/>
      <c r="R799" s="1"/>
      <c r="S799" s="1"/>
    </row>
    <row r="800" ht="10.5" customHeight="1">
      <c r="A800" s="1"/>
      <c r="B800" s="48"/>
      <c r="C800" s="30"/>
      <c r="D800" s="30"/>
      <c r="E800" s="30"/>
      <c r="F800" s="30"/>
      <c r="G800" s="478"/>
      <c r="H800" s="30"/>
      <c r="I800" s="1"/>
      <c r="J800" s="1"/>
      <c r="K800" s="1"/>
      <c r="L800" s="1"/>
      <c r="M800" s="1"/>
      <c r="N800" s="1"/>
      <c r="O800" s="1"/>
      <c r="P800" s="1"/>
      <c r="Q800" s="1"/>
      <c r="R800" s="1"/>
      <c r="S800" s="1"/>
    </row>
    <row r="801" ht="10.5" customHeight="1">
      <c r="A801" s="1"/>
      <c r="B801" s="48" t="s">
        <v>115</v>
      </c>
      <c r="C801" s="30">
        <v>70500.0</v>
      </c>
      <c r="D801" s="30">
        <v>13000.0</v>
      </c>
      <c r="E801" s="30">
        <v>38000.0</v>
      </c>
      <c r="F801" s="30">
        <v>5500.0</v>
      </c>
      <c r="G801" s="30">
        <f t="shared" ref="G801:G805" si="35">SUM(D801:F801)</f>
        <v>56500</v>
      </c>
      <c r="H801" s="30">
        <v>12000.0</v>
      </c>
      <c r="I801" s="1"/>
      <c r="J801" s="1"/>
      <c r="K801" s="1"/>
      <c r="L801" s="1"/>
      <c r="M801" s="1"/>
      <c r="N801" s="1"/>
      <c r="O801" s="1"/>
      <c r="P801" s="1"/>
      <c r="Q801" s="1"/>
      <c r="R801" s="1"/>
      <c r="S801" s="1"/>
    </row>
    <row r="802" ht="10.5" customHeight="1">
      <c r="A802" s="1"/>
      <c r="B802" s="48" t="s">
        <v>117</v>
      </c>
      <c r="C802" s="30">
        <v>130000.0</v>
      </c>
      <c r="D802" s="30">
        <v>20000.0</v>
      </c>
      <c r="E802" s="30">
        <v>55000.0</v>
      </c>
      <c r="F802" s="30">
        <v>10000.0</v>
      </c>
      <c r="G802" s="30">
        <f t="shared" si="35"/>
        <v>85000</v>
      </c>
      <c r="H802" s="30">
        <v>50000.0</v>
      </c>
      <c r="I802" s="1"/>
      <c r="J802" s="1"/>
      <c r="K802" s="1"/>
      <c r="L802" s="1"/>
      <c r="M802" s="1"/>
      <c r="N802" s="1"/>
      <c r="O802" s="1"/>
      <c r="P802" s="1"/>
      <c r="Q802" s="1"/>
      <c r="R802" s="1"/>
      <c r="S802" s="1"/>
    </row>
    <row r="803" ht="10.5" customHeight="1">
      <c r="A803" s="1"/>
      <c r="B803" s="48" t="s">
        <v>121</v>
      </c>
      <c r="C803" s="30">
        <v>95000.0</v>
      </c>
      <c r="D803" s="30">
        <v>15160.0</v>
      </c>
      <c r="E803" s="30">
        <v>29000.0</v>
      </c>
      <c r="F803" s="30">
        <v>5000.0</v>
      </c>
      <c r="G803" s="30">
        <f t="shared" si="35"/>
        <v>49160</v>
      </c>
      <c r="H803" s="30">
        <v>16000.0</v>
      </c>
      <c r="I803" s="1"/>
      <c r="J803" s="1"/>
      <c r="K803" s="1"/>
      <c r="L803" s="1"/>
      <c r="M803" s="1"/>
      <c r="N803" s="1"/>
      <c r="O803" s="1"/>
      <c r="P803" s="1"/>
      <c r="Q803" s="1"/>
      <c r="R803" s="1"/>
      <c r="S803" s="1"/>
    </row>
    <row r="804" ht="10.5" customHeight="1">
      <c r="A804" s="1"/>
      <c r="B804" s="48" t="s">
        <v>122</v>
      </c>
      <c r="C804" s="30">
        <v>77872.0</v>
      </c>
      <c r="D804" s="30">
        <v>15750.0</v>
      </c>
      <c r="E804" s="30">
        <v>31963.0</v>
      </c>
      <c r="F804" s="30">
        <v>3177.0</v>
      </c>
      <c r="G804" s="30">
        <f t="shared" si="35"/>
        <v>50890</v>
      </c>
      <c r="H804" s="30">
        <v>37900.0</v>
      </c>
      <c r="I804" s="1"/>
      <c r="J804" s="1"/>
      <c r="K804" s="1"/>
      <c r="L804" s="1"/>
      <c r="M804" s="1"/>
      <c r="N804" s="1"/>
      <c r="O804" s="1"/>
      <c r="P804" s="1"/>
      <c r="Q804" s="1"/>
      <c r="R804" s="1"/>
      <c r="S804" s="1"/>
    </row>
    <row r="805" ht="10.5" customHeight="1">
      <c r="A805" s="1"/>
      <c r="B805" s="48" t="s">
        <v>123</v>
      </c>
      <c r="C805" s="30">
        <v>138300.0</v>
      </c>
      <c r="D805" s="30">
        <v>13600.0</v>
      </c>
      <c r="E805" s="30">
        <v>48100.0</v>
      </c>
      <c r="F805" s="30">
        <v>3300.0</v>
      </c>
      <c r="G805" s="30">
        <f t="shared" si="35"/>
        <v>65000</v>
      </c>
      <c r="H805" s="30">
        <v>33900.0</v>
      </c>
      <c r="I805" s="1"/>
      <c r="J805" s="1"/>
      <c r="K805" s="1"/>
      <c r="L805" s="1"/>
      <c r="M805" s="1"/>
      <c r="N805" s="1"/>
      <c r="O805" s="1"/>
      <c r="P805" s="1"/>
      <c r="Q805" s="1"/>
      <c r="R805" s="1"/>
      <c r="S805" s="1"/>
    </row>
    <row r="806" ht="10.5" customHeight="1">
      <c r="A806" s="1"/>
      <c r="B806" s="48"/>
      <c r="C806" s="30"/>
      <c r="D806" s="30"/>
      <c r="E806" s="30"/>
      <c r="F806" s="30"/>
      <c r="G806" s="417"/>
      <c r="H806" s="30"/>
      <c r="I806" s="1"/>
      <c r="J806" s="1"/>
      <c r="K806" s="1"/>
      <c r="L806" s="1"/>
      <c r="M806" s="1"/>
      <c r="N806" s="1"/>
      <c r="O806" s="1"/>
      <c r="P806" s="1"/>
      <c r="Q806" s="1"/>
      <c r="R806" s="1"/>
      <c r="S806" s="1"/>
    </row>
    <row r="807" ht="10.5" customHeight="1">
      <c r="A807" s="1"/>
      <c r="B807" s="48" t="s">
        <v>125</v>
      </c>
      <c r="C807" s="30">
        <v>122300.0</v>
      </c>
      <c r="D807" s="30">
        <v>7800.0</v>
      </c>
      <c r="E807" s="30">
        <v>47500.0</v>
      </c>
      <c r="F807" s="13">
        <v>9700.0</v>
      </c>
      <c r="G807" s="30">
        <f t="shared" ref="G807:G811" si="36">SUM(D807:F807)</f>
        <v>65000</v>
      </c>
      <c r="H807" s="30">
        <v>44900.0</v>
      </c>
      <c r="I807" s="1"/>
      <c r="J807" s="1"/>
      <c r="K807" s="1"/>
      <c r="L807" s="1"/>
      <c r="M807" s="1"/>
      <c r="N807" s="1"/>
      <c r="O807" s="1"/>
      <c r="P807" s="1"/>
      <c r="Q807" s="1"/>
      <c r="R807" s="1"/>
      <c r="S807" s="1"/>
    </row>
    <row r="808" ht="10.5" customHeight="1">
      <c r="A808" s="1"/>
      <c r="B808" s="48" t="s">
        <v>127</v>
      </c>
      <c r="C808" s="30">
        <v>186100.0</v>
      </c>
      <c r="D808" s="30">
        <v>13900.0</v>
      </c>
      <c r="E808" s="30">
        <v>43400.0</v>
      </c>
      <c r="F808" s="13">
        <v>3900.0</v>
      </c>
      <c r="G808" s="30">
        <f t="shared" si="36"/>
        <v>61200</v>
      </c>
      <c r="H808" s="30">
        <v>50500.0</v>
      </c>
      <c r="I808" s="1"/>
      <c r="J808" s="1"/>
      <c r="K808" s="1"/>
      <c r="L808" s="1"/>
      <c r="M808" s="1"/>
      <c r="N808" s="1"/>
      <c r="O808" s="1"/>
      <c r="P808" s="1"/>
      <c r="Q808" s="1"/>
      <c r="R808" s="1"/>
      <c r="S808" s="1"/>
    </row>
    <row r="809" ht="10.5" customHeight="1">
      <c r="A809" s="1"/>
      <c r="B809" s="48" t="s">
        <v>128</v>
      </c>
      <c r="C809" s="33">
        <v>95600.0</v>
      </c>
      <c r="D809" s="33">
        <v>15200.0</v>
      </c>
      <c r="E809" s="33">
        <v>63400.0</v>
      </c>
      <c r="F809" s="13">
        <v>3600.0</v>
      </c>
      <c r="G809" s="30">
        <f t="shared" si="36"/>
        <v>82200</v>
      </c>
      <c r="H809" s="33">
        <v>48900.0</v>
      </c>
      <c r="I809" s="1"/>
      <c r="J809" s="1"/>
      <c r="K809" s="1"/>
      <c r="L809" s="1"/>
      <c r="M809" s="1"/>
      <c r="N809" s="1"/>
      <c r="O809" s="1"/>
      <c r="P809" s="1"/>
      <c r="Q809" s="1"/>
      <c r="R809" s="1"/>
      <c r="S809" s="1"/>
    </row>
    <row r="810" ht="10.5" customHeight="1">
      <c r="A810" s="1"/>
      <c r="B810" s="85" t="s">
        <v>129</v>
      </c>
      <c r="C810" s="33">
        <v>52000.0</v>
      </c>
      <c r="D810" s="33">
        <v>3300.0</v>
      </c>
      <c r="E810" s="33">
        <v>54900.0</v>
      </c>
      <c r="F810" s="13">
        <v>5600.0</v>
      </c>
      <c r="G810" s="30">
        <f t="shared" si="36"/>
        <v>63800</v>
      </c>
      <c r="H810" s="33">
        <v>20400.0</v>
      </c>
      <c r="I810" s="1"/>
      <c r="J810" s="1"/>
      <c r="K810" s="1"/>
      <c r="L810" s="1"/>
      <c r="M810" s="1"/>
      <c r="N810" s="1"/>
      <c r="O810" s="1"/>
      <c r="P810" s="1"/>
      <c r="Q810" s="1"/>
      <c r="R810" s="1"/>
      <c r="S810" s="1"/>
    </row>
    <row r="811" ht="10.5" customHeight="1">
      <c r="A811" s="1"/>
      <c r="B811" s="48" t="s">
        <v>130</v>
      </c>
      <c r="C811" s="33">
        <v>107700.0</v>
      </c>
      <c r="D811" s="33">
        <v>2600.0</v>
      </c>
      <c r="E811" s="33">
        <v>53800.0</v>
      </c>
      <c r="F811" s="13">
        <v>2700.0</v>
      </c>
      <c r="G811" s="30">
        <f t="shared" si="36"/>
        <v>59100</v>
      </c>
      <c r="H811" s="33">
        <v>21100.0</v>
      </c>
      <c r="I811" s="1"/>
      <c r="J811" s="1"/>
      <c r="K811" s="1"/>
      <c r="L811" s="1"/>
      <c r="M811" s="1"/>
      <c r="N811" s="1"/>
      <c r="O811" s="1"/>
      <c r="P811" s="1"/>
      <c r="Q811" s="1"/>
      <c r="R811" s="1"/>
      <c r="S811" s="1"/>
    </row>
    <row r="812" ht="10.5" customHeight="1">
      <c r="A812" s="1"/>
      <c r="B812" s="48"/>
      <c r="C812" s="33"/>
      <c r="D812" s="33"/>
      <c r="E812" s="33"/>
      <c r="F812" s="13"/>
      <c r="G812" s="479"/>
      <c r="H812" s="33"/>
      <c r="I812" s="1"/>
      <c r="J812" s="1"/>
      <c r="K812" s="1"/>
      <c r="L812" s="1"/>
      <c r="M812" s="1"/>
      <c r="N812" s="1"/>
      <c r="O812" s="1"/>
      <c r="P812" s="1"/>
      <c r="Q812" s="1"/>
      <c r="R812" s="1"/>
      <c r="S812" s="1"/>
    </row>
    <row r="813" ht="10.5" customHeight="1">
      <c r="A813" s="1"/>
      <c r="B813" s="48" t="s">
        <v>131</v>
      </c>
      <c r="C813" s="12">
        <v>51400.0</v>
      </c>
      <c r="D813" s="13">
        <v>4700.0</v>
      </c>
      <c r="E813" s="13">
        <v>61700.0</v>
      </c>
      <c r="F813" s="13">
        <v>3300.0</v>
      </c>
      <c r="G813" s="30">
        <f t="shared" ref="G813:G817" si="37">SUM(D813:F813)</f>
        <v>69700</v>
      </c>
      <c r="H813" s="33">
        <v>22200.0</v>
      </c>
      <c r="I813" s="1"/>
      <c r="J813" s="1"/>
      <c r="K813" s="1"/>
      <c r="L813" s="1"/>
      <c r="M813" s="1"/>
      <c r="N813" s="1"/>
      <c r="O813" s="1"/>
      <c r="P813" s="1"/>
      <c r="Q813" s="1"/>
      <c r="R813" s="1"/>
      <c r="S813" s="1"/>
    </row>
    <row r="814" ht="10.5" customHeight="1">
      <c r="A814" s="1"/>
      <c r="B814" s="48" t="s">
        <v>133</v>
      </c>
      <c r="C814" s="12">
        <v>67700.0</v>
      </c>
      <c r="D814" s="13">
        <v>100.0</v>
      </c>
      <c r="E814" s="13">
        <v>57900.0</v>
      </c>
      <c r="F814" s="13">
        <v>4100.0</v>
      </c>
      <c r="G814" s="30">
        <f t="shared" si="37"/>
        <v>62100</v>
      </c>
      <c r="H814" s="33">
        <v>17800.0</v>
      </c>
      <c r="I814" s="1"/>
      <c r="J814" s="1"/>
      <c r="K814" s="1"/>
      <c r="L814" s="1"/>
      <c r="M814" s="1"/>
      <c r="N814" s="1"/>
      <c r="O814" s="1"/>
      <c r="P814" s="1"/>
      <c r="Q814" s="1"/>
      <c r="R814" s="1"/>
      <c r="S814" s="1"/>
    </row>
    <row r="815" ht="10.5" customHeight="1">
      <c r="A815" s="1"/>
      <c r="B815" s="48" t="s">
        <v>134</v>
      </c>
      <c r="C815" s="12">
        <v>52400.0</v>
      </c>
      <c r="D815" s="13">
        <v>700.0</v>
      </c>
      <c r="E815" s="13">
        <v>57500.0</v>
      </c>
      <c r="F815" s="13">
        <v>3800.0</v>
      </c>
      <c r="G815" s="30">
        <f t="shared" si="37"/>
        <v>62000</v>
      </c>
      <c r="H815" s="33">
        <v>11300.0</v>
      </c>
      <c r="I815" s="1"/>
      <c r="J815" s="1"/>
      <c r="K815" s="1"/>
      <c r="L815" s="1"/>
      <c r="M815" s="1"/>
      <c r="N815" s="1"/>
      <c r="O815" s="1"/>
      <c r="P815" s="1"/>
      <c r="Q815" s="1"/>
      <c r="R815" s="1"/>
      <c r="S815" s="1"/>
    </row>
    <row r="816" ht="10.5" customHeight="1">
      <c r="A816" s="1"/>
      <c r="B816" s="293">
        <v>39692.0</v>
      </c>
      <c r="C816" s="12">
        <v>89800.0</v>
      </c>
      <c r="D816" s="13">
        <v>1000.0</v>
      </c>
      <c r="E816" s="13">
        <v>63800.0</v>
      </c>
      <c r="F816" s="13">
        <v>3900.0</v>
      </c>
      <c r="G816" s="30">
        <f t="shared" si="37"/>
        <v>68700</v>
      </c>
      <c r="H816" s="33">
        <v>22600.0</v>
      </c>
      <c r="I816" s="480"/>
      <c r="J816" s="1"/>
      <c r="K816" s="1"/>
      <c r="L816" s="1"/>
      <c r="M816" s="1"/>
      <c r="N816" s="1"/>
      <c r="O816" s="1"/>
      <c r="P816" s="1"/>
      <c r="Q816" s="1"/>
      <c r="R816" s="1"/>
      <c r="S816" s="1"/>
    </row>
    <row r="817" ht="10.5" customHeight="1">
      <c r="A817" s="1"/>
      <c r="B817" s="293">
        <v>40087.0</v>
      </c>
      <c r="C817" s="12">
        <v>88900.0</v>
      </c>
      <c r="D817" s="12">
        <v>1900.0</v>
      </c>
      <c r="E817" s="12">
        <v>57700.0</v>
      </c>
      <c r="F817" s="12">
        <v>2600.0</v>
      </c>
      <c r="G817" s="30">
        <f t="shared" si="37"/>
        <v>62200</v>
      </c>
      <c r="H817" s="33">
        <v>15600.0</v>
      </c>
      <c r="I817" s="1"/>
      <c r="J817" s="1"/>
      <c r="K817" s="1"/>
      <c r="L817" s="1"/>
      <c r="M817" s="1"/>
      <c r="N817" s="1"/>
      <c r="O817" s="1"/>
      <c r="P817" s="1"/>
      <c r="Q817" s="1"/>
      <c r="R817" s="1"/>
      <c r="S817" s="1"/>
    </row>
    <row r="818" ht="10.5" customHeight="1">
      <c r="A818" s="1"/>
      <c r="B818" s="293"/>
      <c r="C818" s="12"/>
      <c r="D818" s="13"/>
      <c r="E818" s="13"/>
      <c r="F818" s="13"/>
      <c r="G818" s="13"/>
      <c r="H818" s="33"/>
      <c r="I818" s="1"/>
      <c r="J818" s="1"/>
      <c r="K818" s="1"/>
      <c r="L818" s="1"/>
      <c r="M818" s="1"/>
      <c r="N818" s="1"/>
      <c r="O818" s="1"/>
      <c r="P818" s="1"/>
      <c r="Q818" s="1"/>
      <c r="R818" s="1"/>
      <c r="S818" s="1"/>
    </row>
    <row r="819" ht="10.5" customHeight="1">
      <c r="A819" s="1"/>
      <c r="B819" s="293">
        <v>40483.0</v>
      </c>
      <c r="C819" s="12">
        <v>83800.0</v>
      </c>
      <c r="D819" s="12">
        <v>6100.0</v>
      </c>
      <c r="E819" s="12">
        <v>63000.0</v>
      </c>
      <c r="F819" s="12">
        <v>2200.0</v>
      </c>
      <c r="G819" s="30">
        <f>SUM(D819:F819)</f>
        <v>71300</v>
      </c>
      <c r="H819" s="33">
        <v>28700.0</v>
      </c>
      <c r="I819" s="1"/>
      <c r="J819" s="1"/>
      <c r="K819" s="1"/>
      <c r="L819" s="1"/>
      <c r="M819" s="1"/>
      <c r="N819" s="1"/>
      <c r="O819" s="1"/>
      <c r="P819" s="1"/>
      <c r="Q819" s="1"/>
      <c r="R819" s="1"/>
      <c r="S819" s="1"/>
    </row>
    <row r="820" ht="10.5" customHeight="1">
      <c r="A820" s="1"/>
      <c r="B820" s="11" t="s">
        <v>143</v>
      </c>
      <c r="C820" s="12" t="s">
        <v>767</v>
      </c>
      <c r="D820" s="12" t="s">
        <v>768</v>
      </c>
      <c r="E820" s="12" t="s">
        <v>769</v>
      </c>
      <c r="F820" s="12" t="s">
        <v>770</v>
      </c>
      <c r="G820" s="12" t="s">
        <v>771</v>
      </c>
      <c r="H820" s="415">
        <v>20100.0</v>
      </c>
      <c r="I820" s="1"/>
      <c r="J820" s="1"/>
      <c r="K820" s="1"/>
      <c r="L820" s="1"/>
      <c r="M820" s="1"/>
      <c r="N820" s="1"/>
      <c r="O820" s="1"/>
      <c r="P820" s="1"/>
      <c r="Q820" s="1"/>
      <c r="R820" s="1"/>
      <c r="S820" s="1"/>
    </row>
    <row r="821" ht="10.5" customHeight="1">
      <c r="A821" s="1"/>
      <c r="B821" s="85" t="s">
        <v>149</v>
      </c>
      <c r="C821" s="12">
        <v>57256.0</v>
      </c>
      <c r="D821" s="12" t="s">
        <v>772</v>
      </c>
      <c r="E821" s="12">
        <v>50700.0</v>
      </c>
      <c r="F821" s="12">
        <v>2900.0</v>
      </c>
      <c r="G821" s="12">
        <v>56000.0</v>
      </c>
      <c r="H821" s="415">
        <v>15300.0</v>
      </c>
      <c r="I821" s="1"/>
      <c r="J821" s="1"/>
      <c r="K821" s="1"/>
      <c r="L821" s="1"/>
      <c r="M821" s="1"/>
      <c r="N821" s="1"/>
      <c r="O821" s="1"/>
      <c r="P821" s="1"/>
      <c r="Q821" s="1"/>
      <c r="R821" s="1"/>
      <c r="S821" s="1"/>
    </row>
    <row r="822" ht="10.5" customHeight="1">
      <c r="A822" s="1"/>
      <c r="B822" s="85" t="s">
        <v>151</v>
      </c>
      <c r="C822" s="12">
        <v>40346.0</v>
      </c>
      <c r="D822" s="12">
        <v>1491.0</v>
      </c>
      <c r="E822" s="12">
        <v>52029.0</v>
      </c>
      <c r="F822" s="12">
        <v>3589.0</v>
      </c>
      <c r="G822" s="12">
        <v>57109.0</v>
      </c>
      <c r="H822" s="415">
        <v>10443.0</v>
      </c>
      <c r="I822" s="1"/>
      <c r="J822" s="1"/>
      <c r="K822" s="1"/>
      <c r="L822" s="1"/>
      <c r="M822" s="1"/>
      <c r="N822" s="1"/>
      <c r="O822" s="1"/>
      <c r="P822" s="1"/>
      <c r="Q822" s="1"/>
      <c r="R822" s="1"/>
      <c r="S822" s="1"/>
    </row>
    <row r="823" ht="10.5" customHeight="1">
      <c r="A823" s="1"/>
      <c r="B823" s="85" t="s">
        <v>153</v>
      </c>
      <c r="C823" s="12">
        <v>71272.0</v>
      </c>
      <c r="D823" s="12">
        <v>2988.0</v>
      </c>
      <c r="E823" s="12">
        <v>49850.0</v>
      </c>
      <c r="F823" s="12">
        <v>3849.0</v>
      </c>
      <c r="G823" s="12">
        <v>56687.0</v>
      </c>
      <c r="H823" s="415">
        <v>12136.0</v>
      </c>
      <c r="I823" s="1"/>
      <c r="J823" s="1"/>
      <c r="K823" s="1"/>
      <c r="L823" s="1"/>
      <c r="M823" s="1"/>
      <c r="N823" s="1"/>
      <c r="O823" s="1"/>
      <c r="P823" s="1"/>
      <c r="Q823" s="1"/>
      <c r="R823" s="1"/>
      <c r="S823" s="1"/>
    </row>
    <row r="824" ht="10.5" customHeight="1">
      <c r="A824" s="1"/>
      <c r="B824" s="85"/>
      <c r="C824" s="12"/>
      <c r="D824" s="12"/>
      <c r="E824" s="12"/>
      <c r="F824" s="12"/>
      <c r="G824" s="12"/>
      <c r="H824" s="415"/>
      <c r="I824" s="1"/>
      <c r="J824" s="1"/>
      <c r="K824" s="1"/>
      <c r="L824" s="1"/>
      <c r="M824" s="1"/>
      <c r="N824" s="1"/>
      <c r="O824" s="1"/>
      <c r="P824" s="1"/>
      <c r="Q824" s="1"/>
      <c r="R824" s="1"/>
      <c r="S824" s="1"/>
    </row>
    <row r="825" ht="10.5" customHeight="1">
      <c r="A825" s="1"/>
      <c r="B825" s="85" t="s">
        <v>155</v>
      </c>
      <c r="C825" s="12">
        <v>59992.0</v>
      </c>
      <c r="D825" s="12">
        <v>2882.0</v>
      </c>
      <c r="E825" s="12">
        <v>61118.0</v>
      </c>
      <c r="F825" s="12">
        <v>2215.0</v>
      </c>
      <c r="G825" s="12">
        <v>66215.0</v>
      </c>
      <c r="H825" s="415">
        <v>15426.0</v>
      </c>
      <c r="I825" s="1"/>
      <c r="J825" s="1"/>
      <c r="K825" s="1"/>
      <c r="L825" s="1"/>
      <c r="M825" s="1"/>
      <c r="N825" s="1"/>
      <c r="O825" s="1"/>
      <c r="P825" s="1"/>
      <c r="Q825" s="1"/>
      <c r="R825" s="1"/>
      <c r="S825" s="1"/>
    </row>
    <row r="826" ht="10.5" customHeight="1">
      <c r="A826" s="1"/>
      <c r="B826" s="85" t="s">
        <v>160</v>
      </c>
      <c r="C826" s="12">
        <v>17212.0</v>
      </c>
      <c r="D826" s="12">
        <v>803.0</v>
      </c>
      <c r="E826" s="12">
        <v>59521.0</v>
      </c>
      <c r="F826" s="12">
        <v>2970.0</v>
      </c>
      <c r="G826" s="12">
        <v>63294.0</v>
      </c>
      <c r="H826" s="415">
        <v>8408.0</v>
      </c>
      <c r="I826" s="1"/>
      <c r="J826" s="1"/>
      <c r="K826" s="1"/>
      <c r="L826" s="1"/>
      <c r="M826" s="1"/>
      <c r="N826" s="1"/>
      <c r="O826" s="1"/>
      <c r="P826" s="1"/>
      <c r="Q826" s="1"/>
      <c r="R826" s="1"/>
      <c r="S826" s="1"/>
    </row>
    <row r="827" ht="10.5" customHeight="1">
      <c r="A827" s="1"/>
      <c r="B827" s="96" t="s">
        <v>773</v>
      </c>
      <c r="C827" s="145">
        <v>91390.0</v>
      </c>
      <c r="D827" s="145">
        <v>2361.0</v>
      </c>
      <c r="E827" s="145">
        <v>60893.0</v>
      </c>
      <c r="F827" s="145">
        <v>4118.0</v>
      </c>
      <c r="G827" s="145">
        <v>67372.0</v>
      </c>
      <c r="H827" s="470">
        <v>10560.0</v>
      </c>
      <c r="I827" s="1"/>
      <c r="J827" s="1"/>
      <c r="K827" s="1"/>
      <c r="L827" s="1"/>
      <c r="M827" s="1"/>
      <c r="N827" s="1"/>
      <c r="O827" s="1"/>
      <c r="P827" s="1"/>
      <c r="Q827" s="1"/>
      <c r="R827" s="1"/>
      <c r="S827" s="1"/>
    </row>
    <row r="828" ht="10.5" customHeight="1">
      <c r="A828" s="1"/>
      <c r="B828" s="60" t="s">
        <v>327</v>
      </c>
      <c r="C828" s="60" t="s">
        <v>82</v>
      </c>
      <c r="D828" s="60"/>
      <c r="E828" s="60"/>
      <c r="F828" s="60"/>
      <c r="G828" s="1"/>
      <c r="H828" s="1"/>
      <c r="I828" s="1"/>
      <c r="J828" s="1"/>
      <c r="K828" s="1"/>
      <c r="L828" s="1"/>
      <c r="M828" s="1"/>
      <c r="N828" s="1"/>
      <c r="O828" s="1"/>
      <c r="P828" s="1"/>
      <c r="Q828" s="1"/>
      <c r="R828" s="1"/>
      <c r="S828" s="1"/>
    </row>
    <row r="829" ht="10.5" customHeight="1">
      <c r="A829" s="1"/>
      <c r="B829" s="60"/>
      <c r="C829" s="60"/>
      <c r="D829" s="60"/>
      <c r="E829" s="60"/>
      <c r="F829" s="60"/>
      <c r="G829" s="1"/>
      <c r="H829" s="1"/>
      <c r="I829" s="1"/>
      <c r="J829" s="1"/>
      <c r="K829" s="1"/>
      <c r="L829" s="1"/>
      <c r="M829" s="1"/>
      <c r="N829" s="1"/>
      <c r="O829" s="1"/>
      <c r="P829" s="1"/>
      <c r="Q829" s="1"/>
      <c r="R829" s="1"/>
      <c r="S829" s="1"/>
    </row>
    <row r="830" ht="10.5" customHeight="1">
      <c r="A830" s="1"/>
      <c r="B830" s="185" t="s">
        <v>774</v>
      </c>
      <c r="G830" s="1"/>
      <c r="H830" s="1"/>
      <c r="I830" s="1"/>
      <c r="J830" s="1"/>
      <c r="K830" s="1"/>
      <c r="L830" s="1"/>
      <c r="M830" s="1"/>
      <c r="N830" s="1"/>
      <c r="O830" s="1"/>
      <c r="P830" s="1"/>
      <c r="Q830" s="1"/>
      <c r="R830" s="1"/>
      <c r="S830" s="1"/>
    </row>
    <row r="831" ht="10.5" customHeight="1">
      <c r="A831" s="1"/>
      <c r="B831" s="185" t="s">
        <v>775</v>
      </c>
      <c r="C831" s="185"/>
      <c r="D831" s="185"/>
      <c r="E831" s="185"/>
      <c r="F831" s="185"/>
      <c r="G831" s="1"/>
      <c r="H831" s="1"/>
      <c r="I831" s="1"/>
      <c r="J831" s="1"/>
      <c r="K831" s="1"/>
      <c r="L831" s="1"/>
      <c r="M831" s="1"/>
      <c r="N831" s="1"/>
      <c r="O831" s="1"/>
      <c r="P831" s="1"/>
      <c r="Q831" s="1"/>
      <c r="R831" s="1"/>
      <c r="S831" s="1"/>
    </row>
    <row r="832" ht="10.5" customHeight="1">
      <c r="A832" s="1"/>
      <c r="B832" s="185" t="s">
        <v>776</v>
      </c>
      <c r="C832" s="185"/>
      <c r="D832" s="185"/>
      <c r="E832" s="185"/>
      <c r="F832" s="185"/>
      <c r="G832" s="1"/>
      <c r="H832" s="1"/>
      <c r="I832" s="1"/>
      <c r="J832" s="1"/>
      <c r="K832" s="1"/>
      <c r="L832" s="1"/>
      <c r="M832" s="1"/>
      <c r="N832" s="1"/>
      <c r="O832" s="1"/>
      <c r="P832" s="1"/>
      <c r="Q832" s="1"/>
      <c r="R832" s="1"/>
      <c r="S832" s="1"/>
    </row>
    <row r="833" ht="10.5" customHeight="1">
      <c r="A833" s="1"/>
      <c r="B833" s="185" t="s">
        <v>777</v>
      </c>
      <c r="C833" s="185"/>
      <c r="D833" s="185"/>
      <c r="E833" s="185"/>
      <c r="F833" s="185"/>
      <c r="G833" s="1"/>
      <c r="H833" s="1"/>
      <c r="I833" s="1"/>
      <c r="J833" s="1"/>
      <c r="K833" s="1"/>
      <c r="L833" s="1"/>
      <c r="M833" s="1"/>
      <c r="N833" s="1"/>
      <c r="O833" s="1"/>
      <c r="P833" s="1"/>
      <c r="Q833" s="1"/>
      <c r="R833" s="1"/>
      <c r="S833" s="1"/>
    </row>
    <row r="834" ht="10.5" customHeight="1">
      <c r="A834" s="1"/>
      <c r="B834" s="1"/>
      <c r="C834" s="1"/>
      <c r="D834" s="1"/>
      <c r="E834" s="1"/>
      <c r="F834" s="1"/>
      <c r="G834" s="1"/>
      <c r="H834" s="1"/>
      <c r="I834" s="1"/>
      <c r="J834" s="1"/>
      <c r="K834" s="1"/>
      <c r="L834" s="1"/>
      <c r="M834" s="1"/>
      <c r="N834" s="1"/>
      <c r="O834" s="1"/>
      <c r="P834" s="1"/>
      <c r="Q834" s="1"/>
      <c r="R834" s="1"/>
      <c r="S834" s="1"/>
    </row>
    <row r="835" ht="10.5" customHeight="1">
      <c r="A835" s="1"/>
      <c r="B835" s="1"/>
      <c r="C835" s="1"/>
      <c r="D835" s="1"/>
      <c r="E835" s="1"/>
      <c r="F835" s="1"/>
      <c r="G835" s="1"/>
      <c r="H835" s="1"/>
      <c r="I835" s="1"/>
      <c r="J835" s="1"/>
      <c r="K835" s="1"/>
      <c r="L835" s="1"/>
      <c r="M835" s="1"/>
      <c r="N835" s="1"/>
      <c r="O835" s="1"/>
      <c r="P835" s="1"/>
      <c r="Q835" s="1"/>
      <c r="R835" s="1"/>
      <c r="S835" s="1"/>
    </row>
    <row r="836" ht="10.5" customHeight="1">
      <c r="A836" s="1"/>
      <c r="B836" s="1"/>
      <c r="C836" s="1"/>
      <c r="D836" s="1"/>
      <c r="E836" s="1"/>
      <c r="F836" s="1"/>
      <c r="G836" s="1"/>
      <c r="H836" s="1"/>
      <c r="I836" s="1"/>
      <c r="J836" s="1"/>
      <c r="K836" s="1"/>
      <c r="L836" s="1"/>
      <c r="M836" s="1"/>
      <c r="N836" s="1"/>
      <c r="O836" s="1"/>
      <c r="P836" s="1"/>
      <c r="Q836" s="1"/>
      <c r="R836" s="1"/>
      <c r="S836" s="1"/>
    </row>
    <row r="837" ht="10.5" customHeight="1">
      <c r="A837" s="1"/>
      <c r="B837" s="1"/>
      <c r="C837" s="1"/>
      <c r="D837" s="1"/>
      <c r="E837" s="1"/>
      <c r="F837" s="1"/>
      <c r="G837" s="1"/>
      <c r="H837" s="1"/>
      <c r="I837" s="1"/>
      <c r="J837" s="1"/>
      <c r="K837" s="1"/>
      <c r="L837" s="1"/>
      <c r="M837" s="1"/>
      <c r="N837" s="1"/>
      <c r="O837" s="1"/>
      <c r="P837" s="1"/>
      <c r="Q837" s="1"/>
      <c r="R837" s="1"/>
      <c r="S837" s="1"/>
    </row>
    <row r="838" ht="10.5" customHeight="1">
      <c r="A838" s="1"/>
      <c r="B838" s="1"/>
      <c r="C838" s="1"/>
      <c r="D838" s="1"/>
      <c r="E838" s="1"/>
      <c r="F838" s="1"/>
      <c r="G838" s="1"/>
      <c r="H838" s="1"/>
      <c r="I838" s="1"/>
      <c r="J838" s="1"/>
      <c r="K838" s="1"/>
      <c r="L838" s="1"/>
      <c r="M838" s="1"/>
      <c r="N838" s="1"/>
      <c r="O838" s="1"/>
      <c r="P838" s="1"/>
      <c r="Q838" s="1"/>
      <c r="R838" s="1"/>
      <c r="S838" s="1"/>
    </row>
    <row r="839" ht="10.5" customHeight="1">
      <c r="A839" s="1"/>
      <c r="B839" s="1"/>
      <c r="C839" s="1"/>
      <c r="D839" s="1"/>
      <c r="E839" s="1"/>
      <c r="F839" s="1"/>
      <c r="G839" s="1"/>
      <c r="H839" s="1"/>
      <c r="I839" s="1"/>
      <c r="J839" s="1"/>
      <c r="K839" s="1"/>
      <c r="L839" s="1"/>
      <c r="M839" s="1"/>
      <c r="N839" s="1"/>
      <c r="O839" s="1"/>
      <c r="P839" s="1"/>
      <c r="Q839" s="1"/>
      <c r="R839" s="1"/>
      <c r="S839" s="1"/>
    </row>
    <row r="840" ht="11.25" customHeight="1">
      <c r="A840" s="1"/>
      <c r="B840" s="1"/>
      <c r="C840" s="1"/>
      <c r="D840" s="1"/>
      <c r="E840" s="1"/>
      <c r="F840" s="1"/>
      <c r="G840" s="1"/>
      <c r="H840" s="1"/>
      <c r="I840" s="1"/>
      <c r="J840" s="1"/>
      <c r="K840" s="1"/>
      <c r="L840" s="1"/>
      <c r="M840" s="1"/>
      <c r="N840" s="1"/>
      <c r="O840" s="1"/>
      <c r="P840" s="1"/>
      <c r="Q840" s="1"/>
      <c r="R840" s="1"/>
      <c r="S840" s="1"/>
    </row>
    <row r="841" ht="10.5" customHeight="1">
      <c r="A841" s="1"/>
      <c r="B841" s="1"/>
      <c r="C841" s="1"/>
      <c r="D841" s="1"/>
      <c r="E841" s="1"/>
      <c r="F841" s="1"/>
      <c r="G841" s="1"/>
      <c r="H841" s="1"/>
      <c r="I841" s="1"/>
      <c r="J841" s="1"/>
      <c r="K841" s="1"/>
      <c r="L841" s="1"/>
      <c r="M841" s="1"/>
      <c r="N841" s="1"/>
      <c r="O841" s="1"/>
      <c r="P841" s="1"/>
      <c r="Q841" s="1"/>
      <c r="R841" s="1"/>
      <c r="S841" s="1"/>
    </row>
    <row r="842" ht="9.0" customHeight="1">
      <c r="A842" s="1"/>
      <c r="B842" s="1"/>
      <c r="C842" s="1"/>
      <c r="D842" s="1"/>
      <c r="E842" s="1"/>
      <c r="F842" s="1"/>
      <c r="G842" s="1"/>
      <c r="H842" s="1"/>
      <c r="I842" s="1"/>
      <c r="J842" s="1"/>
      <c r="K842" s="1"/>
      <c r="L842" s="1"/>
      <c r="M842" s="1"/>
      <c r="N842" s="1"/>
      <c r="O842" s="1"/>
      <c r="P842" s="1"/>
      <c r="Q842" s="1"/>
      <c r="R842" s="1"/>
      <c r="S842" s="1"/>
    </row>
    <row r="843" ht="10.5" customHeight="1">
      <c r="A843" s="1"/>
      <c r="B843" s="1"/>
      <c r="C843" s="1"/>
      <c r="D843" s="1"/>
      <c r="E843" s="1"/>
      <c r="F843" s="1"/>
      <c r="G843" s="1"/>
      <c r="H843" s="1"/>
      <c r="I843" s="1"/>
      <c r="J843" s="1"/>
      <c r="K843" s="1"/>
      <c r="L843" s="1"/>
      <c r="M843" s="1"/>
      <c r="N843" s="1"/>
      <c r="O843" s="1"/>
      <c r="P843" s="1"/>
      <c r="Q843" s="1"/>
      <c r="R843" s="1"/>
      <c r="S843" s="1"/>
    </row>
    <row r="844" ht="10.5" customHeight="1">
      <c r="A844" s="1"/>
      <c r="B844" s="1"/>
      <c r="C844" s="1"/>
      <c r="D844" s="1"/>
      <c r="E844" s="1"/>
      <c r="F844" s="1"/>
      <c r="G844" s="1"/>
      <c r="H844" s="1"/>
      <c r="I844" s="1"/>
      <c r="J844" s="1"/>
      <c r="K844" s="1"/>
      <c r="L844" s="1"/>
      <c r="M844" s="1"/>
      <c r="N844" s="1"/>
      <c r="O844" s="1"/>
      <c r="P844" s="1"/>
      <c r="Q844" s="1"/>
      <c r="R844" s="1"/>
      <c r="S844" s="1"/>
    </row>
    <row r="845" ht="11.25" customHeight="1">
      <c r="A845" s="1"/>
      <c r="B845" s="1"/>
      <c r="C845" s="1"/>
      <c r="D845" s="1"/>
      <c r="E845" s="1"/>
      <c r="F845" s="1"/>
      <c r="G845" s="1"/>
      <c r="H845" s="1"/>
      <c r="I845" s="1"/>
      <c r="J845" s="1"/>
      <c r="K845" s="1"/>
      <c r="L845" s="1"/>
      <c r="M845" s="1"/>
      <c r="N845" s="1"/>
      <c r="O845" s="1"/>
      <c r="P845" s="1"/>
      <c r="Q845" s="1"/>
      <c r="R845" s="1"/>
      <c r="S845" s="1"/>
    </row>
    <row r="846" ht="12.0" customHeight="1">
      <c r="A846" s="1"/>
      <c r="B846" s="1"/>
      <c r="C846" s="1"/>
      <c r="D846" s="1"/>
      <c r="E846" s="1"/>
      <c r="F846" s="1"/>
      <c r="G846" s="1"/>
      <c r="H846" s="1"/>
      <c r="I846" s="1"/>
      <c r="J846" s="1"/>
      <c r="K846" s="1"/>
      <c r="L846" s="1"/>
      <c r="M846" s="1"/>
      <c r="N846" s="1"/>
      <c r="O846" s="1"/>
      <c r="P846" s="1"/>
      <c r="Q846" s="1"/>
      <c r="R846" s="1"/>
      <c r="S846" s="1"/>
    </row>
    <row r="847" ht="6.0" customHeight="1">
      <c r="A847" s="1"/>
      <c r="B847" s="1"/>
      <c r="C847" s="1"/>
      <c r="D847" s="1"/>
      <c r="E847" s="1"/>
      <c r="F847" s="1"/>
      <c r="G847" s="1"/>
      <c r="H847" s="1"/>
      <c r="I847" s="1"/>
      <c r="J847" s="1"/>
      <c r="K847" s="1"/>
      <c r="L847" s="1"/>
      <c r="M847" s="1"/>
      <c r="N847" s="1"/>
      <c r="O847" s="1"/>
      <c r="P847" s="1"/>
      <c r="Q847" s="1"/>
      <c r="R847" s="1"/>
      <c r="S847" s="1"/>
    </row>
    <row r="848" ht="11.25" customHeight="1">
      <c r="A848" s="1"/>
      <c r="B848" s="1"/>
      <c r="C848" s="1"/>
      <c r="D848" s="1"/>
      <c r="E848" s="1"/>
      <c r="F848" s="1"/>
      <c r="G848" s="1"/>
      <c r="H848" s="1"/>
      <c r="I848" s="1"/>
      <c r="J848" s="1"/>
      <c r="K848" s="1"/>
      <c r="L848" s="1"/>
      <c r="M848" s="1"/>
      <c r="N848" s="1"/>
      <c r="O848" s="1"/>
      <c r="P848" s="1"/>
      <c r="Q848" s="1"/>
      <c r="R848" s="1"/>
      <c r="S848" s="1"/>
    </row>
    <row r="849" ht="10.5" customHeight="1">
      <c r="A849" s="1"/>
      <c r="B849" s="1"/>
      <c r="C849" s="1"/>
      <c r="D849" s="1"/>
      <c r="E849" s="1"/>
      <c r="F849" s="1"/>
      <c r="G849" s="1"/>
      <c r="H849" s="1"/>
      <c r="I849" s="1"/>
      <c r="J849" s="1"/>
      <c r="K849" s="1"/>
      <c r="L849" s="1"/>
      <c r="M849" s="1"/>
      <c r="N849" s="1"/>
      <c r="O849" s="1"/>
      <c r="P849" s="1"/>
      <c r="Q849" s="1"/>
      <c r="R849" s="1"/>
      <c r="S849" s="1"/>
    </row>
    <row r="850" ht="10.5" customHeight="1">
      <c r="A850" s="1"/>
      <c r="B850" s="1"/>
      <c r="C850" s="1"/>
      <c r="D850" s="1"/>
      <c r="E850" s="1"/>
      <c r="F850" s="1"/>
      <c r="G850" s="1"/>
      <c r="H850" s="1"/>
      <c r="I850" s="1"/>
      <c r="J850" s="1"/>
      <c r="K850" s="1"/>
      <c r="L850" s="1"/>
      <c r="M850" s="1"/>
      <c r="N850" s="1"/>
      <c r="O850" s="1"/>
      <c r="P850" s="1"/>
      <c r="Q850" s="1"/>
      <c r="R850" s="1"/>
      <c r="S850" s="1"/>
    </row>
    <row r="851" ht="10.5" customHeight="1">
      <c r="A851" s="1"/>
      <c r="B851" s="1"/>
      <c r="C851" s="1"/>
      <c r="D851" s="1"/>
      <c r="E851" s="1"/>
      <c r="F851" s="1"/>
      <c r="G851" s="1"/>
      <c r="H851" s="1"/>
      <c r="I851" s="1"/>
      <c r="J851" s="1"/>
      <c r="K851" s="1"/>
      <c r="L851" s="1"/>
      <c r="M851" s="1"/>
      <c r="N851" s="1"/>
      <c r="O851" s="1"/>
      <c r="P851" s="1"/>
      <c r="Q851" s="1"/>
      <c r="R851" s="1"/>
      <c r="S851" s="1"/>
    </row>
    <row r="852" ht="10.5" customHeight="1">
      <c r="A852" s="1"/>
      <c r="B852" s="1"/>
      <c r="C852" s="59"/>
      <c r="D852" s="59"/>
      <c r="E852" s="59"/>
      <c r="F852" s="59"/>
      <c r="G852" s="59"/>
      <c r="H852" s="59"/>
      <c r="I852" s="1"/>
      <c r="J852" s="1"/>
      <c r="K852" s="1"/>
      <c r="L852" s="1"/>
      <c r="M852" s="1"/>
      <c r="N852" s="1"/>
      <c r="O852" s="1"/>
      <c r="P852" s="1"/>
      <c r="Q852" s="1"/>
      <c r="R852" s="1"/>
      <c r="S852" s="1"/>
    </row>
    <row r="853" ht="10.5" customHeight="1">
      <c r="A853" s="1"/>
      <c r="B853" s="1"/>
      <c r="C853" s="59"/>
      <c r="D853" s="59"/>
      <c r="E853" s="59"/>
      <c r="F853" s="59"/>
      <c r="G853" s="59"/>
      <c r="H853" s="59"/>
      <c r="I853" s="1"/>
      <c r="J853" s="1"/>
      <c r="K853" s="1"/>
      <c r="L853" s="1"/>
      <c r="M853" s="1"/>
      <c r="N853" s="1"/>
      <c r="O853" s="1"/>
      <c r="P853" s="1"/>
      <c r="Q853" s="1"/>
      <c r="R853" s="1"/>
      <c r="S853" s="1"/>
    </row>
    <row r="854" ht="10.5" customHeight="1">
      <c r="A854" s="1"/>
      <c r="B854" s="1"/>
      <c r="C854" s="1"/>
      <c r="D854" s="1"/>
      <c r="E854" s="1"/>
      <c r="F854" s="1"/>
      <c r="G854" s="1"/>
      <c r="H854" s="1"/>
      <c r="I854" s="1"/>
      <c r="J854" s="1"/>
      <c r="K854" s="1"/>
      <c r="L854" s="1"/>
      <c r="M854" s="1"/>
      <c r="N854" s="1"/>
      <c r="O854" s="1"/>
      <c r="P854" s="1"/>
      <c r="Q854" s="1"/>
      <c r="R854" s="1"/>
      <c r="S854" s="1"/>
    </row>
    <row r="855" ht="10.5" customHeight="1">
      <c r="A855" s="1"/>
      <c r="B855" s="1"/>
      <c r="C855" s="1"/>
      <c r="D855" s="1"/>
      <c r="E855" s="1"/>
      <c r="F855" s="1"/>
      <c r="G855" s="1"/>
      <c r="H855" s="1"/>
      <c r="I855" s="1"/>
      <c r="J855" s="1"/>
      <c r="K855" s="1"/>
      <c r="L855" s="1"/>
      <c r="M855" s="1"/>
      <c r="N855" s="1"/>
      <c r="O855" s="1"/>
      <c r="P855" s="1"/>
      <c r="Q855" s="1"/>
      <c r="R855" s="1"/>
      <c r="S855" s="1"/>
    </row>
    <row r="856" ht="10.5" customHeight="1">
      <c r="A856" s="1"/>
      <c r="B856" s="1"/>
      <c r="C856" s="1"/>
      <c r="D856" s="1"/>
      <c r="E856" s="1"/>
      <c r="F856" s="1"/>
      <c r="G856" s="1"/>
      <c r="H856" s="1"/>
      <c r="I856" s="1"/>
      <c r="J856" s="1"/>
      <c r="K856" s="1"/>
      <c r="L856" s="1"/>
      <c r="M856" s="1"/>
      <c r="N856" s="1"/>
      <c r="O856" s="1"/>
      <c r="P856" s="1"/>
      <c r="Q856" s="1"/>
      <c r="R856" s="1"/>
      <c r="S856" s="1"/>
    </row>
    <row r="857" ht="10.5" customHeight="1">
      <c r="A857" s="1"/>
      <c r="B857" s="1"/>
      <c r="C857" s="1"/>
      <c r="D857" s="1"/>
      <c r="E857" s="1"/>
      <c r="F857" s="1"/>
      <c r="G857" s="1"/>
      <c r="H857" s="1"/>
      <c r="I857" s="1"/>
      <c r="J857" s="1"/>
      <c r="K857" s="1"/>
      <c r="L857" s="1"/>
      <c r="M857" s="1"/>
      <c r="N857" s="1"/>
      <c r="O857" s="1"/>
      <c r="P857" s="1"/>
      <c r="Q857" s="1"/>
      <c r="R857" s="1"/>
      <c r="S857" s="1"/>
    </row>
    <row r="858" ht="10.5" customHeight="1">
      <c r="A858" s="1"/>
      <c r="B858" s="1"/>
      <c r="C858" s="1"/>
      <c r="D858" s="1"/>
      <c r="E858" s="1"/>
      <c r="F858" s="1"/>
      <c r="G858" s="1"/>
      <c r="H858" s="1"/>
      <c r="I858" s="1"/>
      <c r="J858" s="1"/>
      <c r="K858" s="1"/>
      <c r="L858" s="1"/>
      <c r="M858" s="1"/>
      <c r="N858" s="1"/>
      <c r="O858" s="1"/>
      <c r="P858" s="1"/>
      <c r="Q858" s="1"/>
      <c r="R858" s="1"/>
      <c r="S858" s="1"/>
    </row>
    <row r="859" ht="10.5" customHeight="1">
      <c r="A859" s="1"/>
      <c r="B859" s="1"/>
      <c r="C859" s="1"/>
      <c r="D859" s="1"/>
      <c r="E859" s="1"/>
      <c r="F859" s="1"/>
      <c r="G859" s="1"/>
      <c r="H859" s="1"/>
      <c r="I859" s="1"/>
      <c r="J859" s="1"/>
      <c r="K859" s="1"/>
      <c r="L859" s="1"/>
      <c r="M859" s="1"/>
      <c r="N859" s="1"/>
      <c r="O859" s="1"/>
      <c r="P859" s="1"/>
      <c r="Q859" s="1"/>
      <c r="R859" s="1"/>
      <c r="S859" s="1"/>
    </row>
    <row r="860" ht="10.5" customHeight="1">
      <c r="A860" s="1"/>
      <c r="B860" s="1"/>
      <c r="C860" s="1"/>
      <c r="D860" s="1"/>
      <c r="E860" s="1"/>
      <c r="F860" s="1"/>
      <c r="G860" s="1"/>
      <c r="H860" s="1"/>
      <c r="I860" s="1"/>
      <c r="J860" s="1"/>
      <c r="K860" s="1"/>
      <c r="L860" s="1"/>
      <c r="M860" s="1"/>
      <c r="N860" s="1"/>
      <c r="O860" s="1"/>
      <c r="P860" s="1"/>
      <c r="Q860" s="1"/>
      <c r="R860" s="1"/>
      <c r="S860" s="1"/>
    </row>
    <row r="861" ht="10.5" customHeight="1">
      <c r="A861" s="1"/>
      <c r="B861" s="1"/>
      <c r="C861" s="1"/>
      <c r="D861" s="1"/>
      <c r="E861" s="1"/>
      <c r="F861" s="1"/>
      <c r="G861" s="1"/>
      <c r="H861" s="1"/>
      <c r="I861" s="1"/>
      <c r="J861" s="1"/>
      <c r="K861" s="1"/>
      <c r="L861" s="1"/>
      <c r="M861" s="1"/>
      <c r="N861" s="1"/>
      <c r="O861" s="1"/>
      <c r="P861" s="1"/>
      <c r="Q861" s="1"/>
      <c r="R861" s="1"/>
      <c r="S861" s="1"/>
    </row>
    <row r="862" ht="10.5" customHeight="1">
      <c r="A862" s="1"/>
      <c r="B862" s="1"/>
      <c r="C862" s="1"/>
      <c r="D862" s="1"/>
      <c r="E862" s="1"/>
      <c r="F862" s="1"/>
      <c r="G862" s="1"/>
      <c r="H862" s="1"/>
      <c r="I862" s="1"/>
      <c r="J862" s="1"/>
      <c r="K862" s="1"/>
      <c r="L862" s="1"/>
      <c r="M862" s="1"/>
      <c r="N862" s="1"/>
      <c r="O862" s="1"/>
      <c r="P862" s="1"/>
      <c r="Q862" s="1"/>
      <c r="R862" s="1"/>
      <c r="S862" s="1"/>
    </row>
    <row r="863" ht="10.5" customHeight="1">
      <c r="A863" s="1"/>
      <c r="B863" s="1"/>
      <c r="C863" s="1"/>
      <c r="D863" s="1"/>
      <c r="E863" s="1"/>
      <c r="F863" s="1"/>
      <c r="G863" s="1"/>
      <c r="H863" s="1"/>
      <c r="I863" s="1"/>
      <c r="J863" s="1"/>
      <c r="K863" s="1"/>
      <c r="L863" s="1"/>
      <c r="M863" s="1"/>
      <c r="N863" s="1"/>
      <c r="O863" s="1"/>
      <c r="P863" s="1"/>
      <c r="Q863" s="1"/>
      <c r="R863" s="1"/>
      <c r="S863" s="1"/>
    </row>
    <row r="864" ht="10.5" customHeight="1">
      <c r="A864" s="1"/>
      <c r="B864" s="1"/>
      <c r="C864" s="1"/>
      <c r="D864" s="1"/>
      <c r="E864" s="1"/>
      <c r="F864" s="1"/>
      <c r="G864" s="1"/>
      <c r="H864" s="1"/>
      <c r="I864" s="1"/>
      <c r="J864" s="1"/>
      <c r="K864" s="1"/>
      <c r="L864" s="1"/>
      <c r="M864" s="1"/>
      <c r="N864" s="1"/>
      <c r="O864" s="1"/>
      <c r="P864" s="1"/>
      <c r="Q864" s="1"/>
      <c r="R864" s="1"/>
      <c r="S864" s="1"/>
    </row>
    <row r="865" ht="10.5" customHeight="1">
      <c r="A865" s="1"/>
      <c r="B865" s="1"/>
      <c r="C865" s="1"/>
      <c r="D865" s="1"/>
      <c r="E865" s="1"/>
      <c r="F865" s="1"/>
      <c r="G865" s="1"/>
      <c r="H865" s="1"/>
      <c r="I865" s="1"/>
      <c r="J865" s="1"/>
      <c r="K865" s="1"/>
      <c r="L865" s="1"/>
      <c r="M865" s="1"/>
      <c r="N865" s="1"/>
      <c r="O865" s="1"/>
      <c r="P865" s="1"/>
      <c r="Q865" s="1"/>
      <c r="R865" s="1"/>
      <c r="S865" s="1"/>
    </row>
    <row r="866" ht="10.5" customHeight="1">
      <c r="A866" s="1"/>
      <c r="B866" s="1"/>
      <c r="C866" s="1"/>
      <c r="D866" s="1"/>
      <c r="E866" s="1"/>
      <c r="F866" s="1"/>
      <c r="G866" s="1"/>
      <c r="H866" s="1"/>
      <c r="I866" s="1"/>
      <c r="J866" s="1"/>
      <c r="K866" s="1"/>
      <c r="L866" s="1"/>
      <c r="M866" s="1"/>
      <c r="N866" s="1"/>
      <c r="O866" s="1"/>
      <c r="P866" s="1"/>
      <c r="Q866" s="1"/>
      <c r="R866" s="1"/>
      <c r="S866" s="1"/>
    </row>
    <row r="867" ht="10.5" customHeight="1">
      <c r="A867" s="1"/>
      <c r="B867" s="1"/>
      <c r="C867" s="1"/>
      <c r="D867" s="1"/>
      <c r="E867" s="1"/>
      <c r="F867" s="1"/>
      <c r="G867" s="1"/>
      <c r="H867" s="1"/>
      <c r="I867" s="1"/>
      <c r="J867" s="1"/>
      <c r="K867" s="1"/>
      <c r="L867" s="1"/>
      <c r="M867" s="1"/>
      <c r="N867" s="1"/>
      <c r="O867" s="1"/>
      <c r="P867" s="1"/>
      <c r="Q867" s="1"/>
      <c r="R867" s="1"/>
      <c r="S867" s="1"/>
    </row>
    <row r="868" ht="10.5" customHeight="1">
      <c r="A868" s="1"/>
      <c r="B868" s="1"/>
      <c r="C868" s="1"/>
      <c r="D868" s="1"/>
      <c r="E868" s="1"/>
      <c r="F868" s="1"/>
      <c r="G868" s="1"/>
      <c r="H868" s="1"/>
      <c r="I868" s="1"/>
      <c r="J868" s="1"/>
      <c r="K868" s="1"/>
      <c r="L868" s="1"/>
      <c r="M868" s="1"/>
      <c r="N868" s="1"/>
      <c r="O868" s="1"/>
      <c r="P868" s="1"/>
      <c r="Q868" s="1"/>
      <c r="R868" s="1"/>
      <c r="S868" s="1"/>
    </row>
    <row r="869" ht="10.5" customHeight="1">
      <c r="A869" s="1"/>
      <c r="B869" s="1"/>
      <c r="C869" s="1"/>
      <c r="D869" s="1"/>
      <c r="E869" s="1"/>
      <c r="F869" s="1"/>
      <c r="G869" s="1"/>
      <c r="H869" s="1"/>
      <c r="I869" s="1"/>
      <c r="J869" s="1"/>
      <c r="K869" s="1"/>
      <c r="L869" s="1"/>
      <c r="M869" s="1"/>
      <c r="N869" s="1"/>
      <c r="O869" s="1"/>
      <c r="P869" s="1"/>
      <c r="Q869" s="1"/>
      <c r="R869" s="1"/>
      <c r="S869" s="1"/>
    </row>
    <row r="870" ht="10.5" customHeight="1">
      <c r="A870" s="1"/>
      <c r="B870" s="1"/>
      <c r="C870" s="1"/>
      <c r="D870" s="1"/>
      <c r="E870" s="1"/>
      <c r="F870" s="1"/>
      <c r="G870" s="1"/>
      <c r="H870" s="1"/>
      <c r="I870" s="1"/>
      <c r="J870" s="1"/>
      <c r="K870" s="1"/>
      <c r="L870" s="1"/>
      <c r="M870" s="1"/>
      <c r="N870" s="1"/>
      <c r="O870" s="1"/>
      <c r="P870" s="1"/>
      <c r="Q870" s="1"/>
      <c r="R870" s="1"/>
      <c r="S870" s="1"/>
    </row>
    <row r="871" ht="10.5" customHeight="1">
      <c r="A871" s="1"/>
      <c r="B871" s="1"/>
      <c r="C871" s="1"/>
      <c r="D871" s="1"/>
      <c r="E871" s="1"/>
      <c r="F871" s="1"/>
      <c r="G871" s="1"/>
      <c r="H871" s="1"/>
      <c r="I871" s="1"/>
      <c r="J871" s="1"/>
      <c r="K871" s="1"/>
      <c r="L871" s="1"/>
      <c r="M871" s="1"/>
      <c r="N871" s="1"/>
      <c r="O871" s="1"/>
      <c r="P871" s="1"/>
      <c r="Q871" s="1"/>
      <c r="R871" s="1"/>
      <c r="S871" s="1"/>
    </row>
    <row r="872" ht="10.5" customHeight="1">
      <c r="A872" s="1"/>
      <c r="B872" s="1"/>
      <c r="C872" s="1"/>
      <c r="D872" s="1"/>
      <c r="E872" s="1"/>
      <c r="F872" s="1"/>
      <c r="G872" s="110">
        <v>16.0</v>
      </c>
      <c r="H872" s="1"/>
      <c r="I872" s="1"/>
      <c r="J872" s="1"/>
      <c r="K872" s="1"/>
      <c r="L872" s="1"/>
      <c r="M872" s="1"/>
      <c r="N872" s="1"/>
      <c r="O872" s="1"/>
      <c r="P872" s="1"/>
      <c r="Q872" s="1"/>
      <c r="R872" s="1"/>
      <c r="S872" s="1"/>
    </row>
    <row r="873" ht="10.5" customHeight="1">
      <c r="A873" s="1"/>
      <c r="B873" s="1"/>
      <c r="C873" s="1"/>
      <c r="D873" s="1"/>
      <c r="E873" s="1"/>
      <c r="F873" s="1"/>
      <c r="G873" s="1"/>
      <c r="H873" s="1"/>
      <c r="I873" s="1"/>
      <c r="J873" s="1"/>
      <c r="K873" s="1"/>
      <c r="L873" s="1"/>
      <c r="M873" s="1"/>
      <c r="N873" s="1"/>
      <c r="O873" s="1"/>
      <c r="P873" s="1"/>
      <c r="Q873" s="1"/>
      <c r="R873" s="1"/>
      <c r="S873" s="1"/>
    </row>
    <row r="874" ht="10.5" customHeight="1">
      <c r="A874" s="1"/>
      <c r="B874" s="1"/>
      <c r="C874" s="1"/>
      <c r="D874" s="1"/>
      <c r="E874" s="1"/>
      <c r="F874" s="1"/>
      <c r="G874" s="1"/>
      <c r="H874" s="1"/>
      <c r="I874" s="1"/>
      <c r="J874" s="1"/>
      <c r="K874" s="1"/>
      <c r="L874" s="1"/>
      <c r="M874" s="1"/>
      <c r="N874" s="1"/>
      <c r="O874" s="1"/>
      <c r="P874" s="1"/>
      <c r="Q874" s="1"/>
      <c r="R874" s="1"/>
      <c r="S874" s="1"/>
    </row>
    <row r="875" ht="10.5" customHeight="1">
      <c r="A875" s="1"/>
      <c r="B875" s="1" t="s">
        <v>786</v>
      </c>
      <c r="C875" s="1"/>
      <c r="D875" s="1"/>
      <c r="E875" s="1"/>
      <c r="F875" s="1"/>
      <c r="G875" s="1"/>
      <c r="H875" s="1"/>
      <c r="I875" s="1"/>
      <c r="J875" s="1"/>
      <c r="K875" s="1"/>
      <c r="L875" s="1"/>
      <c r="M875" s="1"/>
      <c r="N875" s="1"/>
      <c r="O875" s="1"/>
      <c r="P875" s="1"/>
      <c r="Q875" s="1"/>
      <c r="R875" s="1"/>
      <c r="S875" s="1"/>
    </row>
    <row r="876" ht="12.0" customHeight="1">
      <c r="A876" s="1"/>
      <c r="B876" s="29" t="s">
        <v>31</v>
      </c>
      <c r="C876" s="31" t="s">
        <v>788</v>
      </c>
      <c r="D876" s="31" t="s">
        <v>789</v>
      </c>
      <c r="E876" s="31" t="s">
        <v>640</v>
      </c>
      <c r="F876" s="3" t="s">
        <v>790</v>
      </c>
      <c r="G876" s="29" t="s">
        <v>792</v>
      </c>
      <c r="H876" s="29" t="s">
        <v>684</v>
      </c>
      <c r="I876" s="1"/>
      <c r="J876" s="1"/>
      <c r="K876" s="1"/>
      <c r="L876" s="1"/>
      <c r="M876" s="1"/>
      <c r="N876" s="1"/>
      <c r="O876" s="1"/>
      <c r="P876" s="1"/>
      <c r="Q876" s="1"/>
      <c r="R876" s="1"/>
      <c r="S876" s="1"/>
    </row>
    <row r="877" ht="23.25" customHeight="1">
      <c r="A877" s="1"/>
      <c r="B877" s="5"/>
      <c r="C877" s="6"/>
      <c r="D877" s="6"/>
      <c r="E877" s="6"/>
      <c r="F877" s="6"/>
      <c r="G877" s="6"/>
      <c r="H877" s="5"/>
      <c r="I877" s="1"/>
      <c r="J877" s="1"/>
      <c r="K877" s="1"/>
      <c r="L877" s="1"/>
      <c r="M877" s="1"/>
      <c r="N877" s="1"/>
      <c r="O877" s="1"/>
      <c r="P877" s="1"/>
      <c r="Q877" s="1"/>
      <c r="R877" s="1"/>
      <c r="S877" s="1"/>
    </row>
    <row r="878" ht="10.5" customHeight="1">
      <c r="A878" s="1"/>
      <c r="B878" s="6"/>
      <c r="C878" s="8" t="s">
        <v>48</v>
      </c>
      <c r="D878" s="8" t="s">
        <v>49</v>
      </c>
      <c r="E878" s="8" t="s">
        <v>50</v>
      </c>
      <c r="F878" s="482" t="s">
        <v>52</v>
      </c>
      <c r="G878" s="483" t="s">
        <v>646</v>
      </c>
      <c r="H878" s="6"/>
      <c r="I878" s="1"/>
      <c r="J878" s="1"/>
      <c r="K878" s="1"/>
      <c r="L878" s="1"/>
      <c r="M878" s="1"/>
      <c r="N878" s="1"/>
      <c r="O878" s="1"/>
      <c r="P878" s="1"/>
      <c r="Q878" s="1"/>
      <c r="R878" s="1"/>
      <c r="S878" s="1"/>
    </row>
    <row r="879" ht="10.5" customHeight="1">
      <c r="A879" s="1"/>
      <c r="B879" s="48"/>
      <c r="C879" s="278"/>
      <c r="D879" s="278"/>
      <c r="E879" s="278"/>
      <c r="F879" s="484"/>
      <c r="G879" s="484"/>
      <c r="H879" s="238"/>
      <c r="I879" s="1"/>
      <c r="J879" s="1"/>
      <c r="K879" s="1"/>
      <c r="L879" s="1"/>
      <c r="M879" s="1"/>
      <c r="N879" s="1"/>
      <c r="O879" s="1"/>
      <c r="P879" s="1"/>
      <c r="Q879" s="1"/>
      <c r="R879" s="1"/>
      <c r="S879" s="1"/>
    </row>
    <row r="880" ht="10.5" customHeight="1">
      <c r="A880" s="1"/>
      <c r="B880" s="48" t="s">
        <v>115</v>
      </c>
      <c r="C880" s="278">
        <v>608.0</v>
      </c>
      <c r="D880" s="278">
        <v>784.0</v>
      </c>
      <c r="E880" s="278">
        <v>681932.0</v>
      </c>
      <c r="F880" s="484">
        <v>870.0</v>
      </c>
      <c r="G880" s="284">
        <v>29.8</v>
      </c>
      <c r="H880" s="238" t="s">
        <v>117</v>
      </c>
      <c r="I880" s="1"/>
      <c r="J880" s="1"/>
      <c r="K880" s="1"/>
      <c r="L880" s="1"/>
      <c r="M880" s="1"/>
      <c r="N880" s="1"/>
      <c r="O880" s="1"/>
      <c r="P880" s="1"/>
      <c r="Q880" s="1"/>
      <c r="R880" s="1"/>
      <c r="S880" s="1"/>
    </row>
    <row r="881" ht="10.5" customHeight="1">
      <c r="A881" s="1"/>
      <c r="B881" s="48" t="s">
        <v>117</v>
      </c>
      <c r="C881" s="278">
        <v>464.0</v>
      </c>
      <c r="D881" s="278">
        <v>468.0</v>
      </c>
      <c r="E881" s="485">
        <v>446935.0</v>
      </c>
      <c r="F881" s="484">
        <v>1003.74</v>
      </c>
      <c r="G881" s="284">
        <v>34.3</v>
      </c>
      <c r="H881" s="238" t="s">
        <v>121</v>
      </c>
      <c r="I881" s="1"/>
      <c r="J881" s="1"/>
      <c r="K881" s="1"/>
      <c r="L881" s="1"/>
      <c r="M881" s="1"/>
      <c r="N881" s="1"/>
      <c r="O881" s="1"/>
      <c r="P881" s="1"/>
      <c r="Q881" s="1"/>
      <c r="R881" s="1"/>
      <c r="S881" s="1"/>
    </row>
    <row r="882" ht="10.5" customHeight="1">
      <c r="A882" s="1"/>
      <c r="B882" s="48" t="s">
        <v>121</v>
      </c>
      <c r="C882" s="278">
        <v>511.0</v>
      </c>
      <c r="D882" s="278">
        <v>584.0</v>
      </c>
      <c r="E882" s="485">
        <v>797340.0</v>
      </c>
      <c r="F882" s="484">
        <v>1364.17</v>
      </c>
      <c r="G882" s="284">
        <v>46.7</v>
      </c>
      <c r="H882" s="238" t="s">
        <v>122</v>
      </c>
      <c r="I882" s="1"/>
      <c r="J882" s="1"/>
      <c r="K882" s="1"/>
      <c r="L882" s="1"/>
      <c r="M882" s="1"/>
      <c r="N882" s="1"/>
      <c r="O882" s="1"/>
      <c r="P882" s="1"/>
      <c r="Q882" s="1"/>
      <c r="R882" s="1"/>
      <c r="S882" s="1"/>
    </row>
    <row r="883" ht="10.5" customHeight="1">
      <c r="A883" s="1"/>
      <c r="B883" s="48" t="s">
        <v>122</v>
      </c>
      <c r="C883" s="278">
        <v>828.0</v>
      </c>
      <c r="D883" s="485">
        <v>1212.0</v>
      </c>
      <c r="E883" s="278">
        <v>1525065.0</v>
      </c>
      <c r="F883" s="484">
        <v>1257.8</v>
      </c>
      <c r="G883" s="284">
        <v>43.1</v>
      </c>
      <c r="H883" s="238">
        <v>1999.0</v>
      </c>
      <c r="I883" s="1"/>
      <c r="J883" s="1"/>
      <c r="K883" s="1"/>
      <c r="L883" s="1"/>
      <c r="M883" s="1"/>
      <c r="N883" s="1"/>
      <c r="O883" s="1"/>
      <c r="P883" s="1"/>
      <c r="Q883" s="1"/>
      <c r="R883" s="1"/>
      <c r="S883" s="1"/>
    </row>
    <row r="884" ht="10.5" customHeight="1">
      <c r="A884" s="1"/>
      <c r="B884" s="168" t="s">
        <v>123</v>
      </c>
      <c r="C884" s="278">
        <v>396.0</v>
      </c>
      <c r="D884" s="278">
        <v>567.0</v>
      </c>
      <c r="E884" s="278">
        <v>518811.0</v>
      </c>
      <c r="F884" s="484">
        <v>915.7</v>
      </c>
      <c r="G884" s="284">
        <v>31.4</v>
      </c>
      <c r="H884" s="238">
        <v>2000.0</v>
      </c>
      <c r="I884" s="1"/>
      <c r="J884" s="1"/>
      <c r="K884" s="1"/>
      <c r="L884" s="1"/>
      <c r="M884" s="1"/>
      <c r="N884" s="1"/>
      <c r="O884" s="1"/>
      <c r="P884" s="1"/>
      <c r="Q884" s="1"/>
      <c r="R884" s="1"/>
      <c r="S884" s="1"/>
    </row>
    <row r="885" ht="10.5" customHeight="1">
      <c r="A885" s="1"/>
      <c r="B885" s="48"/>
      <c r="C885" s="278"/>
      <c r="D885" s="278"/>
      <c r="E885" s="278"/>
      <c r="F885" s="484"/>
      <c r="G885" s="284"/>
      <c r="H885" s="238"/>
      <c r="I885" s="1"/>
      <c r="J885" s="1"/>
      <c r="K885" s="1"/>
      <c r="L885" s="1"/>
      <c r="M885" s="1"/>
      <c r="N885" s="1"/>
      <c r="O885" s="1"/>
      <c r="P885" s="1"/>
      <c r="Q885" s="1"/>
      <c r="R885" s="1"/>
      <c r="S885" s="1"/>
    </row>
    <row r="886" ht="10.5" customHeight="1">
      <c r="A886" s="1"/>
      <c r="B886" s="48" t="s">
        <v>125</v>
      </c>
      <c r="C886" s="278">
        <v>522.0</v>
      </c>
      <c r="D886" s="278">
        <v>691.0</v>
      </c>
      <c r="E886" s="278">
        <v>893157.0</v>
      </c>
      <c r="F886" s="484">
        <v>1292.78</v>
      </c>
      <c r="G886" s="284">
        <v>44.3</v>
      </c>
      <c r="H886" s="238">
        <v>2001.0</v>
      </c>
      <c r="I886" s="1"/>
      <c r="J886" s="1"/>
      <c r="K886" s="1"/>
      <c r="L886" s="1"/>
      <c r="M886" s="1"/>
      <c r="N886" s="1"/>
      <c r="O886" s="1"/>
      <c r="P886" s="1"/>
      <c r="Q886" s="1"/>
      <c r="R886" s="1"/>
      <c r="S886" s="1"/>
    </row>
    <row r="887" ht="10.5" customHeight="1">
      <c r="A887" s="1"/>
      <c r="B887" s="48" t="s">
        <v>127</v>
      </c>
      <c r="C887" s="169">
        <v>668.0</v>
      </c>
      <c r="D887" s="169">
        <v>967.0</v>
      </c>
      <c r="E887" s="169">
        <v>2163160.0</v>
      </c>
      <c r="F887" s="289">
        <v>2238.04</v>
      </c>
      <c r="G887" s="285">
        <v>76.6</v>
      </c>
      <c r="H887" s="238">
        <v>2002.0</v>
      </c>
      <c r="I887" s="1"/>
      <c r="J887" s="1"/>
      <c r="K887" s="1"/>
      <c r="L887" s="1"/>
      <c r="M887" s="1"/>
      <c r="N887" s="1"/>
      <c r="O887" s="1"/>
      <c r="P887" s="1"/>
      <c r="Q887" s="1"/>
      <c r="R887" s="1"/>
      <c r="S887" s="1"/>
    </row>
    <row r="888" ht="10.5" customHeight="1">
      <c r="A888" s="1"/>
      <c r="B888" s="48" t="s">
        <v>128</v>
      </c>
      <c r="C888" s="278">
        <v>606.0</v>
      </c>
      <c r="D888" s="169">
        <v>682.0</v>
      </c>
      <c r="E888" s="169">
        <v>1349131.0</v>
      </c>
      <c r="F888" s="289">
        <v>1977.72</v>
      </c>
      <c r="G888" s="284">
        <v>67.7</v>
      </c>
      <c r="H888" s="238">
        <v>2003.0</v>
      </c>
      <c r="I888" s="1"/>
      <c r="J888" s="1"/>
      <c r="K888" s="1"/>
      <c r="L888" s="1"/>
      <c r="M888" s="1"/>
      <c r="N888" s="1"/>
      <c r="O888" s="1"/>
      <c r="P888" s="1"/>
      <c r="Q888" s="1"/>
      <c r="R888" s="1"/>
      <c r="S888" s="1"/>
    </row>
    <row r="889" ht="10.5" customHeight="1">
      <c r="A889" s="1"/>
      <c r="B889" s="48" t="s">
        <v>129</v>
      </c>
      <c r="C889" s="169">
        <v>530.0</v>
      </c>
      <c r="D889" s="169">
        <v>674.0</v>
      </c>
      <c r="E889" s="169">
        <v>1231010.0</v>
      </c>
      <c r="F889" s="289">
        <v>1826.88</v>
      </c>
      <c r="G889" s="54">
        <v>62.6</v>
      </c>
      <c r="H889" s="238">
        <v>2004.0</v>
      </c>
      <c r="I889" s="1"/>
      <c r="J889" s="1"/>
      <c r="K889" s="1"/>
      <c r="L889" s="1"/>
      <c r="M889" s="1"/>
      <c r="N889" s="1"/>
      <c r="O889" s="1"/>
      <c r="P889" s="1"/>
      <c r="Q889" s="1"/>
      <c r="R889" s="1"/>
      <c r="S889" s="1"/>
    </row>
    <row r="890" ht="10.5" customHeight="1">
      <c r="A890" s="1"/>
      <c r="B890" s="48" t="s">
        <v>130</v>
      </c>
      <c r="C890" s="169">
        <v>460.0</v>
      </c>
      <c r="D890" s="169">
        <v>645.0</v>
      </c>
      <c r="E890" s="169">
        <v>1018516.0</v>
      </c>
      <c r="F890" s="289">
        <v>1579.78</v>
      </c>
      <c r="G890" s="54">
        <v>54.1</v>
      </c>
      <c r="H890" s="238">
        <v>2005.0</v>
      </c>
      <c r="I890" s="1"/>
      <c r="J890" s="1"/>
      <c r="K890" s="1"/>
      <c r="L890" s="1"/>
      <c r="M890" s="1"/>
      <c r="N890" s="1"/>
      <c r="O890" s="1"/>
      <c r="P890" s="1"/>
      <c r="Q890" s="1"/>
      <c r="R890" s="1"/>
      <c r="S890" s="1"/>
    </row>
    <row r="891" ht="10.5" customHeight="1">
      <c r="A891" s="1"/>
      <c r="B891" s="48"/>
      <c r="C891" s="169"/>
      <c r="D891" s="169"/>
      <c r="E891" s="169"/>
      <c r="F891" s="289"/>
      <c r="G891" s="54"/>
      <c r="H891" s="238"/>
      <c r="I891" s="1"/>
      <c r="J891" s="1"/>
      <c r="K891" s="1"/>
      <c r="L891" s="1"/>
      <c r="M891" s="1"/>
      <c r="N891" s="1"/>
      <c r="O891" s="1"/>
      <c r="P891" s="1"/>
      <c r="Q891" s="1"/>
      <c r="R891" s="1"/>
      <c r="S891" s="1"/>
    </row>
    <row r="892" ht="10.5" customHeight="1">
      <c r="A892" s="1"/>
      <c r="B892" s="48" t="s">
        <v>131</v>
      </c>
      <c r="C892" s="169">
        <v>472.0</v>
      </c>
      <c r="D892" s="169">
        <v>541.0</v>
      </c>
      <c r="E892" s="169">
        <v>1009197.0</v>
      </c>
      <c r="F892" s="289">
        <v>1866.65</v>
      </c>
      <c r="G892" s="54">
        <v>66.3</v>
      </c>
      <c r="H892" s="238">
        <v>2006.0</v>
      </c>
      <c r="I892" s="1"/>
      <c r="J892" s="1"/>
      <c r="K892" s="1"/>
      <c r="L892" s="1"/>
      <c r="M892" s="1"/>
      <c r="N892" s="1"/>
      <c r="O892" s="1"/>
      <c r="P892" s="1"/>
      <c r="Q892" s="1"/>
      <c r="R892" s="1"/>
      <c r="S892" s="1"/>
    </row>
    <row r="893" ht="10.5" customHeight="1">
      <c r="A893" s="1"/>
      <c r="B893" s="293">
        <v>38899.0</v>
      </c>
      <c r="C893" s="169">
        <v>316.0</v>
      </c>
      <c r="D893" s="169">
        <v>312.0</v>
      </c>
      <c r="E893" s="169">
        <v>794587.0</v>
      </c>
      <c r="F893" s="289">
        <v>2547.48</v>
      </c>
      <c r="G893" s="54">
        <v>101.2</v>
      </c>
      <c r="H893" s="238">
        <v>2007.0</v>
      </c>
      <c r="I893" s="1"/>
      <c r="J893" s="1"/>
      <c r="K893" s="1"/>
      <c r="L893" s="1"/>
      <c r="M893" s="1"/>
      <c r="N893" s="1"/>
      <c r="O893" s="1"/>
      <c r="P893" s="1"/>
      <c r="Q893" s="1"/>
      <c r="R893" s="1"/>
      <c r="S893" s="1"/>
    </row>
    <row r="894" ht="10.5" customHeight="1">
      <c r="A894" s="1"/>
      <c r="B894" s="293">
        <v>39295.0</v>
      </c>
      <c r="C894" s="169">
        <v>564.0</v>
      </c>
      <c r="D894" s="169">
        <v>907.0</v>
      </c>
      <c r="E894" s="169">
        <v>3872974.0</v>
      </c>
      <c r="F894" s="289">
        <v>4271.88</v>
      </c>
      <c r="G894" s="54">
        <v>146.7</v>
      </c>
      <c r="H894" s="238">
        <v>2008.0</v>
      </c>
      <c r="I894" s="1"/>
      <c r="J894" s="1"/>
      <c r="K894" s="1"/>
      <c r="L894" s="1"/>
      <c r="M894" s="1"/>
      <c r="N894" s="1"/>
      <c r="O894" s="1"/>
      <c r="P894" s="1"/>
      <c r="Q894" s="1"/>
      <c r="R894" s="1"/>
      <c r="S894" s="1"/>
    </row>
    <row r="895" ht="10.5" customHeight="1">
      <c r="A895" s="1"/>
      <c r="B895" s="293">
        <v>39692.0</v>
      </c>
      <c r="C895" s="169">
        <v>636.0</v>
      </c>
      <c r="D895" s="169">
        <v>833.0</v>
      </c>
      <c r="E895" s="169">
        <v>2377297.0</v>
      </c>
      <c r="F895" s="289">
        <v>2854.58</v>
      </c>
      <c r="G895" s="54">
        <v>99.4</v>
      </c>
      <c r="H895" s="238">
        <v>2009.0</v>
      </c>
      <c r="I895" s="1"/>
      <c r="J895" s="1"/>
      <c r="K895" s="1"/>
      <c r="L895" s="1"/>
      <c r="M895" s="1"/>
      <c r="N895" s="1"/>
      <c r="O895" s="1"/>
      <c r="P895" s="1"/>
      <c r="Q895" s="1"/>
      <c r="R895" s="1"/>
      <c r="S895" s="1"/>
    </row>
    <row r="896" ht="10.5" customHeight="1">
      <c r="A896" s="1"/>
      <c r="B896" s="293">
        <v>40087.0</v>
      </c>
      <c r="C896" s="169">
        <v>398.0</v>
      </c>
      <c r="D896" s="169">
        <v>509.0</v>
      </c>
      <c r="E896" s="169">
        <v>1504652.0</v>
      </c>
      <c r="F896" s="289">
        <v>2953.46</v>
      </c>
      <c r="G896" s="54">
        <v>100.0</v>
      </c>
      <c r="H896" s="238">
        <v>2010.0</v>
      </c>
      <c r="I896" s="1"/>
      <c r="J896" s="1"/>
      <c r="K896" s="1"/>
      <c r="L896" s="1"/>
      <c r="M896" s="1"/>
      <c r="N896" s="1"/>
      <c r="O896" s="1"/>
      <c r="P896" s="1"/>
      <c r="Q896" s="1"/>
      <c r="R896" s="1"/>
      <c r="S896" s="1"/>
    </row>
    <row r="897" ht="10.5" customHeight="1">
      <c r="A897" s="1"/>
      <c r="B897" s="293"/>
      <c r="C897" s="169"/>
      <c r="D897" s="169"/>
      <c r="E897" s="169"/>
      <c r="F897" s="289"/>
      <c r="G897" s="54"/>
      <c r="H897" s="238"/>
      <c r="I897" s="1"/>
      <c r="J897" s="1"/>
      <c r="K897" s="1"/>
      <c r="L897" s="1"/>
      <c r="M897" s="1"/>
      <c r="N897" s="1"/>
      <c r="O897" s="1"/>
      <c r="P897" s="1"/>
      <c r="Q897" s="1"/>
      <c r="R897" s="1"/>
      <c r="S897" s="1"/>
    </row>
    <row r="898" ht="10.5" customHeight="1">
      <c r="A898" s="1"/>
      <c r="B898" s="11" t="s">
        <v>139</v>
      </c>
      <c r="C898" s="376">
        <v>643.0</v>
      </c>
      <c r="D898" s="376">
        <v>894.0</v>
      </c>
      <c r="E898" s="376">
        <v>3340142.0</v>
      </c>
      <c r="F898" s="463">
        <v>3735.57</v>
      </c>
      <c r="G898" s="258">
        <v>111.0</v>
      </c>
      <c r="H898" s="11" t="s">
        <v>487</v>
      </c>
      <c r="I898" s="1"/>
      <c r="J898" s="1"/>
      <c r="K898" s="1"/>
      <c r="L898" s="1"/>
      <c r="M898" s="1"/>
      <c r="N898" s="1"/>
      <c r="O898" s="1"/>
      <c r="P898" s="1"/>
      <c r="Q898" s="1"/>
      <c r="R898" s="1"/>
      <c r="S898" s="1"/>
    </row>
    <row r="899" ht="10.5" customHeight="1">
      <c r="A899" s="1"/>
      <c r="B899" s="85" t="s">
        <v>143</v>
      </c>
      <c r="C899" s="376">
        <v>453.0</v>
      </c>
      <c r="D899" s="376">
        <v>543.0</v>
      </c>
      <c r="E899" s="376">
        <v>2386311.0</v>
      </c>
      <c r="F899" s="463">
        <v>4396.9</v>
      </c>
      <c r="G899" s="258">
        <v>138.8</v>
      </c>
      <c r="H899" s="11" t="s">
        <v>489</v>
      </c>
      <c r="I899" s="1"/>
      <c r="J899" s="1"/>
      <c r="K899" s="1"/>
      <c r="L899" s="1"/>
      <c r="M899" s="1"/>
      <c r="N899" s="1"/>
      <c r="O899" s="1"/>
      <c r="P899" s="1"/>
      <c r="Q899" s="1"/>
      <c r="R899" s="1"/>
      <c r="S899" s="1"/>
    </row>
    <row r="900" ht="10.5" customHeight="1">
      <c r="A900" s="1"/>
      <c r="B900" s="85" t="s">
        <v>149</v>
      </c>
      <c r="C900" s="376">
        <v>505.0</v>
      </c>
      <c r="D900" s="376">
        <v>579.0</v>
      </c>
      <c r="E900" s="376">
        <v>2805235.0</v>
      </c>
      <c r="F900" s="463">
        <v>4844.0</v>
      </c>
      <c r="G900" s="258">
        <v>142.6</v>
      </c>
      <c r="H900" s="11" t="s">
        <v>55</v>
      </c>
      <c r="I900" s="1"/>
      <c r="J900" s="1"/>
      <c r="K900" s="1"/>
      <c r="L900" s="1"/>
      <c r="M900" s="1"/>
      <c r="N900" s="1"/>
      <c r="O900" s="1"/>
      <c r="P900" s="1"/>
      <c r="Q900" s="1"/>
      <c r="R900" s="1"/>
      <c r="S900" s="1"/>
    </row>
    <row r="901" ht="10.5" customHeight="1">
      <c r="A901" s="1"/>
      <c r="B901" s="85" t="s">
        <v>151</v>
      </c>
      <c r="C901" s="376">
        <v>599.0</v>
      </c>
      <c r="D901" s="376">
        <v>865.0</v>
      </c>
      <c r="E901" s="376">
        <v>3836829.0</v>
      </c>
      <c r="F901" s="463">
        <v>4435.47</v>
      </c>
      <c r="G901" s="258">
        <v>132.5</v>
      </c>
      <c r="H901" s="11" t="s">
        <v>57</v>
      </c>
      <c r="I901" s="1"/>
      <c r="J901" s="1"/>
      <c r="K901" s="1"/>
      <c r="L901" s="1"/>
      <c r="M901" s="1"/>
      <c r="N901" s="1"/>
      <c r="O901" s="1"/>
      <c r="P901" s="1"/>
      <c r="Q901" s="1"/>
      <c r="R901" s="1"/>
      <c r="S901" s="1"/>
    </row>
    <row r="902" ht="10.5" customHeight="1">
      <c r="A902" s="1"/>
      <c r="B902" s="85" t="s">
        <v>153</v>
      </c>
      <c r="C902" s="376">
        <v>576.0</v>
      </c>
      <c r="D902" s="376">
        <v>689.0</v>
      </c>
      <c r="E902" s="376">
        <v>3138091.0</v>
      </c>
      <c r="F902" s="463">
        <v>4552.42</v>
      </c>
      <c r="G902" s="258">
        <v>151.1</v>
      </c>
      <c r="H902" s="11" t="s">
        <v>58</v>
      </c>
      <c r="I902" s="1"/>
      <c r="J902" s="1"/>
      <c r="K902" s="1"/>
      <c r="L902" s="1"/>
      <c r="M902" s="1"/>
      <c r="N902" s="1"/>
      <c r="O902" s="1"/>
      <c r="P902" s="1"/>
      <c r="Q902" s="1"/>
      <c r="R902" s="1"/>
      <c r="S902" s="1"/>
    </row>
    <row r="903" ht="10.5" customHeight="1">
      <c r="A903" s="1"/>
      <c r="B903" s="85"/>
      <c r="C903" s="376"/>
      <c r="D903" s="376"/>
      <c r="E903" s="376"/>
      <c r="F903" s="463"/>
      <c r="G903" s="258"/>
      <c r="H903" s="11"/>
      <c r="I903" s="1"/>
      <c r="J903" s="1"/>
      <c r="K903" s="125"/>
      <c r="L903" s="125"/>
      <c r="M903" s="1"/>
      <c r="N903" s="1"/>
      <c r="O903" s="1"/>
      <c r="P903" s="1"/>
      <c r="Q903" s="1"/>
      <c r="R903" s="1"/>
      <c r="S903" s="1"/>
    </row>
    <row r="904" ht="10.5" customHeight="1">
      <c r="A904" s="1"/>
      <c r="B904" s="85" t="s">
        <v>155</v>
      </c>
      <c r="C904" s="376">
        <v>718.0</v>
      </c>
      <c r="D904" s="376">
        <v>785.0</v>
      </c>
      <c r="E904" s="376">
        <v>4760112.0</v>
      </c>
      <c r="F904" s="463">
        <v>6064.02</v>
      </c>
      <c r="G904" s="258">
        <v>180.5</v>
      </c>
      <c r="H904" s="11" t="s">
        <v>59</v>
      </c>
      <c r="I904" s="1"/>
      <c r="J904" s="1"/>
      <c r="K904" s="125"/>
      <c r="L904" s="125"/>
      <c r="M904" s="1"/>
      <c r="N904" s="1"/>
      <c r="O904" s="1"/>
      <c r="P904" s="1"/>
      <c r="Q904" s="1"/>
      <c r="R904" s="1"/>
      <c r="S904" s="1"/>
    </row>
    <row r="905" ht="10.5" customHeight="1">
      <c r="A905" s="1"/>
      <c r="B905" s="85" t="s">
        <v>160</v>
      </c>
      <c r="C905" s="376">
        <v>636.0</v>
      </c>
      <c r="D905" s="376">
        <v>909.0</v>
      </c>
      <c r="E905" s="376">
        <v>3974305.0</v>
      </c>
      <c r="F905" s="463">
        <v>4370.64</v>
      </c>
      <c r="G905" s="258">
        <v>128.0</v>
      </c>
      <c r="H905" s="11" t="s">
        <v>60</v>
      </c>
      <c r="I905" s="1"/>
      <c r="J905" s="1"/>
      <c r="K905" s="125"/>
      <c r="L905" s="125"/>
      <c r="M905" s="1"/>
      <c r="N905" s="1"/>
      <c r="O905" s="1"/>
      <c r="P905" s="1"/>
      <c r="Q905" s="1"/>
      <c r="R905" s="1"/>
      <c r="S905" s="1"/>
    </row>
    <row r="906" ht="10.5" customHeight="1">
      <c r="A906" s="1"/>
      <c r="B906" s="96" t="s">
        <v>798</v>
      </c>
      <c r="C906" s="378">
        <v>585.0</v>
      </c>
      <c r="D906" s="378">
        <v>761.0</v>
      </c>
      <c r="E906" s="378" t="s">
        <v>10</v>
      </c>
      <c r="F906" s="488" t="s">
        <v>10</v>
      </c>
      <c r="G906" s="52" t="s">
        <v>10</v>
      </c>
      <c r="H906" s="52" t="s">
        <v>799</v>
      </c>
      <c r="I906" s="1"/>
      <c r="J906" s="1"/>
      <c r="K906" s="125"/>
      <c r="L906" s="125"/>
      <c r="M906" s="1"/>
      <c r="N906" s="1"/>
      <c r="O906" s="1"/>
      <c r="P906" s="1"/>
      <c r="Q906" s="1"/>
      <c r="R906" s="1"/>
      <c r="S906" s="1"/>
    </row>
    <row r="907" ht="10.5" customHeight="1">
      <c r="A907" s="1"/>
      <c r="B907" s="29" t="s">
        <v>31</v>
      </c>
      <c r="C907" s="128" t="s">
        <v>800</v>
      </c>
      <c r="D907" s="193"/>
      <c r="E907" s="193"/>
      <c r="F907" s="193"/>
      <c r="G907" s="193"/>
      <c r="H907" s="193"/>
      <c r="I907" s="193"/>
      <c r="J907" s="193"/>
      <c r="K907" s="195"/>
      <c r="L907" s="196"/>
      <c r="M907" s="1"/>
      <c r="N907" s="1"/>
      <c r="O907" s="1"/>
      <c r="P907" s="1"/>
      <c r="Q907" s="1"/>
      <c r="R907" s="1"/>
      <c r="S907" s="1"/>
    </row>
    <row r="908" ht="10.5" customHeight="1">
      <c r="A908" s="1"/>
      <c r="B908" s="5"/>
      <c r="C908" s="198" t="s">
        <v>352</v>
      </c>
      <c r="D908" s="3" t="s">
        <v>801</v>
      </c>
      <c r="E908" s="4" t="s">
        <v>698</v>
      </c>
      <c r="F908" s="3" t="s">
        <v>249</v>
      </c>
      <c r="G908" s="3" t="s">
        <v>263</v>
      </c>
      <c r="H908" s="3" t="s">
        <v>258</v>
      </c>
      <c r="I908" s="3" t="s">
        <v>256</v>
      </c>
      <c r="J908" s="3" t="s">
        <v>253</v>
      </c>
      <c r="K908" s="3" t="s">
        <v>609</v>
      </c>
      <c r="L908" s="3" t="s">
        <v>2</v>
      </c>
      <c r="M908" s="1"/>
      <c r="N908" s="1"/>
      <c r="O908" s="1"/>
      <c r="P908" s="1"/>
      <c r="Q908" s="1"/>
      <c r="R908" s="1"/>
      <c r="S908" s="1"/>
    </row>
    <row r="909" ht="10.5" customHeight="1">
      <c r="A909" s="1"/>
      <c r="B909" s="5"/>
      <c r="C909" s="200" t="s">
        <v>348</v>
      </c>
      <c r="D909" s="200" t="s">
        <v>348</v>
      </c>
      <c r="E909" s="200" t="s">
        <v>348</v>
      </c>
      <c r="F909" s="200"/>
      <c r="G909" s="200"/>
      <c r="H909" s="200"/>
      <c r="I909" s="200"/>
      <c r="J909" s="200"/>
      <c r="K909" s="200" t="s">
        <v>349</v>
      </c>
      <c r="L909" s="298"/>
      <c r="M909" s="1"/>
      <c r="N909" s="1"/>
      <c r="O909" s="1"/>
      <c r="P909" s="1"/>
      <c r="Q909" s="1"/>
      <c r="R909" s="1"/>
      <c r="S909" s="1"/>
    </row>
    <row r="910" ht="10.5" customHeight="1">
      <c r="A910" s="1"/>
      <c r="B910" s="6"/>
      <c r="C910" s="8" t="s">
        <v>49</v>
      </c>
      <c r="D910" s="9"/>
      <c r="E910" s="9"/>
      <c r="F910" s="9"/>
      <c r="G910" s="9"/>
      <c r="H910" s="9"/>
      <c r="I910" s="9"/>
      <c r="J910" s="9"/>
      <c r="K910" s="9"/>
      <c r="L910" s="10"/>
      <c r="M910" s="1"/>
      <c r="N910" s="1"/>
      <c r="O910" s="1"/>
      <c r="P910" s="1"/>
      <c r="Q910" s="1"/>
      <c r="R910" s="1"/>
      <c r="S910" s="1"/>
    </row>
    <row r="911" ht="10.5" customHeight="1">
      <c r="A911" s="1"/>
      <c r="B911" s="48" t="s">
        <v>113</v>
      </c>
      <c r="C911" s="489" t="s">
        <v>40</v>
      </c>
      <c r="D911" s="489" t="s">
        <v>40</v>
      </c>
      <c r="E911" s="490">
        <v>7.08</v>
      </c>
      <c r="F911" s="491">
        <v>170.21</v>
      </c>
      <c r="G911" s="491">
        <v>17.84</v>
      </c>
      <c r="H911" s="491">
        <v>32.99</v>
      </c>
      <c r="I911" s="489">
        <v>24.58</v>
      </c>
      <c r="J911" s="492">
        <v>99.53</v>
      </c>
      <c r="K911" s="489" t="s">
        <v>40</v>
      </c>
      <c r="L911" s="492">
        <f t="shared" ref="L911:L915" si="38">SUM(E911:K911)</f>
        <v>352.23</v>
      </c>
      <c r="M911" s="1"/>
      <c r="N911" s="1"/>
      <c r="O911" s="1"/>
      <c r="P911" s="1"/>
      <c r="Q911" s="1"/>
      <c r="R911" s="1"/>
      <c r="S911" s="1"/>
    </row>
    <row r="912" ht="10.5" customHeight="1">
      <c r="A912" s="1"/>
      <c r="B912" s="48" t="s">
        <v>114</v>
      </c>
      <c r="C912" s="493" t="s">
        <v>40</v>
      </c>
      <c r="D912" s="493" t="s">
        <v>40</v>
      </c>
      <c r="E912" s="494">
        <v>13.82</v>
      </c>
      <c r="F912" s="493">
        <v>204.49</v>
      </c>
      <c r="G912" s="493">
        <v>38.93</v>
      </c>
      <c r="H912" s="493">
        <v>52.59</v>
      </c>
      <c r="I912" s="493">
        <v>46.51</v>
      </c>
      <c r="J912" s="495">
        <v>139.38</v>
      </c>
      <c r="K912" s="493" t="s">
        <v>40</v>
      </c>
      <c r="L912" s="495">
        <f t="shared" si="38"/>
        <v>495.72</v>
      </c>
      <c r="M912" s="1"/>
      <c r="N912" s="1"/>
      <c r="O912" s="1"/>
      <c r="P912" s="1"/>
      <c r="Q912" s="1"/>
      <c r="R912" s="1"/>
      <c r="S912" s="1"/>
    </row>
    <row r="913" ht="10.5" customHeight="1">
      <c r="A913" s="1"/>
      <c r="B913" s="48" t="s">
        <v>115</v>
      </c>
      <c r="C913" s="493" t="s">
        <v>40</v>
      </c>
      <c r="D913" s="493" t="s">
        <v>40</v>
      </c>
      <c r="E913" s="494">
        <v>3.21</v>
      </c>
      <c r="F913" s="493">
        <v>319.25</v>
      </c>
      <c r="G913" s="493">
        <v>72.11</v>
      </c>
      <c r="H913" s="493">
        <v>38.05</v>
      </c>
      <c r="I913" s="493">
        <v>12.14</v>
      </c>
      <c r="J913" s="495">
        <v>310.24</v>
      </c>
      <c r="K913" s="493" t="s">
        <v>40</v>
      </c>
      <c r="L913" s="495">
        <f t="shared" si="38"/>
        <v>755</v>
      </c>
      <c r="M913" s="1"/>
      <c r="N913" s="1"/>
      <c r="O913" s="1"/>
      <c r="P913" s="1"/>
      <c r="Q913" s="1"/>
      <c r="R913" s="1"/>
      <c r="S913" s="1"/>
    </row>
    <row r="914" ht="10.5" customHeight="1">
      <c r="A914" s="1"/>
      <c r="B914" s="48" t="s">
        <v>117</v>
      </c>
      <c r="C914" s="493" t="s">
        <v>40</v>
      </c>
      <c r="D914" s="493" t="s">
        <v>40</v>
      </c>
      <c r="E914" s="494">
        <v>1.92</v>
      </c>
      <c r="F914" s="493">
        <v>190.28</v>
      </c>
      <c r="G914" s="493">
        <v>42.98</v>
      </c>
      <c r="H914" s="493">
        <v>22.68</v>
      </c>
      <c r="I914" s="493">
        <v>7.24</v>
      </c>
      <c r="J914" s="495">
        <v>184.91</v>
      </c>
      <c r="K914" s="493" t="s">
        <v>40</v>
      </c>
      <c r="L914" s="495">
        <f t="shared" si="38"/>
        <v>450.01</v>
      </c>
      <c r="M914" s="1"/>
      <c r="N914" s="1"/>
      <c r="O914" s="1"/>
      <c r="P914" s="1"/>
      <c r="Q914" s="1"/>
      <c r="R914" s="1"/>
      <c r="S914" s="1"/>
    </row>
    <row r="915" ht="10.5" customHeight="1">
      <c r="A915" s="1"/>
      <c r="B915" s="48" t="s">
        <v>121</v>
      </c>
      <c r="C915" s="493" t="s">
        <v>40</v>
      </c>
      <c r="D915" s="493" t="s">
        <v>40</v>
      </c>
      <c r="E915" s="494">
        <v>0.07</v>
      </c>
      <c r="F915" s="493">
        <v>218.0</v>
      </c>
      <c r="G915" s="493">
        <v>31.0</v>
      </c>
      <c r="H915" s="493">
        <v>34.0</v>
      </c>
      <c r="I915" s="493">
        <v>10.0</v>
      </c>
      <c r="J915" s="495">
        <v>269.0</v>
      </c>
      <c r="K915" s="493" t="s">
        <v>40</v>
      </c>
      <c r="L915" s="495">
        <f t="shared" si="38"/>
        <v>562.07</v>
      </c>
      <c r="M915" s="1"/>
      <c r="N915" s="1"/>
      <c r="O915" s="1"/>
      <c r="P915" s="1"/>
      <c r="Q915" s="1"/>
      <c r="R915" s="1"/>
      <c r="S915" s="1"/>
    </row>
    <row r="916" ht="10.5" customHeight="1">
      <c r="A916" s="1"/>
      <c r="B916" s="48"/>
      <c r="C916" s="489"/>
      <c r="D916" s="493"/>
      <c r="E916" s="494"/>
      <c r="F916" s="493"/>
      <c r="G916" s="493"/>
      <c r="H916" s="493"/>
      <c r="I916" s="489"/>
      <c r="J916" s="495"/>
      <c r="K916" s="489"/>
      <c r="L916" s="495"/>
      <c r="M916" s="1"/>
      <c r="N916" s="1"/>
      <c r="O916" s="1"/>
      <c r="P916" s="1"/>
      <c r="Q916" s="1"/>
      <c r="R916" s="1"/>
      <c r="S916" s="1"/>
    </row>
    <row r="917" ht="10.5" customHeight="1">
      <c r="A917" s="1"/>
      <c r="B917" s="48" t="s">
        <v>122</v>
      </c>
      <c r="C917" s="493" t="s">
        <v>40</v>
      </c>
      <c r="D917" s="493" t="s">
        <v>40</v>
      </c>
      <c r="E917" s="494">
        <v>1.0</v>
      </c>
      <c r="F917" s="493">
        <v>629.0</v>
      </c>
      <c r="G917" s="493">
        <v>17.0</v>
      </c>
      <c r="H917" s="493">
        <v>78.0</v>
      </c>
      <c r="I917" s="493">
        <v>22.0</v>
      </c>
      <c r="J917" s="495">
        <v>362.0</v>
      </c>
      <c r="K917" s="493" t="s">
        <v>40</v>
      </c>
      <c r="L917" s="495">
        <f t="shared" ref="L917:L921" si="39">SUM(E917:K917)</f>
        <v>1109</v>
      </c>
      <c r="M917" s="1"/>
      <c r="N917" s="1"/>
      <c r="O917" s="1"/>
      <c r="P917" s="1"/>
      <c r="Q917" s="1"/>
      <c r="R917" s="1"/>
      <c r="S917" s="1"/>
    </row>
    <row r="918" ht="10.5" customHeight="1">
      <c r="A918" s="1"/>
      <c r="B918" s="168" t="s">
        <v>123</v>
      </c>
      <c r="C918" s="493" t="s">
        <v>40</v>
      </c>
      <c r="D918" s="493">
        <v>0.1</v>
      </c>
      <c r="E918" s="494">
        <v>0.93</v>
      </c>
      <c r="F918" s="493">
        <v>262.8</v>
      </c>
      <c r="G918" s="493">
        <v>33.6</v>
      </c>
      <c r="H918" s="493">
        <v>24.2</v>
      </c>
      <c r="I918" s="493">
        <v>9.0</v>
      </c>
      <c r="J918" s="495">
        <v>200.0</v>
      </c>
      <c r="K918" s="493" t="s">
        <v>40</v>
      </c>
      <c r="L918" s="495">
        <f t="shared" si="39"/>
        <v>530.53</v>
      </c>
      <c r="M918" s="1"/>
      <c r="N918" s="1"/>
      <c r="O918" s="1"/>
      <c r="P918" s="1"/>
      <c r="Q918" s="1"/>
      <c r="R918" s="1"/>
      <c r="S918" s="1"/>
    </row>
    <row r="919" ht="10.5" customHeight="1">
      <c r="A919" s="1"/>
      <c r="B919" s="48" t="s">
        <v>125</v>
      </c>
      <c r="C919" s="493" t="s">
        <v>40</v>
      </c>
      <c r="D919" s="493">
        <v>0.15</v>
      </c>
      <c r="E919" s="494">
        <v>0.68</v>
      </c>
      <c r="F919" s="493">
        <v>253.5</v>
      </c>
      <c r="G919" s="495">
        <v>26.1</v>
      </c>
      <c r="H919" s="489">
        <v>23.0</v>
      </c>
      <c r="I919" s="489">
        <v>10.8</v>
      </c>
      <c r="J919" s="495">
        <v>324.0</v>
      </c>
      <c r="K919" s="489">
        <v>0.1</v>
      </c>
      <c r="L919" s="495">
        <f t="shared" si="39"/>
        <v>638.18</v>
      </c>
      <c r="M919" s="1"/>
      <c r="N919" s="1"/>
      <c r="O919" s="1"/>
      <c r="P919" s="1"/>
      <c r="Q919" s="1"/>
      <c r="R919" s="1"/>
      <c r="S919" s="1"/>
    </row>
    <row r="920" ht="10.5" customHeight="1">
      <c r="A920" s="1"/>
      <c r="B920" s="48" t="s">
        <v>127</v>
      </c>
      <c r="C920" s="493" t="s">
        <v>40</v>
      </c>
      <c r="D920" s="493">
        <v>0.2</v>
      </c>
      <c r="E920" s="494">
        <v>0.5</v>
      </c>
      <c r="F920" s="495">
        <v>443.5</v>
      </c>
      <c r="G920" s="495">
        <v>50.0</v>
      </c>
      <c r="H920" s="497">
        <v>52.5</v>
      </c>
      <c r="I920" s="495">
        <v>18.0</v>
      </c>
      <c r="J920" s="495">
        <v>364.0</v>
      </c>
      <c r="K920" s="495">
        <v>0.09</v>
      </c>
      <c r="L920" s="495">
        <f t="shared" si="39"/>
        <v>928.59</v>
      </c>
      <c r="M920" s="1"/>
      <c r="N920" s="1"/>
      <c r="O920" s="1"/>
      <c r="P920" s="1"/>
      <c r="Q920" s="1"/>
      <c r="R920" s="1"/>
      <c r="S920" s="1"/>
    </row>
    <row r="921" ht="10.5" customHeight="1">
      <c r="A921" s="1"/>
      <c r="B921" s="48" t="s">
        <v>128</v>
      </c>
      <c r="C921" s="495">
        <v>0.35</v>
      </c>
      <c r="D921" s="493">
        <v>0.24</v>
      </c>
      <c r="E921" s="494">
        <v>0.72</v>
      </c>
      <c r="F921" s="495">
        <v>330.5</v>
      </c>
      <c r="G921" s="495">
        <v>22.2</v>
      </c>
      <c r="H921" s="497">
        <v>45.0</v>
      </c>
      <c r="I921" s="495">
        <v>16.0</v>
      </c>
      <c r="J921" s="495">
        <v>227.5</v>
      </c>
      <c r="K921" s="495">
        <v>0.1</v>
      </c>
      <c r="L921" s="495">
        <f t="shared" si="39"/>
        <v>642.02</v>
      </c>
      <c r="M921" s="1"/>
      <c r="N921" s="1"/>
      <c r="O921" s="1"/>
      <c r="P921" s="1"/>
      <c r="Q921" s="1"/>
      <c r="R921" s="1"/>
      <c r="S921" s="1"/>
    </row>
    <row r="922" ht="10.5" customHeight="1">
      <c r="A922" s="1"/>
      <c r="B922" s="48"/>
      <c r="C922" s="495"/>
      <c r="D922" s="493"/>
      <c r="E922" s="494"/>
      <c r="F922" s="495"/>
      <c r="G922" s="495"/>
      <c r="H922" s="497"/>
      <c r="I922" s="495"/>
      <c r="J922" s="495"/>
      <c r="K922" s="495"/>
      <c r="L922" s="495"/>
      <c r="M922" s="1"/>
      <c r="N922" s="1"/>
      <c r="O922" s="1"/>
      <c r="P922" s="1"/>
      <c r="Q922" s="1"/>
      <c r="R922" s="1"/>
      <c r="S922" s="1"/>
    </row>
    <row r="923" ht="10.5" customHeight="1">
      <c r="A923" s="1"/>
      <c r="B923" s="48" t="s">
        <v>129</v>
      </c>
      <c r="C923" s="495">
        <v>0.38</v>
      </c>
      <c r="D923" s="493">
        <v>0.27</v>
      </c>
      <c r="E923" s="494">
        <v>0.85</v>
      </c>
      <c r="F923" s="495">
        <v>276.0</v>
      </c>
      <c r="G923" s="495">
        <v>37.0</v>
      </c>
      <c r="H923" s="497">
        <v>46.0</v>
      </c>
      <c r="I923" s="493">
        <v>22.5</v>
      </c>
      <c r="J923" s="495">
        <v>265.0</v>
      </c>
      <c r="K923" s="493" t="s">
        <v>40</v>
      </c>
      <c r="L923" s="495">
        <f t="shared" ref="L923:L927" si="40">SUM(E923:K923)</f>
        <v>647.35</v>
      </c>
      <c r="M923" s="1"/>
      <c r="N923" s="1"/>
      <c r="O923" s="1"/>
      <c r="P923" s="1"/>
      <c r="Q923" s="1"/>
      <c r="R923" s="1"/>
      <c r="S923" s="1"/>
    </row>
    <row r="924" ht="10.5" customHeight="1">
      <c r="A924" s="1"/>
      <c r="B924" s="48" t="s">
        <v>130</v>
      </c>
      <c r="C924" s="495">
        <v>0.45</v>
      </c>
      <c r="D924" s="493">
        <v>0.24</v>
      </c>
      <c r="E924" s="494">
        <v>1.0</v>
      </c>
      <c r="F924" s="495">
        <v>260.0</v>
      </c>
      <c r="G924" s="495">
        <v>36.0</v>
      </c>
      <c r="H924" s="497">
        <v>45.5</v>
      </c>
      <c r="I924" s="493">
        <v>13.9</v>
      </c>
      <c r="J924" s="495">
        <v>262.91</v>
      </c>
      <c r="K924" s="493" t="s">
        <v>40</v>
      </c>
      <c r="L924" s="495">
        <f t="shared" si="40"/>
        <v>619.31</v>
      </c>
      <c r="M924" s="1"/>
      <c r="N924" s="1"/>
      <c r="O924" s="1"/>
      <c r="P924" s="1"/>
      <c r="Q924" s="1"/>
      <c r="R924" s="1"/>
      <c r="S924" s="1"/>
    </row>
    <row r="925" ht="10.5" customHeight="1">
      <c r="A925" s="1"/>
      <c r="B925" s="48" t="s">
        <v>131</v>
      </c>
      <c r="C925" s="495">
        <v>0.08</v>
      </c>
      <c r="D925" s="495">
        <v>0.24</v>
      </c>
      <c r="E925" s="494">
        <v>1.8</v>
      </c>
      <c r="F925" s="495">
        <v>204.0</v>
      </c>
      <c r="G925" s="495">
        <v>42.8</v>
      </c>
      <c r="H925" s="495">
        <v>56.23</v>
      </c>
      <c r="I925" s="493">
        <v>14.85</v>
      </c>
      <c r="J925" s="495">
        <v>200.0</v>
      </c>
      <c r="K925" s="493" t="s">
        <v>40</v>
      </c>
      <c r="L925" s="495">
        <f t="shared" si="40"/>
        <v>519.68</v>
      </c>
      <c r="M925" s="1"/>
      <c r="N925" s="1"/>
      <c r="O925" s="1"/>
      <c r="P925" s="1"/>
      <c r="Q925" s="1"/>
      <c r="R925" s="1"/>
      <c r="S925" s="1"/>
    </row>
    <row r="926" ht="10.5" customHeight="1">
      <c r="A926" s="1"/>
      <c r="B926" s="48" t="s">
        <v>133</v>
      </c>
      <c r="C926" s="495">
        <v>0.3</v>
      </c>
      <c r="D926" s="495">
        <v>0.18</v>
      </c>
      <c r="E926" s="494">
        <v>1.32</v>
      </c>
      <c r="F926" s="495">
        <v>155.0</v>
      </c>
      <c r="G926" s="495">
        <v>12.5</v>
      </c>
      <c r="H926" s="495">
        <v>13.0</v>
      </c>
      <c r="I926" s="493">
        <v>7.7</v>
      </c>
      <c r="J926" s="495">
        <v>110.0</v>
      </c>
      <c r="K926" s="493" t="s">
        <v>40</v>
      </c>
      <c r="L926" s="495">
        <f t="shared" si="40"/>
        <v>299.52</v>
      </c>
      <c r="M926" s="1"/>
      <c r="N926" s="1"/>
      <c r="O926" s="1"/>
      <c r="P926" s="1"/>
      <c r="Q926" s="1"/>
      <c r="R926" s="1"/>
      <c r="S926" s="1"/>
    </row>
    <row r="927" ht="10.5" customHeight="1">
      <c r="A927" s="1"/>
      <c r="B927" s="293">
        <v>39295.0</v>
      </c>
      <c r="C927" s="495">
        <v>0.54</v>
      </c>
      <c r="D927" s="495">
        <v>0.36</v>
      </c>
      <c r="E927" s="494">
        <v>0.9</v>
      </c>
      <c r="F927" s="495">
        <v>459.0</v>
      </c>
      <c r="G927" s="495">
        <v>77.0</v>
      </c>
      <c r="H927" s="495">
        <v>25.5</v>
      </c>
      <c r="I927" s="493">
        <v>8.7</v>
      </c>
      <c r="J927" s="495">
        <v>300.0</v>
      </c>
      <c r="K927" s="493" t="s">
        <v>40</v>
      </c>
      <c r="L927" s="495">
        <f t="shared" si="40"/>
        <v>871.1</v>
      </c>
      <c r="M927" s="1"/>
      <c r="N927" s="1"/>
      <c r="O927" s="1"/>
      <c r="P927" s="1"/>
      <c r="Q927" s="1"/>
      <c r="R927" s="1"/>
      <c r="S927" s="1"/>
    </row>
    <row r="928" ht="10.5" customHeight="1">
      <c r="A928" s="1"/>
      <c r="B928" s="293"/>
      <c r="C928" s="495"/>
      <c r="D928" s="495"/>
      <c r="E928" s="494"/>
      <c r="F928" s="495"/>
      <c r="G928" s="495"/>
      <c r="H928" s="495"/>
      <c r="I928" s="495"/>
      <c r="J928" s="495"/>
      <c r="K928" s="495"/>
      <c r="L928" s="495"/>
      <c r="M928" s="1"/>
      <c r="N928" s="1"/>
      <c r="O928" s="1"/>
      <c r="P928" s="1"/>
      <c r="Q928" s="1"/>
      <c r="R928" s="1"/>
      <c r="S928" s="1"/>
    </row>
    <row r="929" ht="10.5" customHeight="1">
      <c r="A929" s="1"/>
      <c r="B929" s="293">
        <v>39692.0</v>
      </c>
      <c r="C929" s="495">
        <v>0.7</v>
      </c>
      <c r="D929" s="495">
        <v>0.78</v>
      </c>
      <c r="E929" s="494">
        <v>1.0</v>
      </c>
      <c r="F929" s="495">
        <v>363.0</v>
      </c>
      <c r="G929" s="495">
        <v>90.0</v>
      </c>
      <c r="H929" s="495">
        <v>37.7</v>
      </c>
      <c r="I929" s="493">
        <v>9.82</v>
      </c>
      <c r="J929" s="495">
        <v>298.0</v>
      </c>
      <c r="K929" s="493" t="s">
        <v>40</v>
      </c>
      <c r="L929" s="495">
        <f t="shared" ref="L929:L933" si="41">SUM(E929:K929)</f>
        <v>799.52</v>
      </c>
      <c r="M929" s="1"/>
      <c r="N929" s="1"/>
      <c r="O929" s="1"/>
      <c r="P929" s="1"/>
      <c r="Q929" s="1"/>
      <c r="R929" s="1"/>
      <c r="S929" s="1"/>
    </row>
    <row r="930" ht="10.5" customHeight="1">
      <c r="A930" s="1"/>
      <c r="B930" s="293">
        <v>40087.0</v>
      </c>
      <c r="C930" s="495">
        <v>0.2</v>
      </c>
      <c r="D930" s="495">
        <v>0.16</v>
      </c>
      <c r="E930" s="494">
        <v>1.7</v>
      </c>
      <c r="F930" s="495">
        <v>227.5</v>
      </c>
      <c r="G930" s="495">
        <v>67.5</v>
      </c>
      <c r="H930" s="495">
        <v>12.8</v>
      </c>
      <c r="I930" s="493">
        <v>4.9</v>
      </c>
      <c r="J930" s="495">
        <v>175.24</v>
      </c>
      <c r="K930" s="493" t="s">
        <v>40</v>
      </c>
      <c r="L930" s="495">
        <f t="shared" si="41"/>
        <v>489.64</v>
      </c>
      <c r="M930" s="1"/>
      <c r="N930" s="1"/>
      <c r="O930" s="1"/>
      <c r="P930" s="1"/>
      <c r="Q930" s="1"/>
      <c r="R930" s="1"/>
      <c r="S930" s="1"/>
    </row>
    <row r="931" ht="10.5" customHeight="1">
      <c r="A931" s="1"/>
      <c r="B931" s="11" t="s">
        <v>139</v>
      </c>
      <c r="C931" s="493" t="s">
        <v>40</v>
      </c>
      <c r="D931" s="498">
        <v>0.22</v>
      </c>
      <c r="E931" s="494">
        <v>0.68</v>
      </c>
      <c r="F931" s="498">
        <v>434.0</v>
      </c>
      <c r="G931" s="498">
        <v>98.0</v>
      </c>
      <c r="H931" s="498">
        <v>12.0</v>
      </c>
      <c r="I931" s="493">
        <v>4.8</v>
      </c>
      <c r="J931" s="498">
        <v>310.3</v>
      </c>
      <c r="K931" s="493" t="s">
        <v>40</v>
      </c>
      <c r="L931" s="495">
        <f t="shared" si="41"/>
        <v>859.78</v>
      </c>
      <c r="M931" s="1"/>
      <c r="N931" s="1"/>
      <c r="O931" s="1"/>
      <c r="P931" s="1"/>
      <c r="Q931" s="1"/>
      <c r="R931" s="1"/>
      <c r="S931" s="1"/>
    </row>
    <row r="932" ht="10.5" customHeight="1">
      <c r="A932" s="1"/>
      <c r="B932" s="85" t="s">
        <v>143</v>
      </c>
      <c r="C932" s="495" t="s">
        <v>40</v>
      </c>
      <c r="D932" s="495" t="s">
        <v>40</v>
      </c>
      <c r="E932" s="494">
        <v>0.1</v>
      </c>
      <c r="F932" s="498">
        <v>247.0</v>
      </c>
      <c r="G932" s="498">
        <v>85.0</v>
      </c>
      <c r="H932" s="498">
        <v>13.5</v>
      </c>
      <c r="I932" s="495">
        <v>3.9</v>
      </c>
      <c r="J932" s="498">
        <v>172.5</v>
      </c>
      <c r="K932" s="495" t="s">
        <v>40</v>
      </c>
      <c r="L932" s="495">
        <f t="shared" si="41"/>
        <v>522</v>
      </c>
      <c r="M932" s="1"/>
      <c r="N932" s="1"/>
      <c r="O932" s="1"/>
      <c r="P932" s="1"/>
      <c r="Q932" s="1"/>
      <c r="R932" s="1"/>
      <c r="S932" s="1"/>
    </row>
    <row r="933" ht="10.5" customHeight="1">
      <c r="A933" s="1"/>
      <c r="B933" s="85" t="s">
        <v>149</v>
      </c>
      <c r="C933" s="495" t="s">
        <v>40</v>
      </c>
      <c r="D933" s="495" t="s">
        <v>40</v>
      </c>
      <c r="E933" s="494">
        <v>0.1</v>
      </c>
      <c r="F933" s="498">
        <v>297.0</v>
      </c>
      <c r="G933" s="498">
        <v>85.0</v>
      </c>
      <c r="H933" s="498">
        <v>9.9</v>
      </c>
      <c r="I933" s="495">
        <v>4.0</v>
      </c>
      <c r="J933" s="498">
        <v>161.0</v>
      </c>
      <c r="K933" s="495" t="s">
        <v>40</v>
      </c>
      <c r="L933" s="495">
        <f t="shared" si="41"/>
        <v>557</v>
      </c>
      <c r="M933" s="1"/>
      <c r="N933" s="1"/>
      <c r="O933" s="1"/>
      <c r="P933" s="1"/>
      <c r="Q933" s="1"/>
      <c r="R933" s="1"/>
      <c r="S933" s="1"/>
    </row>
    <row r="934" ht="10.5" customHeight="1">
      <c r="A934" s="1"/>
      <c r="B934" s="85"/>
      <c r="C934" s="495"/>
      <c r="D934" s="495"/>
      <c r="E934" s="494"/>
      <c r="F934" s="498"/>
      <c r="G934" s="498"/>
      <c r="H934" s="498"/>
      <c r="I934" s="495"/>
      <c r="J934" s="498"/>
      <c r="K934" s="495"/>
      <c r="L934" s="498"/>
      <c r="M934" s="1"/>
      <c r="N934" s="1"/>
      <c r="O934" s="1"/>
      <c r="P934" s="1"/>
      <c r="Q934" s="1"/>
      <c r="R934" s="1"/>
      <c r="S934" s="1"/>
    </row>
    <row r="935" ht="10.5" customHeight="1">
      <c r="A935" s="1"/>
      <c r="B935" s="85" t="s">
        <v>151</v>
      </c>
      <c r="C935" s="495" t="s">
        <v>40</v>
      </c>
      <c r="D935" s="495">
        <v>0.8</v>
      </c>
      <c r="E935" s="494">
        <v>0.4</v>
      </c>
      <c r="F935" s="498">
        <v>448.0</v>
      </c>
      <c r="G935" s="498">
        <v>76.3</v>
      </c>
      <c r="H935" s="498">
        <v>4.6</v>
      </c>
      <c r="I935" s="495">
        <v>3.9</v>
      </c>
      <c r="J935" s="495">
        <v>298.0</v>
      </c>
      <c r="K935" s="495" t="s">
        <v>40</v>
      </c>
      <c r="L935" s="495">
        <f t="shared" ref="L935:L936" si="42">SUM(E935:K935)</f>
        <v>831.2</v>
      </c>
      <c r="M935" s="1"/>
      <c r="N935" s="1"/>
      <c r="O935" s="1"/>
      <c r="P935" s="1"/>
      <c r="Q935" s="1"/>
      <c r="R935" s="1"/>
      <c r="S935" s="1"/>
    </row>
    <row r="936" ht="10.5" customHeight="1">
      <c r="A936" s="1"/>
      <c r="B936" s="85" t="s">
        <v>153</v>
      </c>
      <c r="C936" s="495" t="s">
        <v>40</v>
      </c>
      <c r="D936" s="495" t="s">
        <v>40</v>
      </c>
      <c r="E936" s="494">
        <v>0.5</v>
      </c>
      <c r="F936" s="498">
        <v>370.5</v>
      </c>
      <c r="G936" s="498">
        <v>61.5</v>
      </c>
      <c r="H936" s="498">
        <v>3.3</v>
      </c>
      <c r="I936" s="495">
        <v>7.2</v>
      </c>
      <c r="J936" s="495">
        <v>220.0</v>
      </c>
      <c r="K936" s="495" t="s">
        <v>40</v>
      </c>
      <c r="L936" s="495">
        <f t="shared" si="42"/>
        <v>663</v>
      </c>
      <c r="M936" s="154"/>
      <c r="N936" s="154"/>
      <c r="O936" s="1"/>
      <c r="P936" s="1"/>
      <c r="Q936" s="1"/>
      <c r="R936" s="1"/>
      <c r="S936" s="1"/>
    </row>
    <row r="937" ht="10.5" customHeight="1">
      <c r="A937" s="1"/>
      <c r="B937" s="85" t="s">
        <v>155</v>
      </c>
      <c r="C937" s="495" t="s">
        <v>40</v>
      </c>
      <c r="D937" s="495" t="s">
        <v>40</v>
      </c>
      <c r="E937" s="494">
        <v>0.6</v>
      </c>
      <c r="F937" s="498">
        <v>440.0</v>
      </c>
      <c r="G937" s="498">
        <v>48.8</v>
      </c>
      <c r="H937" s="498">
        <v>4.4</v>
      </c>
      <c r="I937" s="495">
        <v>4.0</v>
      </c>
      <c r="J937" s="495">
        <v>257.2</v>
      </c>
      <c r="K937" s="495" t="s">
        <v>40</v>
      </c>
      <c r="L937" s="495">
        <v>755.0</v>
      </c>
      <c r="M937" s="154"/>
      <c r="N937" s="154"/>
      <c r="O937" s="1"/>
      <c r="P937" s="1"/>
      <c r="Q937" s="1"/>
      <c r="R937" s="1"/>
      <c r="S937" s="1"/>
    </row>
    <row r="938" ht="10.5" customHeight="1">
      <c r="A938" s="1"/>
      <c r="B938" s="85" t="s">
        <v>160</v>
      </c>
      <c r="C938" s="495" t="s">
        <v>40</v>
      </c>
      <c r="D938" s="495" t="s">
        <v>40</v>
      </c>
      <c r="E938" s="494">
        <v>0.4</v>
      </c>
      <c r="F938" s="498">
        <v>478.0</v>
      </c>
      <c r="G938" s="498">
        <v>85.5</v>
      </c>
      <c r="H938" s="498">
        <v>2.3</v>
      </c>
      <c r="I938" s="495">
        <v>3.0</v>
      </c>
      <c r="J938" s="495">
        <v>304.5</v>
      </c>
      <c r="K938" s="495">
        <v>0.3</v>
      </c>
      <c r="L938" s="495">
        <v>874.0</v>
      </c>
      <c r="M938" s="154"/>
      <c r="N938" s="154"/>
      <c r="O938" s="1"/>
      <c r="P938" s="1"/>
      <c r="Q938" s="1"/>
      <c r="R938" s="1"/>
      <c r="S938" s="1"/>
    </row>
    <row r="939" ht="10.5" customHeight="1">
      <c r="A939" s="1"/>
      <c r="B939" s="96" t="s">
        <v>802</v>
      </c>
      <c r="C939" s="499" t="s">
        <v>40</v>
      </c>
      <c r="D939" s="499" t="s">
        <v>40</v>
      </c>
      <c r="E939" s="500">
        <v>0.1</v>
      </c>
      <c r="F939" s="501">
        <v>418.5</v>
      </c>
      <c r="G939" s="501">
        <v>38.2</v>
      </c>
      <c r="H939" s="501">
        <v>2.2</v>
      </c>
      <c r="I939" s="499">
        <v>6.1</v>
      </c>
      <c r="J939" s="499">
        <v>266.4</v>
      </c>
      <c r="K939" s="499" t="s">
        <v>40</v>
      </c>
      <c r="L939" s="499">
        <v>731.5</v>
      </c>
      <c r="M939" s="1"/>
      <c r="N939" s="1"/>
      <c r="O939" s="1"/>
      <c r="P939" s="1"/>
      <c r="Q939" s="1"/>
      <c r="R939" s="1"/>
      <c r="S939" s="1"/>
    </row>
    <row r="940" ht="6.0" customHeight="1">
      <c r="A940" s="1"/>
      <c r="B940" s="291"/>
      <c r="C940" s="497"/>
      <c r="D940" s="497"/>
      <c r="E940" s="502"/>
      <c r="F940" s="503"/>
      <c r="G940" s="503"/>
      <c r="H940" s="503"/>
      <c r="I940" s="497"/>
      <c r="J940" s="497"/>
      <c r="K940" s="1"/>
      <c r="L940" s="1"/>
      <c r="M940" s="1"/>
      <c r="N940" s="1"/>
      <c r="O940" s="1"/>
      <c r="P940" s="1"/>
      <c r="Q940" s="1"/>
      <c r="R940" s="1"/>
      <c r="S940" s="1"/>
    </row>
    <row r="941" ht="11.25" customHeight="1">
      <c r="A941" s="1"/>
      <c r="B941" s="185" t="s">
        <v>805</v>
      </c>
      <c r="C941" s="185"/>
      <c r="D941" s="185"/>
      <c r="E941" s="185"/>
      <c r="F941" s="185"/>
      <c r="G941" s="185"/>
      <c r="H941" s="1"/>
      <c r="I941" s="1"/>
      <c r="J941" s="1"/>
      <c r="K941" s="1"/>
      <c r="L941" s="1"/>
      <c r="M941" s="1"/>
      <c r="N941" s="1"/>
      <c r="O941" s="1"/>
      <c r="P941" s="1"/>
      <c r="Q941" s="1"/>
      <c r="R941" s="1"/>
      <c r="S941" s="1"/>
    </row>
    <row r="942" ht="10.5" customHeight="1">
      <c r="A942" s="1"/>
      <c r="B942" s="185" t="s">
        <v>806</v>
      </c>
      <c r="C942" s="185"/>
      <c r="D942" s="185"/>
      <c r="E942" s="185"/>
      <c r="F942" s="185"/>
      <c r="G942" s="185"/>
      <c r="H942" s="1"/>
      <c r="I942" s="1"/>
      <c r="J942" s="1"/>
      <c r="K942" s="1"/>
      <c r="L942" s="1"/>
      <c r="M942" s="1"/>
      <c r="N942" s="1"/>
      <c r="O942" s="1"/>
      <c r="P942" s="1"/>
      <c r="Q942" s="1"/>
      <c r="R942" s="1"/>
      <c r="S942" s="1"/>
    </row>
    <row r="943" ht="10.5" customHeight="1">
      <c r="A943" s="1"/>
      <c r="B943" s="185" t="s">
        <v>807</v>
      </c>
      <c r="C943" s="185"/>
      <c r="D943" s="185"/>
      <c r="E943" s="185"/>
      <c r="F943" s="185"/>
      <c r="G943" s="185"/>
      <c r="H943" s="1"/>
      <c r="I943" s="1"/>
      <c r="J943" s="1"/>
      <c r="K943" s="1"/>
      <c r="L943" s="1"/>
      <c r="M943" s="1"/>
      <c r="N943" s="1"/>
      <c r="O943" s="1"/>
      <c r="P943" s="1"/>
      <c r="Q943" s="1"/>
      <c r="R943" s="1"/>
      <c r="S943" s="1"/>
    </row>
    <row r="944" ht="10.5" customHeight="1">
      <c r="A944" s="1"/>
      <c r="B944" s="185" t="s">
        <v>808</v>
      </c>
      <c r="C944" s="185"/>
      <c r="D944" s="185"/>
      <c r="E944" s="185"/>
      <c r="F944" s="185"/>
      <c r="G944" s="185"/>
      <c r="H944" s="1"/>
      <c r="I944" s="1"/>
      <c r="J944" s="1"/>
      <c r="K944" s="1"/>
      <c r="L944" s="1"/>
      <c r="M944" s="1"/>
      <c r="N944" s="1"/>
      <c r="O944" s="1"/>
      <c r="P944" s="1"/>
      <c r="Q944" s="1"/>
      <c r="R944" s="1"/>
      <c r="S944" s="1"/>
    </row>
    <row r="945" ht="10.5" customHeight="1">
      <c r="A945" s="1"/>
      <c r="B945" s="185" t="s">
        <v>809</v>
      </c>
      <c r="C945" s="185"/>
      <c r="D945" s="185"/>
      <c r="E945" s="185"/>
      <c r="F945" s="185"/>
      <c r="G945" s="185"/>
      <c r="H945" s="1"/>
      <c r="I945" s="1"/>
      <c r="J945" s="1"/>
      <c r="K945" s="1"/>
      <c r="L945" s="1"/>
      <c r="M945" s="1"/>
      <c r="N945" s="1"/>
      <c r="O945" s="1"/>
      <c r="P945" s="1"/>
      <c r="Q945" s="1"/>
      <c r="R945" s="1"/>
      <c r="S945" s="1"/>
    </row>
    <row r="946" ht="10.5" customHeight="1">
      <c r="A946" s="1"/>
      <c r="B946" s="185"/>
      <c r="C946" s="185"/>
      <c r="D946" s="185"/>
      <c r="E946" s="185"/>
      <c r="F946" s="185"/>
      <c r="G946" s="185"/>
      <c r="H946" s="1"/>
      <c r="I946" s="1"/>
      <c r="J946" s="1"/>
      <c r="K946" s="1"/>
      <c r="L946" s="1"/>
      <c r="M946" s="1"/>
      <c r="N946" s="1"/>
      <c r="O946" s="1"/>
      <c r="P946" s="1"/>
      <c r="Q946" s="1"/>
      <c r="R946" s="1"/>
      <c r="S946" s="1"/>
    </row>
    <row r="947" ht="10.5" customHeight="1">
      <c r="A947" s="1"/>
      <c r="B947" s="185"/>
      <c r="C947" s="185"/>
      <c r="D947" s="185"/>
      <c r="E947" s="185"/>
      <c r="F947" s="185"/>
      <c r="G947" s="185"/>
      <c r="H947" s="1"/>
      <c r="I947" s="1"/>
      <c r="J947" s="1"/>
      <c r="K947" s="1"/>
      <c r="L947" s="1"/>
      <c r="M947" s="1"/>
      <c r="N947" s="1"/>
      <c r="O947" s="1"/>
      <c r="P947" s="1"/>
      <c r="Q947" s="1"/>
      <c r="R947" s="1"/>
      <c r="S947" s="1"/>
    </row>
    <row r="948" ht="10.5" customHeight="1">
      <c r="A948" s="1"/>
      <c r="B948" s="185"/>
      <c r="C948" s="185"/>
      <c r="D948" s="185"/>
      <c r="E948" s="185"/>
      <c r="F948" s="185"/>
      <c r="G948" s="185"/>
      <c r="H948" s="1"/>
      <c r="I948" s="1"/>
      <c r="J948" s="1"/>
      <c r="K948" s="1"/>
      <c r="L948" s="1"/>
      <c r="M948" s="1"/>
      <c r="N948" s="1"/>
      <c r="O948" s="1"/>
      <c r="P948" s="1"/>
      <c r="Q948" s="1"/>
      <c r="R948" s="1"/>
      <c r="S948" s="1"/>
    </row>
    <row r="949" ht="10.5" customHeight="1">
      <c r="A949" s="1"/>
      <c r="B949" s="185"/>
      <c r="C949" s="185"/>
      <c r="D949" s="185"/>
      <c r="E949" s="185"/>
      <c r="F949" s="185"/>
      <c r="G949" s="185"/>
      <c r="H949" s="1"/>
      <c r="I949" s="1"/>
      <c r="J949" s="1"/>
      <c r="K949" s="1"/>
      <c r="L949" s="1"/>
      <c r="M949" s="1"/>
      <c r="N949" s="1"/>
      <c r="O949" s="1"/>
      <c r="P949" s="1"/>
      <c r="Q949" s="1"/>
      <c r="R949" s="1"/>
      <c r="S949" s="1"/>
    </row>
    <row r="950" ht="10.5" customHeight="1">
      <c r="A950" s="1"/>
      <c r="B950" s="185"/>
      <c r="C950" s="185"/>
      <c r="D950" s="185"/>
      <c r="E950" s="185"/>
      <c r="F950" s="185"/>
      <c r="G950" s="185"/>
      <c r="H950" s="1"/>
      <c r="I950" s="1"/>
      <c r="J950" s="1"/>
      <c r="K950" s="1"/>
      <c r="L950" s="1"/>
      <c r="M950" s="1"/>
      <c r="N950" s="1"/>
      <c r="O950" s="1"/>
      <c r="P950" s="1"/>
      <c r="Q950" s="1"/>
      <c r="R950" s="1"/>
      <c r="S950" s="1"/>
    </row>
    <row r="951" ht="10.5" customHeight="1">
      <c r="A951" s="1"/>
      <c r="B951" s="185"/>
      <c r="C951" s="185"/>
      <c r="D951" s="185"/>
      <c r="E951" s="185"/>
      <c r="F951" s="185"/>
      <c r="G951" s="185"/>
      <c r="H951" s="1"/>
      <c r="I951" s="1"/>
      <c r="J951" s="1"/>
      <c r="K951" s="1"/>
      <c r="L951" s="1"/>
      <c r="M951" s="1"/>
      <c r="N951" s="1"/>
      <c r="O951" s="1"/>
      <c r="P951" s="1"/>
      <c r="Q951" s="1"/>
      <c r="R951" s="1"/>
      <c r="S951" s="1"/>
    </row>
    <row r="952" ht="10.5" customHeight="1">
      <c r="A952" s="1"/>
      <c r="B952" s="185"/>
      <c r="C952" s="185"/>
      <c r="D952" s="185"/>
      <c r="E952" s="185"/>
      <c r="F952" s="185"/>
      <c r="G952" s="185"/>
      <c r="H952" s="1"/>
      <c r="I952" s="1"/>
      <c r="J952" s="1"/>
      <c r="K952" s="1"/>
      <c r="L952" s="1"/>
      <c r="M952" s="1"/>
      <c r="N952" s="1"/>
      <c r="O952" s="1"/>
      <c r="P952" s="1"/>
      <c r="Q952" s="1"/>
      <c r="R952" s="1"/>
      <c r="S952" s="1"/>
    </row>
    <row r="953" ht="10.5" customHeight="1">
      <c r="A953" s="1"/>
      <c r="B953" s="185"/>
      <c r="C953" s="185"/>
      <c r="D953" s="185"/>
      <c r="E953" s="185"/>
      <c r="F953" s="185"/>
      <c r="G953" s="185"/>
      <c r="H953" s="1"/>
      <c r="I953" s="1"/>
      <c r="J953" s="1"/>
      <c r="K953" s="1"/>
      <c r="L953" s="1"/>
      <c r="M953" s="1"/>
      <c r="N953" s="1"/>
      <c r="O953" s="1"/>
      <c r="P953" s="1"/>
      <c r="Q953" s="1"/>
      <c r="R953" s="1"/>
      <c r="S953" s="1"/>
    </row>
    <row r="954" ht="10.5" customHeight="1">
      <c r="A954" s="1"/>
      <c r="B954" s="185"/>
      <c r="C954" s="185"/>
      <c r="D954" s="185"/>
      <c r="E954" s="185"/>
      <c r="F954" s="185"/>
      <c r="G954" s="185"/>
      <c r="H954" s="1"/>
      <c r="I954" s="1"/>
      <c r="J954" s="1"/>
      <c r="K954" s="1"/>
      <c r="L954" s="1"/>
      <c r="M954" s="1"/>
      <c r="N954" s="1"/>
      <c r="O954" s="1"/>
      <c r="P954" s="1"/>
      <c r="Q954" s="1"/>
      <c r="R954" s="1"/>
      <c r="S954" s="1"/>
    </row>
    <row r="955" ht="10.5" customHeight="1">
      <c r="A955" s="1"/>
      <c r="B955" s="185"/>
      <c r="C955" s="185"/>
      <c r="D955" s="185"/>
      <c r="E955" s="185"/>
      <c r="F955" s="185"/>
      <c r="G955" s="185"/>
      <c r="H955" s="1"/>
      <c r="I955" s="1"/>
      <c r="J955" s="1"/>
      <c r="K955" s="1"/>
      <c r="L955" s="1"/>
      <c r="M955" s="1"/>
      <c r="N955" s="1"/>
      <c r="O955" s="1"/>
      <c r="P955" s="1"/>
      <c r="Q955" s="1"/>
      <c r="R955" s="1"/>
      <c r="S955" s="1"/>
    </row>
    <row r="956" ht="10.5" customHeight="1">
      <c r="A956" s="1"/>
      <c r="B956" s="185"/>
      <c r="C956" s="185"/>
      <c r="D956" s="185"/>
      <c r="E956" s="185"/>
      <c r="F956" s="185"/>
      <c r="G956" s="185"/>
      <c r="H956" s="1"/>
      <c r="I956" s="1"/>
      <c r="J956" s="1"/>
      <c r="K956" s="1"/>
      <c r="L956" s="1"/>
      <c r="M956" s="1"/>
      <c r="N956" s="1"/>
      <c r="O956" s="1"/>
      <c r="P956" s="1"/>
      <c r="Q956" s="1"/>
      <c r="R956" s="1"/>
      <c r="S956" s="1"/>
    </row>
    <row r="957" ht="10.5" customHeight="1">
      <c r="A957" s="1"/>
      <c r="B957" s="185"/>
      <c r="C957" s="185"/>
      <c r="D957" s="185"/>
      <c r="E957" s="185"/>
      <c r="F957" s="185"/>
      <c r="G957" s="110">
        <v>17.0</v>
      </c>
      <c r="H957" s="1"/>
      <c r="I957" s="1"/>
      <c r="J957" s="1"/>
      <c r="K957" s="1"/>
      <c r="L957" s="1"/>
      <c r="M957" s="1"/>
      <c r="N957" s="1"/>
      <c r="O957" s="1"/>
      <c r="P957" s="1"/>
      <c r="Q957" s="1"/>
      <c r="R957" s="1"/>
      <c r="S957" s="1"/>
    </row>
    <row r="958" ht="10.5" customHeight="1">
      <c r="A958" s="1"/>
      <c r="B958" s="60"/>
      <c r="C958" s="60"/>
      <c r="D958" s="60"/>
      <c r="E958" s="60"/>
      <c r="F958" s="60"/>
      <c r="G958" s="1"/>
      <c r="H958" s="1"/>
      <c r="I958" s="1"/>
      <c r="J958" s="1"/>
      <c r="K958" s="1"/>
      <c r="L958" s="1"/>
      <c r="M958" s="1"/>
      <c r="N958" s="1"/>
      <c r="O958" s="1"/>
      <c r="P958" s="1"/>
      <c r="Q958" s="1"/>
      <c r="R958" s="1"/>
      <c r="S958" s="1"/>
    </row>
    <row r="959" ht="10.5" customHeight="1">
      <c r="A959" s="1"/>
      <c r="B959" s="60"/>
      <c r="C959" s="60"/>
      <c r="D959" s="60"/>
      <c r="E959" s="60"/>
      <c r="F959" s="60"/>
      <c r="G959" s="60"/>
      <c r="H959" s="1"/>
      <c r="I959" s="1"/>
      <c r="J959" s="1"/>
      <c r="K959" s="1"/>
      <c r="L959" s="1"/>
      <c r="M959" s="1"/>
      <c r="N959" s="1"/>
      <c r="O959" s="1"/>
      <c r="P959" s="1"/>
      <c r="Q959" s="1"/>
      <c r="R959" s="1"/>
      <c r="S959" s="1"/>
    </row>
    <row r="960" ht="11.25" customHeight="1">
      <c r="A960" s="1"/>
      <c r="B960" s="1" t="s">
        <v>810</v>
      </c>
      <c r="C960" s="1"/>
      <c r="D960" s="111"/>
      <c r="E960" s="111"/>
      <c r="F960" s="111"/>
      <c r="G960" s="111"/>
      <c r="H960" s="1"/>
      <c r="I960" s="1"/>
      <c r="J960" s="1"/>
      <c r="K960" s="1"/>
      <c r="L960" s="1"/>
      <c r="M960" s="1"/>
      <c r="N960" s="1"/>
      <c r="O960" s="1"/>
      <c r="P960" s="1"/>
      <c r="Q960" s="1"/>
      <c r="R960" s="1"/>
      <c r="S960" s="1"/>
    </row>
    <row r="961" ht="10.5" customHeight="1">
      <c r="A961" s="1"/>
      <c r="B961" s="504" t="s">
        <v>811</v>
      </c>
      <c r="C961" s="3" t="s">
        <v>813</v>
      </c>
      <c r="D961" s="128" t="s">
        <v>762</v>
      </c>
      <c r="E961" s="9"/>
      <c r="F961" s="9"/>
      <c r="G961" s="10"/>
      <c r="H961" s="427" t="s">
        <v>243</v>
      </c>
      <c r="I961" s="1"/>
      <c r="J961" s="1"/>
      <c r="K961" s="1"/>
      <c r="L961" s="1"/>
      <c r="M961" s="1"/>
      <c r="N961" s="1"/>
      <c r="O961" s="1"/>
      <c r="P961" s="1"/>
      <c r="Q961" s="1"/>
      <c r="R961" s="1"/>
      <c r="S961" s="1"/>
    </row>
    <row r="962" ht="22.5" customHeight="1">
      <c r="A962" s="1"/>
      <c r="B962" s="5"/>
      <c r="C962" s="6"/>
      <c r="D962" s="7" t="s">
        <v>763</v>
      </c>
      <c r="E962" s="7" t="s">
        <v>815</v>
      </c>
      <c r="F962" s="200" t="s">
        <v>816</v>
      </c>
      <c r="G962" s="202" t="s">
        <v>687</v>
      </c>
      <c r="H962" s="6"/>
      <c r="I962" s="253"/>
      <c r="J962" s="1"/>
      <c r="K962" s="1"/>
      <c r="L962" s="1"/>
      <c r="M962" s="1"/>
      <c r="N962" s="1"/>
      <c r="O962" s="1"/>
      <c r="P962" s="1"/>
      <c r="Q962" s="1"/>
      <c r="R962" s="1"/>
      <c r="S962" s="1"/>
    </row>
    <row r="963" ht="10.5" customHeight="1">
      <c r="A963" s="1"/>
      <c r="B963" s="6"/>
      <c r="C963" s="8" t="s">
        <v>520</v>
      </c>
      <c r="D963" s="9"/>
      <c r="E963" s="9"/>
      <c r="F963" s="9"/>
      <c r="G963" s="9"/>
      <c r="H963" s="10"/>
      <c r="I963" s="253"/>
      <c r="J963" s="1"/>
      <c r="K963" s="1"/>
      <c r="L963" s="1"/>
      <c r="M963" s="1"/>
      <c r="N963" s="1"/>
      <c r="O963" s="1"/>
      <c r="P963" s="1"/>
      <c r="Q963" s="1"/>
      <c r="R963" s="1"/>
      <c r="S963" s="1"/>
    </row>
    <row r="964" ht="10.5" customHeight="1">
      <c r="A964" s="1"/>
      <c r="B964" s="238" t="s">
        <v>271</v>
      </c>
      <c r="C964" s="30">
        <v>209329.0</v>
      </c>
      <c r="D964" s="30">
        <v>211683.0</v>
      </c>
      <c r="E964" s="30">
        <v>3011.0</v>
      </c>
      <c r="F964" s="30"/>
      <c r="G964" s="192">
        <f t="shared" ref="G964:G968" si="43">SUM(D964:E964)</f>
        <v>214694</v>
      </c>
      <c r="H964" s="30" t="s">
        <v>40</v>
      </c>
      <c r="I964" s="1"/>
      <c r="J964" s="1"/>
      <c r="K964" s="1"/>
      <c r="L964" s="1"/>
      <c r="M964" s="1"/>
      <c r="N964" s="1"/>
      <c r="O964" s="1"/>
      <c r="P964" s="1"/>
      <c r="Q964" s="1"/>
      <c r="R964" s="1"/>
      <c r="S964" s="1"/>
    </row>
    <row r="965" ht="10.5" customHeight="1">
      <c r="A965" s="1"/>
      <c r="B965" s="238" t="s">
        <v>272</v>
      </c>
      <c r="C965" s="30">
        <v>254725.0</v>
      </c>
      <c r="D965" s="30">
        <v>254564.0</v>
      </c>
      <c r="E965" s="30">
        <v>2782.0</v>
      </c>
      <c r="F965" s="30"/>
      <c r="G965" s="33">
        <f t="shared" si="43"/>
        <v>257346</v>
      </c>
      <c r="H965" s="30">
        <v>783.0</v>
      </c>
      <c r="I965" s="1"/>
      <c r="J965" s="1"/>
      <c r="K965" s="1"/>
      <c r="L965" s="1"/>
      <c r="M965" s="1"/>
      <c r="N965" s="1"/>
      <c r="O965" s="1"/>
      <c r="P965" s="1"/>
      <c r="Q965" s="1"/>
      <c r="R965" s="1"/>
      <c r="S965" s="1"/>
    </row>
    <row r="966" ht="10.5" customHeight="1">
      <c r="A966" s="1"/>
      <c r="B966" s="238" t="s">
        <v>274</v>
      </c>
      <c r="C966" s="30">
        <v>470752.0</v>
      </c>
      <c r="D966" s="30">
        <v>423096.0</v>
      </c>
      <c r="E966" s="30">
        <v>2773.0</v>
      </c>
      <c r="F966" s="30"/>
      <c r="G966" s="33">
        <f t="shared" si="43"/>
        <v>425869</v>
      </c>
      <c r="H966" s="30">
        <v>44050.0</v>
      </c>
      <c r="I966" s="1"/>
      <c r="J966" s="1"/>
      <c r="K966" s="1"/>
      <c r="L966" s="1"/>
      <c r="M966" s="1"/>
      <c r="N966" s="1"/>
      <c r="O966" s="1"/>
      <c r="P966" s="1"/>
      <c r="Q966" s="1"/>
      <c r="R966" s="1"/>
      <c r="S966" s="1"/>
    </row>
    <row r="967" ht="10.5" customHeight="1">
      <c r="A967" s="1"/>
      <c r="B967" s="238" t="s">
        <v>275</v>
      </c>
      <c r="C967" s="30">
        <v>444164.0</v>
      </c>
      <c r="D967" s="30">
        <v>330669.0</v>
      </c>
      <c r="E967" s="30">
        <v>3083.0</v>
      </c>
      <c r="F967" s="30"/>
      <c r="G967" s="33">
        <f t="shared" si="43"/>
        <v>333752</v>
      </c>
      <c r="H967" s="30">
        <v>13295.0</v>
      </c>
      <c r="I967" s="1"/>
      <c r="J967" s="1"/>
      <c r="K967" s="1"/>
      <c r="L967" s="1"/>
      <c r="M967" s="1"/>
      <c r="N967" s="1"/>
      <c r="O967" s="1"/>
      <c r="P967" s="1"/>
      <c r="Q967" s="1"/>
      <c r="R967" s="1"/>
      <c r="S967" s="1"/>
    </row>
    <row r="968" ht="10.5" customHeight="1">
      <c r="A968" s="1"/>
      <c r="B968" s="238" t="s">
        <v>276</v>
      </c>
      <c r="C968" s="30">
        <v>311988.0</v>
      </c>
      <c r="D968" s="30">
        <v>309045.0</v>
      </c>
      <c r="E968" s="30">
        <v>2491.0</v>
      </c>
      <c r="F968" s="30"/>
      <c r="G968" s="33">
        <f t="shared" si="43"/>
        <v>311536</v>
      </c>
      <c r="H968" s="30">
        <v>148.0</v>
      </c>
      <c r="I968" s="1"/>
      <c r="J968" s="1"/>
      <c r="K968" s="1"/>
      <c r="L968" s="1"/>
      <c r="M968" s="1"/>
      <c r="N968" s="1"/>
      <c r="O968" s="1"/>
      <c r="P968" s="1"/>
      <c r="Q968" s="1"/>
      <c r="R968" s="1"/>
      <c r="S968" s="1"/>
    </row>
    <row r="969" ht="10.5" customHeight="1">
      <c r="A969" s="1"/>
      <c r="B969" s="238"/>
      <c r="C969" s="30"/>
      <c r="D969" s="30"/>
      <c r="E969" s="30"/>
      <c r="F969" s="30"/>
      <c r="G969" s="33"/>
      <c r="H969" s="30"/>
      <c r="I969" s="1"/>
      <c r="J969" s="1"/>
      <c r="K969" s="1"/>
      <c r="L969" s="1"/>
      <c r="M969" s="1"/>
      <c r="N969" s="1"/>
      <c r="O969" s="1"/>
      <c r="P969" s="1"/>
      <c r="Q969" s="1"/>
      <c r="R969" s="1"/>
      <c r="S969" s="1"/>
    </row>
    <row r="970" ht="10.5" customHeight="1">
      <c r="A970" s="1"/>
      <c r="B970" s="238" t="s">
        <v>56</v>
      </c>
      <c r="C970" s="30">
        <v>328446.0</v>
      </c>
      <c r="D970" s="30">
        <v>325619.0</v>
      </c>
      <c r="E970" s="30">
        <v>2589.0</v>
      </c>
      <c r="F970" s="30"/>
      <c r="G970" s="33">
        <f t="shared" ref="G970:G974" si="44">SUM(D970:E970)</f>
        <v>328208</v>
      </c>
      <c r="H970" s="30">
        <v>767.0</v>
      </c>
      <c r="I970" s="1"/>
      <c r="J970" s="1"/>
      <c r="K970" s="1"/>
      <c r="L970" s="1"/>
      <c r="M970" s="1"/>
      <c r="N970" s="1"/>
      <c r="O970" s="1"/>
      <c r="P970" s="1"/>
      <c r="Q970" s="1"/>
      <c r="R970" s="1"/>
      <c r="S970" s="1"/>
    </row>
    <row r="971" ht="10.5" customHeight="1">
      <c r="A971" s="1"/>
      <c r="B971" s="238" t="s">
        <v>81</v>
      </c>
      <c r="C971" s="30">
        <v>517439.0</v>
      </c>
      <c r="D971" s="30">
        <v>347545.0</v>
      </c>
      <c r="E971" s="30">
        <v>3401.0</v>
      </c>
      <c r="F971" s="30"/>
      <c r="G971" s="33">
        <f t="shared" si="44"/>
        <v>350946</v>
      </c>
      <c r="H971" s="30">
        <v>94791.0</v>
      </c>
      <c r="I971" s="1"/>
      <c r="J971" s="1"/>
      <c r="K971" s="1"/>
      <c r="L971" s="1"/>
      <c r="M971" s="1"/>
      <c r="N971" s="1"/>
      <c r="O971" s="1"/>
      <c r="P971" s="1"/>
      <c r="Q971" s="1"/>
      <c r="R971" s="1"/>
      <c r="S971" s="1"/>
    </row>
    <row r="972" ht="10.5" customHeight="1">
      <c r="A972" s="1"/>
      <c r="B972" s="238" t="s">
        <v>86</v>
      </c>
      <c r="C972" s="30">
        <v>254081.0</v>
      </c>
      <c r="D972" s="30">
        <v>247156.0</v>
      </c>
      <c r="E972" s="30">
        <v>1508.0</v>
      </c>
      <c r="F972" s="30"/>
      <c r="G972" s="33">
        <f t="shared" si="44"/>
        <v>248664</v>
      </c>
      <c r="H972" s="30">
        <v>4504.0</v>
      </c>
      <c r="I972" s="1"/>
      <c r="J972" s="1"/>
      <c r="K972" s="1"/>
      <c r="L972" s="1"/>
      <c r="M972" s="1"/>
      <c r="N972" s="1"/>
      <c r="O972" s="1"/>
      <c r="P972" s="1"/>
      <c r="Q972" s="1"/>
      <c r="R972" s="1"/>
      <c r="S972" s="1"/>
    </row>
    <row r="973" ht="10.5" customHeight="1">
      <c r="A973" s="1"/>
      <c r="B973" s="238" t="s">
        <v>87</v>
      </c>
      <c r="C973" s="30">
        <v>202217.0</v>
      </c>
      <c r="D973" s="30">
        <v>198200.0</v>
      </c>
      <c r="E973" s="30">
        <v>1080.0</v>
      </c>
      <c r="F973" s="30"/>
      <c r="G973" s="33">
        <f t="shared" si="44"/>
        <v>199280</v>
      </c>
      <c r="H973" s="30">
        <v>3949.0</v>
      </c>
      <c r="I973" s="1"/>
      <c r="J973" s="1"/>
      <c r="K973" s="1"/>
      <c r="L973" s="1"/>
      <c r="M973" s="1"/>
      <c r="N973" s="1"/>
      <c r="O973" s="1"/>
      <c r="P973" s="1"/>
      <c r="Q973" s="1"/>
      <c r="R973" s="1"/>
      <c r="S973" s="1"/>
    </row>
    <row r="974" ht="10.5" customHeight="1">
      <c r="A974" s="1"/>
      <c r="B974" s="238" t="s">
        <v>90</v>
      </c>
      <c r="C974" s="30">
        <v>180538.0</v>
      </c>
      <c r="D974" s="30">
        <v>176955.0</v>
      </c>
      <c r="E974" s="30">
        <v>928.0</v>
      </c>
      <c r="F974" s="30"/>
      <c r="G974" s="33">
        <f t="shared" si="44"/>
        <v>177883</v>
      </c>
      <c r="H974" s="30">
        <v>2949.0</v>
      </c>
      <c r="I974" s="1"/>
      <c r="J974" s="1"/>
      <c r="K974" s="1"/>
      <c r="L974" s="1"/>
      <c r="M974" s="1"/>
      <c r="N974" s="1"/>
      <c r="O974" s="1"/>
      <c r="P974" s="1"/>
      <c r="Q974" s="1"/>
      <c r="R974" s="1"/>
      <c r="S974" s="1"/>
    </row>
    <row r="975" ht="10.5" customHeight="1">
      <c r="A975" s="1"/>
      <c r="B975" s="238"/>
      <c r="C975" s="30"/>
      <c r="D975" s="30"/>
      <c r="E975" s="30"/>
      <c r="F975" s="30"/>
      <c r="G975" s="33"/>
      <c r="H975" s="30"/>
      <c r="I975" s="1"/>
      <c r="J975" s="1"/>
      <c r="K975" s="1"/>
      <c r="L975" s="1"/>
      <c r="M975" s="1"/>
      <c r="N975" s="1"/>
      <c r="O975" s="1"/>
      <c r="P975" s="1"/>
      <c r="Q975" s="1"/>
      <c r="R975" s="1"/>
      <c r="S975" s="1"/>
    </row>
    <row r="976" ht="10.5" customHeight="1">
      <c r="A976" s="1"/>
      <c r="B976" s="238" t="s">
        <v>93</v>
      </c>
      <c r="C976" s="30">
        <v>237848.0</v>
      </c>
      <c r="D976" s="30">
        <v>231957.0</v>
      </c>
      <c r="E976" s="30">
        <v>1770.0</v>
      </c>
      <c r="F976" s="30"/>
      <c r="G976" s="33">
        <f t="shared" ref="G976:G980" si="45">SUM(D976:E976)</f>
        <v>233727</v>
      </c>
      <c r="H976" s="30" t="s">
        <v>40</v>
      </c>
      <c r="I976" s="1"/>
      <c r="J976" s="1"/>
      <c r="K976" s="1"/>
      <c r="L976" s="1"/>
      <c r="M976" s="1"/>
      <c r="N976" s="1"/>
      <c r="O976" s="1"/>
      <c r="P976" s="1"/>
      <c r="Q976" s="1"/>
      <c r="R976" s="1"/>
      <c r="S976" s="1"/>
    </row>
    <row r="977" ht="10.5" customHeight="1">
      <c r="A977" s="1"/>
      <c r="B977" s="238" t="s">
        <v>97</v>
      </c>
      <c r="C977" s="30">
        <v>272455.0</v>
      </c>
      <c r="D977" s="30">
        <v>264830.0</v>
      </c>
      <c r="E977" s="30">
        <v>1977.0</v>
      </c>
      <c r="F977" s="30"/>
      <c r="G977" s="33">
        <f t="shared" si="45"/>
        <v>266807</v>
      </c>
      <c r="H977" s="30" t="s">
        <v>40</v>
      </c>
      <c r="I977" s="1"/>
      <c r="J977" s="1"/>
      <c r="K977" s="1"/>
      <c r="L977" s="1"/>
      <c r="M977" s="1"/>
      <c r="N977" s="1"/>
      <c r="O977" s="1"/>
      <c r="P977" s="1"/>
      <c r="Q977" s="1"/>
      <c r="R977" s="1"/>
      <c r="S977" s="1"/>
    </row>
    <row r="978" ht="10.5" customHeight="1">
      <c r="A978" s="1"/>
      <c r="B978" s="238" t="s">
        <v>101</v>
      </c>
      <c r="C978" s="30">
        <v>374740.0</v>
      </c>
      <c r="D978" s="30">
        <v>368887.0</v>
      </c>
      <c r="E978" s="30">
        <v>1475.0</v>
      </c>
      <c r="F978" s="30"/>
      <c r="G978" s="33">
        <f t="shared" si="45"/>
        <v>370362</v>
      </c>
      <c r="H978" s="30" t="s">
        <v>40</v>
      </c>
      <c r="I978" s="1"/>
      <c r="J978" s="1"/>
      <c r="K978" s="1"/>
      <c r="L978" s="1"/>
      <c r="M978" s="1"/>
      <c r="N978" s="1"/>
      <c r="O978" s="1"/>
      <c r="P978" s="1"/>
      <c r="Q978" s="1"/>
      <c r="R978" s="1"/>
      <c r="S978" s="1"/>
    </row>
    <row r="979" ht="10.5" customHeight="1">
      <c r="A979" s="1"/>
      <c r="B979" s="238" t="s">
        <v>103</v>
      </c>
      <c r="C979" s="30">
        <v>419710.0</v>
      </c>
      <c r="D979" s="30">
        <v>418329.0</v>
      </c>
      <c r="E979" s="30">
        <v>2491.0</v>
      </c>
      <c r="F979" s="30"/>
      <c r="G979" s="33">
        <f t="shared" si="45"/>
        <v>420820</v>
      </c>
      <c r="H979" s="30" t="s">
        <v>40</v>
      </c>
      <c r="I979" s="1"/>
      <c r="J979" s="1"/>
      <c r="K979" s="1"/>
      <c r="L979" s="1"/>
      <c r="M979" s="1"/>
      <c r="N979" s="1"/>
      <c r="O979" s="1"/>
      <c r="P979" s="1"/>
      <c r="Q979" s="1"/>
      <c r="R979" s="1"/>
      <c r="S979" s="1"/>
    </row>
    <row r="980" ht="10.5" customHeight="1">
      <c r="A980" s="1"/>
      <c r="B980" s="238" t="s">
        <v>104</v>
      </c>
      <c r="C980" s="30">
        <v>429957.0</v>
      </c>
      <c r="D980" s="30">
        <v>429522.0</v>
      </c>
      <c r="E980" s="30">
        <v>1385.0</v>
      </c>
      <c r="F980" s="30"/>
      <c r="G980" s="33">
        <f t="shared" si="45"/>
        <v>430907</v>
      </c>
      <c r="H980" s="30" t="s">
        <v>40</v>
      </c>
      <c r="I980" s="1"/>
      <c r="J980" s="1"/>
      <c r="K980" s="1"/>
      <c r="L980" s="1"/>
      <c r="M980" s="1"/>
      <c r="N980" s="1"/>
      <c r="O980" s="1"/>
      <c r="P980" s="1"/>
      <c r="Q980" s="1"/>
      <c r="R980" s="1"/>
      <c r="S980" s="1"/>
    </row>
    <row r="981" ht="10.5" customHeight="1">
      <c r="A981" s="1"/>
      <c r="B981" s="238"/>
      <c r="C981" s="30"/>
      <c r="D981" s="30"/>
      <c r="E981" s="30"/>
      <c r="F981" s="30"/>
      <c r="G981" s="33"/>
      <c r="H981" s="30"/>
      <c r="I981" s="1"/>
      <c r="J981" s="1"/>
      <c r="K981" s="1"/>
      <c r="L981" s="1"/>
      <c r="M981" s="1"/>
      <c r="N981" s="1"/>
      <c r="O981" s="1"/>
      <c r="P981" s="1"/>
      <c r="Q981" s="1"/>
      <c r="R981" s="1"/>
      <c r="S981" s="1"/>
    </row>
    <row r="982" ht="10.5" customHeight="1">
      <c r="A982" s="1"/>
      <c r="B982" s="238" t="s">
        <v>108</v>
      </c>
      <c r="C982" s="30">
        <v>627897.0</v>
      </c>
      <c r="D982" s="30">
        <v>580252.0</v>
      </c>
      <c r="E982" s="30">
        <v>725.0</v>
      </c>
      <c r="F982" s="30"/>
      <c r="G982" s="33">
        <f t="shared" ref="G982:G986" si="46">SUM(D982:E982)</f>
        <v>580977</v>
      </c>
      <c r="H982" s="30" t="s">
        <v>40</v>
      </c>
      <c r="I982" s="1"/>
      <c r="J982" s="1"/>
      <c r="K982" s="1"/>
      <c r="L982" s="1"/>
      <c r="M982" s="1"/>
      <c r="N982" s="1"/>
      <c r="O982" s="1"/>
      <c r="P982" s="1"/>
      <c r="Q982" s="1"/>
      <c r="R982" s="1"/>
      <c r="S982" s="1"/>
    </row>
    <row r="983" ht="10.5" customHeight="1">
      <c r="A983" s="1"/>
      <c r="B983" s="238" t="s">
        <v>111</v>
      </c>
      <c r="C983" s="30">
        <v>591461.0</v>
      </c>
      <c r="D983" s="30">
        <v>641723.0</v>
      </c>
      <c r="E983" s="30">
        <v>246.0</v>
      </c>
      <c r="F983" s="30"/>
      <c r="G983" s="33">
        <f t="shared" si="46"/>
        <v>641969</v>
      </c>
      <c r="H983" s="30" t="s">
        <v>40</v>
      </c>
      <c r="I983" s="1"/>
      <c r="J983" s="1"/>
      <c r="K983" s="1"/>
      <c r="L983" s="1"/>
      <c r="M983" s="1"/>
      <c r="N983" s="1"/>
      <c r="O983" s="1"/>
      <c r="P983" s="1"/>
      <c r="Q983" s="1"/>
      <c r="R983" s="1"/>
      <c r="S983" s="1"/>
    </row>
    <row r="984" ht="10.5" customHeight="1">
      <c r="A984" s="1"/>
      <c r="B984" s="238" t="s">
        <v>112</v>
      </c>
      <c r="C984" s="30">
        <v>170140.0</v>
      </c>
      <c r="D984" s="30">
        <v>171467.0</v>
      </c>
      <c r="E984" s="30">
        <v>309.0</v>
      </c>
      <c r="F984" s="30"/>
      <c r="G984" s="33">
        <f t="shared" si="46"/>
        <v>171776</v>
      </c>
      <c r="H984" s="30" t="s">
        <v>40</v>
      </c>
      <c r="I984" s="1"/>
      <c r="J984" s="1"/>
      <c r="K984" s="1"/>
      <c r="L984" s="1"/>
      <c r="M984" s="1"/>
      <c r="N984" s="1"/>
      <c r="O984" s="1"/>
      <c r="P984" s="1"/>
      <c r="Q984" s="1"/>
      <c r="R984" s="1"/>
      <c r="S984" s="1"/>
    </row>
    <row r="985" ht="10.5" customHeight="1">
      <c r="A985" s="1"/>
      <c r="B985" s="238" t="s">
        <v>113</v>
      </c>
      <c r="C985" s="30">
        <v>330138.0</v>
      </c>
      <c r="D985" s="30">
        <v>329362.0</v>
      </c>
      <c r="E985" s="30">
        <v>65.0</v>
      </c>
      <c r="F985" s="30"/>
      <c r="G985" s="33">
        <f t="shared" si="46"/>
        <v>329427</v>
      </c>
      <c r="H985" s="30" t="s">
        <v>40</v>
      </c>
      <c r="I985" s="1"/>
      <c r="J985" s="1"/>
      <c r="K985" s="1"/>
      <c r="L985" s="1"/>
      <c r="M985" s="1"/>
      <c r="N985" s="1"/>
      <c r="O985" s="1"/>
      <c r="P985" s="1"/>
      <c r="Q985" s="1"/>
      <c r="R985" s="1"/>
      <c r="S985" s="1"/>
    </row>
    <row r="986" ht="10.5" customHeight="1">
      <c r="A986" s="1"/>
      <c r="B986" s="238" t="s">
        <v>114</v>
      </c>
      <c r="C986" s="30">
        <v>352277.0</v>
      </c>
      <c r="D986" s="30">
        <v>352277.0</v>
      </c>
      <c r="E986" s="30">
        <v>159.0</v>
      </c>
      <c r="F986" s="30"/>
      <c r="G986" s="33">
        <f t="shared" si="46"/>
        <v>352436</v>
      </c>
      <c r="H986" s="30" t="s">
        <v>40</v>
      </c>
      <c r="I986" s="1"/>
      <c r="J986" s="1"/>
      <c r="K986" s="1"/>
      <c r="L986" s="1"/>
      <c r="M986" s="1"/>
      <c r="N986" s="1"/>
      <c r="O986" s="1"/>
      <c r="P986" s="1"/>
      <c r="Q986" s="1"/>
      <c r="R986" s="1"/>
      <c r="S986" s="1"/>
    </row>
    <row r="987" ht="10.5" customHeight="1">
      <c r="A987" s="1"/>
      <c r="B987" s="238"/>
      <c r="C987" s="30"/>
      <c r="D987" s="30"/>
      <c r="E987" s="30"/>
      <c r="F987" s="30"/>
      <c r="G987" s="38"/>
      <c r="H987" s="30"/>
      <c r="I987" s="1"/>
      <c r="J987" s="1"/>
      <c r="K987" s="1"/>
      <c r="L987" s="1"/>
      <c r="M987" s="1"/>
      <c r="N987" s="1"/>
      <c r="O987" s="1"/>
      <c r="P987" s="1"/>
      <c r="Q987" s="1"/>
      <c r="R987" s="1"/>
      <c r="S987" s="1"/>
    </row>
    <row r="988" ht="10.5" customHeight="1">
      <c r="A988" s="1"/>
      <c r="B988" s="238" t="s">
        <v>115</v>
      </c>
      <c r="C988" s="30">
        <v>545680.0</v>
      </c>
      <c r="D988" s="30">
        <v>485680.0</v>
      </c>
      <c r="E988" s="30" t="s">
        <v>40</v>
      </c>
      <c r="F988" s="30"/>
      <c r="G988" s="33">
        <f t="shared" ref="G988:G992" si="47">SUM(D988:E988)</f>
        <v>485680</v>
      </c>
      <c r="H988" s="30" t="s">
        <v>40</v>
      </c>
      <c r="I988" s="1"/>
      <c r="J988" s="1"/>
      <c r="K988" s="1"/>
      <c r="L988" s="1"/>
      <c r="M988" s="1"/>
      <c r="N988" s="1"/>
      <c r="O988" s="1"/>
      <c r="P988" s="1"/>
      <c r="Q988" s="1"/>
      <c r="R988" s="1"/>
      <c r="S988" s="1"/>
    </row>
    <row r="989" ht="10.5" customHeight="1">
      <c r="A989" s="1"/>
      <c r="B989" s="238" t="s">
        <v>117</v>
      </c>
      <c r="C989" s="30">
        <v>728000.0</v>
      </c>
      <c r="D989" s="30">
        <v>637000.0</v>
      </c>
      <c r="E989" s="30" t="s">
        <v>40</v>
      </c>
      <c r="F989" s="30"/>
      <c r="G989" s="306">
        <f t="shared" si="47"/>
        <v>637000</v>
      </c>
      <c r="H989" s="33">
        <v>51000.0</v>
      </c>
      <c r="I989" s="1"/>
      <c r="J989" s="1"/>
      <c r="K989" s="1"/>
      <c r="L989" s="1"/>
      <c r="M989" s="1"/>
      <c r="N989" s="1"/>
      <c r="O989" s="1"/>
      <c r="P989" s="1"/>
      <c r="Q989" s="1"/>
      <c r="R989" s="1"/>
      <c r="S989" s="1"/>
    </row>
    <row r="990" ht="10.5" customHeight="1">
      <c r="A990" s="1"/>
      <c r="B990" s="238" t="s">
        <v>121</v>
      </c>
      <c r="C990" s="30">
        <v>490000.0</v>
      </c>
      <c r="D990" s="30">
        <v>631000.0</v>
      </c>
      <c r="E990" s="30">
        <v>2000.0</v>
      </c>
      <c r="F990" s="30"/>
      <c r="G990" s="33">
        <f t="shared" si="47"/>
        <v>633000</v>
      </c>
      <c r="H990" s="30" t="s">
        <v>40</v>
      </c>
      <c r="I990" s="1"/>
      <c r="J990" s="1"/>
      <c r="K990" s="1"/>
      <c r="L990" s="1"/>
      <c r="M990" s="1"/>
      <c r="N990" s="1"/>
      <c r="O990" s="1"/>
      <c r="P990" s="1"/>
      <c r="Q990" s="1"/>
      <c r="R990" s="1"/>
      <c r="S990" s="1"/>
    </row>
    <row r="991" ht="10.5" customHeight="1">
      <c r="A991" s="1"/>
      <c r="B991" s="238" t="s">
        <v>122</v>
      </c>
      <c r="C991" s="30">
        <v>561000.0</v>
      </c>
      <c r="D991" s="30">
        <v>609000.0</v>
      </c>
      <c r="E991" s="30">
        <v>3000.0</v>
      </c>
      <c r="F991" s="30"/>
      <c r="G991" s="33">
        <f t="shared" si="47"/>
        <v>612000</v>
      </c>
      <c r="H991" s="30" t="s">
        <v>40</v>
      </c>
      <c r="I991" s="1"/>
      <c r="J991" s="1"/>
      <c r="K991" s="1"/>
      <c r="L991" s="1"/>
      <c r="M991" s="1"/>
      <c r="N991" s="1"/>
      <c r="O991" s="1"/>
      <c r="P991" s="1"/>
      <c r="Q991" s="1"/>
      <c r="R991" s="1"/>
      <c r="S991" s="1"/>
    </row>
    <row r="992" ht="10.5" customHeight="1">
      <c r="A992" s="1"/>
      <c r="B992" s="238" t="s">
        <v>123</v>
      </c>
      <c r="C992" s="30">
        <v>1125000.0</v>
      </c>
      <c r="D992" s="30">
        <v>760000.0</v>
      </c>
      <c r="E992" s="30">
        <v>4000.0</v>
      </c>
      <c r="F992" s="30"/>
      <c r="G992" s="306">
        <f t="shared" si="47"/>
        <v>764000</v>
      </c>
      <c r="H992" s="33">
        <v>56000.0</v>
      </c>
      <c r="I992" s="1"/>
      <c r="J992" s="1"/>
      <c r="K992" s="1"/>
      <c r="L992" s="1"/>
      <c r="M992" s="1"/>
      <c r="N992" s="1"/>
      <c r="O992" s="1"/>
      <c r="P992" s="1"/>
      <c r="Q992" s="1"/>
      <c r="R992" s="1"/>
      <c r="S992" s="1"/>
    </row>
    <row r="993" ht="10.5" customHeight="1">
      <c r="A993" s="1"/>
      <c r="B993" s="238"/>
      <c r="C993" s="30"/>
      <c r="D993" s="30"/>
      <c r="E993" s="30"/>
      <c r="F993" s="30"/>
      <c r="G993" s="306"/>
      <c r="H993" s="33"/>
      <c r="I993" s="1"/>
      <c r="J993" s="1"/>
      <c r="K993" s="1"/>
      <c r="L993" s="1"/>
      <c r="M993" s="1"/>
      <c r="N993" s="1"/>
      <c r="O993" s="1"/>
      <c r="P993" s="1"/>
      <c r="Q993" s="1"/>
      <c r="R993" s="1"/>
      <c r="S993" s="1"/>
    </row>
    <row r="994" ht="10.5" customHeight="1">
      <c r="A994" s="1"/>
      <c r="B994" s="293">
        <v>36526.0</v>
      </c>
      <c r="C994" s="30">
        <v>544957.0</v>
      </c>
      <c r="D994" s="30">
        <v>814100.0</v>
      </c>
      <c r="E994" s="30">
        <v>3400.0</v>
      </c>
      <c r="F994" s="30">
        <v>17800.0</v>
      </c>
      <c r="G994" s="306">
        <f t="shared" ref="G994:G998" si="48">SUM(D994:F994)</f>
        <v>835300</v>
      </c>
      <c r="H994" s="33">
        <v>300.0</v>
      </c>
      <c r="I994" s="1"/>
      <c r="J994" s="1"/>
      <c r="K994" s="1"/>
      <c r="L994" s="1"/>
      <c r="M994" s="1"/>
      <c r="N994" s="1"/>
      <c r="O994" s="1"/>
      <c r="P994" s="1"/>
      <c r="Q994" s="1"/>
      <c r="R994" s="1"/>
      <c r="S994" s="1"/>
    </row>
    <row r="995" ht="10.5" customHeight="1">
      <c r="A995" s="1"/>
      <c r="B995" s="293">
        <v>36923.0</v>
      </c>
      <c r="C995" s="30">
        <v>664399.0</v>
      </c>
      <c r="D995" s="30">
        <v>644900.0</v>
      </c>
      <c r="E995" s="30">
        <v>4300.0</v>
      </c>
      <c r="F995" s="33">
        <v>22300.0</v>
      </c>
      <c r="G995" s="33">
        <f t="shared" si="48"/>
        <v>671500</v>
      </c>
      <c r="H995" s="30">
        <v>1100.0</v>
      </c>
      <c r="I995" s="1"/>
      <c r="J995" s="1"/>
      <c r="K995" s="1"/>
      <c r="L995" s="1"/>
      <c r="M995" s="1"/>
      <c r="N995" s="1"/>
      <c r="O995" s="1"/>
      <c r="P995" s="1"/>
      <c r="Q995" s="1"/>
      <c r="R995" s="1"/>
      <c r="S995" s="1"/>
    </row>
    <row r="996" ht="10.5" customHeight="1">
      <c r="A996" s="1"/>
      <c r="B996" s="293">
        <v>37316.0</v>
      </c>
      <c r="C996" s="33">
        <v>929533.0</v>
      </c>
      <c r="D996" s="33">
        <v>697900.0</v>
      </c>
      <c r="E996" s="33">
        <v>5300.0</v>
      </c>
      <c r="F996" s="33">
        <v>19900.0</v>
      </c>
      <c r="G996" s="33">
        <f t="shared" si="48"/>
        <v>723100</v>
      </c>
      <c r="H996" s="30">
        <v>45700.0</v>
      </c>
      <c r="I996" s="1"/>
      <c r="J996" s="1"/>
      <c r="K996" s="1"/>
      <c r="L996" s="1"/>
      <c r="M996" s="1"/>
      <c r="N996" s="1"/>
      <c r="O996" s="1"/>
      <c r="P996" s="1"/>
      <c r="Q996" s="1"/>
      <c r="R996" s="1"/>
      <c r="S996" s="1"/>
    </row>
    <row r="997" ht="10.5" customHeight="1">
      <c r="A997" s="1"/>
      <c r="B997" s="293">
        <v>37712.0</v>
      </c>
      <c r="C997" s="33">
        <v>656015.0</v>
      </c>
      <c r="D997" s="33">
        <v>798800.0</v>
      </c>
      <c r="E997" s="33">
        <v>3100.0</v>
      </c>
      <c r="F997" s="33">
        <v>11000.0</v>
      </c>
      <c r="G997" s="33">
        <f t="shared" si="48"/>
        <v>812900</v>
      </c>
      <c r="H997" s="30">
        <v>200.0</v>
      </c>
      <c r="I997" s="1"/>
      <c r="J997" s="1"/>
      <c r="K997" s="1"/>
      <c r="L997" s="1"/>
      <c r="M997" s="1"/>
      <c r="N997" s="1"/>
      <c r="O997" s="1"/>
      <c r="P997" s="1"/>
      <c r="Q997" s="1"/>
      <c r="R997" s="1"/>
      <c r="S997" s="1"/>
    </row>
    <row r="998" ht="10.5" customHeight="1">
      <c r="A998" s="1"/>
      <c r="B998" s="293">
        <v>38108.0</v>
      </c>
      <c r="C998" s="33">
        <v>651400.0</v>
      </c>
      <c r="D998" s="33">
        <v>656700.0</v>
      </c>
      <c r="E998" s="33">
        <v>4300.0</v>
      </c>
      <c r="F998" s="33">
        <v>5900.0</v>
      </c>
      <c r="G998" s="33">
        <f t="shared" si="48"/>
        <v>666900</v>
      </c>
      <c r="H998" s="30">
        <v>100.0</v>
      </c>
      <c r="I998" s="1"/>
      <c r="J998" s="1"/>
      <c r="K998" s="1"/>
      <c r="L998" s="1"/>
      <c r="M998" s="1"/>
      <c r="N998" s="1"/>
      <c r="O998" s="1"/>
      <c r="P998" s="1"/>
      <c r="Q998" s="1"/>
      <c r="R998" s="1"/>
      <c r="S998" s="1"/>
    </row>
    <row r="999" ht="10.5" customHeight="1">
      <c r="A999" s="1"/>
      <c r="B999" s="293"/>
      <c r="C999" s="33"/>
      <c r="D999" s="30"/>
      <c r="E999" s="30"/>
      <c r="F999" s="30"/>
      <c r="G999" s="33"/>
      <c r="H999" s="30"/>
      <c r="I999" s="1"/>
      <c r="J999" s="1"/>
      <c r="K999" s="1"/>
      <c r="L999" s="1"/>
      <c r="M999" s="1"/>
      <c r="N999" s="1"/>
      <c r="O999" s="1"/>
      <c r="P999" s="1"/>
      <c r="Q999" s="1"/>
      <c r="R999" s="1"/>
      <c r="S999" s="1"/>
    </row>
    <row r="1000" ht="10.5" customHeight="1">
      <c r="A1000" s="1"/>
      <c r="B1000" s="508">
        <v>38504.0</v>
      </c>
      <c r="C1000" s="178">
        <v>614169.0</v>
      </c>
      <c r="D1000" s="177">
        <v>627800.0</v>
      </c>
      <c r="E1000" s="177">
        <v>5300.0</v>
      </c>
      <c r="F1000" s="177">
        <v>5500.0</v>
      </c>
      <c r="G1000" s="169">
        <f t="shared" ref="G1000:G1004" si="49">SUM(D1000:F1000)</f>
        <v>638600</v>
      </c>
      <c r="H1000" s="177">
        <v>100.0</v>
      </c>
      <c r="I1000" s="1"/>
      <c r="J1000" s="1"/>
      <c r="K1000" s="1"/>
      <c r="L1000" s="1"/>
      <c r="M1000" s="1"/>
      <c r="N1000" s="1"/>
      <c r="O1000" s="1"/>
      <c r="P1000" s="1"/>
      <c r="Q1000" s="1"/>
      <c r="R1000" s="1"/>
      <c r="S1000" s="1"/>
    </row>
    <row r="1001" ht="10.5" customHeight="1">
      <c r="A1001" s="1"/>
      <c r="B1001" s="508">
        <v>38899.0</v>
      </c>
      <c r="C1001" s="178">
        <v>516112.0</v>
      </c>
      <c r="D1001" s="178">
        <v>449400.0</v>
      </c>
      <c r="E1001" s="177">
        <v>4100.0</v>
      </c>
      <c r="F1001" s="177">
        <v>6200.0</v>
      </c>
      <c r="G1001" s="169">
        <f t="shared" si="49"/>
        <v>459700</v>
      </c>
      <c r="H1001" s="177">
        <v>100.0</v>
      </c>
      <c r="I1001" s="1"/>
      <c r="J1001" s="1"/>
      <c r="K1001" s="1"/>
      <c r="L1001" s="1"/>
      <c r="M1001" s="1"/>
      <c r="N1001" s="1"/>
      <c r="O1001" s="1"/>
      <c r="P1001" s="1"/>
      <c r="Q1001" s="1"/>
      <c r="R1001" s="1"/>
      <c r="S1001" s="1"/>
    </row>
    <row r="1002" ht="10.5" customHeight="1">
      <c r="A1002" s="1"/>
      <c r="B1002" s="508">
        <v>39295.0</v>
      </c>
      <c r="C1002" s="178">
        <v>296583.0</v>
      </c>
      <c r="D1002" s="178">
        <v>358400.0</v>
      </c>
      <c r="E1002" s="177">
        <v>5400.0</v>
      </c>
      <c r="F1002" s="177">
        <v>7600.0</v>
      </c>
      <c r="G1002" s="169">
        <f t="shared" si="49"/>
        <v>371400</v>
      </c>
      <c r="H1002" s="177" t="s">
        <v>40</v>
      </c>
      <c r="I1002" s="1"/>
      <c r="J1002" s="1"/>
      <c r="K1002" s="1"/>
      <c r="L1002" s="1"/>
      <c r="M1002" s="1"/>
      <c r="N1002" s="1"/>
      <c r="O1002" s="1"/>
      <c r="P1002" s="1"/>
      <c r="Q1002" s="1"/>
      <c r="R1002" s="1"/>
      <c r="S1002" s="1"/>
    </row>
    <row r="1003" ht="10.5" customHeight="1">
      <c r="A1003" s="1"/>
      <c r="B1003" s="508">
        <v>39692.0</v>
      </c>
      <c r="C1003" s="178">
        <v>868803.0</v>
      </c>
      <c r="D1003" s="178">
        <v>637000.0</v>
      </c>
      <c r="E1003" s="177">
        <v>6700.0</v>
      </c>
      <c r="F1003" s="177">
        <v>8900.0</v>
      </c>
      <c r="G1003" s="169">
        <f t="shared" si="49"/>
        <v>652600</v>
      </c>
      <c r="H1003" s="136">
        <v>79400.0</v>
      </c>
      <c r="I1003" s="1"/>
      <c r="J1003" s="1"/>
      <c r="K1003" s="1"/>
      <c r="L1003" s="1"/>
      <c r="M1003" s="1"/>
      <c r="N1003" s="1"/>
      <c r="O1003" s="1"/>
      <c r="P1003" s="1"/>
      <c r="Q1003" s="1"/>
      <c r="R1003" s="1"/>
      <c r="S1003" s="1"/>
    </row>
    <row r="1004" ht="10.5" customHeight="1">
      <c r="A1004" s="1"/>
      <c r="B1004" s="508">
        <v>40087.0</v>
      </c>
      <c r="C1004" s="178">
        <v>795060.0</v>
      </c>
      <c r="D1004" s="178">
        <v>816100.0</v>
      </c>
      <c r="E1004" s="177">
        <v>5800.0</v>
      </c>
      <c r="F1004" s="177">
        <v>13500.0</v>
      </c>
      <c r="G1004" s="169">
        <f t="shared" si="49"/>
        <v>835400</v>
      </c>
      <c r="H1004" s="177" t="s">
        <v>40</v>
      </c>
      <c r="I1004" s="1"/>
      <c r="J1004" s="1"/>
      <c r="K1004" s="1"/>
      <c r="L1004" s="1"/>
      <c r="M1004" s="1"/>
      <c r="N1004" s="1"/>
      <c r="O1004" s="1"/>
      <c r="P1004" s="1"/>
      <c r="Q1004" s="1"/>
      <c r="R1004" s="1"/>
      <c r="S1004" s="1"/>
    </row>
    <row r="1005" ht="10.5" customHeight="1">
      <c r="A1005" s="1"/>
      <c r="B1005" s="508"/>
      <c r="C1005" s="178"/>
      <c r="D1005" s="178"/>
      <c r="E1005" s="177"/>
      <c r="F1005" s="177"/>
      <c r="G1005" s="169"/>
      <c r="H1005" s="136"/>
      <c r="I1005" s="1"/>
      <c r="J1005" s="1"/>
      <c r="K1005" s="1"/>
      <c r="L1005" s="1"/>
      <c r="M1005" s="1"/>
      <c r="N1005" s="1"/>
      <c r="O1005" s="1"/>
      <c r="P1005" s="1"/>
      <c r="Q1005" s="1"/>
      <c r="R1005" s="1"/>
      <c r="S1005" s="1"/>
    </row>
    <row r="1006" ht="10.5" customHeight="1">
      <c r="A1006" s="1"/>
      <c r="B1006" s="508">
        <v>40483.0</v>
      </c>
      <c r="C1006" s="178">
        <v>490333.0</v>
      </c>
      <c r="D1006" s="178">
        <v>762500.0</v>
      </c>
      <c r="E1006" s="177">
        <v>4900.0</v>
      </c>
      <c r="F1006" s="177">
        <v>7300.0</v>
      </c>
      <c r="G1006" s="169">
        <f t="shared" ref="G1006:G1009" si="50">SUM(D1006:F1006)</f>
        <v>774700</v>
      </c>
      <c r="H1006" s="136">
        <v>100.0</v>
      </c>
      <c r="I1006" s="1"/>
      <c r="J1006" s="1"/>
      <c r="K1006" s="1"/>
      <c r="L1006" s="1"/>
      <c r="M1006" s="1"/>
      <c r="N1006" s="1"/>
      <c r="O1006" s="1"/>
      <c r="P1006" s="1"/>
      <c r="Q1006" s="1"/>
      <c r="R1006" s="1"/>
      <c r="S1006" s="1"/>
    </row>
    <row r="1007" ht="10.5" customHeight="1">
      <c r="A1007" s="1"/>
      <c r="B1007" s="508">
        <v>40878.0</v>
      </c>
      <c r="C1007" s="178">
        <v>863280.0</v>
      </c>
      <c r="D1007" s="178">
        <v>676300.0</v>
      </c>
      <c r="E1007" s="178">
        <v>5500.0</v>
      </c>
      <c r="F1007" s="177">
        <v>8100.0</v>
      </c>
      <c r="G1007" s="169">
        <f t="shared" si="50"/>
        <v>689900</v>
      </c>
      <c r="H1007" s="177" t="s">
        <v>40</v>
      </c>
      <c r="I1007" s="1"/>
      <c r="J1007" s="1"/>
      <c r="K1007" s="1"/>
      <c r="L1007" s="1"/>
      <c r="M1007" s="1"/>
      <c r="N1007" s="1"/>
      <c r="O1007" s="1"/>
      <c r="P1007" s="1"/>
      <c r="Q1007" s="1"/>
      <c r="R1007" s="1"/>
      <c r="S1007" s="1"/>
    </row>
    <row r="1008" ht="10.5" customHeight="1">
      <c r="A1008" s="1"/>
      <c r="B1008" s="509" t="s">
        <v>149</v>
      </c>
      <c r="C1008" s="178">
        <v>521070.0</v>
      </c>
      <c r="D1008" s="178">
        <v>648296.0</v>
      </c>
      <c r="E1008" s="178">
        <v>5767.0</v>
      </c>
      <c r="F1008" s="178">
        <v>7190.0</v>
      </c>
      <c r="G1008" s="169">
        <f t="shared" si="50"/>
        <v>661253</v>
      </c>
      <c r="H1008" s="177">
        <v>27.0</v>
      </c>
      <c r="I1008" s="1"/>
      <c r="J1008" s="1"/>
      <c r="K1008" s="1"/>
      <c r="L1008" s="1"/>
      <c r="M1008" s="1"/>
      <c r="N1008" s="1"/>
      <c r="O1008" s="1"/>
      <c r="P1008" s="1"/>
      <c r="Q1008" s="1"/>
      <c r="R1008" s="1"/>
      <c r="S1008" s="1"/>
    </row>
    <row r="1009" ht="10.5" customHeight="1">
      <c r="A1009" s="1"/>
      <c r="B1009" s="509" t="s">
        <v>151</v>
      </c>
      <c r="C1009" s="178">
        <v>557987.0</v>
      </c>
      <c r="D1009" s="178">
        <v>619787.0</v>
      </c>
      <c r="E1009" s="177">
        <v>5771.0</v>
      </c>
      <c r="F1009" s="178">
        <v>6142.0</v>
      </c>
      <c r="G1009" s="169">
        <f t="shared" si="50"/>
        <v>631700</v>
      </c>
      <c r="H1009" s="177">
        <v>8.0</v>
      </c>
      <c r="I1009" s="1"/>
      <c r="J1009" s="1"/>
      <c r="K1009" s="1"/>
      <c r="L1009" s="1"/>
      <c r="M1009" s="1"/>
      <c r="N1009" s="1"/>
      <c r="O1009" s="1"/>
      <c r="P1009" s="1"/>
      <c r="Q1009" s="1"/>
      <c r="R1009" s="1"/>
      <c r="S1009" s="1"/>
    </row>
    <row r="1010" ht="10.5" customHeight="1">
      <c r="A1010" s="1"/>
      <c r="B1010" s="509" t="s">
        <v>153</v>
      </c>
      <c r="C1010" s="178">
        <v>833094.0</v>
      </c>
      <c r="D1010" s="178">
        <v>844322.0</v>
      </c>
      <c r="E1010" s="177">
        <v>6697.0</v>
      </c>
      <c r="F1010" s="178">
        <v>4334.0</v>
      </c>
      <c r="G1010" s="267">
        <v>855353.0</v>
      </c>
      <c r="H1010" s="178">
        <v>48.0</v>
      </c>
      <c r="I1010" s="1"/>
      <c r="J1010" s="1"/>
      <c r="K1010" s="1"/>
      <c r="L1010" s="1"/>
      <c r="M1010" s="1"/>
      <c r="N1010" s="1"/>
      <c r="O1010" s="1"/>
      <c r="P1010" s="1"/>
      <c r="Q1010" s="1"/>
      <c r="R1010" s="1"/>
      <c r="S1010" s="1"/>
    </row>
    <row r="1011" ht="10.5" customHeight="1">
      <c r="A1011" s="1"/>
      <c r="B1011" s="509"/>
      <c r="C1011" s="178"/>
      <c r="D1011" s="178"/>
      <c r="E1011" s="177"/>
      <c r="F1011" s="178"/>
      <c r="G1011" s="267"/>
      <c r="H1011" s="178"/>
      <c r="I1011" s="1"/>
      <c r="J1011" s="1"/>
      <c r="K1011" s="1"/>
      <c r="L1011" s="1"/>
      <c r="M1011" s="1"/>
      <c r="N1011" s="1"/>
      <c r="O1011" s="1"/>
      <c r="P1011" s="1"/>
      <c r="Q1011" s="1"/>
      <c r="R1011" s="1"/>
      <c r="S1011" s="1"/>
    </row>
    <row r="1012" ht="10.5" customHeight="1">
      <c r="A1012" s="1"/>
      <c r="B1012" s="509" t="s">
        <v>155</v>
      </c>
      <c r="C1012" s="178">
        <v>664025.0</v>
      </c>
      <c r="D1012" s="178">
        <v>737810.0</v>
      </c>
      <c r="E1012" s="177">
        <v>11819.0</v>
      </c>
      <c r="F1012" s="178">
        <v>5096.0</v>
      </c>
      <c r="G1012" s="267">
        <v>754725.0</v>
      </c>
      <c r="H1012" s="178">
        <v>256.0</v>
      </c>
      <c r="I1012" s="253"/>
      <c r="J1012" s="1"/>
      <c r="K1012" s="1"/>
      <c r="L1012" s="1"/>
      <c r="M1012" s="1"/>
      <c r="N1012" s="1"/>
      <c r="O1012" s="1"/>
      <c r="P1012" s="1"/>
      <c r="Q1012" s="1"/>
      <c r="R1012" s="1"/>
      <c r="S1012" s="1"/>
    </row>
    <row r="1013" ht="10.5" customHeight="1">
      <c r="A1013" s="1"/>
      <c r="B1013" s="509" t="s">
        <v>160</v>
      </c>
      <c r="C1013" s="178">
        <v>759614.0</v>
      </c>
      <c r="D1013" s="178">
        <v>695470.0</v>
      </c>
      <c r="E1013" s="177">
        <v>14139.0</v>
      </c>
      <c r="F1013" s="178">
        <v>4664.0</v>
      </c>
      <c r="G1013" s="267">
        <v>714273.0</v>
      </c>
      <c r="H1013" s="178">
        <v>205.0</v>
      </c>
      <c r="I1013" s="253"/>
      <c r="J1013" s="1"/>
      <c r="K1013" s="1"/>
      <c r="L1013" s="1"/>
      <c r="M1013" s="1"/>
      <c r="N1013" s="1"/>
      <c r="O1013" s="1"/>
      <c r="P1013" s="1"/>
      <c r="Q1013" s="1"/>
      <c r="R1013" s="1"/>
      <c r="S1013" s="1"/>
    </row>
    <row r="1014" ht="10.5" customHeight="1">
      <c r="A1014" s="1"/>
      <c r="B1014" s="509" t="s">
        <v>162</v>
      </c>
      <c r="C1014" s="178">
        <v>874595.0</v>
      </c>
      <c r="D1014" s="178">
        <v>860000.0</v>
      </c>
      <c r="E1014" s="177">
        <v>8880.0</v>
      </c>
      <c r="F1014" s="178">
        <v>4700.0</v>
      </c>
      <c r="G1014" s="267">
        <v>873580.0</v>
      </c>
      <c r="H1014" s="178">
        <v>250.0</v>
      </c>
      <c r="I1014" s="253"/>
      <c r="J1014" s="1"/>
      <c r="K1014" s="1"/>
      <c r="L1014" s="1"/>
      <c r="M1014" s="1"/>
      <c r="N1014" s="1"/>
      <c r="O1014" s="1"/>
      <c r="P1014" s="1"/>
      <c r="Q1014" s="1"/>
      <c r="R1014" s="1"/>
      <c r="S1014" s="1"/>
    </row>
    <row r="1015" ht="11.25" customHeight="1">
      <c r="A1015" s="1"/>
      <c r="B1015" s="510" t="s">
        <v>819</v>
      </c>
      <c r="C1015" s="184">
        <v>731505.0</v>
      </c>
      <c r="D1015" s="184">
        <v>800000.0</v>
      </c>
      <c r="E1015" s="511">
        <v>9100.0</v>
      </c>
      <c r="F1015" s="184">
        <v>4700.0</v>
      </c>
      <c r="G1015" s="327">
        <v>813800.0</v>
      </c>
      <c r="H1015" s="184">
        <v>200.0</v>
      </c>
      <c r="I1015" s="1"/>
      <c r="J1015" s="1"/>
      <c r="K1015" s="1"/>
      <c r="L1015" s="1"/>
      <c r="M1015" s="1"/>
      <c r="N1015" s="1"/>
      <c r="O1015" s="1"/>
      <c r="P1015" s="1"/>
      <c r="Q1015" s="1"/>
      <c r="R1015" s="1"/>
      <c r="S1015" s="1"/>
    </row>
    <row r="1016" ht="12.0" customHeight="1">
      <c r="A1016" s="1"/>
      <c r="B1016" s="60" t="s">
        <v>560</v>
      </c>
      <c r="C1016" s="1"/>
      <c r="D1016" s="1"/>
      <c r="E1016" s="1"/>
      <c r="F1016" s="1"/>
      <c r="G1016" s="1"/>
      <c r="H1016" s="1"/>
      <c r="I1016" s="1"/>
      <c r="J1016" s="1"/>
      <c r="K1016" s="1"/>
      <c r="L1016" s="1"/>
      <c r="M1016" s="1"/>
      <c r="N1016" s="1"/>
      <c r="O1016" s="1"/>
      <c r="P1016" s="1"/>
      <c r="Q1016" s="1"/>
      <c r="R1016" s="1"/>
      <c r="S1016" s="1"/>
    </row>
    <row r="1017" ht="6.0" customHeight="1">
      <c r="A1017" s="1"/>
      <c r="B1017" s="60"/>
      <c r="C1017" s="1"/>
      <c r="D1017" s="1"/>
      <c r="E1017" s="1"/>
      <c r="F1017" s="1"/>
      <c r="G1017" s="1"/>
      <c r="H1017" s="1"/>
      <c r="I1017" s="1"/>
      <c r="J1017" s="1"/>
      <c r="K1017" s="1"/>
      <c r="L1017" s="1"/>
      <c r="M1017" s="1"/>
      <c r="N1017" s="1"/>
      <c r="O1017" s="1"/>
      <c r="P1017" s="1"/>
      <c r="Q1017" s="1"/>
      <c r="R1017" s="1"/>
      <c r="S1017" s="1"/>
    </row>
    <row r="1018" ht="10.5" customHeight="1">
      <c r="A1018" s="1"/>
      <c r="B1018" s="185" t="s">
        <v>820</v>
      </c>
      <c r="C1018" s="1"/>
      <c r="D1018" s="1"/>
      <c r="E1018" s="1"/>
      <c r="F1018" s="1"/>
      <c r="G1018" s="1"/>
      <c r="H1018" s="1"/>
      <c r="I1018" s="1"/>
      <c r="J1018" s="1"/>
      <c r="K1018" s="1"/>
      <c r="L1018" s="1"/>
      <c r="M1018" s="1"/>
      <c r="N1018" s="1"/>
      <c r="O1018" s="1"/>
      <c r="P1018" s="1"/>
      <c r="Q1018" s="1"/>
      <c r="R1018" s="1"/>
      <c r="S1018" s="1"/>
    </row>
    <row r="1019" ht="11.25" customHeight="1">
      <c r="A1019" s="1"/>
      <c r="B1019" s="185" t="s">
        <v>821</v>
      </c>
      <c r="C1019" s="1"/>
      <c r="D1019" s="1"/>
      <c r="E1019" s="1"/>
      <c r="F1019" s="1"/>
      <c r="G1019" s="1"/>
      <c r="H1019" s="1"/>
      <c r="I1019" s="1"/>
      <c r="J1019" s="1"/>
      <c r="K1019" s="1"/>
      <c r="L1019" s="1"/>
      <c r="M1019" s="1"/>
      <c r="N1019" s="1"/>
      <c r="O1019" s="1"/>
      <c r="P1019" s="1"/>
      <c r="Q1019" s="1"/>
      <c r="R1019" s="1"/>
      <c r="S1019" s="1"/>
    </row>
    <row r="1020" ht="10.5" customHeight="1">
      <c r="A1020" s="1"/>
      <c r="B1020" s="185" t="s">
        <v>822</v>
      </c>
      <c r="C1020" s="1"/>
      <c r="D1020" s="1"/>
      <c r="E1020" s="1"/>
      <c r="F1020" s="1"/>
      <c r="G1020" s="1"/>
      <c r="H1020" s="1"/>
      <c r="I1020" s="1"/>
      <c r="J1020" s="1"/>
      <c r="K1020" s="1"/>
      <c r="L1020" s="1"/>
      <c r="M1020" s="1"/>
      <c r="N1020" s="1"/>
      <c r="O1020" s="1"/>
      <c r="P1020" s="1"/>
      <c r="Q1020" s="1"/>
      <c r="R1020" s="1"/>
      <c r="S1020" s="1"/>
    </row>
    <row r="1021" ht="10.5" customHeight="1">
      <c r="A1021" s="1"/>
      <c r="B1021" s="185" t="s">
        <v>823</v>
      </c>
      <c r="C1021" s="1"/>
      <c r="D1021" s="1"/>
      <c r="E1021" s="1"/>
      <c r="F1021" s="1"/>
      <c r="G1021" s="1"/>
      <c r="H1021" s="1"/>
      <c r="I1021" s="1"/>
      <c r="J1021" s="1"/>
      <c r="K1021" s="1"/>
      <c r="L1021" s="1"/>
      <c r="M1021" s="1"/>
      <c r="N1021" s="1"/>
      <c r="O1021" s="1"/>
      <c r="P1021" s="1"/>
      <c r="Q1021" s="1"/>
      <c r="R1021" s="1"/>
      <c r="S1021" s="1"/>
    </row>
    <row r="1022" ht="10.5" customHeight="1">
      <c r="A1022" s="1"/>
      <c r="B1022" s="185" t="s">
        <v>824</v>
      </c>
      <c r="C1022" s="1"/>
      <c r="D1022" s="1"/>
      <c r="E1022" s="1"/>
      <c r="F1022" s="1"/>
      <c r="G1022" s="1"/>
      <c r="H1022" s="1"/>
      <c r="I1022" s="1"/>
      <c r="J1022" s="1"/>
      <c r="K1022" s="1"/>
      <c r="L1022" s="1"/>
      <c r="M1022" s="1"/>
      <c r="N1022" s="1"/>
      <c r="O1022" s="1"/>
      <c r="P1022" s="1"/>
      <c r="Q1022" s="1"/>
      <c r="R1022" s="1"/>
      <c r="S1022" s="1"/>
    </row>
    <row r="1023" ht="10.5" customHeight="1">
      <c r="A1023" s="1"/>
      <c r="B1023" s="1"/>
      <c r="C1023" s="59"/>
      <c r="D1023" s="59"/>
      <c r="E1023" s="59"/>
      <c r="F1023" s="59"/>
      <c r="G1023" s="59"/>
      <c r="H1023" s="59"/>
      <c r="I1023" s="1"/>
      <c r="J1023" s="1"/>
      <c r="K1023" s="1"/>
      <c r="L1023" s="1"/>
      <c r="M1023" s="1"/>
      <c r="N1023" s="1"/>
      <c r="O1023" s="1"/>
      <c r="P1023" s="1"/>
      <c r="Q1023" s="1"/>
      <c r="R1023" s="1"/>
      <c r="S1023" s="1"/>
    </row>
    <row r="1024" ht="10.5" customHeight="1">
      <c r="A1024" s="1"/>
      <c r="B1024" s="1"/>
      <c r="C1024" s="1"/>
      <c r="D1024" s="1"/>
      <c r="E1024" s="1"/>
      <c r="F1024" s="1"/>
      <c r="G1024" s="1"/>
      <c r="H1024" s="1"/>
      <c r="I1024" s="1"/>
      <c r="J1024" s="1"/>
      <c r="K1024" s="1"/>
      <c r="L1024" s="1"/>
      <c r="M1024" s="1"/>
      <c r="N1024" s="1"/>
      <c r="O1024" s="1"/>
      <c r="P1024" s="1"/>
      <c r="Q1024" s="1"/>
      <c r="R1024" s="1"/>
      <c r="S1024" s="1"/>
    </row>
    <row r="1025" ht="10.5" customHeight="1">
      <c r="A1025" s="1"/>
      <c r="B1025" s="1"/>
      <c r="C1025" s="1"/>
      <c r="D1025" s="1"/>
      <c r="E1025" s="1"/>
      <c r="F1025" s="1"/>
      <c r="G1025" s="1"/>
      <c r="H1025" s="1"/>
      <c r="I1025" s="1"/>
      <c r="J1025" s="1"/>
      <c r="K1025" s="1"/>
      <c r="L1025" s="1"/>
      <c r="M1025" s="1"/>
      <c r="N1025" s="1"/>
      <c r="O1025" s="1"/>
      <c r="P1025" s="1"/>
      <c r="Q1025" s="1"/>
      <c r="R1025" s="1"/>
      <c r="S1025" s="1"/>
    </row>
    <row r="1026" ht="10.5" customHeight="1">
      <c r="A1026" s="1"/>
      <c r="B1026" s="1"/>
      <c r="C1026" s="1"/>
      <c r="D1026" s="1"/>
      <c r="E1026" s="1"/>
      <c r="F1026" s="1"/>
      <c r="G1026" s="1"/>
      <c r="H1026" s="1"/>
      <c r="I1026" s="1"/>
      <c r="J1026" s="1"/>
      <c r="K1026" s="1"/>
      <c r="L1026" s="1"/>
      <c r="M1026" s="1"/>
      <c r="N1026" s="1"/>
      <c r="O1026" s="1"/>
      <c r="P1026" s="1"/>
      <c r="Q1026" s="1"/>
      <c r="R1026" s="1"/>
      <c r="S1026" s="1"/>
    </row>
    <row r="1027" ht="10.5" customHeight="1">
      <c r="A1027" s="1"/>
      <c r="B1027" s="1"/>
      <c r="C1027" s="1"/>
      <c r="D1027" s="1"/>
      <c r="E1027" s="1"/>
      <c r="F1027" s="1"/>
      <c r="G1027" s="1"/>
      <c r="H1027" s="1"/>
      <c r="I1027" s="1"/>
      <c r="J1027" s="1"/>
      <c r="K1027" s="1"/>
      <c r="L1027" s="1"/>
      <c r="M1027" s="1"/>
      <c r="N1027" s="1"/>
      <c r="O1027" s="1"/>
      <c r="P1027" s="1"/>
      <c r="Q1027" s="1"/>
      <c r="R1027" s="1"/>
      <c r="S1027" s="1"/>
    </row>
    <row r="1028" ht="10.5" customHeight="1">
      <c r="A1028" s="1"/>
      <c r="B1028" s="1"/>
      <c r="C1028" s="1"/>
      <c r="D1028" s="1"/>
      <c r="E1028" s="1"/>
      <c r="F1028" s="1"/>
      <c r="G1028" s="1"/>
      <c r="H1028" s="1"/>
      <c r="I1028" s="1"/>
      <c r="J1028" s="1"/>
      <c r="K1028" s="1"/>
      <c r="L1028" s="1"/>
      <c r="M1028" s="1"/>
      <c r="N1028" s="1"/>
      <c r="O1028" s="1"/>
      <c r="P1028" s="1"/>
      <c r="Q1028" s="1"/>
      <c r="R1028" s="1"/>
      <c r="S1028" s="1"/>
    </row>
    <row r="1029" ht="10.5" customHeight="1">
      <c r="A1029" s="1"/>
      <c r="B1029" s="1"/>
      <c r="C1029" s="1"/>
      <c r="D1029" s="1"/>
      <c r="E1029" s="1"/>
      <c r="F1029" s="1"/>
      <c r="G1029" s="1"/>
      <c r="H1029" s="1"/>
      <c r="I1029" s="1"/>
      <c r="J1029" s="1"/>
      <c r="K1029" s="1"/>
      <c r="L1029" s="1"/>
      <c r="M1029" s="1"/>
      <c r="N1029" s="1"/>
      <c r="O1029" s="1"/>
      <c r="P1029" s="1"/>
      <c r="Q1029" s="1"/>
      <c r="R1029" s="1"/>
      <c r="S1029" s="1"/>
    </row>
    <row r="1030" ht="10.5" customHeight="1">
      <c r="A1030" s="1"/>
      <c r="B1030" s="1"/>
      <c r="C1030" s="1"/>
      <c r="D1030" s="1"/>
      <c r="E1030" s="1"/>
      <c r="F1030" s="1"/>
      <c r="G1030" s="1"/>
      <c r="H1030" s="1"/>
      <c r="I1030" s="1"/>
      <c r="J1030" s="1"/>
      <c r="K1030" s="1"/>
      <c r="L1030" s="1"/>
      <c r="M1030" s="1"/>
      <c r="N1030" s="1"/>
      <c r="O1030" s="1"/>
      <c r="P1030" s="1"/>
      <c r="Q1030" s="1"/>
      <c r="R1030" s="1"/>
      <c r="S1030" s="1"/>
    </row>
    <row r="1031" ht="10.5" customHeight="1">
      <c r="A1031" s="1"/>
      <c r="B1031" s="1"/>
      <c r="C1031" s="1"/>
      <c r="D1031" s="1"/>
      <c r="E1031" s="1"/>
      <c r="F1031" s="1"/>
      <c r="G1031" s="1"/>
      <c r="H1031" s="1"/>
      <c r="I1031" s="1"/>
      <c r="J1031" s="1"/>
      <c r="K1031" s="1"/>
      <c r="L1031" s="1"/>
      <c r="M1031" s="1"/>
      <c r="N1031" s="1"/>
      <c r="O1031" s="1"/>
      <c r="P1031" s="1"/>
      <c r="Q1031" s="1"/>
      <c r="R1031" s="1"/>
      <c r="S1031" s="1"/>
    </row>
    <row r="1032" ht="10.5" customHeight="1">
      <c r="A1032" s="1"/>
      <c r="B1032" s="1"/>
      <c r="C1032" s="1"/>
      <c r="D1032" s="1"/>
      <c r="E1032" s="1"/>
      <c r="F1032" s="1"/>
      <c r="G1032" s="1"/>
      <c r="H1032" s="1"/>
      <c r="I1032" s="1"/>
      <c r="J1032" s="1"/>
      <c r="K1032" s="1"/>
      <c r="L1032" s="1"/>
      <c r="M1032" s="1"/>
      <c r="N1032" s="1"/>
      <c r="O1032" s="1"/>
      <c r="P1032" s="1"/>
      <c r="Q1032" s="1"/>
      <c r="R1032" s="1"/>
      <c r="S1032" s="1"/>
    </row>
    <row r="1033" ht="10.5" customHeight="1">
      <c r="A1033" s="1"/>
      <c r="B1033" s="1"/>
      <c r="C1033" s="1"/>
      <c r="D1033" s="1"/>
      <c r="E1033" s="1"/>
      <c r="F1033" s="1"/>
      <c r="G1033" s="1"/>
      <c r="H1033" s="1"/>
      <c r="I1033" s="1"/>
      <c r="J1033" s="1"/>
      <c r="K1033" s="1"/>
      <c r="L1033" s="1"/>
      <c r="M1033" s="1"/>
      <c r="N1033" s="1"/>
      <c r="O1033" s="1"/>
      <c r="P1033" s="1"/>
      <c r="Q1033" s="1"/>
      <c r="R1033" s="1"/>
      <c r="S1033" s="1"/>
    </row>
    <row r="1034" ht="10.5" customHeight="1">
      <c r="A1034" s="1"/>
      <c r="B1034" s="1"/>
      <c r="C1034" s="1"/>
      <c r="D1034" s="1"/>
      <c r="E1034" s="1"/>
      <c r="F1034" s="1"/>
      <c r="G1034" s="1"/>
      <c r="H1034" s="1"/>
      <c r="I1034" s="1"/>
      <c r="J1034" s="1"/>
      <c r="K1034" s="1"/>
      <c r="L1034" s="1"/>
      <c r="M1034" s="1"/>
      <c r="N1034" s="1"/>
      <c r="O1034" s="1"/>
      <c r="P1034" s="1"/>
      <c r="Q1034" s="1"/>
      <c r="R1034" s="1"/>
      <c r="S1034" s="1"/>
    </row>
    <row r="1035" ht="10.5" customHeight="1">
      <c r="A1035" s="1"/>
      <c r="B1035" s="1"/>
      <c r="C1035" s="1"/>
      <c r="D1035" s="1"/>
      <c r="E1035" s="1"/>
      <c r="F1035" s="1"/>
      <c r="G1035" s="1"/>
      <c r="H1035" s="1"/>
      <c r="I1035" s="1"/>
      <c r="J1035" s="1"/>
      <c r="K1035" s="1"/>
      <c r="L1035" s="1"/>
      <c r="M1035" s="1"/>
      <c r="N1035" s="1"/>
      <c r="O1035" s="1"/>
      <c r="P1035" s="1"/>
      <c r="Q1035" s="1"/>
      <c r="R1035" s="1"/>
      <c r="S1035" s="1"/>
    </row>
    <row r="1036" ht="10.5" customHeight="1">
      <c r="A1036" s="1"/>
      <c r="B1036" s="1"/>
      <c r="C1036" s="1"/>
      <c r="D1036" s="1"/>
      <c r="E1036" s="1"/>
      <c r="F1036" s="1"/>
      <c r="G1036" s="1"/>
      <c r="H1036" s="1"/>
      <c r="I1036" s="1"/>
      <c r="J1036" s="1"/>
      <c r="K1036" s="1"/>
      <c r="L1036" s="1"/>
      <c r="M1036" s="1"/>
      <c r="N1036" s="1"/>
      <c r="O1036" s="1"/>
      <c r="P1036" s="1"/>
      <c r="Q1036" s="1"/>
      <c r="R1036" s="1"/>
      <c r="S1036" s="1"/>
    </row>
    <row r="1037" ht="10.5" customHeight="1">
      <c r="A1037" s="1"/>
      <c r="B1037" s="1"/>
      <c r="C1037" s="1"/>
      <c r="D1037" s="1"/>
      <c r="E1037" s="1"/>
      <c r="F1037" s="1"/>
      <c r="G1037" s="1"/>
      <c r="H1037" s="1"/>
      <c r="I1037" s="1"/>
      <c r="J1037" s="1"/>
      <c r="K1037" s="1"/>
      <c r="L1037" s="1"/>
      <c r="M1037" s="1"/>
      <c r="N1037" s="1"/>
      <c r="O1037" s="1"/>
      <c r="P1037" s="1"/>
      <c r="Q1037" s="1"/>
      <c r="R1037" s="1"/>
      <c r="S1037" s="1"/>
    </row>
    <row r="1038" ht="10.5" customHeight="1">
      <c r="A1038" s="1"/>
      <c r="B1038" s="1"/>
      <c r="C1038" s="1"/>
      <c r="D1038" s="1"/>
      <c r="E1038" s="1"/>
      <c r="F1038" s="1"/>
      <c r="G1038" s="1"/>
      <c r="H1038" s="1"/>
      <c r="I1038" s="1"/>
      <c r="J1038" s="1"/>
      <c r="K1038" s="1"/>
      <c r="L1038" s="1"/>
      <c r="M1038" s="1"/>
      <c r="N1038" s="1"/>
      <c r="O1038" s="1"/>
      <c r="P1038" s="1"/>
      <c r="Q1038" s="1"/>
      <c r="R1038" s="1"/>
      <c r="S1038" s="1"/>
    </row>
    <row r="1039" ht="10.5" customHeight="1">
      <c r="A1039" s="1"/>
      <c r="B1039" s="1"/>
      <c r="C1039" s="1"/>
      <c r="D1039" s="1"/>
      <c r="E1039" s="1"/>
      <c r="F1039" s="1"/>
      <c r="G1039" s="1"/>
      <c r="H1039" s="1"/>
      <c r="I1039" s="1"/>
      <c r="J1039" s="1"/>
      <c r="K1039" s="1"/>
      <c r="L1039" s="1"/>
      <c r="M1039" s="1"/>
      <c r="N1039" s="1"/>
      <c r="O1039" s="1"/>
      <c r="P1039" s="1"/>
      <c r="Q1039" s="1"/>
      <c r="R1039" s="1"/>
      <c r="S1039" s="1"/>
    </row>
    <row r="1040" ht="10.5" customHeight="1">
      <c r="A1040" s="1"/>
      <c r="B1040" s="1"/>
      <c r="C1040" s="1"/>
      <c r="D1040" s="1"/>
      <c r="E1040" s="1"/>
      <c r="F1040" s="1"/>
      <c r="G1040" s="1"/>
      <c r="H1040" s="1"/>
      <c r="I1040" s="1"/>
      <c r="J1040" s="1"/>
      <c r="K1040" s="1"/>
      <c r="L1040" s="1"/>
      <c r="M1040" s="1"/>
      <c r="N1040" s="1"/>
      <c r="O1040" s="1"/>
      <c r="P1040" s="1"/>
      <c r="Q1040" s="1"/>
      <c r="R1040" s="1"/>
      <c r="S1040" s="1"/>
    </row>
    <row r="1041" ht="10.5" customHeight="1">
      <c r="A1041" s="1"/>
      <c r="B1041" s="1"/>
      <c r="C1041" s="1"/>
      <c r="D1041" s="1"/>
      <c r="E1041" s="1"/>
      <c r="F1041" s="1"/>
      <c r="G1041" s="1"/>
      <c r="H1041" s="1"/>
      <c r="I1041" s="1"/>
      <c r="J1041" s="1"/>
      <c r="K1041" s="1"/>
      <c r="L1041" s="1"/>
      <c r="M1041" s="1"/>
      <c r="N1041" s="1"/>
      <c r="O1041" s="1"/>
      <c r="P1041" s="1"/>
      <c r="Q1041" s="1"/>
      <c r="R1041" s="1"/>
      <c r="S1041" s="1"/>
    </row>
    <row r="1042" ht="10.5" customHeight="1">
      <c r="A1042" s="1"/>
      <c r="B1042" s="1"/>
      <c r="C1042" s="1"/>
      <c r="D1042" s="1"/>
      <c r="E1042" s="1"/>
      <c r="F1042" s="1"/>
      <c r="G1042" s="1"/>
      <c r="H1042" s="1"/>
      <c r="I1042" s="1"/>
      <c r="J1042" s="1"/>
      <c r="K1042" s="1"/>
      <c r="L1042" s="1"/>
      <c r="M1042" s="1"/>
      <c r="N1042" s="1"/>
      <c r="O1042" s="1"/>
      <c r="P1042" s="1"/>
      <c r="Q1042" s="1"/>
      <c r="R1042" s="1"/>
      <c r="S1042" s="1"/>
    </row>
    <row r="1043" ht="10.5" customHeight="1">
      <c r="A1043" s="1"/>
      <c r="B1043" s="1"/>
      <c r="C1043" s="1"/>
      <c r="D1043" s="1"/>
      <c r="E1043" s="1"/>
      <c r="F1043" s="1"/>
      <c r="G1043" s="1"/>
      <c r="H1043" s="1"/>
      <c r="I1043" s="1"/>
      <c r="J1043" s="1"/>
      <c r="K1043" s="1"/>
      <c r="L1043" s="1"/>
      <c r="M1043" s="1"/>
      <c r="N1043" s="1"/>
      <c r="O1043" s="1"/>
      <c r="P1043" s="1"/>
      <c r="Q1043" s="1"/>
      <c r="R1043" s="1"/>
      <c r="S1043" s="1"/>
    </row>
    <row r="1044" ht="10.5" customHeight="1">
      <c r="A1044" s="1"/>
      <c r="B1044" s="1"/>
      <c r="C1044" s="1"/>
      <c r="D1044" s="1"/>
      <c r="E1044" s="1"/>
      <c r="F1044" s="1"/>
      <c r="G1044" s="1"/>
      <c r="H1044" s="1"/>
      <c r="I1044" s="1"/>
      <c r="J1044" s="1"/>
      <c r="K1044" s="1"/>
      <c r="L1044" s="1"/>
      <c r="M1044" s="1"/>
      <c r="N1044" s="1"/>
      <c r="O1044" s="1"/>
      <c r="P1044" s="1"/>
      <c r="Q1044" s="1"/>
      <c r="R1044" s="1"/>
      <c r="S1044" s="1"/>
    </row>
    <row r="1045" ht="10.5" customHeight="1">
      <c r="A1045" s="1"/>
      <c r="B1045" s="1"/>
      <c r="C1045" s="1"/>
      <c r="D1045" s="1"/>
      <c r="E1045" s="1"/>
      <c r="F1045" s="1"/>
      <c r="G1045" s="1"/>
      <c r="H1045" s="1"/>
      <c r="I1045" s="1"/>
      <c r="J1045" s="1"/>
      <c r="K1045" s="1"/>
      <c r="L1045" s="1"/>
      <c r="M1045" s="1"/>
      <c r="N1045" s="1"/>
      <c r="O1045" s="1"/>
      <c r="P1045" s="1"/>
      <c r="Q1045" s="1"/>
      <c r="R1045" s="1"/>
      <c r="S1045" s="1"/>
    </row>
    <row r="1046" ht="10.5" customHeight="1">
      <c r="A1046" s="1"/>
      <c r="B1046" s="1"/>
      <c r="C1046" s="1"/>
      <c r="D1046" s="1"/>
      <c r="E1046" s="1"/>
      <c r="F1046" s="1"/>
      <c r="G1046" s="1"/>
      <c r="H1046" s="1"/>
      <c r="I1046" s="1"/>
      <c r="J1046" s="1"/>
      <c r="K1046" s="1"/>
      <c r="L1046" s="1"/>
      <c r="M1046" s="1"/>
      <c r="N1046" s="1"/>
      <c r="O1046" s="1"/>
      <c r="P1046" s="1"/>
      <c r="Q1046" s="1"/>
      <c r="R1046" s="1"/>
      <c r="S1046" s="1"/>
    </row>
    <row r="1047" ht="10.5" customHeight="1">
      <c r="A1047" s="1"/>
      <c r="B1047" s="1"/>
      <c r="C1047" s="1"/>
      <c r="D1047" s="1"/>
      <c r="E1047" s="1"/>
      <c r="F1047" s="1"/>
      <c r="G1047" s="1"/>
      <c r="H1047" s="1"/>
      <c r="I1047" s="1"/>
      <c r="J1047" s="1"/>
      <c r="K1047" s="1"/>
      <c r="L1047" s="1"/>
      <c r="M1047" s="1"/>
      <c r="N1047" s="1"/>
      <c r="O1047" s="1"/>
      <c r="P1047" s="1"/>
      <c r="Q1047" s="1"/>
      <c r="R1047" s="1"/>
      <c r="S1047" s="1"/>
    </row>
    <row r="1048" ht="10.5" customHeight="1">
      <c r="A1048" s="1"/>
      <c r="B1048" s="1"/>
      <c r="C1048" s="1"/>
      <c r="D1048" s="1"/>
      <c r="E1048" s="1"/>
      <c r="F1048" s="1"/>
      <c r="G1048" s="1"/>
      <c r="H1048" s="1"/>
      <c r="I1048" s="1"/>
      <c r="J1048" s="1"/>
      <c r="K1048" s="1"/>
      <c r="L1048" s="1"/>
      <c r="M1048" s="1"/>
      <c r="N1048" s="1"/>
      <c r="O1048" s="1"/>
      <c r="P1048" s="1"/>
      <c r="Q1048" s="1"/>
      <c r="R1048" s="1"/>
      <c r="S1048" s="1"/>
    </row>
    <row r="1049" ht="10.5" customHeight="1">
      <c r="A1049" s="1"/>
      <c r="B1049" s="1"/>
      <c r="C1049" s="1"/>
      <c r="D1049" s="1"/>
      <c r="E1049" s="1"/>
      <c r="F1049" s="1"/>
      <c r="G1049" s="110">
        <v>18.0</v>
      </c>
      <c r="H1049" s="1"/>
      <c r="I1049" s="1"/>
      <c r="J1049" s="1"/>
      <c r="K1049" s="1"/>
      <c r="L1049" s="1"/>
      <c r="M1049" s="1"/>
      <c r="N1049" s="1"/>
      <c r="O1049" s="1"/>
      <c r="P1049" s="1"/>
      <c r="Q1049" s="1"/>
      <c r="R1049" s="1"/>
      <c r="S1049" s="1"/>
    </row>
    <row r="1050" ht="10.5" customHeight="1">
      <c r="A1050" s="1"/>
      <c r="B1050" s="1"/>
      <c r="C1050" s="1"/>
      <c r="D1050" s="1"/>
      <c r="E1050" s="1"/>
      <c r="F1050" s="1"/>
      <c r="G1050" s="1"/>
      <c r="H1050" s="1"/>
      <c r="I1050" s="1"/>
      <c r="J1050" s="1"/>
      <c r="K1050" s="1"/>
      <c r="L1050" s="1"/>
      <c r="M1050" s="1"/>
      <c r="N1050" s="1"/>
      <c r="O1050" s="1"/>
      <c r="P1050" s="1"/>
      <c r="Q1050" s="1"/>
      <c r="R1050" s="1"/>
      <c r="S1050" s="1"/>
    </row>
    <row r="1051" ht="10.5" customHeight="1">
      <c r="A1051" s="1"/>
      <c r="B1051" s="1"/>
      <c r="C1051" s="1"/>
      <c r="D1051" s="1"/>
      <c r="E1051" s="1"/>
      <c r="F1051" s="1"/>
      <c r="G1051" s="1"/>
      <c r="H1051" s="1"/>
      <c r="I1051" s="1"/>
      <c r="J1051" s="1"/>
      <c r="K1051" s="1"/>
      <c r="L1051" s="1"/>
      <c r="M1051" s="1"/>
      <c r="N1051" s="1"/>
      <c r="O1051" s="1"/>
      <c r="P1051" s="1"/>
      <c r="Q1051" s="1"/>
      <c r="R1051" s="1"/>
      <c r="S1051" s="1"/>
    </row>
    <row r="1052" ht="11.25" customHeight="1">
      <c r="A1052" s="1"/>
      <c r="B1052" s="1" t="s">
        <v>825</v>
      </c>
      <c r="C1052" s="1"/>
      <c r="D1052" s="1"/>
      <c r="E1052" s="1"/>
      <c r="F1052" s="1"/>
      <c r="G1052" s="1"/>
      <c r="H1052" s="475"/>
      <c r="I1052" s="1"/>
      <c r="J1052" s="1"/>
      <c r="K1052" s="1"/>
      <c r="L1052" s="1"/>
      <c r="M1052" s="1"/>
      <c r="N1052" s="1"/>
      <c r="O1052" s="1"/>
      <c r="P1052" s="1"/>
      <c r="Q1052" s="1"/>
      <c r="R1052" s="1"/>
      <c r="S1052" s="1"/>
    </row>
    <row r="1053" ht="10.5" customHeight="1">
      <c r="A1053" s="1"/>
      <c r="B1053" s="29" t="s">
        <v>31</v>
      </c>
      <c r="C1053" s="31" t="s">
        <v>827</v>
      </c>
      <c r="D1053" s="31" t="s">
        <v>828</v>
      </c>
      <c r="E1053" s="31" t="s">
        <v>640</v>
      </c>
      <c r="F1053" s="190" t="s">
        <v>829</v>
      </c>
      <c r="G1053" s="4" t="s">
        <v>830</v>
      </c>
      <c r="H1053" s="29" t="s">
        <v>684</v>
      </c>
      <c r="I1053" s="1"/>
      <c r="J1053" s="1"/>
      <c r="K1053" s="1"/>
      <c r="L1053" s="1"/>
      <c r="M1053" s="1"/>
      <c r="N1053" s="1"/>
      <c r="O1053" s="1"/>
      <c r="P1053" s="1"/>
      <c r="Q1053" s="1"/>
      <c r="R1053" s="1"/>
      <c r="S1053" s="1"/>
    </row>
    <row r="1054" ht="22.5" customHeight="1">
      <c r="A1054" s="1"/>
      <c r="B1054" s="5"/>
      <c r="C1054" s="6"/>
      <c r="D1054" s="6"/>
      <c r="E1054" s="6"/>
      <c r="F1054" s="190" t="s">
        <v>831</v>
      </c>
      <c r="G1054" s="94"/>
      <c r="H1054" s="5"/>
      <c r="I1054" s="1"/>
      <c r="J1054" s="1"/>
      <c r="K1054" s="1"/>
      <c r="L1054" s="1"/>
      <c r="M1054" s="1"/>
      <c r="N1054" s="1"/>
      <c r="O1054" s="1"/>
      <c r="P1054" s="1"/>
      <c r="Q1054" s="1"/>
      <c r="R1054" s="1"/>
      <c r="S1054" s="1"/>
    </row>
    <row r="1055" ht="10.5" customHeight="1">
      <c r="A1055" s="1"/>
      <c r="B1055" s="6"/>
      <c r="C1055" s="8" t="s">
        <v>48</v>
      </c>
      <c r="D1055" s="8" t="s">
        <v>49</v>
      </c>
      <c r="E1055" s="8" t="s">
        <v>50</v>
      </c>
      <c r="F1055" s="514" t="s">
        <v>52</v>
      </c>
      <c r="G1055" s="515" t="s">
        <v>646</v>
      </c>
      <c r="H1055" s="6"/>
      <c r="I1055" s="1"/>
      <c r="J1055" s="1"/>
      <c r="K1055" s="1"/>
      <c r="L1055" s="1"/>
      <c r="M1055" s="1"/>
      <c r="N1055" s="1"/>
      <c r="O1055" s="1"/>
      <c r="P1055" s="1"/>
      <c r="Q1055" s="1"/>
      <c r="R1055" s="1"/>
      <c r="S1055" s="1"/>
    </row>
    <row r="1056" ht="10.5" customHeight="1">
      <c r="A1056" s="1"/>
      <c r="B1056" s="48"/>
      <c r="C1056" s="191"/>
      <c r="D1056" s="450"/>
      <c r="E1056" s="191"/>
      <c r="F1056" s="289"/>
      <c r="G1056" s="292"/>
      <c r="H1056" s="429"/>
      <c r="I1056" s="1"/>
      <c r="J1056" s="1"/>
      <c r="K1056" s="1"/>
      <c r="L1056" s="1"/>
      <c r="M1056" s="1"/>
      <c r="N1056" s="1"/>
      <c r="O1056" s="1"/>
      <c r="P1056" s="1"/>
      <c r="Q1056" s="1"/>
      <c r="R1056" s="1"/>
      <c r="S1056" s="1"/>
    </row>
    <row r="1057" ht="10.5" customHeight="1">
      <c r="A1057" s="1"/>
      <c r="B1057" s="48" t="s">
        <v>115</v>
      </c>
      <c r="C1057" s="191">
        <v>68.0</v>
      </c>
      <c r="D1057" s="450">
        <v>80.0</v>
      </c>
      <c r="E1057" s="191">
        <v>96000.0</v>
      </c>
      <c r="F1057" s="484">
        <v>1200.0</v>
      </c>
      <c r="G1057" s="238">
        <v>50.9</v>
      </c>
      <c r="H1057" s="238" t="s">
        <v>117</v>
      </c>
      <c r="I1057" s="1"/>
      <c r="J1057" s="1"/>
      <c r="K1057" s="1"/>
      <c r="L1057" s="1"/>
      <c r="M1057" s="1"/>
      <c r="N1057" s="1"/>
      <c r="O1057" s="1"/>
      <c r="P1057" s="1"/>
      <c r="Q1057" s="1"/>
      <c r="R1057" s="1"/>
      <c r="S1057" s="1"/>
    </row>
    <row r="1058" ht="10.5" customHeight="1">
      <c r="A1058" s="1"/>
      <c r="B1058" s="48" t="s">
        <v>117</v>
      </c>
      <c r="C1058" s="191">
        <v>71.0</v>
      </c>
      <c r="D1058" s="450">
        <v>120.0</v>
      </c>
      <c r="E1058" s="191">
        <v>166975.0</v>
      </c>
      <c r="F1058" s="484">
        <v>1391.46</v>
      </c>
      <c r="G1058" s="238">
        <v>59.1</v>
      </c>
      <c r="H1058" s="238" t="s">
        <v>121</v>
      </c>
      <c r="I1058" s="1"/>
      <c r="J1058" s="1"/>
      <c r="K1058" s="1"/>
      <c r="L1058" s="1"/>
      <c r="M1058" s="1"/>
      <c r="N1058" s="1"/>
      <c r="O1058" s="1"/>
      <c r="P1058" s="1"/>
      <c r="Q1058" s="1"/>
      <c r="R1058" s="1"/>
      <c r="S1058" s="1"/>
    </row>
    <row r="1059" ht="10.5" customHeight="1">
      <c r="A1059" s="1"/>
      <c r="B1059" s="48" t="s">
        <v>121</v>
      </c>
      <c r="C1059" s="191">
        <v>125.0</v>
      </c>
      <c r="D1059" s="450">
        <v>200.9</v>
      </c>
      <c r="E1059" s="191">
        <v>220088.0</v>
      </c>
      <c r="F1059" s="484">
        <v>1095.51</v>
      </c>
      <c r="G1059" s="238">
        <v>46.5</v>
      </c>
      <c r="H1059" s="238">
        <v>1998.0</v>
      </c>
      <c r="I1059" s="1"/>
      <c r="J1059" s="1"/>
      <c r="K1059" s="1"/>
      <c r="L1059" s="1"/>
      <c r="M1059" s="1"/>
      <c r="N1059" s="1"/>
      <c r="O1059" s="1"/>
      <c r="P1059" s="1"/>
      <c r="Q1059" s="1"/>
      <c r="R1059" s="1"/>
      <c r="S1059" s="1"/>
    </row>
    <row r="1060" ht="10.5" customHeight="1">
      <c r="A1060" s="1"/>
      <c r="B1060" s="48" t="s">
        <v>122</v>
      </c>
      <c r="C1060" s="191">
        <v>130.0</v>
      </c>
      <c r="D1060" s="450">
        <v>187.9</v>
      </c>
      <c r="E1060" s="191">
        <v>226029.0</v>
      </c>
      <c r="F1060" s="289">
        <v>1202.65</v>
      </c>
      <c r="G1060" s="516" t="s">
        <v>833</v>
      </c>
      <c r="H1060" s="516">
        <v>1999.0</v>
      </c>
      <c r="I1060" s="1"/>
      <c r="J1060" s="1"/>
      <c r="K1060" s="1"/>
      <c r="L1060" s="1"/>
      <c r="M1060" s="1"/>
      <c r="N1060" s="1"/>
      <c r="O1060" s="1"/>
      <c r="P1060" s="1"/>
      <c r="Q1060" s="1"/>
      <c r="R1060" s="1"/>
      <c r="S1060" s="1"/>
    </row>
    <row r="1061" ht="10.5" customHeight="1">
      <c r="A1061" s="1"/>
      <c r="B1061" s="48" t="s">
        <v>123</v>
      </c>
      <c r="C1061" s="191">
        <v>94.0</v>
      </c>
      <c r="D1061" s="450">
        <v>153.5</v>
      </c>
      <c r="E1061" s="191">
        <v>197294.0</v>
      </c>
      <c r="F1061" s="484">
        <v>1285.54</v>
      </c>
      <c r="G1061" s="238">
        <v>54.6</v>
      </c>
      <c r="H1061" s="238">
        <v>2000.0</v>
      </c>
      <c r="I1061" s="1"/>
      <c r="J1061" s="1"/>
      <c r="K1061" s="1"/>
      <c r="L1061" s="1"/>
      <c r="M1061" s="1"/>
      <c r="N1061" s="1"/>
      <c r="O1061" s="1"/>
      <c r="P1061" s="1"/>
      <c r="Q1061" s="1"/>
      <c r="R1061" s="1"/>
      <c r="S1061" s="1"/>
    </row>
    <row r="1062" ht="10.5" customHeight="1">
      <c r="A1062" s="1"/>
      <c r="B1062" s="48"/>
      <c r="C1062" s="191"/>
      <c r="D1062" s="450"/>
      <c r="E1062" s="191"/>
      <c r="F1062" s="484"/>
      <c r="G1062" s="238"/>
      <c r="H1062" s="238"/>
      <c r="I1062" s="1"/>
      <c r="J1062" s="1"/>
      <c r="K1062" s="1"/>
      <c r="L1062" s="1"/>
      <c r="M1062" s="1"/>
      <c r="N1062" s="1"/>
      <c r="O1062" s="1"/>
      <c r="P1062" s="1"/>
      <c r="Q1062" s="1"/>
      <c r="R1062" s="1"/>
      <c r="S1062" s="1"/>
    </row>
    <row r="1063" ht="10.5" customHeight="1">
      <c r="A1063" s="1"/>
      <c r="B1063" s="48" t="s">
        <v>125</v>
      </c>
      <c r="C1063" s="191">
        <v>134.0</v>
      </c>
      <c r="D1063" s="450">
        <v>226.1</v>
      </c>
      <c r="E1063" s="191">
        <v>280933.0</v>
      </c>
      <c r="F1063" s="484">
        <v>1242.54</v>
      </c>
      <c r="G1063" s="238">
        <v>52.8</v>
      </c>
      <c r="H1063" s="238">
        <v>2001.0</v>
      </c>
      <c r="I1063" s="1"/>
      <c r="J1063" s="1"/>
      <c r="K1063" s="1"/>
      <c r="L1063" s="1"/>
      <c r="M1063" s="1"/>
      <c r="N1063" s="1"/>
      <c r="O1063" s="1"/>
      <c r="P1063" s="1"/>
      <c r="Q1063" s="1"/>
      <c r="R1063" s="1"/>
      <c r="S1063" s="1"/>
    </row>
    <row r="1064" ht="10.5" customHeight="1">
      <c r="A1064" s="1"/>
      <c r="B1064" s="48" t="s">
        <v>127</v>
      </c>
      <c r="C1064" s="33">
        <v>124.0</v>
      </c>
      <c r="D1064" s="467">
        <v>223.0</v>
      </c>
      <c r="E1064" s="33">
        <v>448442.0</v>
      </c>
      <c r="F1064" s="289">
        <v>2010.95</v>
      </c>
      <c r="G1064" s="55" t="s">
        <v>834</v>
      </c>
      <c r="H1064" s="55">
        <v>2002.0</v>
      </c>
      <c r="I1064" s="1"/>
      <c r="J1064" s="1"/>
      <c r="K1064" s="1"/>
      <c r="L1064" s="1"/>
      <c r="M1064" s="1"/>
      <c r="N1064" s="1"/>
      <c r="O1064" s="1"/>
      <c r="P1064" s="1"/>
      <c r="Q1064" s="1"/>
      <c r="R1064" s="1"/>
      <c r="S1064" s="1"/>
    </row>
    <row r="1065" ht="10.5" customHeight="1">
      <c r="A1065" s="1"/>
      <c r="B1065" s="48" t="s">
        <v>128</v>
      </c>
      <c r="C1065" s="33">
        <v>100.0</v>
      </c>
      <c r="D1065" s="467">
        <v>136.5</v>
      </c>
      <c r="E1065" s="33">
        <v>339547.0</v>
      </c>
      <c r="F1065" s="289">
        <v>2487.16</v>
      </c>
      <c r="G1065" s="238">
        <v>105.6</v>
      </c>
      <c r="H1065" s="238">
        <v>2003.0</v>
      </c>
      <c r="I1065" s="1"/>
      <c r="J1065" s="1"/>
      <c r="K1065" s="1"/>
      <c r="L1065" s="1"/>
      <c r="M1065" s="1"/>
      <c r="N1065" s="1"/>
      <c r="O1065" s="1"/>
      <c r="P1065" s="1"/>
      <c r="Q1065" s="1"/>
      <c r="R1065" s="1"/>
      <c r="S1065" s="1"/>
    </row>
    <row r="1066" ht="10.5" customHeight="1">
      <c r="A1066" s="1"/>
      <c r="B1066" s="48" t="s">
        <v>129</v>
      </c>
      <c r="C1066" s="33">
        <v>135.0</v>
      </c>
      <c r="D1066" s="467">
        <v>220.0</v>
      </c>
      <c r="E1066" s="33">
        <v>469643.0</v>
      </c>
      <c r="F1066" s="289">
        <v>2134.74</v>
      </c>
      <c r="G1066" s="238" t="s">
        <v>836</v>
      </c>
      <c r="H1066" s="238">
        <v>2004.0</v>
      </c>
      <c r="I1066" s="1"/>
      <c r="J1066" s="1"/>
      <c r="K1066" s="1"/>
      <c r="L1066" s="1"/>
      <c r="M1066" s="1"/>
      <c r="N1066" s="1"/>
      <c r="O1066" s="1"/>
      <c r="P1066" s="1"/>
      <c r="Q1066" s="1"/>
      <c r="R1066" s="1"/>
      <c r="S1066" s="1"/>
    </row>
    <row r="1067" ht="10.5" customHeight="1">
      <c r="A1067" s="1"/>
      <c r="B1067" s="48" t="s">
        <v>130</v>
      </c>
      <c r="C1067" s="33">
        <v>150.0</v>
      </c>
      <c r="D1067" s="467">
        <v>272.5</v>
      </c>
      <c r="E1067" s="33">
        <v>347293.0</v>
      </c>
      <c r="F1067" s="289">
        <v>1274.47</v>
      </c>
      <c r="G1067" s="238">
        <v>54.1</v>
      </c>
      <c r="H1067" s="238">
        <v>2005.0</v>
      </c>
      <c r="I1067" s="1"/>
      <c r="J1067" s="1"/>
      <c r="K1067" s="1"/>
      <c r="L1067" s="1"/>
      <c r="M1067" s="1"/>
      <c r="N1067" s="1"/>
      <c r="O1067" s="1"/>
      <c r="P1067" s="1"/>
      <c r="Q1067" s="1"/>
      <c r="R1067" s="1"/>
      <c r="S1067" s="1"/>
    </row>
    <row r="1068" ht="10.5" customHeight="1">
      <c r="A1068" s="1"/>
      <c r="B1068" s="48"/>
      <c r="C1068" s="33"/>
      <c r="D1068" s="467"/>
      <c r="E1068" s="33"/>
      <c r="F1068" s="289"/>
      <c r="G1068" s="238"/>
      <c r="H1068" s="238"/>
      <c r="I1068" s="1"/>
      <c r="J1068" s="1"/>
      <c r="K1068" s="1"/>
      <c r="L1068" s="1"/>
      <c r="M1068" s="1"/>
      <c r="N1068" s="1"/>
      <c r="O1068" s="1"/>
      <c r="P1068" s="1"/>
      <c r="Q1068" s="1"/>
      <c r="R1068" s="1"/>
      <c r="S1068" s="1"/>
    </row>
    <row r="1069" ht="10.5" customHeight="1">
      <c r="A1069" s="1"/>
      <c r="B1069" s="48" t="s">
        <v>131</v>
      </c>
      <c r="C1069" s="33">
        <v>241.0</v>
      </c>
      <c r="D1069" s="467">
        <v>424.0</v>
      </c>
      <c r="E1069" s="33">
        <v>622195.0</v>
      </c>
      <c r="F1069" s="289">
        <v>1467.44</v>
      </c>
      <c r="G1069" s="238">
        <v>71.2</v>
      </c>
      <c r="H1069" s="238">
        <v>2006.0</v>
      </c>
      <c r="I1069" s="1"/>
      <c r="J1069" s="1"/>
      <c r="K1069" s="1"/>
      <c r="L1069" s="1"/>
      <c r="M1069" s="1"/>
      <c r="N1069" s="1"/>
      <c r="O1069" s="1"/>
      <c r="P1069" s="1"/>
      <c r="Q1069" s="1"/>
      <c r="R1069" s="1"/>
      <c r="S1069" s="1"/>
    </row>
    <row r="1070" ht="10.5" customHeight="1">
      <c r="A1070" s="1"/>
      <c r="B1070" s="508">
        <v>38899.0</v>
      </c>
      <c r="C1070" s="12">
        <v>183.0</v>
      </c>
      <c r="D1070" s="518">
        <v>205.0</v>
      </c>
      <c r="E1070" s="33">
        <v>480379.0</v>
      </c>
      <c r="F1070" s="289">
        <v>2343.31</v>
      </c>
      <c r="G1070" s="238" t="s">
        <v>838</v>
      </c>
      <c r="H1070" s="238">
        <v>2007.0</v>
      </c>
      <c r="I1070" s="1"/>
      <c r="J1070" s="1"/>
      <c r="K1070" s="1"/>
      <c r="L1070" s="1"/>
      <c r="M1070" s="1"/>
      <c r="N1070" s="1"/>
      <c r="O1070" s="1"/>
      <c r="P1070" s="1"/>
      <c r="Q1070" s="1"/>
      <c r="R1070" s="1"/>
      <c r="S1070" s="1"/>
    </row>
    <row r="1071" ht="10.5" customHeight="1">
      <c r="A1071" s="1"/>
      <c r="B1071" s="293">
        <v>39295.0</v>
      </c>
      <c r="C1071" s="33">
        <v>165.0</v>
      </c>
      <c r="D1071" s="467">
        <v>282.0</v>
      </c>
      <c r="E1071" s="33">
        <v>1135405.0</v>
      </c>
      <c r="F1071" s="289">
        <v>4026.26</v>
      </c>
      <c r="G1071" s="238">
        <v>169.8</v>
      </c>
      <c r="H1071" s="238">
        <v>2008.0</v>
      </c>
      <c r="I1071" s="1"/>
      <c r="J1071" s="1"/>
      <c r="K1071" s="1"/>
      <c r="L1071" s="1"/>
      <c r="M1071" s="1"/>
      <c r="N1071" s="1"/>
      <c r="O1071" s="1"/>
      <c r="P1071" s="1"/>
      <c r="Q1071" s="1"/>
      <c r="R1071" s="1"/>
      <c r="S1071" s="1"/>
    </row>
    <row r="1072" ht="10.5" customHeight="1">
      <c r="A1072" s="1"/>
      <c r="B1072" s="293">
        <v>39692.0</v>
      </c>
      <c r="C1072" s="33">
        <v>238.0</v>
      </c>
      <c r="D1072" s="467">
        <v>516.0</v>
      </c>
      <c r="E1072" s="33">
        <v>1644691.0</v>
      </c>
      <c r="F1072" s="289">
        <v>3187.39</v>
      </c>
      <c r="G1072" s="238" t="s">
        <v>840</v>
      </c>
      <c r="H1072" s="238">
        <v>2009.0</v>
      </c>
      <c r="I1072" s="1"/>
      <c r="J1072" s="1"/>
      <c r="K1072" s="1"/>
      <c r="L1072" s="1"/>
      <c r="M1072" s="1"/>
      <c r="N1072" s="1"/>
      <c r="O1072" s="1"/>
      <c r="P1072" s="1"/>
      <c r="Q1072" s="1"/>
      <c r="R1072" s="1"/>
      <c r="S1072" s="1"/>
    </row>
    <row r="1073" ht="10.5" customHeight="1">
      <c r="A1073" s="1"/>
      <c r="B1073" s="293">
        <v>40087.0</v>
      </c>
      <c r="C1073" s="33">
        <v>311.0</v>
      </c>
      <c r="D1073" s="467">
        <v>566.0</v>
      </c>
      <c r="E1073" s="33">
        <v>1430826.0</v>
      </c>
      <c r="F1073" s="289">
        <v>2527.96</v>
      </c>
      <c r="G1073" s="238">
        <v>100.0</v>
      </c>
      <c r="H1073" s="238">
        <v>2010.0</v>
      </c>
      <c r="I1073" s="1"/>
      <c r="J1073" s="1"/>
      <c r="K1073" s="1"/>
      <c r="L1073" s="1"/>
      <c r="M1073" s="1"/>
      <c r="N1073" s="1"/>
      <c r="O1073" s="1"/>
      <c r="P1073" s="1"/>
      <c r="Q1073" s="1"/>
      <c r="R1073" s="1"/>
      <c r="S1073" s="1"/>
    </row>
    <row r="1074" ht="10.5" customHeight="1">
      <c r="A1074" s="1"/>
      <c r="B1074" s="293"/>
      <c r="C1074" s="33"/>
      <c r="D1074" s="467"/>
      <c r="E1074" s="33"/>
      <c r="F1074" s="289"/>
      <c r="G1074" s="238"/>
      <c r="H1074" s="238"/>
      <c r="I1074" s="1"/>
      <c r="J1074" s="1"/>
      <c r="K1074" s="1"/>
      <c r="L1074" s="1"/>
      <c r="M1074" s="1"/>
      <c r="N1074" s="1"/>
      <c r="O1074" s="1"/>
      <c r="P1074" s="1"/>
      <c r="Q1074" s="1"/>
      <c r="R1074" s="1"/>
      <c r="S1074" s="1"/>
    </row>
    <row r="1075" ht="10.5" customHeight="1">
      <c r="A1075" s="1"/>
      <c r="B1075" s="11" t="s">
        <v>139</v>
      </c>
      <c r="C1075" s="33">
        <v>418.0</v>
      </c>
      <c r="D1075" s="467">
        <v>710.0</v>
      </c>
      <c r="E1075" s="33">
        <v>2255238.0</v>
      </c>
      <c r="F1075" s="289">
        <v>3176.39</v>
      </c>
      <c r="G1075" s="11" t="s">
        <v>842</v>
      </c>
      <c r="H1075" s="11" t="s">
        <v>487</v>
      </c>
      <c r="I1075" s="1"/>
      <c r="J1075" s="1"/>
      <c r="K1075" s="1"/>
      <c r="L1075" s="1"/>
      <c r="M1075" s="1"/>
      <c r="N1075" s="1"/>
      <c r="O1075" s="1"/>
      <c r="P1075" s="1"/>
      <c r="Q1075" s="1"/>
      <c r="R1075" s="1"/>
      <c r="S1075" s="1"/>
    </row>
    <row r="1076" ht="10.5" customHeight="1">
      <c r="A1076" s="1"/>
      <c r="B1076" s="11" t="s">
        <v>143</v>
      </c>
      <c r="C1076" s="33">
        <v>472.0</v>
      </c>
      <c r="D1076" s="467">
        <v>650.0</v>
      </c>
      <c r="E1076" s="33">
        <v>2394900.0</v>
      </c>
      <c r="F1076" s="289">
        <v>3684.46</v>
      </c>
      <c r="G1076" s="11" t="s">
        <v>843</v>
      </c>
      <c r="H1076" s="11" t="s">
        <v>489</v>
      </c>
      <c r="I1076" s="1"/>
      <c r="J1076" s="1"/>
      <c r="K1076" s="1"/>
      <c r="L1076" s="1"/>
      <c r="M1076" s="1"/>
      <c r="N1076" s="1"/>
      <c r="O1076" s="1"/>
      <c r="P1076" s="1"/>
      <c r="Q1076" s="1"/>
      <c r="R1076" s="1"/>
      <c r="S1076" s="1"/>
    </row>
    <row r="1077" ht="11.25" customHeight="1">
      <c r="A1077" s="1"/>
      <c r="B1077" s="11" t="s">
        <v>149</v>
      </c>
      <c r="C1077" s="33">
        <v>516.0</v>
      </c>
      <c r="D1077" s="467">
        <v>784.5</v>
      </c>
      <c r="E1077" s="33">
        <v>3680598.0</v>
      </c>
      <c r="F1077" s="289">
        <v>4691.65</v>
      </c>
      <c r="G1077" s="11" t="s">
        <v>845</v>
      </c>
      <c r="H1077" s="11" t="s">
        <v>55</v>
      </c>
      <c r="I1077" s="345"/>
      <c r="J1077" s="345"/>
      <c r="K1077" s="1"/>
      <c r="L1077" s="1"/>
      <c r="M1077" s="1"/>
      <c r="N1077" s="1"/>
      <c r="O1077" s="1"/>
      <c r="P1077" s="1"/>
      <c r="Q1077" s="1"/>
      <c r="R1077" s="1"/>
      <c r="S1077" s="1"/>
    </row>
    <row r="1078" ht="11.25" customHeight="1">
      <c r="A1078" s="1"/>
      <c r="B1078" s="11" t="s">
        <v>151</v>
      </c>
      <c r="C1078" s="33">
        <v>503.0</v>
      </c>
      <c r="D1078" s="467">
        <v>948.0</v>
      </c>
      <c r="E1078" s="33">
        <v>5260791.0</v>
      </c>
      <c r="F1078" s="289">
        <v>5549.36</v>
      </c>
      <c r="G1078" s="11" t="s">
        <v>846</v>
      </c>
      <c r="H1078" s="11" t="s">
        <v>57</v>
      </c>
      <c r="I1078" s="1"/>
      <c r="J1078" s="1"/>
      <c r="K1078" s="1"/>
      <c r="L1078" s="1"/>
      <c r="M1078" s="1"/>
      <c r="N1078" s="1"/>
      <c r="O1078" s="1"/>
      <c r="P1078" s="1"/>
      <c r="Q1078" s="1"/>
      <c r="R1078" s="1"/>
      <c r="S1078" s="1"/>
    </row>
    <row r="1079" ht="11.25" customHeight="1">
      <c r="A1079" s="1"/>
      <c r="B1079" s="11" t="s">
        <v>153</v>
      </c>
      <c r="C1079" s="33">
        <v>687.0</v>
      </c>
      <c r="D1079" s="467">
        <v>1070.0</v>
      </c>
      <c r="E1079" s="33">
        <v>5063106.0</v>
      </c>
      <c r="F1079" s="289">
        <v>4731.87</v>
      </c>
      <c r="G1079" s="11" t="s">
        <v>847</v>
      </c>
      <c r="H1079" s="11" t="s">
        <v>58</v>
      </c>
      <c r="I1079" s="1"/>
      <c r="J1079" s="1"/>
      <c r="K1079" s="1"/>
      <c r="L1079" s="1"/>
      <c r="M1079" s="1"/>
      <c r="N1079" s="1"/>
      <c r="O1079" s="1"/>
      <c r="P1079" s="1"/>
      <c r="Q1079" s="1"/>
      <c r="R1079" s="1"/>
      <c r="S1079" s="1"/>
    </row>
    <row r="1080" ht="11.25" customHeight="1">
      <c r="A1080" s="1"/>
      <c r="B1080" s="11"/>
      <c r="C1080" s="33"/>
      <c r="D1080" s="467"/>
      <c r="E1080" s="33"/>
      <c r="G1080" s="11"/>
      <c r="H1080" s="11"/>
      <c r="I1080" s="1"/>
      <c r="J1080" s="1"/>
      <c r="K1080" s="1"/>
      <c r="L1080" s="1"/>
      <c r="M1080" s="1"/>
      <c r="N1080" s="1"/>
      <c r="O1080" s="1"/>
      <c r="P1080" s="1"/>
      <c r="Q1080" s="1"/>
      <c r="R1080" s="1"/>
      <c r="S1080" s="1"/>
    </row>
    <row r="1081" ht="11.25" customHeight="1">
      <c r="A1081" s="1"/>
      <c r="B1081" s="11" t="s">
        <v>155</v>
      </c>
      <c r="C1081" s="33">
        <v>503.0</v>
      </c>
      <c r="D1081" s="467">
        <v>742.0</v>
      </c>
      <c r="E1081" s="519">
        <v>4598839.0</v>
      </c>
      <c r="F1081" s="521">
        <v>6197.36</v>
      </c>
      <c r="G1081" s="11" t="s">
        <v>849</v>
      </c>
      <c r="H1081" s="11" t="s">
        <v>59</v>
      </c>
      <c r="I1081" s="1"/>
      <c r="J1081" s="1"/>
      <c r="K1081" s="1"/>
      <c r="L1081" s="1"/>
      <c r="M1081" s="1"/>
      <c r="N1081" s="1"/>
      <c r="O1081" s="1"/>
      <c r="P1081" s="1"/>
      <c r="Q1081" s="1"/>
      <c r="R1081" s="1"/>
      <c r="S1081" s="1"/>
    </row>
    <row r="1082" ht="11.25" customHeight="1">
      <c r="A1082" s="1"/>
      <c r="B1082" s="11" t="s">
        <v>160</v>
      </c>
      <c r="C1082" s="33">
        <v>574.0</v>
      </c>
      <c r="D1082" s="467">
        <v>1316.0</v>
      </c>
      <c r="E1082" s="519">
        <v>6429810.0</v>
      </c>
      <c r="F1082" s="521">
        <v>4884.5</v>
      </c>
      <c r="G1082" s="11" t="s">
        <v>851</v>
      </c>
      <c r="H1082" s="11" t="s">
        <v>60</v>
      </c>
      <c r="I1082" s="1"/>
      <c r="J1082" s="1"/>
      <c r="K1082" s="1"/>
      <c r="L1082" s="1"/>
      <c r="M1082" s="1"/>
      <c r="N1082" s="1"/>
      <c r="O1082" s="1"/>
      <c r="P1082" s="1"/>
      <c r="Q1082" s="1"/>
      <c r="R1082" s="1"/>
      <c r="S1082" s="1"/>
    </row>
    <row r="1083" ht="11.25" customHeight="1">
      <c r="A1083" s="1"/>
      <c r="B1083" s="52" t="s">
        <v>852</v>
      </c>
      <c r="C1083" s="57">
        <v>775.0</v>
      </c>
      <c r="D1083" s="471">
        <v>1374.7</v>
      </c>
      <c r="E1083" s="42" t="s">
        <v>10</v>
      </c>
      <c r="F1083" s="522" t="s">
        <v>10</v>
      </c>
      <c r="G1083" s="52" t="s">
        <v>10</v>
      </c>
      <c r="H1083" s="52" t="s">
        <v>799</v>
      </c>
      <c r="I1083" s="1"/>
      <c r="J1083" s="1"/>
      <c r="K1083" s="1"/>
      <c r="L1083" s="1"/>
      <c r="M1083" s="1"/>
      <c r="N1083" s="1"/>
      <c r="O1083" s="1"/>
      <c r="P1083" s="1"/>
      <c r="Q1083" s="1"/>
      <c r="R1083" s="1"/>
      <c r="S1083" s="1"/>
    </row>
    <row r="1084" ht="11.25" customHeight="1">
      <c r="A1084" s="1"/>
      <c r="B1084" s="29" t="s">
        <v>31</v>
      </c>
      <c r="C1084" s="128" t="s">
        <v>853</v>
      </c>
      <c r="D1084" s="383"/>
      <c r="E1084" s="383"/>
      <c r="F1084" s="383"/>
      <c r="G1084" s="383"/>
      <c r="H1084" s="383"/>
      <c r="I1084" s="383"/>
      <c r="J1084" s="383"/>
      <c r="K1084" s="195"/>
      <c r="L1084" s="196"/>
      <c r="M1084" s="1"/>
      <c r="N1084" s="1"/>
      <c r="O1084" s="1"/>
      <c r="P1084" s="1"/>
      <c r="Q1084" s="1"/>
      <c r="R1084" s="1"/>
      <c r="S1084" s="1"/>
    </row>
    <row r="1085" ht="10.5" customHeight="1">
      <c r="A1085" s="1"/>
      <c r="B1085" s="5"/>
      <c r="C1085" s="3" t="s">
        <v>352</v>
      </c>
      <c r="D1085" s="198" t="s">
        <v>801</v>
      </c>
      <c r="E1085" s="198" t="s">
        <v>698</v>
      </c>
      <c r="F1085" s="3" t="s">
        <v>249</v>
      </c>
      <c r="G1085" s="198" t="s">
        <v>609</v>
      </c>
      <c r="H1085" s="198" t="s">
        <v>263</v>
      </c>
      <c r="I1085" s="198" t="s">
        <v>357</v>
      </c>
      <c r="J1085" s="198" t="s">
        <v>256</v>
      </c>
      <c r="K1085" s="3" t="s">
        <v>358</v>
      </c>
      <c r="L1085" s="180" t="s">
        <v>2</v>
      </c>
      <c r="M1085" s="1"/>
      <c r="N1085" s="1"/>
      <c r="O1085" s="1"/>
      <c r="P1085" s="1"/>
      <c r="Q1085" s="1"/>
      <c r="R1085" s="1"/>
      <c r="S1085" s="1"/>
    </row>
    <row r="1086" ht="10.5" customHeight="1">
      <c r="A1086" s="1"/>
      <c r="B1086" s="5"/>
      <c r="C1086" s="200" t="s">
        <v>348</v>
      </c>
      <c r="D1086" s="200" t="s">
        <v>348</v>
      </c>
      <c r="E1086" s="200" t="s">
        <v>348</v>
      </c>
      <c r="F1086" s="200"/>
      <c r="G1086" s="200" t="s">
        <v>349</v>
      </c>
      <c r="H1086" s="200"/>
      <c r="I1086" s="200" t="s">
        <v>360</v>
      </c>
      <c r="J1086" s="202"/>
      <c r="K1086" s="200" t="s">
        <v>361</v>
      </c>
      <c r="L1086" s="298"/>
      <c r="M1086" s="1"/>
      <c r="N1086" s="1"/>
      <c r="O1086" s="1"/>
      <c r="P1086" s="1"/>
      <c r="Q1086" s="1"/>
      <c r="R1086" s="1"/>
      <c r="S1086" s="1"/>
    </row>
    <row r="1087" ht="10.5" customHeight="1">
      <c r="A1087" s="1"/>
      <c r="B1087" s="6"/>
      <c r="C1087" s="8" t="s">
        <v>49</v>
      </c>
      <c r="D1087" s="9"/>
      <c r="E1087" s="9"/>
      <c r="F1087" s="9"/>
      <c r="G1087" s="9"/>
      <c r="H1087" s="9"/>
      <c r="I1087" s="9"/>
      <c r="J1087" s="9"/>
      <c r="K1087" s="9"/>
      <c r="L1087" s="10"/>
      <c r="M1087" s="1"/>
      <c r="N1087" s="1"/>
      <c r="O1087" s="1"/>
      <c r="P1087" s="1"/>
      <c r="Q1087" s="1"/>
      <c r="R1087" s="1"/>
      <c r="S1087" s="1"/>
    </row>
    <row r="1088" ht="10.5" customHeight="1">
      <c r="A1088" s="1"/>
      <c r="B1088" s="48" t="s">
        <v>113</v>
      </c>
      <c r="C1088" s="489" t="s">
        <v>40</v>
      </c>
      <c r="D1088" s="489" t="s">
        <v>40</v>
      </c>
      <c r="E1088" s="491">
        <v>0.64</v>
      </c>
      <c r="F1088" s="492">
        <v>5.4</v>
      </c>
      <c r="G1088" s="492">
        <v>18.93</v>
      </c>
      <c r="H1088" s="492">
        <v>3.16</v>
      </c>
      <c r="I1088" s="523">
        <v>23.18</v>
      </c>
      <c r="J1088" s="489">
        <v>7.54</v>
      </c>
      <c r="K1088" s="491">
        <v>4.24</v>
      </c>
      <c r="L1088" s="492">
        <f t="shared" ref="L1088:L1092" si="51">SUM(E1088:J1088)</f>
        <v>58.85</v>
      </c>
      <c r="M1088" s="1"/>
      <c r="N1088" s="1"/>
      <c r="O1088" s="1"/>
      <c r="P1088" s="1"/>
      <c r="Q1088" s="1"/>
      <c r="R1088" s="1"/>
      <c r="S1088" s="1"/>
    </row>
    <row r="1089" ht="10.5" customHeight="1">
      <c r="A1089" s="1"/>
      <c r="B1089" s="48" t="s">
        <v>114</v>
      </c>
      <c r="C1089" s="493" t="s">
        <v>40</v>
      </c>
      <c r="D1089" s="493" t="s">
        <v>40</v>
      </c>
      <c r="E1089" s="493">
        <v>0.52</v>
      </c>
      <c r="F1089" s="495">
        <v>2.35</v>
      </c>
      <c r="G1089" s="495">
        <v>17.8</v>
      </c>
      <c r="H1089" s="495">
        <v>1.48</v>
      </c>
      <c r="I1089" s="489">
        <v>30.43</v>
      </c>
      <c r="J1089" s="489">
        <v>1.64</v>
      </c>
      <c r="K1089" s="493">
        <v>3.98</v>
      </c>
      <c r="L1089" s="495">
        <f t="shared" si="51"/>
        <v>54.22</v>
      </c>
      <c r="M1089" s="1"/>
      <c r="N1089" s="1"/>
      <c r="O1089" s="1"/>
      <c r="P1089" s="1"/>
      <c r="Q1089" s="1"/>
      <c r="R1089" s="1"/>
      <c r="S1089" s="1"/>
    </row>
    <row r="1090" ht="10.5" customHeight="1">
      <c r="A1090" s="1"/>
      <c r="B1090" s="48" t="s">
        <v>115</v>
      </c>
      <c r="C1090" s="493" t="s">
        <v>40</v>
      </c>
      <c r="D1090" s="493" t="s">
        <v>40</v>
      </c>
      <c r="E1090" s="493">
        <v>1.4</v>
      </c>
      <c r="F1090" s="495">
        <v>3.32</v>
      </c>
      <c r="G1090" s="495">
        <v>24.37</v>
      </c>
      <c r="H1090" s="495">
        <v>5.05</v>
      </c>
      <c r="I1090" s="489">
        <v>35.69</v>
      </c>
      <c r="J1090" s="489">
        <v>2.54</v>
      </c>
      <c r="K1090" s="493">
        <v>7.63</v>
      </c>
      <c r="L1090" s="495">
        <f t="shared" si="51"/>
        <v>72.37</v>
      </c>
      <c r="M1090" s="1"/>
      <c r="N1090" s="1"/>
      <c r="O1090" s="1"/>
      <c r="P1090" s="1"/>
      <c r="Q1090" s="1"/>
      <c r="R1090" s="1"/>
      <c r="S1090" s="1"/>
    </row>
    <row r="1091" ht="10.5" customHeight="1">
      <c r="A1091" s="1"/>
      <c r="B1091" s="48" t="s">
        <v>117</v>
      </c>
      <c r="C1091" s="493" t="s">
        <v>40</v>
      </c>
      <c r="D1091" s="493" t="s">
        <v>40</v>
      </c>
      <c r="E1091" s="493">
        <v>1.7</v>
      </c>
      <c r="F1091" s="495">
        <v>4.1</v>
      </c>
      <c r="G1091" s="495">
        <v>30.0</v>
      </c>
      <c r="H1091" s="495">
        <v>5.1</v>
      </c>
      <c r="I1091" s="489">
        <v>45.0</v>
      </c>
      <c r="J1091" s="489">
        <v>3.1</v>
      </c>
      <c r="K1091" s="493">
        <v>9.0</v>
      </c>
      <c r="L1091" s="495">
        <f t="shared" si="51"/>
        <v>89</v>
      </c>
      <c r="M1091" s="1"/>
      <c r="N1091" s="1"/>
      <c r="O1091" s="1"/>
      <c r="P1091" s="1"/>
      <c r="Q1091" s="1"/>
      <c r="R1091" s="1"/>
      <c r="S1091" s="1"/>
    </row>
    <row r="1092" ht="10.5" customHeight="1">
      <c r="A1092" s="1"/>
      <c r="B1092" s="48" t="s">
        <v>121</v>
      </c>
      <c r="C1092" s="493" t="s">
        <v>40</v>
      </c>
      <c r="D1092" s="493" t="s">
        <v>40</v>
      </c>
      <c r="E1092" s="493">
        <v>1.29</v>
      </c>
      <c r="F1092" s="495">
        <v>11.45</v>
      </c>
      <c r="G1092" s="495">
        <v>62.07</v>
      </c>
      <c r="H1092" s="495">
        <v>8.35</v>
      </c>
      <c r="I1092" s="489">
        <v>109.48</v>
      </c>
      <c r="J1092" s="489">
        <v>8.45</v>
      </c>
      <c r="K1092" s="493">
        <v>13.91</v>
      </c>
      <c r="L1092" s="495">
        <f t="shared" si="51"/>
        <v>201.09</v>
      </c>
      <c r="M1092" s="1"/>
      <c r="N1092" s="1"/>
      <c r="O1092" s="1"/>
      <c r="P1092" s="1"/>
      <c r="Q1092" s="1"/>
      <c r="R1092" s="1"/>
      <c r="S1092" s="1"/>
    </row>
    <row r="1093" ht="10.5" customHeight="1">
      <c r="A1093" s="1"/>
      <c r="B1093" s="48"/>
      <c r="C1093" s="489"/>
      <c r="D1093" s="493"/>
      <c r="E1093" s="493"/>
      <c r="F1093" s="495"/>
      <c r="G1093" s="495"/>
      <c r="H1093" s="494"/>
      <c r="I1093" s="489"/>
      <c r="J1093" s="489"/>
      <c r="K1093" s="493"/>
      <c r="L1093" s="495"/>
      <c r="M1093" s="1"/>
      <c r="N1093" s="1"/>
      <c r="O1093" s="1"/>
      <c r="P1093" s="1"/>
      <c r="Q1093" s="1"/>
      <c r="R1093" s="1"/>
      <c r="S1093" s="1"/>
    </row>
    <row r="1094" ht="10.5" customHeight="1">
      <c r="A1094" s="1"/>
      <c r="B1094" s="48" t="s">
        <v>122</v>
      </c>
      <c r="C1094" s="493" t="s">
        <v>40</v>
      </c>
      <c r="D1094" s="493" t="s">
        <v>40</v>
      </c>
      <c r="E1094" s="493">
        <v>1.45</v>
      </c>
      <c r="F1094" s="495">
        <v>11.4</v>
      </c>
      <c r="G1094" s="495">
        <v>63.2</v>
      </c>
      <c r="H1094" s="495">
        <v>11.4</v>
      </c>
      <c r="I1094" s="489">
        <v>85.4</v>
      </c>
      <c r="J1094" s="489">
        <v>6.8</v>
      </c>
      <c r="K1094" s="493">
        <v>19.35</v>
      </c>
      <c r="L1094" s="495">
        <f t="shared" ref="L1094:L1098" si="52">SUM(E1094:J1094)</f>
        <v>179.65</v>
      </c>
      <c r="M1094" s="1"/>
      <c r="N1094" s="1"/>
      <c r="O1094" s="1"/>
      <c r="P1094" s="1"/>
      <c r="Q1094" s="1"/>
      <c r="R1094" s="1"/>
      <c r="S1094" s="1"/>
    </row>
    <row r="1095" ht="10.5" customHeight="1">
      <c r="A1095" s="1"/>
      <c r="B1095" s="48" t="s">
        <v>123</v>
      </c>
      <c r="C1095" s="493" t="s">
        <v>40</v>
      </c>
      <c r="D1095" s="493">
        <v>0.14</v>
      </c>
      <c r="E1095" s="493">
        <v>1.04</v>
      </c>
      <c r="F1095" s="495">
        <v>11.6</v>
      </c>
      <c r="G1095" s="495">
        <v>39.33</v>
      </c>
      <c r="H1095" s="495">
        <v>11.2</v>
      </c>
      <c r="I1095" s="489">
        <v>74.0</v>
      </c>
      <c r="J1095" s="489">
        <v>4.2</v>
      </c>
      <c r="K1095" s="493">
        <v>12.42</v>
      </c>
      <c r="L1095" s="495">
        <f t="shared" si="52"/>
        <v>141.37</v>
      </c>
      <c r="M1095" s="1"/>
      <c r="N1095" s="1"/>
      <c r="O1095" s="1"/>
      <c r="P1095" s="1"/>
      <c r="Q1095" s="1"/>
      <c r="R1095" s="1"/>
      <c r="S1095" s="1"/>
    </row>
    <row r="1096" ht="10.5" customHeight="1">
      <c r="A1096" s="1"/>
      <c r="B1096" s="48" t="s">
        <v>125</v>
      </c>
      <c r="C1096" s="489">
        <v>0.12</v>
      </c>
      <c r="D1096" s="493">
        <v>0.2</v>
      </c>
      <c r="E1096" s="493">
        <v>0.68</v>
      </c>
      <c r="F1096" s="495">
        <v>27.3</v>
      </c>
      <c r="G1096" s="495">
        <v>58.0</v>
      </c>
      <c r="H1096" s="495">
        <v>22.4</v>
      </c>
      <c r="I1096" s="489">
        <v>99.98</v>
      </c>
      <c r="J1096" s="489">
        <v>4.9</v>
      </c>
      <c r="K1096" s="493">
        <v>12.64</v>
      </c>
      <c r="L1096" s="495">
        <f t="shared" si="52"/>
        <v>213.26</v>
      </c>
      <c r="M1096" s="1"/>
      <c r="N1096" s="1"/>
      <c r="O1096" s="1"/>
      <c r="P1096" s="1"/>
      <c r="Q1096" s="1"/>
      <c r="R1096" s="1"/>
      <c r="S1096" s="1"/>
    </row>
    <row r="1097" ht="10.5" customHeight="1">
      <c r="A1097" s="1"/>
      <c r="B1097" s="48" t="s">
        <v>127</v>
      </c>
      <c r="C1097" s="489">
        <v>0.1</v>
      </c>
      <c r="D1097" s="495">
        <v>0.35</v>
      </c>
      <c r="E1097" s="493" t="s">
        <v>40</v>
      </c>
      <c r="F1097" s="495">
        <v>23.05</v>
      </c>
      <c r="G1097" s="495">
        <v>41.6</v>
      </c>
      <c r="H1097" s="495">
        <v>26.0</v>
      </c>
      <c r="I1097" s="489">
        <v>112.0</v>
      </c>
      <c r="J1097" s="489">
        <v>10.0</v>
      </c>
      <c r="K1097" s="495">
        <v>9.9</v>
      </c>
      <c r="L1097" s="495">
        <f t="shared" si="52"/>
        <v>212.65</v>
      </c>
      <c r="M1097" s="1"/>
      <c r="N1097" s="1"/>
      <c r="O1097" s="1"/>
      <c r="P1097" s="1"/>
      <c r="Q1097" s="1"/>
      <c r="R1097" s="1"/>
      <c r="S1097" s="1"/>
    </row>
    <row r="1098" ht="10.5" customHeight="1">
      <c r="A1098" s="1"/>
      <c r="B1098" s="48" t="s">
        <v>128</v>
      </c>
      <c r="C1098" s="495">
        <v>0.12</v>
      </c>
      <c r="D1098" s="495">
        <v>0.15</v>
      </c>
      <c r="E1098" s="493" t="s">
        <v>40</v>
      </c>
      <c r="F1098" s="495">
        <v>17.5</v>
      </c>
      <c r="G1098" s="495">
        <v>22.0</v>
      </c>
      <c r="H1098" s="495">
        <v>13.7</v>
      </c>
      <c r="I1098" s="489">
        <v>72.2</v>
      </c>
      <c r="J1098" s="489">
        <v>5.85</v>
      </c>
      <c r="K1098" s="495">
        <v>5.0</v>
      </c>
      <c r="L1098" s="495">
        <f t="shared" si="52"/>
        <v>131.25</v>
      </c>
      <c r="M1098" s="1"/>
      <c r="N1098" s="1"/>
      <c r="O1098" s="1"/>
      <c r="P1098" s="1"/>
      <c r="Q1098" s="1"/>
      <c r="R1098" s="1"/>
      <c r="S1098" s="1"/>
    </row>
    <row r="1099" ht="10.5" customHeight="1">
      <c r="A1099" s="1"/>
      <c r="B1099" s="48"/>
      <c r="C1099" s="495"/>
      <c r="D1099" s="495"/>
      <c r="E1099" s="497"/>
      <c r="F1099" s="495"/>
      <c r="G1099" s="495"/>
      <c r="H1099" s="489"/>
      <c r="I1099" s="489"/>
      <c r="J1099" s="497"/>
      <c r="K1099" s="495"/>
      <c r="L1099" s="495"/>
      <c r="M1099" s="1"/>
      <c r="N1099" s="1"/>
      <c r="O1099" s="1"/>
      <c r="P1099" s="1"/>
      <c r="Q1099" s="1"/>
      <c r="R1099" s="1"/>
      <c r="S1099" s="1"/>
    </row>
    <row r="1100" ht="10.5" customHeight="1">
      <c r="A1100" s="1"/>
      <c r="B1100" s="48" t="s">
        <v>129</v>
      </c>
      <c r="C1100" s="495">
        <v>0.09</v>
      </c>
      <c r="D1100" s="495">
        <v>0.12</v>
      </c>
      <c r="E1100" s="495">
        <v>0.38</v>
      </c>
      <c r="F1100" s="495">
        <v>29.0</v>
      </c>
      <c r="G1100" s="495">
        <v>36.1</v>
      </c>
      <c r="H1100" s="495" t="s">
        <v>854</v>
      </c>
      <c r="I1100" s="495">
        <v>110.12</v>
      </c>
      <c r="J1100" s="493" t="s">
        <v>855</v>
      </c>
      <c r="K1100" s="495">
        <v>26.0</v>
      </c>
      <c r="L1100" s="495">
        <f t="shared" ref="L1100:L1104" si="53">SUM(E1100:J1100)</f>
        <v>175.6</v>
      </c>
      <c r="M1100" s="1"/>
      <c r="N1100" s="1"/>
      <c r="O1100" s="1"/>
      <c r="P1100" s="1"/>
      <c r="Q1100" s="1"/>
      <c r="R1100" s="1"/>
      <c r="S1100" s="1"/>
    </row>
    <row r="1101" ht="10.5" customHeight="1">
      <c r="A1101" s="1"/>
      <c r="B1101" s="48" t="s">
        <v>130</v>
      </c>
      <c r="C1101" s="495">
        <v>0.42</v>
      </c>
      <c r="D1101" s="495">
        <v>0.8</v>
      </c>
      <c r="E1101" s="495">
        <v>0.3</v>
      </c>
      <c r="F1101" s="495">
        <v>30.0</v>
      </c>
      <c r="G1101" s="495">
        <v>39.27</v>
      </c>
      <c r="H1101" s="495" t="s">
        <v>856</v>
      </c>
      <c r="I1101" s="495">
        <v>136.65</v>
      </c>
      <c r="J1101" s="493" t="s">
        <v>857</v>
      </c>
      <c r="K1101" s="495">
        <v>28.5</v>
      </c>
      <c r="L1101" s="495">
        <f t="shared" si="53"/>
        <v>206.22</v>
      </c>
      <c r="M1101" s="1"/>
      <c r="N1101" s="1"/>
      <c r="O1101" s="1"/>
      <c r="P1101" s="1"/>
      <c r="Q1101" s="1"/>
      <c r="R1101" s="1"/>
      <c r="S1101" s="1"/>
    </row>
    <row r="1102" ht="9.75" customHeight="1">
      <c r="A1102" s="1"/>
      <c r="B1102" s="48" t="s">
        <v>131</v>
      </c>
      <c r="C1102" s="495">
        <v>0.07</v>
      </c>
      <c r="D1102" s="495">
        <v>0.75</v>
      </c>
      <c r="E1102" s="495">
        <v>1.5</v>
      </c>
      <c r="F1102" s="495">
        <v>77.0</v>
      </c>
      <c r="G1102" s="495">
        <v>62.5</v>
      </c>
      <c r="H1102" s="495" t="s">
        <v>858</v>
      </c>
      <c r="I1102" s="495">
        <v>210.0</v>
      </c>
      <c r="J1102" s="493" t="s">
        <v>859</v>
      </c>
      <c r="K1102" s="495">
        <v>27.0</v>
      </c>
      <c r="L1102" s="495">
        <f t="shared" si="53"/>
        <v>351</v>
      </c>
      <c r="M1102" s="1"/>
      <c r="N1102" s="1"/>
      <c r="O1102" s="1"/>
      <c r="P1102" s="1"/>
      <c r="Q1102" s="1"/>
      <c r="R1102" s="1"/>
      <c r="S1102" s="1"/>
    </row>
    <row r="1103" ht="10.5" customHeight="1">
      <c r="A1103" s="1"/>
      <c r="B1103" s="48" t="s">
        <v>133</v>
      </c>
      <c r="C1103" s="493" t="s">
        <v>40</v>
      </c>
      <c r="D1103" s="495">
        <v>1.0</v>
      </c>
      <c r="E1103" s="495">
        <v>1.5</v>
      </c>
      <c r="F1103" s="495">
        <v>33.75</v>
      </c>
      <c r="G1103" s="495">
        <v>45.1</v>
      </c>
      <c r="H1103" s="495" t="s">
        <v>860</v>
      </c>
      <c r="I1103" s="495">
        <v>76.5</v>
      </c>
      <c r="J1103" s="493" t="s">
        <v>861</v>
      </c>
      <c r="K1103" s="495">
        <v>18.0</v>
      </c>
      <c r="L1103" s="495">
        <f t="shared" si="53"/>
        <v>156.85</v>
      </c>
      <c r="M1103" s="1"/>
      <c r="N1103" s="1"/>
      <c r="O1103" s="1"/>
      <c r="P1103" s="1"/>
      <c r="Q1103" s="1"/>
      <c r="R1103" s="1"/>
      <c r="S1103" s="1"/>
    </row>
    <row r="1104" ht="10.5" customHeight="1">
      <c r="A1104" s="1"/>
      <c r="B1104" s="293">
        <v>39295.0</v>
      </c>
      <c r="C1104" s="493" t="s">
        <v>40</v>
      </c>
      <c r="D1104" s="495">
        <v>0.75</v>
      </c>
      <c r="E1104" s="495">
        <v>1.75</v>
      </c>
      <c r="F1104" s="495">
        <v>64.5</v>
      </c>
      <c r="G1104" s="495">
        <v>44.0</v>
      </c>
      <c r="H1104" s="495" t="s">
        <v>862</v>
      </c>
      <c r="I1104" s="495">
        <v>128.0</v>
      </c>
      <c r="J1104" s="493" t="s">
        <v>863</v>
      </c>
      <c r="K1104" s="495">
        <v>15.0</v>
      </c>
      <c r="L1104" s="495">
        <f t="shared" si="53"/>
        <v>238.25</v>
      </c>
      <c r="M1104" s="1"/>
      <c r="N1104" s="1"/>
      <c r="O1104" s="1"/>
      <c r="P1104" s="1"/>
      <c r="Q1104" s="1"/>
      <c r="R1104" s="1"/>
      <c r="S1104" s="1"/>
    </row>
    <row r="1105" ht="10.5" customHeight="1">
      <c r="A1105" s="1"/>
      <c r="B1105" s="293"/>
      <c r="C1105" s="495"/>
      <c r="D1105" s="495"/>
      <c r="E1105" s="495"/>
      <c r="F1105" s="495"/>
      <c r="G1105" s="495"/>
      <c r="H1105" s="495"/>
      <c r="I1105" s="495"/>
      <c r="J1105" s="493"/>
      <c r="K1105" s="495"/>
      <c r="L1105" s="495"/>
      <c r="M1105" s="1"/>
      <c r="N1105" s="1"/>
      <c r="O1105" s="1"/>
      <c r="P1105" s="1"/>
      <c r="Q1105" s="1"/>
      <c r="R1105" s="1"/>
      <c r="S1105" s="1"/>
    </row>
    <row r="1106" ht="10.5" customHeight="1">
      <c r="A1106" s="1"/>
      <c r="B1106" s="293">
        <v>39692.0</v>
      </c>
      <c r="C1106" s="493" t="s">
        <v>40</v>
      </c>
      <c r="D1106" s="495">
        <v>1.6</v>
      </c>
      <c r="E1106" s="495">
        <v>2.25</v>
      </c>
      <c r="F1106" s="495">
        <v>99.0</v>
      </c>
      <c r="G1106" s="495">
        <v>75.6</v>
      </c>
      <c r="H1106" s="495" t="s">
        <v>864</v>
      </c>
      <c r="I1106" s="495">
        <v>262.5</v>
      </c>
      <c r="J1106" s="493" t="s">
        <v>865</v>
      </c>
      <c r="K1106" s="495">
        <v>18.53</v>
      </c>
      <c r="L1106" s="495">
        <f t="shared" ref="L1106:L1110" si="54">SUM(E1106:J1106)</f>
        <v>439.35</v>
      </c>
      <c r="M1106" s="1"/>
      <c r="N1106" s="1"/>
      <c r="O1106" s="1"/>
      <c r="P1106" s="1"/>
      <c r="Q1106" s="1"/>
      <c r="R1106" s="1"/>
      <c r="S1106" s="1"/>
    </row>
    <row r="1107" ht="10.5" customHeight="1">
      <c r="A1107" s="1"/>
      <c r="B1107" s="293">
        <v>40087.0</v>
      </c>
      <c r="C1107" s="493" t="s">
        <v>40</v>
      </c>
      <c r="D1107" s="495">
        <v>1.2</v>
      </c>
      <c r="E1107" s="495">
        <v>1.95</v>
      </c>
      <c r="F1107" s="495">
        <v>151.95</v>
      </c>
      <c r="G1107" s="495">
        <v>73.5</v>
      </c>
      <c r="H1107" s="495" t="s">
        <v>866</v>
      </c>
      <c r="I1107" s="495">
        <v>239.6</v>
      </c>
      <c r="J1107" s="493" t="s">
        <v>867</v>
      </c>
      <c r="K1107" s="495">
        <v>27.0</v>
      </c>
      <c r="L1107" s="495">
        <f t="shared" si="54"/>
        <v>467</v>
      </c>
      <c r="M1107" s="1"/>
      <c r="N1107" s="1"/>
      <c r="O1107" s="1"/>
      <c r="P1107" s="1"/>
      <c r="Q1107" s="1"/>
      <c r="R1107" s="1"/>
      <c r="S1107" s="1"/>
    </row>
    <row r="1108" ht="10.5" customHeight="1">
      <c r="A1108" s="1"/>
      <c r="B1108" s="11" t="s">
        <v>139</v>
      </c>
      <c r="C1108" s="489" t="s">
        <v>40</v>
      </c>
      <c r="D1108" s="495">
        <v>1.5</v>
      </c>
      <c r="E1108" s="495">
        <v>1.5</v>
      </c>
      <c r="F1108" s="495">
        <v>190.0</v>
      </c>
      <c r="G1108" s="495">
        <v>92.0</v>
      </c>
      <c r="H1108" s="495" t="s">
        <v>868</v>
      </c>
      <c r="I1108" s="495">
        <v>294.5</v>
      </c>
      <c r="J1108" s="493" t="s">
        <v>869</v>
      </c>
      <c r="K1108" s="495">
        <v>50.0</v>
      </c>
      <c r="L1108" s="495">
        <f t="shared" si="54"/>
        <v>578</v>
      </c>
      <c r="M1108" s="1"/>
      <c r="N1108" s="1"/>
      <c r="O1108" s="1"/>
      <c r="P1108" s="1"/>
      <c r="Q1108" s="1"/>
      <c r="R1108" s="1"/>
      <c r="S1108" s="1"/>
    </row>
    <row r="1109" ht="9.75" customHeight="1">
      <c r="A1109" s="1"/>
      <c r="B1109" s="11" t="s">
        <v>143</v>
      </c>
      <c r="C1109" s="495" t="s">
        <v>40</v>
      </c>
      <c r="D1109" s="495">
        <v>0.75</v>
      </c>
      <c r="E1109" s="495">
        <v>1.5</v>
      </c>
      <c r="F1109" s="495">
        <v>192.5</v>
      </c>
      <c r="G1109" s="495">
        <v>81.6</v>
      </c>
      <c r="H1109" s="495" t="s">
        <v>870</v>
      </c>
      <c r="I1109" s="495">
        <v>263.05</v>
      </c>
      <c r="J1109" s="493" t="s">
        <v>871</v>
      </c>
      <c r="K1109" s="495">
        <v>31.5</v>
      </c>
      <c r="L1109" s="495">
        <f t="shared" si="54"/>
        <v>538.65</v>
      </c>
      <c r="M1109" s="1"/>
      <c r="N1109" s="1"/>
      <c r="O1109" s="1"/>
      <c r="P1109" s="1"/>
      <c r="Q1109" s="1"/>
      <c r="R1109" s="1"/>
      <c r="S1109" s="1"/>
    </row>
    <row r="1110" ht="11.25" customHeight="1">
      <c r="A1110" s="1"/>
      <c r="B1110" s="11" t="s">
        <v>149</v>
      </c>
      <c r="C1110" s="495" t="s">
        <v>40</v>
      </c>
      <c r="D1110" s="495">
        <v>0.75</v>
      </c>
      <c r="E1110" s="495">
        <v>7.0</v>
      </c>
      <c r="F1110" s="495">
        <v>249.5</v>
      </c>
      <c r="G1110" s="495">
        <v>82.0</v>
      </c>
      <c r="H1110" s="495" t="s">
        <v>872</v>
      </c>
      <c r="I1110" s="495">
        <v>335.0</v>
      </c>
      <c r="J1110" s="493" t="s">
        <v>873</v>
      </c>
      <c r="K1110" s="495">
        <v>22.7</v>
      </c>
      <c r="L1110" s="495">
        <f t="shared" si="54"/>
        <v>673.5</v>
      </c>
      <c r="M1110" s="154"/>
      <c r="N1110" s="154"/>
      <c r="O1110" s="154"/>
      <c r="P1110" s="154"/>
      <c r="Q1110" s="1"/>
      <c r="R1110" s="1"/>
      <c r="S1110" s="1"/>
    </row>
    <row r="1111" ht="11.25" customHeight="1">
      <c r="A1111" s="1"/>
      <c r="B1111" s="11"/>
      <c r="C1111" s="495"/>
      <c r="D1111" s="495"/>
      <c r="E1111" s="495"/>
      <c r="F1111" s="495"/>
      <c r="G1111" s="495"/>
      <c r="H1111" s="495"/>
      <c r="I1111" s="495"/>
      <c r="J1111" s="493"/>
      <c r="K1111" s="495"/>
      <c r="L1111" s="495"/>
      <c r="M1111" s="1"/>
      <c r="N1111" s="1"/>
      <c r="O1111" s="1"/>
      <c r="P1111" s="1"/>
      <c r="Q1111" s="1"/>
      <c r="R1111" s="1"/>
      <c r="S1111" s="1"/>
    </row>
    <row r="1112" ht="11.25" customHeight="1">
      <c r="A1112" s="1"/>
      <c r="B1112" s="11" t="s">
        <v>151</v>
      </c>
      <c r="C1112" s="495" t="s">
        <v>40</v>
      </c>
      <c r="D1112" s="495">
        <v>3.6</v>
      </c>
      <c r="E1112" s="495">
        <v>14.0</v>
      </c>
      <c r="F1112" s="495">
        <v>352.0</v>
      </c>
      <c r="G1112" s="495">
        <v>98.0</v>
      </c>
      <c r="H1112" s="495" t="s">
        <v>874</v>
      </c>
      <c r="I1112" s="495">
        <v>335.0</v>
      </c>
      <c r="J1112" s="493" t="s">
        <v>875</v>
      </c>
      <c r="K1112" s="495">
        <v>32.0</v>
      </c>
      <c r="L1112" s="495">
        <f t="shared" ref="L1112:L1113" si="55">SUM(E1112:J1112)</f>
        <v>799</v>
      </c>
      <c r="M1112" s="1"/>
      <c r="N1112" s="1"/>
      <c r="O1112" s="1"/>
      <c r="P1112" s="1"/>
      <c r="Q1112" s="1"/>
      <c r="R1112" s="1"/>
      <c r="S1112" s="1"/>
    </row>
    <row r="1113" ht="11.25" customHeight="1">
      <c r="A1113" s="1"/>
      <c r="B1113" s="11" t="s">
        <v>153</v>
      </c>
      <c r="C1113" s="495">
        <v>1.6</v>
      </c>
      <c r="D1113" s="495">
        <v>2.1</v>
      </c>
      <c r="E1113" s="495">
        <v>14.0</v>
      </c>
      <c r="F1113" s="495">
        <v>366.0</v>
      </c>
      <c r="G1113" s="495">
        <v>102.9</v>
      </c>
      <c r="H1113" s="495" t="s">
        <v>876</v>
      </c>
      <c r="I1113" s="495">
        <v>389.9</v>
      </c>
      <c r="J1113" s="493" t="s">
        <v>877</v>
      </c>
      <c r="K1113" s="495">
        <v>52.5</v>
      </c>
      <c r="L1113" s="495">
        <f t="shared" si="55"/>
        <v>872.8</v>
      </c>
      <c r="M1113" s="1"/>
      <c r="N1113" s="1"/>
      <c r="O1113" s="1"/>
      <c r="P1113" s="1"/>
      <c r="Q1113" s="1"/>
      <c r="R1113" s="1"/>
      <c r="S1113" s="1"/>
    </row>
    <row r="1114" ht="11.25" customHeight="1">
      <c r="A1114" s="1"/>
      <c r="B1114" s="11" t="s">
        <v>155</v>
      </c>
      <c r="C1114" s="495">
        <v>1.2</v>
      </c>
      <c r="D1114" s="495">
        <v>2.1</v>
      </c>
      <c r="E1114" s="495">
        <v>13.6</v>
      </c>
      <c r="F1114" s="495">
        <v>148.0</v>
      </c>
      <c r="G1114" s="495">
        <v>66.0</v>
      </c>
      <c r="H1114" s="495" t="s">
        <v>878</v>
      </c>
      <c r="I1114" s="495">
        <v>408.0</v>
      </c>
      <c r="J1114" s="493" t="s">
        <v>870</v>
      </c>
      <c r="K1114" s="495">
        <v>14.1</v>
      </c>
      <c r="L1114" s="495">
        <v>742.0</v>
      </c>
      <c r="M1114" s="1"/>
      <c r="N1114" s="1"/>
      <c r="O1114" s="1"/>
      <c r="P1114" s="1"/>
      <c r="Q1114" s="1"/>
      <c r="R1114" s="1"/>
      <c r="S1114" s="1"/>
    </row>
    <row r="1115" ht="11.25" customHeight="1">
      <c r="A1115" s="1"/>
      <c r="B1115" s="11" t="s">
        <v>160</v>
      </c>
      <c r="C1115" s="495">
        <v>1.1</v>
      </c>
      <c r="D1115" s="495">
        <v>2.8</v>
      </c>
      <c r="E1115" s="495">
        <v>10.5</v>
      </c>
      <c r="F1115" s="495">
        <v>504.0</v>
      </c>
      <c r="G1115" s="495">
        <v>89.6</v>
      </c>
      <c r="H1115" s="495" t="s">
        <v>879</v>
      </c>
      <c r="I1115" s="495">
        <v>554.3</v>
      </c>
      <c r="J1115" s="493" t="s">
        <v>880</v>
      </c>
      <c r="K1115" s="495">
        <v>52.9</v>
      </c>
      <c r="L1115" s="495">
        <v>1316.0</v>
      </c>
      <c r="M1115" s="1"/>
      <c r="N1115" s="1"/>
      <c r="O1115" s="1"/>
      <c r="P1115" s="1"/>
      <c r="Q1115" s="1"/>
      <c r="R1115" s="1"/>
      <c r="S1115" s="1"/>
    </row>
    <row r="1116" ht="11.25" customHeight="1">
      <c r="A1116" s="1"/>
      <c r="B1116" s="52" t="s">
        <v>881</v>
      </c>
      <c r="C1116" s="499">
        <v>0.4</v>
      </c>
      <c r="D1116" s="499">
        <v>3.0</v>
      </c>
      <c r="E1116" s="499">
        <v>9.0</v>
      </c>
      <c r="F1116" s="499">
        <v>517.5</v>
      </c>
      <c r="G1116" s="499">
        <v>124.0</v>
      </c>
      <c r="H1116" s="499" t="s">
        <v>882</v>
      </c>
      <c r="I1116" s="499">
        <v>555.0</v>
      </c>
      <c r="J1116" s="525" t="s">
        <v>883</v>
      </c>
      <c r="K1116" s="499">
        <v>50.8</v>
      </c>
      <c r="L1116" s="499">
        <v>1374.7</v>
      </c>
      <c r="M1116" s="1"/>
      <c r="N1116" s="1"/>
      <c r="O1116" s="1"/>
      <c r="P1116" s="1"/>
      <c r="Q1116" s="1"/>
      <c r="R1116" s="1"/>
      <c r="S1116" s="1"/>
    </row>
    <row r="1117" ht="6.0" customHeight="1">
      <c r="A1117" s="1"/>
      <c r="B1117" s="242"/>
      <c r="C1117" s="497"/>
      <c r="D1117" s="497"/>
      <c r="E1117" s="497"/>
      <c r="F1117" s="497"/>
      <c r="G1117" s="497"/>
      <c r="H1117" s="497"/>
      <c r="I1117" s="497"/>
      <c r="J1117" s="497"/>
      <c r="K1117" s="1"/>
      <c r="L1117" s="1"/>
      <c r="M1117" s="1"/>
      <c r="N1117" s="1"/>
      <c r="O1117" s="1"/>
      <c r="P1117" s="1"/>
      <c r="Q1117" s="1"/>
      <c r="R1117" s="1"/>
      <c r="S1117" s="1"/>
    </row>
    <row r="1118" ht="10.5" customHeight="1">
      <c r="A1118" s="1"/>
      <c r="B1118" s="185" t="s">
        <v>884</v>
      </c>
      <c r="C1118" s="185"/>
      <c r="D1118" s="185"/>
      <c r="E1118" s="185"/>
      <c r="F1118" s="185"/>
      <c r="G1118" s="185"/>
      <c r="H1118" s="1"/>
      <c r="I1118" s="1"/>
      <c r="J1118" s="1"/>
      <c r="K1118" s="1"/>
      <c r="L1118" s="1"/>
      <c r="M1118" s="1"/>
      <c r="N1118" s="1"/>
      <c r="O1118" s="1"/>
      <c r="P1118" s="1"/>
      <c r="Q1118" s="1"/>
      <c r="R1118" s="1"/>
      <c r="S1118" s="1"/>
    </row>
    <row r="1119" ht="10.5" customHeight="1">
      <c r="A1119" s="1"/>
      <c r="B1119" s="185" t="s">
        <v>885</v>
      </c>
      <c r="C1119" s="185"/>
      <c r="D1119" s="185"/>
      <c r="E1119" s="185"/>
      <c r="F1119" s="185"/>
      <c r="G1119" s="185"/>
      <c r="H1119" s="1"/>
      <c r="I1119" s="1"/>
      <c r="J1119" s="1"/>
      <c r="K1119" s="1"/>
      <c r="L1119" s="1"/>
      <c r="M1119" s="1"/>
      <c r="N1119" s="1"/>
      <c r="O1119" s="1"/>
      <c r="P1119" s="1"/>
      <c r="Q1119" s="1"/>
      <c r="R1119" s="1"/>
      <c r="S1119" s="1"/>
    </row>
    <row r="1120" ht="10.5" customHeight="1">
      <c r="A1120" s="1"/>
      <c r="B1120" s="185" t="s">
        <v>886</v>
      </c>
      <c r="C1120" s="185"/>
      <c r="D1120" s="185"/>
      <c r="E1120" s="185"/>
      <c r="F1120" s="185"/>
      <c r="G1120" s="185"/>
      <c r="H1120" s="1"/>
      <c r="I1120" s="1"/>
      <c r="J1120" s="1"/>
      <c r="K1120" s="1"/>
      <c r="L1120" s="1"/>
      <c r="M1120" s="1"/>
      <c r="N1120" s="1"/>
      <c r="O1120" s="1"/>
      <c r="P1120" s="1"/>
      <c r="Q1120" s="1"/>
      <c r="R1120" s="1"/>
      <c r="S1120" s="1"/>
    </row>
    <row r="1121" ht="10.5" customHeight="1">
      <c r="A1121" s="1"/>
      <c r="B1121" s="526" t="s">
        <v>887</v>
      </c>
      <c r="C1121" s="185"/>
      <c r="D1121" s="185"/>
      <c r="E1121" s="185"/>
      <c r="F1121" s="185"/>
      <c r="G1121" s="185"/>
      <c r="H1121" s="1"/>
      <c r="I1121" s="1"/>
      <c r="J1121" s="1"/>
      <c r="K1121" s="1"/>
      <c r="L1121" s="1"/>
      <c r="M1121" s="1"/>
      <c r="N1121" s="1"/>
      <c r="O1121" s="1"/>
      <c r="P1121" s="1"/>
      <c r="Q1121" s="1"/>
      <c r="R1121" s="1"/>
      <c r="S1121" s="1"/>
    </row>
    <row r="1122" ht="10.5" customHeight="1">
      <c r="A1122" s="1"/>
      <c r="B1122" s="185" t="s">
        <v>888</v>
      </c>
      <c r="C1122" s="185"/>
      <c r="D1122" s="185"/>
      <c r="E1122" s="185"/>
      <c r="F1122" s="185"/>
      <c r="G1122" s="185"/>
      <c r="H1122" s="1"/>
      <c r="I1122" s="1"/>
      <c r="J1122" s="1"/>
      <c r="K1122" s="1"/>
      <c r="L1122" s="1"/>
      <c r="M1122" s="1"/>
      <c r="N1122" s="1"/>
      <c r="O1122" s="1"/>
      <c r="P1122" s="1"/>
      <c r="Q1122" s="1"/>
      <c r="R1122" s="1"/>
      <c r="S1122" s="1"/>
    </row>
    <row r="1123" ht="10.5" customHeight="1">
      <c r="A1123" s="1"/>
      <c r="B1123" s="526" t="s">
        <v>889</v>
      </c>
      <c r="C1123" s="185"/>
      <c r="D1123" s="185"/>
      <c r="E1123" s="185"/>
      <c r="F1123" s="185"/>
      <c r="G1123" s="185"/>
      <c r="H1123" s="1"/>
      <c r="I1123" s="1"/>
      <c r="J1123" s="1"/>
      <c r="K1123" s="1"/>
      <c r="L1123" s="1"/>
      <c r="M1123" s="1"/>
      <c r="N1123" s="1"/>
      <c r="O1123" s="1"/>
      <c r="P1123" s="1"/>
      <c r="Q1123" s="1"/>
      <c r="R1123" s="1"/>
      <c r="S1123" s="1"/>
    </row>
    <row r="1124" ht="10.5" customHeight="1">
      <c r="A1124" s="1"/>
      <c r="B1124" s="185" t="s">
        <v>891</v>
      </c>
      <c r="H1124" s="1"/>
      <c r="I1124" s="1"/>
      <c r="J1124" s="1"/>
      <c r="K1124" s="1"/>
      <c r="L1124" s="1"/>
      <c r="M1124" s="1"/>
      <c r="N1124" s="1"/>
      <c r="O1124" s="1"/>
      <c r="P1124" s="1"/>
      <c r="Q1124" s="1"/>
      <c r="R1124" s="1"/>
      <c r="S1124" s="1"/>
    </row>
    <row r="1125" ht="10.5" customHeight="1">
      <c r="A1125" s="1"/>
      <c r="B1125" s="185" t="s">
        <v>892</v>
      </c>
      <c r="C1125" s="185"/>
      <c r="D1125" s="185"/>
      <c r="E1125" s="185"/>
      <c r="F1125" s="185"/>
      <c r="G1125" s="185"/>
      <c r="H1125" s="1"/>
      <c r="I1125" s="1"/>
      <c r="J1125" s="1"/>
      <c r="K1125" s="1"/>
      <c r="L1125" s="1"/>
      <c r="M1125" s="1"/>
      <c r="N1125" s="1"/>
      <c r="O1125" s="1"/>
      <c r="P1125" s="1"/>
      <c r="Q1125" s="1"/>
      <c r="R1125" s="1"/>
      <c r="S1125" s="1"/>
    </row>
    <row r="1126" ht="10.5" customHeight="1">
      <c r="A1126" s="1"/>
      <c r="B1126" s="185"/>
      <c r="C1126" s="185"/>
      <c r="D1126" s="185"/>
      <c r="E1126" s="185"/>
      <c r="F1126" s="185"/>
      <c r="G1126" s="185"/>
      <c r="H1126" s="1"/>
      <c r="I1126" s="1"/>
      <c r="J1126" s="1"/>
      <c r="K1126" s="1"/>
      <c r="L1126" s="1"/>
      <c r="M1126" s="1"/>
      <c r="N1126" s="1"/>
      <c r="O1126" s="1"/>
      <c r="P1126" s="1"/>
      <c r="Q1126" s="1"/>
      <c r="R1126" s="1"/>
      <c r="S1126" s="1"/>
    </row>
    <row r="1127" ht="10.5" customHeight="1">
      <c r="A1127" s="1"/>
      <c r="B1127" s="185"/>
      <c r="C1127" s="185"/>
      <c r="D1127" s="185"/>
      <c r="E1127" s="185"/>
      <c r="F1127" s="185"/>
      <c r="G1127" s="185"/>
      <c r="H1127" s="1"/>
      <c r="I1127" s="1"/>
      <c r="J1127" s="1"/>
      <c r="K1127" s="1"/>
      <c r="L1127" s="1"/>
      <c r="M1127" s="1"/>
      <c r="N1127" s="1"/>
      <c r="O1127" s="1"/>
      <c r="P1127" s="1"/>
      <c r="Q1127" s="1"/>
      <c r="R1127" s="1"/>
      <c r="S1127" s="1"/>
    </row>
    <row r="1128" ht="10.5" customHeight="1">
      <c r="A1128" s="1"/>
      <c r="B1128" s="185"/>
      <c r="C1128" s="185"/>
      <c r="D1128" s="185"/>
      <c r="E1128" s="185"/>
      <c r="F1128" s="185"/>
      <c r="G1128" s="185"/>
      <c r="H1128" s="1"/>
      <c r="I1128" s="1"/>
      <c r="J1128" s="1"/>
      <c r="K1128" s="1"/>
      <c r="L1128" s="1"/>
      <c r="M1128" s="1"/>
      <c r="N1128" s="1"/>
      <c r="O1128" s="1"/>
      <c r="P1128" s="1"/>
      <c r="Q1128" s="1"/>
      <c r="R1128" s="1"/>
      <c r="S1128" s="1"/>
    </row>
    <row r="1129" ht="10.5" customHeight="1">
      <c r="A1129" s="1"/>
      <c r="B1129" s="185"/>
      <c r="C1129" s="185"/>
      <c r="D1129" s="185"/>
      <c r="E1129" s="185"/>
      <c r="F1129" s="185"/>
      <c r="G1129" s="185"/>
      <c r="H1129" s="1"/>
      <c r="I1129" s="1"/>
      <c r="J1129" s="1"/>
      <c r="K1129" s="1"/>
      <c r="L1129" s="1"/>
      <c r="M1129" s="1"/>
      <c r="N1129" s="1"/>
      <c r="O1129" s="1"/>
      <c r="P1129" s="1"/>
      <c r="Q1129" s="1"/>
      <c r="R1129" s="1"/>
      <c r="S1129" s="1"/>
    </row>
    <row r="1130" ht="10.5" customHeight="1">
      <c r="A1130" s="1"/>
      <c r="B1130" s="185"/>
      <c r="C1130" s="185"/>
      <c r="D1130" s="185"/>
      <c r="E1130" s="185"/>
      <c r="F1130" s="185"/>
      <c r="G1130" s="185"/>
      <c r="H1130" s="1"/>
      <c r="I1130" s="1"/>
      <c r="J1130" s="1"/>
      <c r="K1130" s="1"/>
      <c r="L1130" s="1"/>
      <c r="M1130" s="1"/>
      <c r="N1130" s="1"/>
      <c r="O1130" s="1"/>
      <c r="P1130" s="1"/>
      <c r="Q1130" s="1"/>
      <c r="R1130" s="1"/>
      <c r="S1130" s="1"/>
    </row>
    <row r="1131" ht="10.5" customHeight="1">
      <c r="A1131" s="1"/>
      <c r="B1131" s="185"/>
      <c r="C1131" s="185"/>
      <c r="D1131" s="185"/>
      <c r="E1131" s="185"/>
      <c r="F1131" s="185"/>
      <c r="G1131" s="185"/>
      <c r="H1131" s="1"/>
      <c r="I1131" s="1"/>
      <c r="J1131" s="1"/>
      <c r="K1131" s="1"/>
      <c r="L1131" s="1"/>
      <c r="M1131" s="1"/>
      <c r="N1131" s="1"/>
      <c r="O1131" s="1"/>
      <c r="P1131" s="1"/>
      <c r="Q1131" s="1"/>
      <c r="R1131" s="1"/>
      <c r="S1131" s="1"/>
    </row>
    <row r="1132" ht="10.5" customHeight="1">
      <c r="A1132" s="1"/>
      <c r="B1132" s="185"/>
      <c r="C1132" s="185"/>
      <c r="D1132" s="185"/>
      <c r="E1132" s="185"/>
      <c r="F1132" s="185"/>
      <c r="G1132" s="185"/>
      <c r="H1132" s="1"/>
      <c r="I1132" s="1"/>
      <c r="J1132" s="1"/>
      <c r="K1132" s="1"/>
      <c r="L1132" s="1"/>
      <c r="M1132" s="1"/>
      <c r="N1132" s="1"/>
      <c r="O1132" s="1"/>
      <c r="P1132" s="1"/>
      <c r="Q1132" s="1"/>
      <c r="R1132" s="1"/>
      <c r="S1132" s="1"/>
    </row>
    <row r="1133" ht="10.5" customHeight="1">
      <c r="A1133" s="1"/>
      <c r="B1133" s="185"/>
      <c r="C1133" s="185"/>
      <c r="D1133" s="185"/>
      <c r="E1133" s="185"/>
      <c r="F1133" s="185"/>
      <c r="G1133" s="185"/>
      <c r="H1133" s="1"/>
      <c r="I1133" s="1"/>
      <c r="J1133" s="1"/>
      <c r="K1133" s="1"/>
      <c r="L1133" s="1"/>
      <c r="M1133" s="1"/>
      <c r="N1133" s="1"/>
      <c r="O1133" s="1"/>
      <c r="P1133" s="1"/>
      <c r="Q1133" s="1"/>
      <c r="R1133" s="1"/>
      <c r="S1133" s="1"/>
    </row>
    <row r="1134" ht="10.5" customHeight="1">
      <c r="A1134" s="1"/>
      <c r="B1134" s="185"/>
      <c r="C1134" s="185"/>
      <c r="D1134" s="185"/>
      <c r="E1134" s="185"/>
      <c r="F1134" s="185"/>
      <c r="G1134" s="185"/>
      <c r="H1134" s="1"/>
      <c r="I1134" s="1"/>
      <c r="J1134" s="1"/>
      <c r="K1134" s="1"/>
      <c r="L1134" s="1"/>
      <c r="M1134" s="1"/>
      <c r="N1134" s="1"/>
      <c r="O1134" s="1"/>
      <c r="P1134" s="1"/>
      <c r="Q1134" s="1"/>
      <c r="R1134" s="1"/>
      <c r="S1134" s="1"/>
    </row>
    <row r="1135" ht="11.25" customHeight="1">
      <c r="A1135" s="1"/>
      <c r="B1135" s="1"/>
      <c r="C1135" s="1"/>
      <c r="D1135" s="1"/>
      <c r="E1135" s="1"/>
      <c r="F1135" s="1"/>
      <c r="G1135" s="1"/>
      <c r="H1135" s="1"/>
      <c r="I1135" s="1"/>
      <c r="J1135" s="1"/>
      <c r="K1135" s="1"/>
      <c r="L1135" s="1"/>
      <c r="M1135" s="1"/>
      <c r="N1135" s="1"/>
      <c r="O1135" s="1"/>
      <c r="P1135" s="1"/>
      <c r="Q1135" s="1"/>
      <c r="R1135" s="1"/>
      <c r="S1135" s="1"/>
    </row>
    <row r="1136" ht="11.25" customHeight="1">
      <c r="A1136" s="1"/>
      <c r="B1136" s="1"/>
      <c r="C1136" s="1"/>
      <c r="D1136" s="1"/>
      <c r="E1136" s="1"/>
      <c r="F1136" s="1"/>
      <c r="G1136" s="110">
        <v>19.0</v>
      </c>
      <c r="H1136" s="1"/>
      <c r="I1136" s="1"/>
      <c r="J1136" s="1"/>
      <c r="K1136" s="1"/>
      <c r="L1136" s="1"/>
      <c r="M1136" s="1"/>
      <c r="N1136" s="1"/>
      <c r="O1136" s="1"/>
      <c r="P1136" s="1"/>
      <c r="Q1136" s="1"/>
      <c r="R1136" s="1"/>
      <c r="S1136" s="1"/>
    </row>
    <row r="1137" ht="10.5" customHeight="1">
      <c r="A1137" s="1"/>
      <c r="B1137" s="1"/>
      <c r="C1137" s="1"/>
      <c r="D1137" s="1"/>
      <c r="E1137" s="1"/>
      <c r="F1137" s="1"/>
      <c r="G1137" s="1"/>
      <c r="H1137" s="1"/>
      <c r="I1137" s="1"/>
      <c r="J1137" s="1"/>
      <c r="K1137" s="1"/>
      <c r="L1137" s="1"/>
      <c r="M1137" s="1"/>
      <c r="N1137" s="1"/>
      <c r="O1137" s="1"/>
      <c r="P1137" s="1"/>
      <c r="Q1137" s="1"/>
      <c r="R1137" s="1"/>
      <c r="S1137" s="1"/>
    </row>
    <row r="1138" ht="10.5" customHeight="1">
      <c r="A1138" s="1"/>
      <c r="B1138" s="1"/>
      <c r="C1138" s="1"/>
      <c r="D1138" s="1"/>
      <c r="E1138" s="1"/>
      <c r="F1138" s="1"/>
      <c r="G1138" s="1"/>
      <c r="H1138" s="1"/>
      <c r="I1138" s="1"/>
      <c r="J1138" s="1"/>
      <c r="K1138" s="1"/>
      <c r="L1138" s="1"/>
      <c r="M1138" s="1"/>
      <c r="N1138" s="1"/>
      <c r="O1138" s="1"/>
      <c r="P1138" s="1"/>
      <c r="Q1138" s="1"/>
      <c r="R1138" s="1"/>
      <c r="S1138" s="1"/>
    </row>
    <row r="1139" ht="11.25" customHeight="1">
      <c r="A1139" s="1"/>
      <c r="B1139" s="1" t="s">
        <v>896</v>
      </c>
      <c r="C1139" s="1"/>
      <c r="D1139" s="1"/>
      <c r="E1139" s="1"/>
      <c r="F1139" s="1"/>
      <c r="G1139" s="1"/>
      <c r="H1139" s="1"/>
      <c r="I1139" s="1"/>
      <c r="J1139" s="1"/>
      <c r="K1139" s="1"/>
      <c r="L1139" s="1"/>
      <c r="M1139" s="1"/>
      <c r="N1139" s="1"/>
      <c r="O1139" s="1"/>
      <c r="P1139" s="1"/>
      <c r="Q1139" s="1"/>
      <c r="R1139" s="1"/>
      <c r="S1139" s="1"/>
    </row>
    <row r="1140" ht="10.5" customHeight="1">
      <c r="A1140" s="1"/>
      <c r="B1140" s="504" t="s">
        <v>811</v>
      </c>
      <c r="C1140" s="528" t="s">
        <v>813</v>
      </c>
      <c r="D1140" s="529" t="s">
        <v>762</v>
      </c>
      <c r="E1140" s="9"/>
      <c r="F1140" s="9"/>
      <c r="G1140" s="9"/>
      <c r="H1140" s="10"/>
      <c r="I1140" s="528" t="s">
        <v>243</v>
      </c>
      <c r="J1140" s="1"/>
      <c r="K1140" s="1"/>
      <c r="L1140" s="1"/>
      <c r="M1140" s="1"/>
      <c r="N1140" s="1"/>
      <c r="O1140" s="1"/>
      <c r="P1140" s="1"/>
      <c r="Q1140" s="1"/>
      <c r="R1140" s="1"/>
      <c r="S1140" s="1"/>
    </row>
    <row r="1141" ht="22.5" customHeight="1">
      <c r="A1141" s="1"/>
      <c r="B1141" s="5"/>
      <c r="C1141" s="6"/>
      <c r="D1141" s="530" t="s">
        <v>763</v>
      </c>
      <c r="E1141" s="200" t="s">
        <v>898</v>
      </c>
      <c r="F1141" s="531" t="s">
        <v>899</v>
      </c>
      <c r="G1141" s="202" t="s">
        <v>815</v>
      </c>
      <c r="H1141" s="532" t="s">
        <v>2</v>
      </c>
      <c r="I1141" s="6"/>
      <c r="J1141" s="1"/>
      <c r="K1141" s="1"/>
      <c r="L1141" s="1"/>
      <c r="M1141" s="1"/>
      <c r="N1141" s="1"/>
      <c r="O1141" s="1"/>
      <c r="P1141" s="1"/>
      <c r="Q1141" s="1"/>
      <c r="R1141" s="1"/>
      <c r="S1141" s="1"/>
    </row>
    <row r="1142" ht="10.5" customHeight="1">
      <c r="A1142" s="1"/>
      <c r="B1142" s="6"/>
      <c r="C1142" s="533" t="s">
        <v>520</v>
      </c>
      <c r="D1142" s="534"/>
      <c r="E1142" s="534"/>
      <c r="F1142" s="534"/>
      <c r="G1142" s="534"/>
      <c r="H1142" s="535"/>
      <c r="I1142" s="196"/>
      <c r="J1142" s="1"/>
      <c r="K1142" s="1"/>
      <c r="L1142" s="1"/>
      <c r="M1142" s="1"/>
      <c r="N1142" s="1"/>
      <c r="O1142" s="1"/>
      <c r="P1142" s="1"/>
      <c r="Q1142" s="1"/>
      <c r="R1142" s="1"/>
      <c r="S1142" s="1"/>
    </row>
    <row r="1143" ht="10.5" customHeight="1">
      <c r="A1143" s="1"/>
      <c r="B1143" s="536"/>
      <c r="C1143" s="537"/>
      <c r="D1143" s="537"/>
      <c r="E1143" s="537"/>
      <c r="F1143" s="537"/>
      <c r="G1143" s="12"/>
      <c r="H1143" s="537"/>
      <c r="I1143" s="12"/>
      <c r="J1143" s="1"/>
      <c r="K1143" s="1"/>
      <c r="L1143" s="1"/>
      <c r="M1143" s="1"/>
      <c r="N1143" s="1"/>
      <c r="O1143" s="1"/>
      <c r="P1143" s="1"/>
      <c r="Q1143" s="1"/>
      <c r="R1143" s="1"/>
      <c r="S1143" s="1"/>
    </row>
    <row r="1144" ht="10.5" customHeight="1">
      <c r="A1144" s="1"/>
      <c r="B1144" s="536" t="s">
        <v>93</v>
      </c>
      <c r="C1144" s="537">
        <v>37823.0</v>
      </c>
      <c r="D1144" s="537">
        <v>26279.0</v>
      </c>
      <c r="E1144" s="537">
        <v>811.0</v>
      </c>
      <c r="F1144" s="537">
        <v>8942.0</v>
      </c>
      <c r="G1144" s="537">
        <v>1675.0</v>
      </c>
      <c r="H1144" s="537">
        <f t="shared" ref="H1144:H1148" si="56">SUM(D1144:G1144)</f>
        <v>37707</v>
      </c>
      <c r="I1144" s="12">
        <v>59.0</v>
      </c>
      <c r="J1144" s="1"/>
      <c r="K1144" s="1"/>
      <c r="L1144" s="1"/>
      <c r="M1144" s="1"/>
      <c r="N1144" s="1"/>
      <c r="O1144" s="1"/>
      <c r="P1144" s="1"/>
      <c r="Q1144" s="1"/>
      <c r="R1144" s="1"/>
      <c r="S1144" s="1"/>
    </row>
    <row r="1145" ht="10.5" customHeight="1">
      <c r="A1145" s="1"/>
      <c r="B1145" s="536" t="s">
        <v>97</v>
      </c>
      <c r="C1145" s="537">
        <v>35065.0</v>
      </c>
      <c r="D1145" s="537">
        <v>18744.0</v>
      </c>
      <c r="E1145" s="537" t="s">
        <v>40</v>
      </c>
      <c r="F1145" s="537">
        <v>13356.0</v>
      </c>
      <c r="G1145" s="537">
        <v>2835.0</v>
      </c>
      <c r="H1145" s="537">
        <f t="shared" si="56"/>
        <v>34935</v>
      </c>
      <c r="I1145" s="12" t="s">
        <v>10</v>
      </c>
      <c r="J1145" s="1"/>
      <c r="K1145" s="1"/>
      <c r="L1145" s="1"/>
      <c r="M1145" s="1"/>
      <c r="N1145" s="1"/>
      <c r="O1145" s="1"/>
      <c r="P1145" s="1"/>
      <c r="Q1145" s="1"/>
      <c r="R1145" s="1"/>
      <c r="S1145" s="1"/>
    </row>
    <row r="1146" ht="10.5" customHeight="1">
      <c r="A1146" s="1"/>
      <c r="B1146" s="536" t="s">
        <v>101</v>
      </c>
      <c r="C1146" s="537">
        <v>31948.0</v>
      </c>
      <c r="D1146" s="537">
        <v>7049.0</v>
      </c>
      <c r="E1146" s="537">
        <v>6438.0</v>
      </c>
      <c r="F1146" s="537">
        <v>15393.0</v>
      </c>
      <c r="G1146" s="537">
        <v>1386.0</v>
      </c>
      <c r="H1146" s="537">
        <f t="shared" si="56"/>
        <v>30266</v>
      </c>
      <c r="I1146" s="12" t="s">
        <v>10</v>
      </c>
      <c r="J1146" s="1"/>
      <c r="K1146" s="1"/>
      <c r="L1146" s="1"/>
      <c r="M1146" s="1"/>
      <c r="N1146" s="1"/>
      <c r="O1146" s="1"/>
      <c r="P1146" s="1"/>
      <c r="Q1146" s="1"/>
      <c r="R1146" s="1"/>
      <c r="S1146" s="1"/>
    </row>
    <row r="1147" ht="10.5" customHeight="1">
      <c r="A1147" s="1"/>
      <c r="B1147" s="536" t="s">
        <v>103</v>
      </c>
      <c r="C1147" s="537">
        <v>63942.0</v>
      </c>
      <c r="D1147" s="537">
        <v>24607.0</v>
      </c>
      <c r="E1147" s="537">
        <v>18398.0</v>
      </c>
      <c r="F1147" s="537">
        <v>16440.0</v>
      </c>
      <c r="G1147" s="537">
        <v>2477.0</v>
      </c>
      <c r="H1147" s="537">
        <f t="shared" si="56"/>
        <v>61922</v>
      </c>
      <c r="I1147" s="12" t="s">
        <v>10</v>
      </c>
      <c r="J1147" s="1"/>
      <c r="K1147" s="1"/>
      <c r="L1147" s="1"/>
      <c r="M1147" s="1"/>
      <c r="N1147" s="1"/>
      <c r="O1147" s="1"/>
      <c r="P1147" s="1"/>
      <c r="Q1147" s="1"/>
      <c r="R1147" s="1"/>
      <c r="S1147" s="1"/>
    </row>
    <row r="1148" ht="10.5" customHeight="1">
      <c r="A1148" s="1"/>
      <c r="B1148" s="536" t="s">
        <v>104</v>
      </c>
      <c r="C1148" s="537">
        <v>77291.0</v>
      </c>
      <c r="D1148" s="537">
        <v>26748.0</v>
      </c>
      <c r="E1148" s="537">
        <v>28401.0</v>
      </c>
      <c r="F1148" s="537">
        <v>15272.0</v>
      </c>
      <c r="G1148" s="537">
        <v>671.0</v>
      </c>
      <c r="H1148" s="537">
        <f t="shared" si="56"/>
        <v>71092</v>
      </c>
      <c r="I1148" s="12" t="s">
        <v>10</v>
      </c>
      <c r="J1148" s="1"/>
      <c r="K1148" s="1"/>
      <c r="L1148" s="1"/>
      <c r="M1148" s="1"/>
      <c r="N1148" s="1"/>
      <c r="O1148" s="1"/>
      <c r="P1148" s="1"/>
      <c r="Q1148" s="1"/>
      <c r="R1148" s="1"/>
      <c r="S1148" s="1"/>
    </row>
    <row r="1149" ht="10.5" customHeight="1">
      <c r="A1149" s="1"/>
      <c r="B1149" s="536"/>
      <c r="C1149" s="537"/>
      <c r="D1149" s="537"/>
      <c r="E1149" s="537"/>
      <c r="F1149" s="537"/>
      <c r="G1149" s="537"/>
      <c r="H1149" s="537"/>
      <c r="I1149" s="539"/>
      <c r="J1149" s="1"/>
      <c r="K1149" s="1"/>
      <c r="L1149" s="1"/>
      <c r="M1149" s="1"/>
      <c r="N1149" s="1"/>
      <c r="O1149" s="1"/>
      <c r="P1149" s="1"/>
      <c r="Q1149" s="1"/>
      <c r="R1149" s="1"/>
      <c r="S1149" s="1"/>
    </row>
    <row r="1150" ht="10.5" customHeight="1">
      <c r="A1150" s="1"/>
      <c r="B1150" s="536" t="s">
        <v>108</v>
      </c>
      <c r="C1150" s="537">
        <v>108826.0</v>
      </c>
      <c r="D1150" s="537">
        <v>33874.0</v>
      </c>
      <c r="E1150" s="537">
        <v>45204.0</v>
      </c>
      <c r="F1150" s="537">
        <v>18842.0</v>
      </c>
      <c r="G1150" s="537">
        <v>1980.0</v>
      </c>
      <c r="H1150" s="537">
        <f t="shared" ref="H1150:H1153" si="57">SUM(D1150:G1150)</f>
        <v>99900</v>
      </c>
      <c r="I1150" s="12">
        <v>496.0</v>
      </c>
      <c r="J1150" s="1"/>
      <c r="K1150" s="1"/>
      <c r="L1150" s="1"/>
      <c r="M1150" s="1"/>
      <c r="N1150" s="1"/>
      <c r="O1150" s="1"/>
      <c r="P1150" s="1"/>
      <c r="Q1150" s="1"/>
      <c r="R1150" s="1"/>
      <c r="S1150" s="1"/>
    </row>
    <row r="1151" ht="10.5" customHeight="1">
      <c r="A1151" s="1"/>
      <c r="B1151" s="536" t="s">
        <v>111</v>
      </c>
      <c r="C1151" s="537">
        <v>125506.0</v>
      </c>
      <c r="D1151" s="537">
        <v>53978.0</v>
      </c>
      <c r="E1151" s="537">
        <v>54280.0</v>
      </c>
      <c r="F1151" s="537">
        <v>17943.0</v>
      </c>
      <c r="G1151" s="537">
        <v>376.0</v>
      </c>
      <c r="H1151" s="537">
        <f t="shared" si="57"/>
        <v>126577</v>
      </c>
      <c r="I1151" s="12" t="s">
        <v>10</v>
      </c>
      <c r="J1151" s="1"/>
      <c r="K1151" s="1"/>
      <c r="L1151" s="1"/>
      <c r="M1151" s="1"/>
      <c r="N1151" s="1"/>
      <c r="O1151" s="1"/>
      <c r="P1151" s="1"/>
      <c r="Q1151" s="1"/>
      <c r="R1151" s="1"/>
      <c r="S1151" s="1"/>
    </row>
    <row r="1152" ht="10.5" customHeight="1">
      <c r="A1152" s="1"/>
      <c r="B1152" s="536" t="s">
        <v>112</v>
      </c>
      <c r="C1152" s="537">
        <v>57154.0</v>
      </c>
      <c r="D1152" s="537">
        <v>23052.0</v>
      </c>
      <c r="E1152" s="537">
        <v>25534.0</v>
      </c>
      <c r="F1152" s="537">
        <v>16108.0</v>
      </c>
      <c r="G1152" s="537">
        <v>161.0</v>
      </c>
      <c r="H1152" s="537">
        <f t="shared" si="57"/>
        <v>64855</v>
      </c>
      <c r="I1152" s="12" t="s">
        <v>10</v>
      </c>
      <c r="J1152" s="1"/>
      <c r="K1152" s="1"/>
      <c r="L1152" s="1"/>
      <c r="M1152" s="1"/>
      <c r="N1152" s="1"/>
      <c r="O1152" s="1"/>
      <c r="P1152" s="1"/>
      <c r="Q1152" s="1"/>
      <c r="R1152" s="1"/>
      <c r="S1152" s="1"/>
    </row>
    <row r="1153" ht="10.5" customHeight="1">
      <c r="A1153" s="1"/>
      <c r="B1153" s="536" t="s">
        <v>113</v>
      </c>
      <c r="C1153" s="537">
        <v>63299.0</v>
      </c>
      <c r="D1153" s="537">
        <v>31868.0</v>
      </c>
      <c r="E1153" s="537">
        <v>15436.0</v>
      </c>
      <c r="F1153" s="537">
        <v>15878.0</v>
      </c>
      <c r="G1153" s="537">
        <v>104.0</v>
      </c>
      <c r="H1153" s="537">
        <f t="shared" si="57"/>
        <v>63286</v>
      </c>
      <c r="I1153" s="12" t="s">
        <v>10</v>
      </c>
      <c r="J1153" s="1"/>
      <c r="K1153" s="1"/>
      <c r="L1153" s="1"/>
      <c r="M1153" s="1"/>
      <c r="N1153" s="1"/>
      <c r="O1153" s="1"/>
      <c r="P1153" s="1"/>
      <c r="Q1153" s="1"/>
      <c r="R1153" s="1"/>
      <c r="S1153" s="1"/>
    </row>
    <row r="1154" ht="10.5" customHeight="1">
      <c r="A1154" s="1"/>
      <c r="B1154" s="536" t="s">
        <v>114</v>
      </c>
      <c r="C1154" s="537">
        <v>67735.0</v>
      </c>
      <c r="D1154" s="537" t="s">
        <v>906</v>
      </c>
      <c r="E1154" s="537" t="s">
        <v>907</v>
      </c>
      <c r="F1154" s="537" t="s">
        <v>908</v>
      </c>
      <c r="G1154" s="537" t="s">
        <v>909</v>
      </c>
      <c r="H1154" s="537" t="s">
        <v>910</v>
      </c>
      <c r="I1154" s="12" t="s">
        <v>10</v>
      </c>
      <c r="J1154" s="1"/>
      <c r="K1154" s="1"/>
      <c r="L1154" s="1"/>
      <c r="M1154" s="1"/>
      <c r="N1154" s="1"/>
      <c r="O1154" s="1"/>
      <c r="P1154" s="1"/>
      <c r="Q1154" s="1"/>
      <c r="R1154" s="1"/>
      <c r="S1154" s="1"/>
    </row>
    <row r="1155" ht="10.5" customHeight="1">
      <c r="A1155" s="1"/>
      <c r="B1155" s="536"/>
      <c r="C1155" s="537"/>
      <c r="D1155" s="537"/>
      <c r="E1155" s="537"/>
      <c r="F1155" s="537"/>
      <c r="G1155" s="537"/>
      <c r="H1155" s="537"/>
      <c r="I1155" s="12"/>
      <c r="J1155" s="1"/>
      <c r="K1155" s="1"/>
      <c r="L1155" s="1"/>
      <c r="M1155" s="1"/>
      <c r="N1155" s="1"/>
      <c r="O1155" s="1"/>
      <c r="P1155" s="1"/>
      <c r="Q1155" s="1"/>
      <c r="R1155" s="1"/>
      <c r="S1155" s="1"/>
    </row>
    <row r="1156" ht="10.5" customHeight="1">
      <c r="A1156" s="1"/>
      <c r="B1156" s="536" t="s">
        <v>115</v>
      </c>
      <c r="C1156" s="537">
        <v>58200.0</v>
      </c>
      <c r="D1156" s="537">
        <v>33200.0</v>
      </c>
      <c r="E1156" s="544" t="s">
        <v>911</v>
      </c>
      <c r="F1156" s="537">
        <v>15000.0</v>
      </c>
      <c r="G1156" s="537">
        <v>10000.0</v>
      </c>
      <c r="H1156" s="537">
        <f t="shared" ref="H1156:H1160" si="58">SUM(D1156:G1156)</f>
        <v>58200</v>
      </c>
      <c r="I1156" s="12" t="s">
        <v>10</v>
      </c>
      <c r="J1156" s="1"/>
      <c r="K1156" s="1"/>
      <c r="L1156" s="1"/>
      <c r="M1156" s="1"/>
      <c r="N1156" s="1"/>
      <c r="O1156" s="1"/>
      <c r="P1156" s="1"/>
      <c r="Q1156" s="1"/>
      <c r="R1156" s="1"/>
      <c r="S1156" s="1"/>
    </row>
    <row r="1157" ht="10.5" customHeight="1">
      <c r="A1157" s="1"/>
      <c r="B1157" s="536" t="s">
        <v>117</v>
      </c>
      <c r="C1157" s="537">
        <v>83000.0</v>
      </c>
      <c r="D1157" s="537">
        <v>45000.0</v>
      </c>
      <c r="E1157" s="428"/>
      <c r="F1157" s="537">
        <v>18000.0</v>
      </c>
      <c r="G1157" s="537">
        <v>20000.0</v>
      </c>
      <c r="H1157" s="537">
        <f t="shared" si="58"/>
        <v>83000</v>
      </c>
      <c r="I1157" s="12" t="s">
        <v>10</v>
      </c>
      <c r="J1157" s="1"/>
      <c r="K1157" s="1"/>
      <c r="L1157" s="1"/>
      <c r="M1157" s="1"/>
      <c r="N1157" s="1"/>
      <c r="O1157" s="1"/>
      <c r="P1157" s="1"/>
      <c r="Q1157" s="1"/>
      <c r="R1157" s="1"/>
      <c r="S1157" s="1"/>
    </row>
    <row r="1158" ht="10.5" customHeight="1">
      <c r="A1158" s="1"/>
      <c r="B1158" s="536" t="s">
        <v>121</v>
      </c>
      <c r="C1158" s="537">
        <v>98000.0</v>
      </c>
      <c r="D1158" s="545">
        <v>55000.0</v>
      </c>
      <c r="E1158" s="547"/>
      <c r="F1158" s="547">
        <v>5000.0</v>
      </c>
      <c r="G1158" s="547">
        <v>36000.0</v>
      </c>
      <c r="H1158" s="537">
        <f t="shared" si="58"/>
        <v>96000</v>
      </c>
      <c r="I1158" s="12">
        <v>13000.0</v>
      </c>
      <c r="J1158" s="1"/>
      <c r="K1158" s="1"/>
      <c r="L1158" s="1"/>
      <c r="M1158" s="1"/>
      <c r="N1158" s="1"/>
      <c r="O1158" s="1"/>
      <c r="P1158" s="1"/>
      <c r="Q1158" s="1"/>
      <c r="R1158" s="1"/>
      <c r="S1158" s="1"/>
    </row>
    <row r="1159" ht="10.5" customHeight="1">
      <c r="A1159" s="1"/>
      <c r="B1159" s="548">
        <v>1998.0</v>
      </c>
      <c r="C1159" s="537">
        <v>215000.0</v>
      </c>
      <c r="D1159" s="545">
        <v>90000.0</v>
      </c>
      <c r="E1159" s="549"/>
      <c r="F1159" s="547">
        <v>4000.0</v>
      </c>
      <c r="G1159" s="547">
        <v>79000.0</v>
      </c>
      <c r="H1159" s="537">
        <f t="shared" si="58"/>
        <v>173000</v>
      </c>
      <c r="I1159" s="12">
        <v>13000.0</v>
      </c>
      <c r="J1159" s="1"/>
      <c r="K1159" s="1"/>
      <c r="L1159" s="1"/>
      <c r="M1159" s="1"/>
      <c r="N1159" s="1"/>
      <c r="O1159" s="1"/>
      <c r="P1159" s="1"/>
      <c r="Q1159" s="1"/>
      <c r="R1159" s="1"/>
      <c r="S1159" s="1"/>
    </row>
    <row r="1160" ht="10.5" customHeight="1">
      <c r="A1160" s="1"/>
      <c r="B1160" s="548">
        <v>1999.0</v>
      </c>
      <c r="C1160" s="537">
        <v>199000.0</v>
      </c>
      <c r="D1160" s="545">
        <v>113000.0</v>
      </c>
      <c r="E1160" s="549"/>
      <c r="F1160" s="547">
        <v>9000.0</v>
      </c>
      <c r="G1160" s="547">
        <v>91000.0</v>
      </c>
      <c r="H1160" s="537">
        <f t="shared" si="58"/>
        <v>213000</v>
      </c>
      <c r="I1160" s="12">
        <v>2000.0</v>
      </c>
      <c r="J1160" s="1"/>
      <c r="K1160" s="1"/>
      <c r="L1160" s="1"/>
      <c r="M1160" s="1"/>
      <c r="N1160" s="1"/>
      <c r="O1160" s="1"/>
      <c r="P1160" s="1"/>
      <c r="Q1160" s="1"/>
      <c r="R1160" s="1"/>
      <c r="S1160" s="1"/>
    </row>
    <row r="1161" ht="10.5" customHeight="1">
      <c r="A1161" s="1"/>
      <c r="B1161" s="548"/>
      <c r="C1161" s="537"/>
      <c r="D1161" s="545"/>
      <c r="E1161" s="549"/>
      <c r="F1161" s="547"/>
      <c r="G1161" s="547"/>
      <c r="H1161" s="537"/>
      <c r="I1161" s="12"/>
      <c r="J1161" s="1"/>
      <c r="K1161" s="1"/>
      <c r="L1161" s="1"/>
      <c r="M1161" s="1"/>
      <c r="N1161" s="1"/>
      <c r="O1161" s="1"/>
      <c r="P1161" s="1"/>
      <c r="Q1161" s="1"/>
      <c r="R1161" s="1"/>
      <c r="S1161" s="1"/>
    </row>
    <row r="1162" ht="10.5" customHeight="1">
      <c r="A1162" s="1"/>
      <c r="B1162" s="548">
        <v>2000.0</v>
      </c>
      <c r="C1162" s="537">
        <v>153925.0</v>
      </c>
      <c r="D1162" s="545">
        <v>69500.0</v>
      </c>
      <c r="E1162" s="549"/>
      <c r="F1162" s="547">
        <v>14800.0</v>
      </c>
      <c r="G1162" s="547">
        <v>134500.0</v>
      </c>
      <c r="H1162" s="537">
        <f t="shared" ref="H1162:H1166" si="59">SUM(D1162:G1162)</f>
        <v>218800</v>
      </c>
      <c r="I1162" s="12">
        <v>2800.0</v>
      </c>
      <c r="J1162" s="1"/>
      <c r="K1162" s="1"/>
      <c r="L1162" s="1"/>
      <c r="M1162" s="1"/>
      <c r="N1162" s="1"/>
      <c r="O1162" s="1"/>
      <c r="P1162" s="1"/>
      <c r="Q1162" s="1"/>
      <c r="R1162" s="1"/>
      <c r="S1162" s="1"/>
    </row>
    <row r="1163" ht="10.5" customHeight="1">
      <c r="A1163" s="1"/>
      <c r="B1163" s="548">
        <v>2001.0</v>
      </c>
      <c r="C1163" s="537">
        <v>226362.0</v>
      </c>
      <c r="D1163" s="545">
        <v>50500.0</v>
      </c>
      <c r="E1163" s="549"/>
      <c r="F1163" s="547">
        <v>16400.0</v>
      </c>
      <c r="G1163" s="547">
        <v>149600.0</v>
      </c>
      <c r="H1163" s="537">
        <f t="shared" si="59"/>
        <v>216500</v>
      </c>
      <c r="I1163" s="12">
        <v>1400.0</v>
      </c>
      <c r="J1163" s="1"/>
      <c r="K1163" s="1"/>
      <c r="L1163" s="1"/>
      <c r="M1163" s="1"/>
      <c r="N1163" s="1"/>
      <c r="O1163" s="1"/>
      <c r="P1163" s="1"/>
      <c r="Q1163" s="1"/>
      <c r="R1163" s="1"/>
      <c r="S1163" s="1"/>
    </row>
    <row r="1164" ht="10.5" customHeight="1">
      <c r="A1164" s="1"/>
      <c r="B1164" s="548">
        <v>2002.0</v>
      </c>
      <c r="C1164" s="550">
        <v>223105.0</v>
      </c>
      <c r="D1164" s="551">
        <v>32500.0</v>
      </c>
      <c r="E1164" s="552"/>
      <c r="F1164" s="547">
        <v>18300.0</v>
      </c>
      <c r="G1164" s="547">
        <v>145600.0</v>
      </c>
      <c r="H1164" s="537">
        <f t="shared" si="59"/>
        <v>196400</v>
      </c>
      <c r="I1164" s="12">
        <v>1200.0</v>
      </c>
      <c r="J1164" s="1"/>
      <c r="K1164" s="1"/>
      <c r="L1164" s="1"/>
      <c r="M1164" s="1"/>
      <c r="N1164" s="1"/>
      <c r="O1164" s="1"/>
      <c r="P1164" s="1"/>
      <c r="Q1164" s="1"/>
      <c r="R1164" s="1"/>
      <c r="S1164" s="1"/>
    </row>
    <row r="1165" ht="10.5" customHeight="1">
      <c r="A1165" s="1"/>
      <c r="B1165" s="548">
        <v>2003.0</v>
      </c>
      <c r="C1165" s="550">
        <v>127163.0</v>
      </c>
      <c r="D1165" s="551">
        <v>30800.0</v>
      </c>
      <c r="E1165" s="552"/>
      <c r="F1165" s="547">
        <v>22200.0</v>
      </c>
      <c r="G1165" s="547">
        <v>143700.0</v>
      </c>
      <c r="H1165" s="537">
        <f t="shared" si="59"/>
        <v>196700</v>
      </c>
      <c r="I1165" s="12">
        <v>5100.0</v>
      </c>
      <c r="J1165" s="1"/>
      <c r="K1165" s="1"/>
      <c r="L1165" s="1"/>
      <c r="M1165" s="1"/>
      <c r="N1165" s="1"/>
      <c r="O1165" s="1"/>
      <c r="P1165" s="1"/>
      <c r="Q1165" s="1"/>
      <c r="R1165" s="1"/>
      <c r="S1165" s="1"/>
    </row>
    <row r="1166" ht="10.5" customHeight="1">
      <c r="A1166" s="1"/>
      <c r="B1166" s="548">
        <v>2004.0</v>
      </c>
      <c r="C1166" s="550">
        <v>217000.0</v>
      </c>
      <c r="D1166" s="551">
        <v>32500.0</v>
      </c>
      <c r="E1166" s="552"/>
      <c r="F1166" s="547">
        <v>15200.0</v>
      </c>
      <c r="G1166" s="547">
        <v>127300.0</v>
      </c>
      <c r="H1166" s="537">
        <f t="shared" si="59"/>
        <v>175000</v>
      </c>
      <c r="I1166" s="12">
        <v>2200.0</v>
      </c>
      <c r="J1166" s="1"/>
      <c r="K1166" s="1"/>
      <c r="L1166" s="1"/>
      <c r="M1166" s="1"/>
      <c r="N1166" s="1"/>
      <c r="O1166" s="1"/>
      <c r="P1166" s="1"/>
      <c r="Q1166" s="1"/>
      <c r="R1166" s="1"/>
      <c r="S1166" s="1"/>
    </row>
    <row r="1167" ht="10.5" customHeight="1">
      <c r="A1167" s="1"/>
      <c r="B1167" s="548"/>
      <c r="C1167" s="550"/>
      <c r="D1167" s="551"/>
      <c r="E1167" s="552"/>
      <c r="F1167" s="547"/>
      <c r="G1167" s="547"/>
      <c r="H1167" s="537"/>
      <c r="I1167" s="12"/>
      <c r="J1167" s="1"/>
      <c r="K1167" s="1"/>
      <c r="L1167" s="1"/>
      <c r="M1167" s="1"/>
      <c r="N1167" s="1"/>
      <c r="O1167" s="1"/>
      <c r="P1167" s="1"/>
      <c r="Q1167" s="1"/>
      <c r="R1167" s="1"/>
      <c r="S1167" s="1"/>
    </row>
    <row r="1168" ht="10.5" customHeight="1">
      <c r="A1168" s="1"/>
      <c r="B1168" s="548">
        <v>2005.0</v>
      </c>
      <c r="C1168" s="545">
        <v>262554.0</v>
      </c>
      <c r="D1168" s="551">
        <v>54200.0</v>
      </c>
      <c r="E1168" s="552"/>
      <c r="F1168" s="547">
        <v>21800.0</v>
      </c>
      <c r="G1168" s="547">
        <v>193300.0</v>
      </c>
      <c r="H1168" s="537">
        <f t="shared" ref="H1168:H1172" si="60">SUM(D1168:G1168)</f>
        <v>269300</v>
      </c>
      <c r="I1168" s="12">
        <v>8400.0</v>
      </c>
      <c r="J1168" s="1"/>
      <c r="K1168" s="1"/>
      <c r="L1168" s="1"/>
      <c r="M1168" s="1"/>
      <c r="N1168" s="1"/>
      <c r="O1168" s="1"/>
      <c r="P1168" s="1"/>
      <c r="Q1168" s="1"/>
      <c r="R1168" s="1"/>
      <c r="S1168" s="1"/>
    </row>
    <row r="1169" ht="10.5" customHeight="1">
      <c r="A1169" s="1"/>
      <c r="B1169" s="548">
        <v>2006.0</v>
      </c>
      <c r="C1169" s="545">
        <v>409261.0</v>
      </c>
      <c r="D1169" s="551">
        <v>127600.0</v>
      </c>
      <c r="E1169" s="552"/>
      <c r="F1169" s="547">
        <v>23200.0</v>
      </c>
      <c r="G1169" s="547">
        <v>220400.0</v>
      </c>
      <c r="H1169" s="537">
        <f t="shared" si="60"/>
        <v>371200</v>
      </c>
      <c r="I1169" s="12">
        <v>1200.0</v>
      </c>
      <c r="J1169" s="1"/>
      <c r="K1169" s="1"/>
      <c r="L1169" s="1"/>
      <c r="M1169" s="1"/>
      <c r="N1169" s="1"/>
      <c r="O1169" s="1"/>
      <c r="P1169" s="1"/>
      <c r="Q1169" s="1"/>
      <c r="R1169" s="1"/>
      <c r="S1169" s="1"/>
    </row>
    <row r="1170" ht="10.5" customHeight="1">
      <c r="A1170" s="1"/>
      <c r="B1170" s="548">
        <v>2007.0</v>
      </c>
      <c r="C1170" s="545">
        <v>196377.0</v>
      </c>
      <c r="D1170" s="551">
        <v>133700.0</v>
      </c>
      <c r="E1170" s="552"/>
      <c r="F1170" s="547">
        <v>21400.0</v>
      </c>
      <c r="G1170" s="547">
        <v>193400.0</v>
      </c>
      <c r="H1170" s="537">
        <f t="shared" si="60"/>
        <v>348500</v>
      </c>
      <c r="I1170" s="12">
        <v>1200.0</v>
      </c>
      <c r="J1170" s="1"/>
      <c r="K1170" s="1"/>
      <c r="L1170" s="1"/>
      <c r="M1170" s="1"/>
      <c r="N1170" s="1"/>
      <c r="O1170" s="1"/>
      <c r="P1170" s="1"/>
      <c r="Q1170" s="1"/>
      <c r="R1170" s="1"/>
      <c r="S1170" s="1"/>
    </row>
    <row r="1171" ht="10.5" customHeight="1">
      <c r="A1171" s="1"/>
      <c r="B1171" s="548">
        <v>2008.0</v>
      </c>
      <c r="C1171" s="545">
        <v>264334.0</v>
      </c>
      <c r="D1171" s="551">
        <v>137000.0</v>
      </c>
      <c r="E1171" s="552"/>
      <c r="F1171" s="547">
        <v>27300.0</v>
      </c>
      <c r="G1171" s="547">
        <v>113500.0</v>
      </c>
      <c r="H1171" s="537">
        <f t="shared" si="60"/>
        <v>277800</v>
      </c>
      <c r="I1171" s="12">
        <v>5400.0</v>
      </c>
      <c r="J1171" s="1"/>
      <c r="K1171" s="1"/>
      <c r="L1171" s="1"/>
      <c r="M1171" s="1"/>
      <c r="N1171" s="1"/>
      <c r="O1171" s="1"/>
      <c r="P1171" s="1"/>
      <c r="Q1171" s="1"/>
      <c r="R1171" s="1"/>
      <c r="S1171" s="1"/>
    </row>
    <row r="1172" ht="10.5" customHeight="1">
      <c r="A1172" s="1"/>
      <c r="B1172" s="548">
        <v>2009.0</v>
      </c>
      <c r="C1172" s="545">
        <v>503637.0</v>
      </c>
      <c r="D1172" s="551">
        <v>115200.0</v>
      </c>
      <c r="E1172" s="552"/>
      <c r="F1172" s="547">
        <v>29600.0</v>
      </c>
      <c r="G1172" s="547">
        <v>172400.0</v>
      </c>
      <c r="H1172" s="537">
        <f t="shared" si="60"/>
        <v>317200</v>
      </c>
      <c r="I1172" s="12">
        <v>155600.0</v>
      </c>
      <c r="J1172" s="1"/>
      <c r="K1172" s="1"/>
      <c r="L1172" s="1"/>
      <c r="M1172" s="1"/>
      <c r="N1172" s="1"/>
      <c r="O1172" s="1"/>
      <c r="P1172" s="1"/>
      <c r="Q1172" s="1"/>
      <c r="R1172" s="1"/>
      <c r="S1172" s="1"/>
    </row>
    <row r="1173" ht="10.5" customHeight="1">
      <c r="A1173" s="1"/>
      <c r="B1173" s="548"/>
      <c r="C1173" s="545"/>
      <c r="D1173" s="551"/>
      <c r="E1173" s="552"/>
      <c r="F1173" s="547"/>
      <c r="G1173" s="547"/>
      <c r="H1173" s="547"/>
      <c r="I1173" s="12"/>
      <c r="J1173" s="1"/>
      <c r="K1173" s="1"/>
      <c r="L1173" s="1"/>
      <c r="M1173" s="1"/>
      <c r="N1173" s="1"/>
      <c r="O1173" s="1"/>
      <c r="P1173" s="1"/>
      <c r="Q1173" s="1"/>
      <c r="R1173" s="1"/>
      <c r="S1173" s="1"/>
    </row>
    <row r="1174" ht="10.5" customHeight="1">
      <c r="A1174" s="1"/>
      <c r="B1174" s="548">
        <v>2010.0</v>
      </c>
      <c r="C1174" s="545">
        <v>534719.0</v>
      </c>
      <c r="D1174" s="545">
        <v>184100.0</v>
      </c>
      <c r="E1174" s="552"/>
      <c r="F1174" s="545">
        <v>30700.0</v>
      </c>
      <c r="G1174" s="545">
        <v>203700.0</v>
      </c>
      <c r="H1174" s="30">
        <f t="shared" ref="H1174:H1178" si="61">SUM(D1174:G1174)</f>
        <v>418500</v>
      </c>
      <c r="I1174" s="12">
        <v>121300.0</v>
      </c>
      <c r="J1174" s="1"/>
      <c r="K1174" s="1"/>
      <c r="L1174" s="1"/>
      <c r="M1174" s="1"/>
      <c r="N1174" s="1"/>
      <c r="O1174" s="1"/>
      <c r="P1174" s="1"/>
      <c r="Q1174" s="1"/>
      <c r="R1174" s="1"/>
      <c r="S1174" s="1"/>
    </row>
    <row r="1175" ht="10.5" customHeight="1">
      <c r="A1175" s="1"/>
      <c r="B1175" s="554" t="s">
        <v>487</v>
      </c>
      <c r="C1175" s="545">
        <v>685061.0</v>
      </c>
      <c r="D1175" s="551">
        <v>247300.0</v>
      </c>
      <c r="E1175" s="552"/>
      <c r="F1175" s="547">
        <v>30100.0</v>
      </c>
      <c r="G1175" s="545">
        <v>154800.0</v>
      </c>
      <c r="H1175" s="30">
        <f t="shared" si="61"/>
        <v>432200</v>
      </c>
      <c r="I1175" s="13">
        <v>42800.0</v>
      </c>
      <c r="J1175" s="1"/>
      <c r="K1175" s="1"/>
      <c r="L1175" s="1"/>
      <c r="M1175" s="1"/>
      <c r="N1175" s="1"/>
      <c r="O1175" s="1"/>
      <c r="P1175" s="1"/>
      <c r="Q1175" s="1"/>
      <c r="R1175" s="1"/>
      <c r="S1175" s="1"/>
    </row>
    <row r="1176" ht="10.5" customHeight="1">
      <c r="A1176" s="1"/>
      <c r="B1176" s="555" t="s">
        <v>489</v>
      </c>
      <c r="C1176" s="545">
        <v>623893.0</v>
      </c>
      <c r="D1176" s="545">
        <v>412333.0</v>
      </c>
      <c r="E1176" s="552"/>
      <c r="F1176" s="545">
        <v>27010.0</v>
      </c>
      <c r="G1176" s="545">
        <v>150393.0</v>
      </c>
      <c r="H1176" s="30">
        <f t="shared" si="61"/>
        <v>589736</v>
      </c>
      <c r="I1176" s="12">
        <v>157540.0</v>
      </c>
      <c r="J1176" s="1"/>
      <c r="K1176" s="1"/>
      <c r="L1176" s="1"/>
      <c r="M1176" s="1"/>
      <c r="N1176" s="1"/>
      <c r="O1176" s="1"/>
      <c r="P1176" s="1"/>
      <c r="Q1176" s="1"/>
      <c r="R1176" s="1"/>
      <c r="S1176" s="1"/>
    </row>
    <row r="1177" ht="10.5" customHeight="1">
      <c r="A1177" s="1"/>
      <c r="B1177" s="555" t="s">
        <v>55</v>
      </c>
      <c r="C1177" s="545">
        <v>759842.0</v>
      </c>
      <c r="D1177" s="545">
        <v>560095.0</v>
      </c>
      <c r="E1177" s="552"/>
      <c r="F1177" s="545">
        <v>26708.0</v>
      </c>
      <c r="G1177" s="547">
        <v>167810.0</v>
      </c>
      <c r="H1177" s="30">
        <f t="shared" si="61"/>
        <v>754613</v>
      </c>
      <c r="I1177" s="12">
        <v>15406.0</v>
      </c>
      <c r="J1177" s="1"/>
      <c r="K1177" s="1"/>
      <c r="L1177" s="1"/>
      <c r="M1177" s="1"/>
      <c r="N1177" s="1"/>
      <c r="O1177" s="1"/>
      <c r="P1177" s="1"/>
      <c r="Q1177" s="1"/>
      <c r="R1177" s="1"/>
      <c r="S1177" s="1"/>
    </row>
    <row r="1178" ht="10.5" customHeight="1">
      <c r="A1178" s="1"/>
      <c r="B1178" s="555" t="s">
        <v>153</v>
      </c>
      <c r="C1178" s="545">
        <v>919645.0</v>
      </c>
      <c r="D1178" s="545">
        <v>861631.0</v>
      </c>
      <c r="E1178" s="552"/>
      <c r="F1178" s="545">
        <v>25319.0</v>
      </c>
      <c r="G1178" s="547">
        <v>123709.0</v>
      </c>
      <c r="H1178" s="30">
        <f t="shared" si="61"/>
        <v>1010659</v>
      </c>
      <c r="I1178" s="12">
        <v>576.0</v>
      </c>
      <c r="J1178" s="1"/>
      <c r="K1178" s="1"/>
      <c r="L1178" s="1"/>
      <c r="M1178" s="1"/>
      <c r="N1178" s="1"/>
      <c r="O1178" s="1"/>
      <c r="P1178" s="1"/>
      <c r="Q1178" s="1"/>
      <c r="R1178" s="1"/>
      <c r="S1178" s="1"/>
    </row>
    <row r="1179" ht="10.5" customHeight="1">
      <c r="A1179" s="1"/>
      <c r="B1179" s="555"/>
      <c r="C1179" s="545"/>
      <c r="D1179" s="545"/>
      <c r="E1179" s="552"/>
      <c r="F1179" s="545"/>
      <c r="G1179" s="547"/>
      <c r="H1179" s="30"/>
      <c r="I1179" s="12"/>
      <c r="J1179" s="1"/>
      <c r="K1179" s="1"/>
      <c r="L1179" s="1"/>
      <c r="M1179" s="1"/>
      <c r="N1179" s="1"/>
      <c r="O1179" s="1"/>
      <c r="P1179" s="1"/>
      <c r="Q1179" s="1"/>
      <c r="R1179" s="1"/>
      <c r="S1179" s="1"/>
    </row>
    <row r="1180" ht="10.5" customHeight="1">
      <c r="A1180" s="1"/>
      <c r="B1180" s="555" t="s">
        <v>155</v>
      </c>
      <c r="C1180" s="545">
        <v>1042129.0</v>
      </c>
      <c r="D1180" s="545">
        <v>988024.0</v>
      </c>
      <c r="E1180" s="552"/>
      <c r="F1180" s="545">
        <v>24323.0</v>
      </c>
      <c r="G1180" s="547">
        <v>129340.0</v>
      </c>
      <c r="H1180" s="30">
        <v>1141687.0</v>
      </c>
      <c r="I1180" s="12">
        <v>4677.0</v>
      </c>
      <c r="J1180" s="1"/>
      <c r="K1180" s="1"/>
      <c r="L1180" s="1"/>
      <c r="M1180" s="1"/>
      <c r="N1180" s="1"/>
      <c r="O1180" s="1"/>
      <c r="P1180" s="1"/>
      <c r="Q1180" s="1"/>
      <c r="R1180" s="1"/>
      <c r="S1180" s="1"/>
    </row>
    <row r="1181" ht="10.5" customHeight="1">
      <c r="A1181" s="1"/>
      <c r="B1181" s="555" t="s">
        <v>160</v>
      </c>
      <c r="C1181" s="545">
        <v>713660.0</v>
      </c>
      <c r="D1181" s="545">
        <v>852308.0</v>
      </c>
      <c r="E1181" s="552"/>
      <c r="F1181" s="545">
        <v>23875.0</v>
      </c>
      <c r="G1181" s="547">
        <v>104396.0</v>
      </c>
      <c r="H1181" s="30">
        <v>982044.0</v>
      </c>
      <c r="I1181" s="12">
        <v>6745.0</v>
      </c>
      <c r="J1181" s="1"/>
      <c r="K1181" s="1"/>
      <c r="L1181" s="1"/>
      <c r="M1181" s="1"/>
      <c r="N1181" s="1"/>
      <c r="O1181" s="1"/>
      <c r="P1181" s="1"/>
      <c r="Q1181" s="1"/>
      <c r="R1181" s="1"/>
      <c r="S1181" s="1"/>
    </row>
    <row r="1182" ht="10.5" customHeight="1">
      <c r="A1182" s="1"/>
      <c r="B1182" s="555" t="s">
        <v>162</v>
      </c>
      <c r="C1182" s="545">
        <v>1289000.0</v>
      </c>
      <c r="D1182" s="545">
        <v>890000.0</v>
      </c>
      <c r="E1182" s="552"/>
      <c r="F1182" s="545">
        <v>25500.0</v>
      </c>
      <c r="G1182" s="545">
        <v>153800.0</v>
      </c>
      <c r="H1182" s="33">
        <v>1071450.0</v>
      </c>
      <c r="I1182" s="12">
        <v>450.0</v>
      </c>
      <c r="J1182" s="1"/>
      <c r="K1182" s="1"/>
      <c r="L1182" s="1"/>
      <c r="M1182" s="1"/>
      <c r="N1182" s="1"/>
      <c r="O1182" s="1"/>
      <c r="P1182" s="1"/>
      <c r="Q1182" s="1"/>
      <c r="R1182" s="1"/>
      <c r="S1182" s="1"/>
    </row>
    <row r="1183" ht="10.5" customHeight="1">
      <c r="A1183" s="1"/>
      <c r="B1183" s="556" t="s">
        <v>912</v>
      </c>
      <c r="C1183" s="557">
        <v>1344700.0</v>
      </c>
      <c r="D1183" s="557">
        <v>1000000.0</v>
      </c>
      <c r="E1183" s="558"/>
      <c r="F1183" s="557">
        <v>25000.0</v>
      </c>
      <c r="G1183" s="557">
        <v>153800.0</v>
      </c>
      <c r="H1183" s="145">
        <v>1182200.0</v>
      </c>
      <c r="I1183" s="145">
        <v>500.0</v>
      </c>
      <c r="J1183" s="1"/>
      <c r="K1183" s="1"/>
      <c r="L1183" s="1"/>
      <c r="M1183" s="1"/>
      <c r="N1183" s="1"/>
      <c r="O1183" s="1"/>
      <c r="P1183" s="1"/>
      <c r="Q1183" s="1"/>
      <c r="R1183" s="1"/>
      <c r="S1183" s="1"/>
    </row>
    <row r="1184" ht="12.0" customHeight="1">
      <c r="A1184" s="1"/>
      <c r="B1184" s="60" t="s">
        <v>560</v>
      </c>
      <c r="C1184" s="60"/>
      <c r="D1184" s="1"/>
      <c r="E1184" s="1"/>
      <c r="F1184" s="1"/>
      <c r="G1184" s="1"/>
      <c r="H1184" s="1"/>
      <c r="I1184" s="1"/>
      <c r="J1184" s="1"/>
      <c r="K1184" s="1"/>
      <c r="L1184" s="1"/>
      <c r="M1184" s="1"/>
      <c r="N1184" s="1"/>
      <c r="O1184" s="1"/>
      <c r="P1184" s="1"/>
      <c r="Q1184" s="1"/>
      <c r="R1184" s="1"/>
      <c r="S1184" s="1"/>
    </row>
    <row r="1185" ht="6.0" customHeight="1">
      <c r="A1185" s="1"/>
      <c r="B1185" s="60"/>
      <c r="D1185" s="1"/>
      <c r="E1185" s="1"/>
      <c r="F1185" s="1"/>
      <c r="G1185" s="1"/>
      <c r="H1185" s="1"/>
      <c r="I1185" s="1"/>
      <c r="J1185" s="1"/>
      <c r="K1185" s="1"/>
      <c r="L1185" s="1"/>
      <c r="M1185" s="1"/>
      <c r="N1185" s="1"/>
      <c r="O1185" s="1"/>
      <c r="P1185" s="1"/>
      <c r="Q1185" s="1"/>
      <c r="R1185" s="1"/>
      <c r="S1185" s="1"/>
    </row>
    <row r="1186" ht="10.5" customHeight="1">
      <c r="A1186" s="1"/>
      <c r="B1186" s="185" t="s">
        <v>913</v>
      </c>
      <c r="C1186" s="60"/>
      <c r="D1186" s="1"/>
      <c r="E1186" s="1"/>
      <c r="F1186" s="1"/>
      <c r="G1186" s="1"/>
      <c r="H1186" s="1"/>
      <c r="I1186" s="1"/>
      <c r="J1186" s="1"/>
      <c r="K1186" s="1"/>
      <c r="L1186" s="1"/>
      <c r="M1186" s="1"/>
      <c r="N1186" s="1"/>
      <c r="O1186" s="1"/>
      <c r="P1186" s="1"/>
      <c r="Q1186" s="1"/>
      <c r="R1186" s="1"/>
      <c r="S1186" s="1"/>
    </row>
    <row r="1187" ht="10.5" customHeight="1">
      <c r="A1187" s="1"/>
      <c r="B1187" s="185" t="s">
        <v>914</v>
      </c>
      <c r="C1187" s="60"/>
      <c r="D1187" s="1"/>
      <c r="E1187" s="1"/>
      <c r="F1187" s="1"/>
      <c r="G1187" s="1"/>
      <c r="H1187" s="1"/>
      <c r="I1187" s="1"/>
      <c r="J1187" s="1"/>
      <c r="K1187" s="1"/>
      <c r="L1187" s="1"/>
      <c r="M1187" s="1"/>
      <c r="N1187" s="1"/>
      <c r="O1187" s="1"/>
      <c r="P1187" s="1"/>
      <c r="Q1187" s="1"/>
      <c r="R1187" s="1"/>
      <c r="S1187" s="1"/>
    </row>
    <row r="1188" ht="10.5" customHeight="1">
      <c r="A1188" s="1"/>
      <c r="B1188" s="185" t="s">
        <v>915</v>
      </c>
      <c r="C1188" s="23"/>
      <c r="D1188" s="23"/>
      <c r="E1188" s="1"/>
      <c r="F1188" s="1"/>
      <c r="G1188" s="1"/>
      <c r="H1188" s="1"/>
      <c r="I1188" s="1"/>
      <c r="J1188" s="1"/>
      <c r="K1188" s="1"/>
      <c r="L1188" s="1"/>
      <c r="M1188" s="1"/>
      <c r="N1188" s="1"/>
      <c r="O1188" s="1"/>
      <c r="P1188" s="1"/>
      <c r="Q1188" s="1"/>
      <c r="R1188" s="1"/>
      <c r="S1188" s="1"/>
    </row>
    <row r="1189" ht="10.5" customHeight="1">
      <c r="A1189" s="1"/>
      <c r="B1189" s="185" t="s">
        <v>916</v>
      </c>
      <c r="C1189" s="1"/>
      <c r="D1189" s="1"/>
      <c r="E1189" s="1"/>
      <c r="F1189" s="1"/>
      <c r="G1189" s="1"/>
      <c r="H1189" s="1"/>
      <c r="I1189" s="1"/>
      <c r="J1189" s="1"/>
      <c r="K1189" s="1"/>
      <c r="L1189" s="1"/>
      <c r="M1189" s="1"/>
      <c r="N1189" s="1"/>
      <c r="O1189" s="1"/>
      <c r="P1189" s="1"/>
      <c r="Q1189" s="1"/>
      <c r="R1189" s="1"/>
      <c r="S1189" s="1"/>
    </row>
    <row r="1190" ht="10.5" customHeight="1">
      <c r="A1190" s="1"/>
      <c r="B1190" s="65"/>
      <c r="C1190" s="113"/>
      <c r="D1190" s="113"/>
      <c r="E1190" s="113"/>
      <c r="F1190" s="113"/>
      <c r="G1190" s="113"/>
      <c r="H1190" s="113"/>
      <c r="I1190" s="1"/>
      <c r="J1190" s="1"/>
      <c r="K1190" s="1"/>
      <c r="L1190" s="1"/>
      <c r="M1190" s="1"/>
      <c r="N1190" s="1"/>
      <c r="O1190" s="1"/>
      <c r="P1190" s="1"/>
      <c r="Q1190" s="1"/>
      <c r="R1190" s="1"/>
      <c r="S1190" s="1"/>
    </row>
    <row r="1191" ht="10.5" customHeight="1">
      <c r="A1191" s="1"/>
      <c r="B1191" s="60"/>
      <c r="C1191" s="1"/>
      <c r="D1191" s="1"/>
      <c r="E1191" s="1"/>
      <c r="F1191" s="1"/>
      <c r="G1191" s="1"/>
      <c r="H1191" s="1"/>
      <c r="I1191" s="1"/>
      <c r="J1191" s="1"/>
      <c r="K1191" s="1"/>
      <c r="L1191" s="1"/>
      <c r="M1191" s="1"/>
      <c r="N1191" s="1"/>
      <c r="O1191" s="1"/>
      <c r="P1191" s="1"/>
      <c r="Q1191" s="1"/>
      <c r="R1191" s="1"/>
      <c r="S1191" s="1"/>
    </row>
    <row r="1192" ht="10.5" customHeight="1">
      <c r="A1192" s="1"/>
      <c r="B1192" s="65"/>
      <c r="C1192" s="1"/>
      <c r="D1192" s="1"/>
      <c r="E1192" s="1"/>
      <c r="F1192" s="1"/>
      <c r="G1192" s="1"/>
      <c r="H1192" s="1"/>
      <c r="I1192" s="1"/>
      <c r="J1192" s="1"/>
      <c r="K1192" s="1"/>
      <c r="L1192" s="1"/>
      <c r="M1192" s="1"/>
      <c r="N1192" s="1"/>
      <c r="O1192" s="1"/>
      <c r="P1192" s="1"/>
      <c r="Q1192" s="1"/>
      <c r="R1192" s="1"/>
      <c r="S1192" s="1"/>
    </row>
    <row r="1193" ht="10.5" customHeight="1">
      <c r="A1193" s="1"/>
      <c r="B1193" s="65"/>
      <c r="C1193" s="1"/>
      <c r="D1193" s="1"/>
      <c r="E1193" s="1"/>
      <c r="F1193" s="1"/>
      <c r="G1193" s="1"/>
      <c r="H1193" s="1"/>
      <c r="I1193" s="1"/>
      <c r="J1193" s="1"/>
      <c r="K1193" s="1"/>
      <c r="L1193" s="1"/>
      <c r="M1193" s="1"/>
      <c r="N1193" s="1"/>
      <c r="O1193" s="1"/>
      <c r="P1193" s="1"/>
      <c r="Q1193" s="1"/>
      <c r="R1193" s="1"/>
      <c r="S1193" s="1"/>
    </row>
    <row r="1194" ht="10.5" customHeight="1">
      <c r="A1194" s="1"/>
      <c r="B1194" s="65"/>
      <c r="C1194" s="1"/>
      <c r="D1194" s="1"/>
      <c r="E1194" s="1"/>
      <c r="F1194" s="1"/>
      <c r="G1194" s="1"/>
      <c r="H1194" s="1"/>
      <c r="I1194" s="1"/>
      <c r="J1194" s="1"/>
      <c r="K1194" s="1"/>
      <c r="L1194" s="1"/>
      <c r="M1194" s="1"/>
      <c r="N1194" s="1"/>
      <c r="O1194" s="1"/>
      <c r="P1194" s="1"/>
      <c r="Q1194" s="1"/>
      <c r="R1194" s="1"/>
      <c r="S1194" s="1"/>
    </row>
    <row r="1195" ht="10.5" customHeight="1">
      <c r="A1195" s="1"/>
      <c r="B1195" s="65"/>
      <c r="C1195" s="1"/>
      <c r="D1195" s="1"/>
      <c r="E1195" s="1"/>
      <c r="F1195" s="1"/>
      <c r="G1195" s="1"/>
      <c r="H1195" s="1"/>
      <c r="I1195" s="1"/>
      <c r="J1195" s="1"/>
      <c r="K1195" s="1"/>
      <c r="L1195" s="1"/>
      <c r="M1195" s="1"/>
      <c r="N1195" s="1"/>
      <c r="O1195" s="1"/>
      <c r="P1195" s="1"/>
      <c r="Q1195" s="1"/>
      <c r="R1195" s="1"/>
      <c r="S1195" s="1"/>
    </row>
    <row r="1196" ht="10.5" customHeight="1">
      <c r="A1196" s="1"/>
      <c r="B1196" s="65"/>
      <c r="C1196" s="1"/>
      <c r="D1196" s="1"/>
      <c r="E1196" s="1"/>
      <c r="F1196" s="1"/>
      <c r="G1196" s="1"/>
      <c r="H1196" s="1"/>
      <c r="I1196" s="1"/>
      <c r="J1196" s="1"/>
      <c r="K1196" s="1"/>
      <c r="L1196" s="1"/>
      <c r="M1196" s="1"/>
      <c r="N1196" s="1"/>
      <c r="O1196" s="1"/>
      <c r="P1196" s="1"/>
      <c r="Q1196" s="1"/>
      <c r="R1196" s="1"/>
      <c r="S1196" s="1"/>
    </row>
    <row r="1197" ht="10.5" customHeight="1">
      <c r="A1197" s="1"/>
      <c r="B1197" s="65"/>
      <c r="C1197" s="1"/>
      <c r="D1197" s="1"/>
      <c r="E1197" s="1"/>
      <c r="F1197" s="1"/>
      <c r="G1197" s="1"/>
      <c r="H1197" s="1"/>
      <c r="I1197" s="1"/>
      <c r="J1197" s="1"/>
      <c r="K1197" s="1"/>
      <c r="L1197" s="1"/>
      <c r="M1197" s="1"/>
      <c r="N1197" s="1"/>
      <c r="O1197" s="1"/>
      <c r="P1197" s="1"/>
      <c r="Q1197" s="1"/>
      <c r="R1197" s="1"/>
      <c r="S1197" s="1"/>
    </row>
    <row r="1198" ht="10.5" customHeight="1">
      <c r="A1198" s="1"/>
      <c r="B1198" s="65"/>
      <c r="C1198" s="1"/>
      <c r="D1198" s="1"/>
      <c r="E1198" s="1"/>
      <c r="F1198" s="1"/>
      <c r="G1198" s="1"/>
      <c r="H1198" s="1"/>
      <c r="I1198" s="1"/>
      <c r="J1198" s="1"/>
      <c r="K1198" s="1"/>
      <c r="L1198" s="1"/>
      <c r="M1198" s="1"/>
      <c r="N1198" s="1"/>
      <c r="O1198" s="1"/>
      <c r="P1198" s="1"/>
      <c r="Q1198" s="1"/>
      <c r="R1198" s="1"/>
      <c r="S1198" s="1"/>
    </row>
    <row r="1199" ht="10.5" customHeight="1">
      <c r="A1199" s="1"/>
      <c r="B1199" s="65"/>
      <c r="C1199" s="1"/>
      <c r="D1199" s="1"/>
      <c r="E1199" s="1"/>
      <c r="F1199" s="1"/>
      <c r="G1199" s="1"/>
      <c r="H1199" s="1"/>
      <c r="I1199" s="1"/>
      <c r="J1199" s="1"/>
      <c r="K1199" s="1"/>
      <c r="L1199" s="1"/>
      <c r="M1199" s="1"/>
      <c r="N1199" s="1"/>
      <c r="O1199" s="1"/>
      <c r="P1199" s="1"/>
      <c r="Q1199" s="1"/>
      <c r="R1199" s="1"/>
      <c r="S1199" s="1"/>
    </row>
    <row r="1200" ht="10.5" customHeight="1">
      <c r="A1200" s="1"/>
      <c r="B1200" s="65"/>
      <c r="C1200" s="1"/>
      <c r="D1200" s="1"/>
      <c r="E1200" s="1"/>
      <c r="F1200" s="1"/>
      <c r="G1200" s="1"/>
      <c r="H1200" s="1"/>
      <c r="I1200" s="1"/>
      <c r="J1200" s="1"/>
      <c r="K1200" s="1"/>
      <c r="L1200" s="1"/>
      <c r="M1200" s="1"/>
      <c r="N1200" s="1"/>
      <c r="O1200" s="1"/>
      <c r="P1200" s="1"/>
      <c r="Q1200" s="1"/>
      <c r="R1200" s="1"/>
      <c r="S1200" s="1"/>
    </row>
    <row r="1201" ht="10.5" customHeight="1">
      <c r="A1201" s="1"/>
      <c r="B1201" s="65"/>
      <c r="C1201" s="1"/>
      <c r="D1201" s="1"/>
      <c r="E1201" s="1"/>
      <c r="F1201" s="1"/>
      <c r="G1201" s="1"/>
      <c r="H1201" s="1"/>
      <c r="I1201" s="1"/>
      <c r="J1201" s="1"/>
      <c r="K1201" s="1"/>
      <c r="L1201" s="1"/>
      <c r="M1201" s="1"/>
      <c r="N1201" s="1"/>
      <c r="O1201" s="1"/>
      <c r="P1201" s="1"/>
      <c r="Q1201" s="1"/>
      <c r="R1201" s="1"/>
      <c r="S1201" s="1"/>
    </row>
    <row r="1202" ht="10.5" customHeight="1">
      <c r="A1202" s="1"/>
      <c r="B1202" s="65"/>
      <c r="C1202" s="1"/>
      <c r="D1202" s="1"/>
      <c r="E1202" s="1"/>
      <c r="F1202" s="1"/>
      <c r="G1202" s="1"/>
      <c r="H1202" s="1"/>
      <c r="I1202" s="1"/>
      <c r="J1202" s="1"/>
      <c r="K1202" s="1"/>
      <c r="L1202" s="1"/>
      <c r="M1202" s="1"/>
      <c r="N1202" s="1"/>
      <c r="O1202" s="1"/>
      <c r="P1202" s="1"/>
      <c r="Q1202" s="1"/>
      <c r="R1202" s="1"/>
      <c r="S1202" s="1"/>
    </row>
    <row r="1203" ht="10.5" customHeight="1">
      <c r="A1203" s="1"/>
      <c r="B1203" s="65"/>
      <c r="C1203" s="1"/>
      <c r="D1203" s="1"/>
      <c r="E1203" s="1"/>
      <c r="F1203" s="1"/>
      <c r="G1203" s="1"/>
      <c r="H1203" s="1"/>
      <c r="I1203" s="1"/>
      <c r="J1203" s="1"/>
      <c r="K1203" s="1"/>
      <c r="L1203" s="1"/>
      <c r="M1203" s="1"/>
      <c r="N1203" s="1"/>
      <c r="O1203" s="1"/>
      <c r="P1203" s="1"/>
      <c r="Q1203" s="1"/>
      <c r="R1203" s="1"/>
      <c r="S1203" s="1"/>
    </row>
    <row r="1204" ht="10.5" customHeight="1">
      <c r="A1204" s="1"/>
      <c r="B1204" s="65"/>
      <c r="C1204" s="1"/>
      <c r="D1204" s="1"/>
      <c r="E1204" s="1"/>
      <c r="F1204" s="1"/>
      <c r="G1204" s="1"/>
      <c r="H1204" s="1"/>
      <c r="I1204" s="1"/>
      <c r="J1204" s="1"/>
      <c r="K1204" s="1"/>
      <c r="L1204" s="1"/>
      <c r="M1204" s="1"/>
      <c r="N1204" s="1"/>
      <c r="O1204" s="1"/>
      <c r="P1204" s="1"/>
      <c r="Q1204" s="1"/>
      <c r="R1204" s="1"/>
      <c r="S1204" s="1"/>
    </row>
    <row r="1205" ht="10.5" customHeight="1">
      <c r="A1205" s="1"/>
      <c r="B1205" s="65"/>
      <c r="C1205" s="1"/>
      <c r="D1205" s="1"/>
      <c r="E1205" s="1"/>
      <c r="F1205" s="1"/>
      <c r="G1205" s="1"/>
      <c r="H1205" s="1"/>
      <c r="I1205" s="1"/>
      <c r="J1205" s="1"/>
      <c r="K1205" s="1"/>
      <c r="L1205" s="1"/>
      <c r="M1205" s="1"/>
      <c r="N1205" s="1"/>
      <c r="O1205" s="1"/>
      <c r="P1205" s="1"/>
      <c r="Q1205" s="1"/>
      <c r="R1205" s="1"/>
      <c r="S1205" s="1"/>
    </row>
    <row r="1206" ht="10.5" customHeight="1">
      <c r="A1206" s="1"/>
      <c r="B1206" s="65"/>
      <c r="C1206" s="1"/>
      <c r="D1206" s="1"/>
      <c r="E1206" s="1"/>
      <c r="F1206" s="1"/>
      <c r="G1206" s="1"/>
      <c r="H1206" s="1"/>
      <c r="I1206" s="1"/>
      <c r="J1206" s="1"/>
      <c r="K1206" s="1"/>
      <c r="L1206" s="1"/>
      <c r="M1206" s="1"/>
      <c r="N1206" s="1"/>
      <c r="O1206" s="1"/>
      <c r="P1206" s="1"/>
      <c r="Q1206" s="1"/>
      <c r="R1206" s="1"/>
      <c r="S1206" s="1"/>
    </row>
    <row r="1207" ht="10.5" customHeight="1">
      <c r="A1207" s="1"/>
      <c r="B1207" s="65"/>
      <c r="C1207" s="1"/>
      <c r="D1207" s="1"/>
      <c r="E1207" s="1"/>
      <c r="F1207" s="1"/>
      <c r="G1207" s="1"/>
      <c r="H1207" s="1"/>
      <c r="I1207" s="1"/>
      <c r="J1207" s="1"/>
      <c r="K1207" s="1"/>
      <c r="L1207" s="1"/>
      <c r="M1207" s="1"/>
      <c r="N1207" s="1"/>
      <c r="O1207" s="1"/>
      <c r="P1207" s="1"/>
      <c r="Q1207" s="1"/>
      <c r="R1207" s="1"/>
      <c r="S1207" s="1"/>
    </row>
    <row r="1208" ht="10.5" customHeight="1">
      <c r="A1208" s="1"/>
      <c r="B1208" s="65"/>
      <c r="C1208" s="1"/>
      <c r="D1208" s="1"/>
      <c r="E1208" s="1"/>
      <c r="F1208" s="1"/>
      <c r="G1208" s="1"/>
      <c r="H1208" s="1"/>
      <c r="I1208" s="1"/>
      <c r="J1208" s="1"/>
      <c r="K1208" s="1"/>
      <c r="L1208" s="1"/>
      <c r="M1208" s="1"/>
      <c r="N1208" s="1"/>
      <c r="O1208" s="1"/>
      <c r="P1208" s="1"/>
      <c r="Q1208" s="1"/>
      <c r="R1208" s="1"/>
      <c r="S1208" s="1"/>
    </row>
    <row r="1209" ht="10.5" customHeight="1">
      <c r="A1209" s="1"/>
      <c r="B1209" s="65"/>
      <c r="C1209" s="1"/>
      <c r="D1209" s="1"/>
      <c r="E1209" s="1"/>
      <c r="F1209" s="1"/>
      <c r="G1209" s="110">
        <v>20.0</v>
      </c>
      <c r="H1209" s="1"/>
      <c r="I1209" s="1"/>
      <c r="J1209" s="1"/>
      <c r="K1209" s="1"/>
      <c r="L1209" s="1"/>
      <c r="M1209" s="1"/>
      <c r="N1209" s="1"/>
      <c r="O1209" s="1"/>
      <c r="P1209" s="1"/>
      <c r="Q1209" s="1"/>
      <c r="R1209" s="1"/>
      <c r="S1209" s="1"/>
    </row>
    <row r="1210" ht="10.5" customHeight="1">
      <c r="A1210" s="1"/>
      <c r="B1210" s="65"/>
      <c r="C1210" s="1"/>
      <c r="D1210" s="1"/>
      <c r="E1210" s="1"/>
      <c r="F1210" s="1"/>
      <c r="G1210" s="1"/>
      <c r="H1210" s="1"/>
      <c r="I1210" s="1"/>
      <c r="J1210" s="1"/>
      <c r="K1210" s="1"/>
      <c r="L1210" s="1"/>
      <c r="M1210" s="1"/>
      <c r="N1210" s="1"/>
      <c r="O1210" s="1"/>
      <c r="P1210" s="1"/>
      <c r="Q1210" s="1"/>
      <c r="R1210" s="1"/>
      <c r="S1210" s="1"/>
    </row>
    <row r="1211" ht="10.5" customHeight="1">
      <c r="A1211" s="1"/>
      <c r="B1211" s="65"/>
      <c r="C1211" s="1"/>
      <c r="D1211" s="1"/>
      <c r="E1211" s="1"/>
      <c r="F1211" s="1"/>
      <c r="G1211" s="1"/>
      <c r="H1211" s="1"/>
      <c r="I1211" s="1"/>
      <c r="J1211" s="1"/>
      <c r="K1211" s="1"/>
      <c r="L1211" s="1"/>
      <c r="M1211" s="1"/>
      <c r="N1211" s="1"/>
      <c r="O1211" s="1"/>
      <c r="P1211" s="1"/>
      <c r="Q1211" s="1"/>
      <c r="R1211" s="1"/>
      <c r="S1211" s="1"/>
    </row>
    <row r="1212" ht="11.25" customHeight="1">
      <c r="A1212" s="1"/>
      <c r="B1212" s="111" t="s">
        <v>921</v>
      </c>
      <c r="C1212" s="35"/>
      <c r="D1212" s="35"/>
      <c r="E1212" s="35"/>
      <c r="F1212" s="35"/>
      <c r="G1212" s="35"/>
      <c r="H1212" s="35"/>
      <c r="I1212" s="35"/>
      <c r="J1212" s="35"/>
      <c r="K1212" s="1"/>
      <c r="L1212" s="125"/>
      <c r="M1212" s="1"/>
      <c r="N1212" s="1"/>
      <c r="O1212" s="1"/>
      <c r="P1212" s="1"/>
      <c r="Q1212" s="1"/>
      <c r="R1212" s="1"/>
      <c r="S1212" s="1"/>
    </row>
    <row r="1213" ht="11.25" customHeight="1">
      <c r="A1213" s="1"/>
      <c r="B1213" s="189" t="s">
        <v>31</v>
      </c>
      <c r="C1213" s="3" t="s">
        <v>923</v>
      </c>
      <c r="D1213" s="559" t="s">
        <v>925</v>
      </c>
      <c r="E1213" s="128" t="s">
        <v>927</v>
      </c>
      <c r="F1213" s="10"/>
      <c r="G1213" s="31" t="s">
        <v>932</v>
      </c>
      <c r="H1213" s="31" t="s">
        <v>512</v>
      </c>
      <c r="I1213" s="559" t="s">
        <v>934</v>
      </c>
      <c r="J1213" s="31" t="s">
        <v>935</v>
      </c>
      <c r="K1213" s="561" t="s">
        <v>936</v>
      </c>
      <c r="L1213" s="1"/>
      <c r="M1213" s="1"/>
      <c r="N1213" s="1"/>
      <c r="O1213" s="1"/>
      <c r="P1213" s="1"/>
      <c r="Q1213" s="1"/>
      <c r="R1213" s="1"/>
      <c r="S1213" s="1"/>
    </row>
    <row r="1214" ht="11.25" customHeight="1">
      <c r="A1214" s="1"/>
      <c r="B1214" s="5"/>
      <c r="C1214" s="6"/>
      <c r="D1214" s="6"/>
      <c r="E1214" s="7" t="s">
        <v>466</v>
      </c>
      <c r="F1214" s="7" t="s">
        <v>44</v>
      </c>
      <c r="G1214" s="6"/>
      <c r="H1214" s="6"/>
      <c r="I1214" s="6"/>
      <c r="J1214" s="6"/>
      <c r="K1214" s="5"/>
      <c r="L1214" s="1"/>
      <c r="M1214" s="1"/>
      <c r="N1214" s="1"/>
      <c r="O1214" s="1"/>
      <c r="P1214" s="1"/>
      <c r="Q1214" s="1"/>
      <c r="R1214" s="1"/>
      <c r="S1214" s="1"/>
    </row>
    <row r="1215" ht="10.5" customHeight="1">
      <c r="A1215" s="1"/>
      <c r="B1215" s="6"/>
      <c r="C1215" s="134" t="s">
        <v>48</v>
      </c>
      <c r="D1215" s="134" t="s">
        <v>49</v>
      </c>
      <c r="E1215" s="8" t="s">
        <v>52</v>
      </c>
      <c r="F1215" s="10"/>
      <c r="G1215" s="134" t="s">
        <v>54</v>
      </c>
      <c r="H1215" s="134" t="s">
        <v>50</v>
      </c>
      <c r="I1215" s="8" t="s">
        <v>520</v>
      </c>
      <c r="J1215" s="10"/>
      <c r="K1215" s="6"/>
      <c r="L1215" s="1"/>
      <c r="M1215" s="1"/>
      <c r="N1215" s="1"/>
      <c r="O1215" s="1"/>
      <c r="P1215" s="1"/>
      <c r="Q1215" s="1"/>
      <c r="R1215" s="1"/>
      <c r="S1215" s="1"/>
    </row>
    <row r="1216" ht="10.5" customHeight="1">
      <c r="A1216" s="1"/>
      <c r="B1216" s="238">
        <v>1980.0</v>
      </c>
      <c r="C1216" s="136">
        <v>361.0</v>
      </c>
      <c r="D1216" s="136">
        <v>65.0</v>
      </c>
      <c r="E1216" s="276">
        <v>123.4</v>
      </c>
      <c r="F1216" s="276">
        <v>123.22</v>
      </c>
      <c r="G1216" s="250">
        <v>6.0</v>
      </c>
      <c r="H1216" s="30">
        <v>8443.0</v>
      </c>
      <c r="I1216" s="30">
        <v>28313.0</v>
      </c>
      <c r="J1216" s="30">
        <v>22520.0</v>
      </c>
      <c r="K1216" s="55" t="s">
        <v>56</v>
      </c>
      <c r="L1216" s="1"/>
      <c r="M1216" s="1"/>
      <c r="N1216" s="1"/>
      <c r="O1216" s="1"/>
      <c r="P1216" s="1"/>
      <c r="Q1216" s="1"/>
      <c r="R1216" s="1"/>
      <c r="S1216" s="1"/>
    </row>
    <row r="1217" ht="10.5" customHeight="1">
      <c r="A1217" s="1"/>
      <c r="B1217" s="238">
        <v>1981.0</v>
      </c>
      <c r="C1217" s="136">
        <v>389.0</v>
      </c>
      <c r="D1217" s="136">
        <v>82.0</v>
      </c>
      <c r="E1217" s="276">
        <v>140.0</v>
      </c>
      <c r="F1217" s="276">
        <v>139.0</v>
      </c>
      <c r="G1217" s="250">
        <v>6.8</v>
      </c>
      <c r="H1217" s="30">
        <v>12202.0</v>
      </c>
      <c r="I1217" s="30">
        <v>44181.0</v>
      </c>
      <c r="J1217" s="30">
        <v>23728.0</v>
      </c>
      <c r="K1217" s="55" t="s">
        <v>81</v>
      </c>
      <c r="L1217" s="1"/>
      <c r="M1217" s="1"/>
      <c r="N1217" s="1"/>
      <c r="O1217" s="1"/>
      <c r="P1217" s="1"/>
      <c r="Q1217" s="1"/>
      <c r="R1217" s="1"/>
      <c r="S1217" s="1"/>
    </row>
    <row r="1218" ht="10.5" customHeight="1">
      <c r="A1218" s="1"/>
      <c r="B1218" s="238">
        <v>1982.0</v>
      </c>
      <c r="C1218" s="136">
        <v>460.0</v>
      </c>
      <c r="D1218" s="136">
        <v>92.0</v>
      </c>
      <c r="E1218" s="276">
        <v>160.0</v>
      </c>
      <c r="F1218" s="276">
        <v>159.0</v>
      </c>
      <c r="G1218" s="250">
        <v>7.8</v>
      </c>
      <c r="H1218" s="30">
        <v>15416.0</v>
      </c>
      <c r="I1218" s="30">
        <v>51735.0</v>
      </c>
      <c r="J1218" s="30">
        <v>24031.0</v>
      </c>
      <c r="K1218" s="55" t="s">
        <v>86</v>
      </c>
      <c r="L1218" s="1"/>
      <c r="M1218" s="1"/>
      <c r="N1218" s="1"/>
      <c r="O1218" s="1"/>
      <c r="P1218" s="1"/>
      <c r="Q1218" s="1"/>
      <c r="R1218" s="1"/>
      <c r="S1218" s="1"/>
    </row>
    <row r="1219" ht="10.5" customHeight="1">
      <c r="A1219" s="1"/>
      <c r="B1219" s="238">
        <v>1983.0</v>
      </c>
      <c r="C1219" s="136">
        <v>450.0</v>
      </c>
      <c r="D1219" s="136">
        <v>83.0</v>
      </c>
      <c r="E1219" s="276">
        <v>175.0</v>
      </c>
      <c r="F1219" s="276">
        <v>174.0</v>
      </c>
      <c r="G1219" s="250">
        <v>8.6</v>
      </c>
      <c r="H1219" s="30">
        <v>14855.0</v>
      </c>
      <c r="I1219" s="30">
        <v>56033.0</v>
      </c>
      <c r="J1219" s="30">
        <v>24463.0</v>
      </c>
      <c r="K1219" s="55" t="s">
        <v>87</v>
      </c>
      <c r="L1219" s="1"/>
      <c r="M1219" s="1"/>
      <c r="N1219" s="1"/>
      <c r="O1219" s="1"/>
      <c r="P1219" s="1"/>
      <c r="Q1219" s="1"/>
      <c r="R1219" s="1"/>
      <c r="S1219" s="1"/>
    </row>
    <row r="1220" ht="10.5" customHeight="1">
      <c r="A1220" s="1"/>
      <c r="B1220" s="238">
        <v>1984.0</v>
      </c>
      <c r="C1220" s="136">
        <v>496.0</v>
      </c>
      <c r="D1220" s="136">
        <v>81.0</v>
      </c>
      <c r="E1220" s="276">
        <v>185.0</v>
      </c>
      <c r="F1220" s="276">
        <v>184.0</v>
      </c>
      <c r="G1220" s="250">
        <v>9.2</v>
      </c>
      <c r="H1220" s="30">
        <v>15118.0</v>
      </c>
      <c r="I1220" s="30">
        <v>76355.0</v>
      </c>
      <c r="J1220" s="30">
        <v>25028.0</v>
      </c>
      <c r="K1220" s="55" t="s">
        <v>90</v>
      </c>
      <c r="L1220" s="1"/>
      <c r="M1220" s="1"/>
      <c r="N1220" s="1"/>
      <c r="O1220" s="1"/>
      <c r="P1220" s="1"/>
      <c r="Q1220" s="1"/>
      <c r="R1220" s="1"/>
      <c r="S1220" s="1"/>
    </row>
    <row r="1221" ht="10.5" customHeight="1">
      <c r="A1221" s="1"/>
      <c r="B1221" s="238"/>
      <c r="C1221" s="136"/>
      <c r="D1221" s="136"/>
      <c r="E1221" s="276"/>
      <c r="F1221" s="276"/>
      <c r="G1221" s="250"/>
      <c r="H1221" s="30"/>
      <c r="I1221" s="30"/>
      <c r="J1221" s="30"/>
      <c r="K1221" s="55"/>
      <c r="L1221" s="1"/>
      <c r="M1221" s="1"/>
      <c r="N1221" s="1"/>
      <c r="O1221" s="1"/>
      <c r="P1221" s="1"/>
      <c r="Q1221" s="1"/>
      <c r="R1221" s="1"/>
      <c r="S1221" s="1"/>
    </row>
    <row r="1222" ht="10.5" customHeight="1">
      <c r="A1222" s="1"/>
      <c r="B1222" s="238">
        <v>1985.0</v>
      </c>
      <c r="C1222" s="136">
        <v>436.0</v>
      </c>
      <c r="D1222" s="136">
        <v>12.0</v>
      </c>
      <c r="E1222" s="276">
        <v>185.0</v>
      </c>
      <c r="F1222" s="276">
        <v>164.0</v>
      </c>
      <c r="G1222" s="250">
        <v>8.7</v>
      </c>
      <c r="H1222" s="30">
        <v>2055.0</v>
      </c>
      <c r="I1222" s="30">
        <v>7901.0</v>
      </c>
      <c r="J1222" s="30">
        <v>27745.0</v>
      </c>
      <c r="K1222" s="55" t="s">
        <v>93</v>
      </c>
      <c r="L1222" s="1"/>
      <c r="M1222" s="1"/>
      <c r="N1222" s="1"/>
      <c r="O1222" s="1"/>
      <c r="P1222" s="1"/>
      <c r="Q1222" s="1"/>
      <c r="R1222" s="1"/>
      <c r="S1222" s="1"/>
    </row>
    <row r="1223" ht="10.5" customHeight="1">
      <c r="A1223" s="1"/>
      <c r="B1223" s="238">
        <v>1986.0</v>
      </c>
      <c r="C1223" s="136">
        <v>450.0</v>
      </c>
      <c r="D1223" s="136">
        <v>43.0</v>
      </c>
      <c r="E1223" s="276">
        <v>201.0</v>
      </c>
      <c r="F1223" s="276">
        <v>199.5</v>
      </c>
      <c r="G1223" s="250">
        <v>9.6</v>
      </c>
      <c r="H1223" s="30">
        <v>8706.0</v>
      </c>
      <c r="I1223" s="30">
        <v>37932.0</v>
      </c>
      <c r="J1223" s="30">
        <v>34517.0</v>
      </c>
      <c r="K1223" s="55" t="s">
        <v>97</v>
      </c>
      <c r="L1223" s="1"/>
      <c r="M1223" s="1"/>
      <c r="N1223" s="1"/>
      <c r="O1223" s="1"/>
      <c r="P1223" s="1"/>
      <c r="Q1223" s="1"/>
      <c r="R1223" s="1"/>
      <c r="S1223" s="1"/>
    </row>
    <row r="1224" ht="10.5" customHeight="1">
      <c r="A1224" s="1"/>
      <c r="B1224" s="238">
        <v>1987.0</v>
      </c>
      <c r="C1224" s="136">
        <v>506.0</v>
      </c>
      <c r="D1224" s="136">
        <v>67.0</v>
      </c>
      <c r="E1224" s="276">
        <v>200.0</v>
      </c>
      <c r="F1224" s="276">
        <v>198.5</v>
      </c>
      <c r="G1224" s="250">
        <v>10.1</v>
      </c>
      <c r="H1224" s="30">
        <v>12847.0</v>
      </c>
      <c r="I1224" s="30">
        <v>32777.0</v>
      </c>
      <c r="J1224" s="30">
        <v>33636.0</v>
      </c>
      <c r="K1224" s="55" t="s">
        <v>101</v>
      </c>
      <c r="L1224" s="1"/>
      <c r="M1224" s="1"/>
      <c r="N1224" s="1"/>
      <c r="O1224" s="1"/>
      <c r="P1224" s="1"/>
      <c r="Q1224" s="1"/>
      <c r="R1224" s="1"/>
      <c r="S1224" s="1"/>
    </row>
    <row r="1225" ht="10.5" customHeight="1">
      <c r="A1225" s="1"/>
      <c r="B1225" s="238">
        <v>1988.0</v>
      </c>
      <c r="C1225" s="136">
        <v>573.0</v>
      </c>
      <c r="D1225" s="136">
        <v>43.0</v>
      </c>
      <c r="E1225" s="276">
        <v>180.0</v>
      </c>
      <c r="F1225" s="276">
        <v>178.0</v>
      </c>
      <c r="G1225" s="250">
        <v>9.4</v>
      </c>
      <c r="H1225" s="30">
        <v>7636.0</v>
      </c>
      <c r="I1225" s="30">
        <v>5332.0</v>
      </c>
      <c r="J1225" s="30">
        <v>34910.0</v>
      </c>
      <c r="K1225" s="55" t="s">
        <v>103</v>
      </c>
      <c r="L1225" s="1"/>
      <c r="M1225" s="1"/>
      <c r="N1225" s="1"/>
      <c r="O1225" s="1"/>
      <c r="P1225" s="1"/>
      <c r="Q1225" s="1"/>
      <c r="R1225" s="1"/>
      <c r="S1225" s="1"/>
    </row>
    <row r="1226" ht="10.5" customHeight="1">
      <c r="A1226" s="1"/>
      <c r="B1226" s="238">
        <v>1989.0</v>
      </c>
      <c r="C1226" s="136">
        <v>690.0</v>
      </c>
      <c r="D1226" s="136">
        <v>42.0</v>
      </c>
      <c r="E1226" s="276">
        <v>160.0</v>
      </c>
      <c r="F1226" s="276">
        <v>154.25</v>
      </c>
      <c r="G1226" s="250">
        <v>8.0</v>
      </c>
      <c r="H1226" s="30">
        <v>5899.0</v>
      </c>
      <c r="I1226" s="30">
        <v>3.0</v>
      </c>
      <c r="J1226" s="30">
        <v>26613.0</v>
      </c>
      <c r="K1226" s="55" t="s">
        <v>104</v>
      </c>
      <c r="L1226" s="1"/>
      <c r="M1226" s="1"/>
      <c r="N1226" s="1"/>
      <c r="O1226" s="1"/>
      <c r="P1226" s="1"/>
      <c r="Q1226" s="1"/>
      <c r="R1226" s="1"/>
      <c r="S1226" s="1"/>
    </row>
    <row r="1227" ht="10.5" customHeight="1">
      <c r="A1227" s="1"/>
      <c r="B1227" s="238"/>
      <c r="C1227" s="136"/>
      <c r="D1227" s="136"/>
      <c r="E1227" s="276"/>
      <c r="F1227" s="276"/>
      <c r="G1227" s="250"/>
      <c r="H1227" s="30"/>
      <c r="I1227" s="30"/>
      <c r="J1227" s="30"/>
      <c r="K1227" s="55"/>
      <c r="L1227" s="1"/>
      <c r="M1227" s="1"/>
      <c r="N1227" s="1"/>
      <c r="O1227" s="1"/>
      <c r="P1227" s="1"/>
      <c r="Q1227" s="1"/>
      <c r="R1227" s="1"/>
      <c r="S1227" s="1"/>
    </row>
    <row r="1228" ht="10.5" customHeight="1">
      <c r="A1228" s="1"/>
      <c r="B1228" s="238">
        <v>1990.0</v>
      </c>
      <c r="C1228" s="136">
        <v>720.0</v>
      </c>
      <c r="D1228" s="136">
        <v>42.0</v>
      </c>
      <c r="E1228" s="276">
        <v>159.2</v>
      </c>
      <c r="F1228" s="276">
        <v>152.98</v>
      </c>
      <c r="G1228" s="250">
        <v>7.9</v>
      </c>
      <c r="H1228" s="30">
        <v>6549.0</v>
      </c>
      <c r="I1228" s="30" t="s">
        <v>40</v>
      </c>
      <c r="J1228" s="30">
        <v>25247.0</v>
      </c>
      <c r="K1228" s="55" t="s">
        <v>108</v>
      </c>
      <c r="L1228" s="1"/>
      <c r="M1228" s="1"/>
      <c r="N1228" s="1"/>
      <c r="O1228" s="1"/>
      <c r="P1228" s="1"/>
      <c r="Q1228" s="1"/>
      <c r="R1228" s="1"/>
      <c r="S1228" s="1"/>
    </row>
    <row r="1229" ht="10.5" customHeight="1">
      <c r="A1229" s="1"/>
      <c r="B1229" s="238">
        <v>1991.0</v>
      </c>
      <c r="C1229" s="136">
        <v>832.0</v>
      </c>
      <c r="D1229" s="136">
        <v>39.0</v>
      </c>
      <c r="E1229" s="276">
        <v>248.75</v>
      </c>
      <c r="F1229" s="276">
        <v>223.67</v>
      </c>
      <c r="G1229" s="250">
        <v>11.0</v>
      </c>
      <c r="H1229" s="30">
        <v>10264.0</v>
      </c>
      <c r="I1229" s="30">
        <v>203.0</v>
      </c>
      <c r="J1229" s="30">
        <v>27310.0</v>
      </c>
      <c r="K1229" s="55" t="s">
        <v>111</v>
      </c>
      <c r="L1229" s="1"/>
      <c r="M1229" s="1"/>
      <c r="N1229" s="1"/>
      <c r="O1229" s="1"/>
      <c r="P1229" s="1"/>
      <c r="Q1229" s="1"/>
      <c r="R1229" s="1"/>
      <c r="S1229" s="1"/>
    </row>
    <row r="1230" ht="10.5" customHeight="1">
      <c r="A1230" s="1"/>
      <c r="B1230" s="238">
        <v>1992.0</v>
      </c>
      <c r="C1230" s="136">
        <v>856.0</v>
      </c>
      <c r="D1230" s="136">
        <v>45.0</v>
      </c>
      <c r="E1230" s="276">
        <v>300.0</v>
      </c>
      <c r="F1230" s="276">
        <v>264.34</v>
      </c>
      <c r="G1230" s="250">
        <v>13.3</v>
      </c>
      <c r="H1230" s="30">
        <v>13731.0</v>
      </c>
      <c r="I1230" s="30">
        <v>129.0</v>
      </c>
      <c r="J1230" s="30">
        <v>27964.0</v>
      </c>
      <c r="K1230" s="55" t="s">
        <v>112</v>
      </c>
      <c r="L1230" s="1"/>
      <c r="M1230" s="1"/>
      <c r="N1230" s="1"/>
      <c r="O1230" s="1"/>
      <c r="P1230" s="1"/>
      <c r="Q1230" s="1"/>
      <c r="R1230" s="1"/>
      <c r="S1230" s="1"/>
    </row>
    <row r="1231" ht="10.5" customHeight="1">
      <c r="A1231" s="1"/>
      <c r="B1231" s="238">
        <v>1993.0</v>
      </c>
      <c r="C1231" s="136">
        <v>822.0</v>
      </c>
      <c r="D1231" s="136">
        <v>47.0</v>
      </c>
      <c r="E1231" s="276">
        <v>327.0</v>
      </c>
      <c r="F1231" s="276">
        <v>306.1</v>
      </c>
      <c r="G1231" s="250">
        <v>15.3</v>
      </c>
      <c r="H1231" s="30">
        <v>13024.0</v>
      </c>
      <c r="I1231" s="30">
        <v>1056.0</v>
      </c>
      <c r="J1231" s="30">
        <v>26263.0</v>
      </c>
      <c r="K1231" s="55" t="s">
        <v>113</v>
      </c>
      <c r="L1231" s="1"/>
      <c r="M1231" s="1"/>
      <c r="N1231" s="1"/>
      <c r="O1231" s="1"/>
      <c r="P1231" s="1"/>
      <c r="Q1231" s="1"/>
      <c r="R1231" s="1"/>
      <c r="S1231" s="1"/>
    </row>
    <row r="1232" ht="10.5" customHeight="1">
      <c r="A1232" s="1"/>
      <c r="B1232" s="238">
        <v>1994.0</v>
      </c>
      <c r="C1232" s="136">
        <v>705.0</v>
      </c>
      <c r="D1232" s="136">
        <v>37.0</v>
      </c>
      <c r="E1232" s="276">
        <v>349.24</v>
      </c>
      <c r="F1232" s="276">
        <v>323.16</v>
      </c>
      <c r="G1232" s="250">
        <v>16.5</v>
      </c>
      <c r="H1232" s="30">
        <v>10811.0</v>
      </c>
      <c r="I1232" s="30" t="s">
        <v>40</v>
      </c>
      <c r="J1232" s="30">
        <v>26439.0</v>
      </c>
      <c r="K1232" s="55" t="s">
        <v>114</v>
      </c>
      <c r="L1232" s="1"/>
      <c r="M1232" s="1"/>
      <c r="N1232" s="1"/>
      <c r="O1232" s="1"/>
      <c r="P1232" s="1"/>
      <c r="Q1232" s="1"/>
      <c r="R1232" s="1"/>
      <c r="S1232" s="1"/>
    </row>
    <row r="1233" ht="10.5" customHeight="1">
      <c r="A1233" s="1"/>
      <c r="B1233" s="238"/>
      <c r="C1233" s="136"/>
      <c r="D1233" s="136"/>
      <c r="E1233" s="276"/>
      <c r="F1233" s="276"/>
      <c r="G1233" s="250"/>
      <c r="H1233" s="30"/>
      <c r="I1233" s="30"/>
      <c r="J1233" s="30"/>
      <c r="K1233" s="55"/>
      <c r="L1233" s="1"/>
      <c r="M1233" s="1"/>
      <c r="N1233" s="1"/>
      <c r="O1233" s="1"/>
      <c r="P1233" s="1"/>
      <c r="Q1233" s="1"/>
      <c r="R1233" s="1"/>
      <c r="S1233" s="1"/>
    </row>
    <row r="1234" ht="10.5" customHeight="1">
      <c r="A1234" s="1"/>
      <c r="B1234" s="238">
        <v>1995.0</v>
      </c>
      <c r="C1234" s="136">
        <v>698.0</v>
      </c>
      <c r="D1234" s="136">
        <v>38.0</v>
      </c>
      <c r="E1234" s="276">
        <v>352.03</v>
      </c>
      <c r="F1234" s="276">
        <v>307.26</v>
      </c>
      <c r="G1234" s="250">
        <v>15.7</v>
      </c>
      <c r="H1234" s="30">
        <v>10564.0</v>
      </c>
      <c r="I1234" s="30" t="s">
        <v>40</v>
      </c>
      <c r="J1234" s="30">
        <v>27222.0</v>
      </c>
      <c r="K1234" s="55" t="s">
        <v>115</v>
      </c>
      <c r="L1234" s="1"/>
      <c r="M1234" s="1"/>
      <c r="N1234" s="1"/>
      <c r="O1234" s="1"/>
      <c r="P1234" s="1"/>
      <c r="Q1234" s="1"/>
      <c r="R1234" s="1"/>
      <c r="S1234" s="1"/>
    </row>
    <row r="1235" ht="10.5" customHeight="1">
      <c r="A1235" s="1"/>
      <c r="B1235" s="238">
        <v>1996.0</v>
      </c>
      <c r="C1235" s="136">
        <v>677.0</v>
      </c>
      <c r="D1235" s="136">
        <v>33.0</v>
      </c>
      <c r="E1235" s="276">
        <v>387.23</v>
      </c>
      <c r="F1235" s="276">
        <v>341.95</v>
      </c>
      <c r="G1235" s="250">
        <v>17.4</v>
      </c>
      <c r="H1235" s="30">
        <v>10253.0</v>
      </c>
      <c r="I1235" s="30">
        <v>142.0</v>
      </c>
      <c r="J1235" s="30">
        <v>10492.0</v>
      </c>
      <c r="K1235" s="55" t="s">
        <v>117</v>
      </c>
      <c r="L1235" s="1"/>
      <c r="M1235" s="1"/>
      <c r="N1235" s="1"/>
      <c r="O1235" s="1"/>
      <c r="P1235" s="1"/>
      <c r="Q1235" s="1"/>
      <c r="R1235" s="1"/>
      <c r="S1235" s="1"/>
    </row>
    <row r="1236" ht="10.5" customHeight="1">
      <c r="A1236" s="1"/>
      <c r="B1236" s="238">
        <v>1997.0</v>
      </c>
      <c r="C1236" s="136">
        <v>703.0</v>
      </c>
      <c r="D1236" s="136">
        <v>30.0</v>
      </c>
      <c r="E1236" s="276">
        <v>328.05</v>
      </c>
      <c r="F1236" s="276" t="s">
        <v>106</v>
      </c>
      <c r="G1236" s="250">
        <v>16.8</v>
      </c>
      <c r="H1236" s="30">
        <v>9842.0</v>
      </c>
      <c r="I1236" s="30">
        <v>9247.0</v>
      </c>
      <c r="J1236" s="30">
        <v>27810.0</v>
      </c>
      <c r="K1236" s="55" t="s">
        <v>121</v>
      </c>
      <c r="L1236" s="1"/>
      <c r="M1236" s="1"/>
      <c r="N1236" s="1"/>
      <c r="O1236" s="1"/>
      <c r="P1236" s="1"/>
      <c r="Q1236" s="1"/>
      <c r="R1236" s="1"/>
      <c r="S1236" s="1"/>
    </row>
    <row r="1237" ht="10.5" customHeight="1">
      <c r="A1237" s="1"/>
      <c r="B1237" s="238">
        <v>1998.0</v>
      </c>
      <c r="C1237" s="136">
        <v>21.0</v>
      </c>
      <c r="D1237" s="136">
        <v>25.0</v>
      </c>
      <c r="E1237" s="276">
        <v>425.0</v>
      </c>
      <c r="F1237" s="276" t="s">
        <v>106</v>
      </c>
      <c r="G1237" s="250">
        <v>21.6</v>
      </c>
      <c r="H1237" s="30">
        <v>10756.0</v>
      </c>
      <c r="I1237" s="30">
        <v>10837.0</v>
      </c>
      <c r="J1237" s="30">
        <v>31381.0</v>
      </c>
      <c r="K1237" s="55" t="s">
        <v>122</v>
      </c>
      <c r="L1237" s="1"/>
      <c r="M1237" s="1"/>
      <c r="N1237" s="1"/>
      <c r="O1237" s="1"/>
      <c r="P1237" s="1"/>
      <c r="Q1237" s="1"/>
      <c r="R1237" s="1"/>
      <c r="S1237" s="1"/>
    </row>
    <row r="1238" ht="10.5" customHeight="1">
      <c r="A1238" s="1"/>
      <c r="B1238" s="238">
        <v>1999.0</v>
      </c>
      <c r="C1238" s="136">
        <v>22.0</v>
      </c>
      <c r="D1238" s="136">
        <v>22.0</v>
      </c>
      <c r="E1238" s="276">
        <v>552.0</v>
      </c>
      <c r="F1238" s="276" t="s">
        <v>106</v>
      </c>
      <c r="G1238" s="250">
        <v>35.5</v>
      </c>
      <c r="H1238" s="30">
        <v>12361.0</v>
      </c>
      <c r="I1238" s="30">
        <v>9500.0</v>
      </c>
      <c r="J1238" s="30">
        <v>32100.0</v>
      </c>
      <c r="K1238" s="564" t="s">
        <v>123</v>
      </c>
      <c r="L1238" s="1"/>
      <c r="M1238" s="1"/>
      <c r="N1238" s="1"/>
      <c r="O1238" s="1"/>
      <c r="P1238" s="1"/>
      <c r="Q1238" s="1"/>
      <c r="R1238" s="1"/>
      <c r="S1238" s="1"/>
    </row>
    <row r="1239" ht="10.5" customHeight="1">
      <c r="A1239" s="1"/>
      <c r="B1239" s="238"/>
      <c r="C1239" s="136"/>
      <c r="D1239" s="136"/>
      <c r="E1239" s="276"/>
      <c r="F1239" s="276"/>
      <c r="G1239" s="250"/>
      <c r="H1239" s="30"/>
      <c r="I1239" s="30"/>
      <c r="J1239" s="30"/>
      <c r="K1239" s="55"/>
      <c r="L1239" s="1"/>
      <c r="M1239" s="1"/>
      <c r="N1239" s="1"/>
      <c r="O1239" s="1"/>
      <c r="P1239" s="1"/>
      <c r="Q1239" s="1"/>
      <c r="R1239" s="1"/>
      <c r="S1239" s="1"/>
    </row>
    <row r="1240" ht="10.5" customHeight="1">
      <c r="A1240" s="1"/>
      <c r="B1240" s="238">
        <v>2000.0</v>
      </c>
      <c r="C1240" s="169" t="s">
        <v>10</v>
      </c>
      <c r="D1240" s="136">
        <v>33.0</v>
      </c>
      <c r="E1240" s="276">
        <v>727.33</v>
      </c>
      <c r="F1240" s="276" t="s">
        <v>106</v>
      </c>
      <c r="G1240" s="250">
        <v>34.1</v>
      </c>
      <c r="H1240" s="30">
        <v>24002.0</v>
      </c>
      <c r="I1240" s="30">
        <v>9900.0</v>
      </c>
      <c r="J1240" s="30">
        <v>29900.0</v>
      </c>
      <c r="K1240" s="55" t="s">
        <v>125</v>
      </c>
      <c r="L1240" s="1"/>
      <c r="M1240" s="1"/>
      <c r="N1240" s="1"/>
      <c r="O1240" s="1"/>
      <c r="P1240" s="1"/>
      <c r="Q1240" s="1"/>
      <c r="R1240" s="1"/>
      <c r="S1240" s="1"/>
    </row>
    <row r="1241" ht="10.5" customHeight="1">
      <c r="A1241" s="1"/>
      <c r="B1241" s="238">
        <v>2001.0</v>
      </c>
      <c r="C1241" s="169" t="s">
        <v>10</v>
      </c>
      <c r="D1241" s="136">
        <v>51.0</v>
      </c>
      <c r="E1241" s="276">
        <v>847.0</v>
      </c>
      <c r="F1241" s="276" t="s">
        <v>106</v>
      </c>
      <c r="G1241" s="250">
        <v>41.7</v>
      </c>
      <c r="H1241" s="30">
        <v>42895.0</v>
      </c>
      <c r="I1241" s="30">
        <v>15900.0</v>
      </c>
      <c r="J1241" s="30">
        <v>31800.0</v>
      </c>
      <c r="K1241" s="55" t="s">
        <v>127</v>
      </c>
      <c r="L1241" s="1"/>
      <c r="M1241" s="1"/>
      <c r="N1241" s="1"/>
      <c r="O1241" s="1"/>
      <c r="P1241" s="1"/>
      <c r="Q1241" s="1"/>
      <c r="R1241" s="1"/>
      <c r="S1241" s="1"/>
    </row>
    <row r="1242" ht="10.5" customHeight="1">
      <c r="A1242" s="1"/>
      <c r="B1242" s="238">
        <v>2002.0</v>
      </c>
      <c r="C1242" s="169" t="s">
        <v>10</v>
      </c>
      <c r="D1242" s="136">
        <v>58.0</v>
      </c>
      <c r="E1242" s="276">
        <v>950.0</v>
      </c>
      <c r="F1242" s="289" t="s">
        <v>106</v>
      </c>
      <c r="G1242" s="250">
        <v>47.2</v>
      </c>
      <c r="H1242" s="30">
        <v>55306.0</v>
      </c>
      <c r="I1242" s="30">
        <v>23400.0</v>
      </c>
      <c r="J1242" s="30">
        <v>34700.0</v>
      </c>
      <c r="K1242" s="55" t="s">
        <v>128</v>
      </c>
      <c r="L1242" s="1"/>
      <c r="M1242" s="1"/>
      <c r="N1242" s="1"/>
      <c r="O1242" s="1"/>
      <c r="P1242" s="1"/>
      <c r="Q1242" s="1"/>
      <c r="R1242" s="1"/>
      <c r="S1242" s="1"/>
    </row>
    <row r="1243" ht="10.5" customHeight="1">
      <c r="A1243" s="1"/>
      <c r="B1243" s="238">
        <v>2003.0</v>
      </c>
      <c r="C1243" s="169" t="s">
        <v>10</v>
      </c>
      <c r="D1243" s="136">
        <v>33.0</v>
      </c>
      <c r="E1243" s="276">
        <v>1100.0</v>
      </c>
      <c r="F1243" s="289" t="s">
        <v>106</v>
      </c>
      <c r="G1243" s="250">
        <v>54.2</v>
      </c>
      <c r="H1243" s="30">
        <v>36164.0</v>
      </c>
      <c r="I1243" s="30">
        <v>16400.0</v>
      </c>
      <c r="J1243" s="30">
        <v>40100.0</v>
      </c>
      <c r="K1243" s="55" t="s">
        <v>129</v>
      </c>
      <c r="L1243" s="1"/>
      <c r="M1243" s="1"/>
      <c r="N1243" s="1"/>
      <c r="O1243" s="1"/>
      <c r="P1243" s="1"/>
      <c r="Q1243" s="1"/>
      <c r="R1243" s="1"/>
      <c r="S1243" s="1"/>
    </row>
    <row r="1244" ht="10.5" customHeight="1">
      <c r="A1244" s="1"/>
      <c r="B1244" s="238">
        <v>2004.0</v>
      </c>
      <c r="C1244" s="169" t="s">
        <v>10</v>
      </c>
      <c r="D1244" s="136">
        <v>37.0</v>
      </c>
      <c r="E1244" s="276">
        <v>1050.0</v>
      </c>
      <c r="F1244" s="289" t="s">
        <v>106</v>
      </c>
      <c r="G1244" s="250">
        <v>53.6</v>
      </c>
      <c r="H1244" s="30">
        <v>38784.0</v>
      </c>
      <c r="I1244" s="30">
        <v>11600.0</v>
      </c>
      <c r="J1244" s="30">
        <v>41300.0</v>
      </c>
      <c r="K1244" s="55" t="s">
        <v>130</v>
      </c>
      <c r="L1244" s="1"/>
      <c r="M1244" s="1"/>
      <c r="N1244" s="1"/>
      <c r="O1244" s="1"/>
      <c r="P1244" s="1"/>
      <c r="Q1244" s="1"/>
      <c r="R1244" s="1"/>
      <c r="S1244" s="1"/>
    </row>
    <row r="1245" ht="10.5" customHeight="1">
      <c r="A1245" s="1"/>
      <c r="B1245" s="238"/>
      <c r="C1245" s="169"/>
      <c r="D1245" s="136"/>
      <c r="E1245" s="276"/>
      <c r="F1245" s="289"/>
      <c r="G1245" s="250"/>
      <c r="H1245" s="30"/>
      <c r="I1245" s="30"/>
      <c r="J1245" s="30"/>
      <c r="K1245" s="55"/>
      <c r="L1245" s="1"/>
      <c r="M1245" s="1"/>
      <c r="N1245" s="1"/>
      <c r="O1245" s="1"/>
      <c r="P1245" s="1"/>
      <c r="Q1245" s="1"/>
      <c r="R1245" s="1"/>
      <c r="S1245" s="1"/>
    </row>
    <row r="1246" ht="11.25" customHeight="1">
      <c r="A1246" s="1"/>
      <c r="B1246" s="238">
        <v>2005.0</v>
      </c>
      <c r="C1246" s="169" t="s">
        <v>10</v>
      </c>
      <c r="D1246" s="169">
        <v>34.0</v>
      </c>
      <c r="E1246" s="289">
        <v>925.09</v>
      </c>
      <c r="F1246" s="289" t="s">
        <v>106</v>
      </c>
      <c r="G1246" s="54">
        <v>48.3</v>
      </c>
      <c r="H1246" s="33">
        <v>31675.0</v>
      </c>
      <c r="I1246" s="33">
        <v>31100.0</v>
      </c>
      <c r="J1246" s="33">
        <v>40500.0</v>
      </c>
      <c r="K1246" s="238" t="s">
        <v>131</v>
      </c>
      <c r="L1246" s="1"/>
      <c r="M1246" s="1"/>
      <c r="N1246" s="1"/>
      <c r="O1246" s="1"/>
      <c r="P1246" s="1"/>
      <c r="Q1246" s="1"/>
      <c r="R1246" s="1"/>
      <c r="S1246" s="1"/>
    </row>
    <row r="1247" ht="10.5" customHeight="1">
      <c r="A1247" s="1"/>
      <c r="B1247" s="238">
        <v>2006.0</v>
      </c>
      <c r="C1247" s="169" t="s">
        <v>10</v>
      </c>
      <c r="D1247" s="169">
        <v>40.0</v>
      </c>
      <c r="E1247" s="289">
        <v>979.38</v>
      </c>
      <c r="F1247" s="289" t="s">
        <v>106</v>
      </c>
      <c r="G1247" s="54">
        <v>52.0</v>
      </c>
      <c r="H1247" s="33">
        <v>39371.0</v>
      </c>
      <c r="I1247" s="33">
        <v>41000.0</v>
      </c>
      <c r="J1247" s="33">
        <v>43200.0</v>
      </c>
      <c r="K1247" s="238" t="s">
        <v>133</v>
      </c>
      <c r="L1247" s="1"/>
      <c r="M1247" s="1"/>
      <c r="N1247" s="1"/>
      <c r="O1247" s="1"/>
      <c r="P1247" s="1"/>
      <c r="Q1247" s="1"/>
      <c r="R1247" s="1"/>
      <c r="S1247" s="1"/>
    </row>
    <row r="1248" ht="10.5" customHeight="1">
      <c r="A1248" s="1"/>
      <c r="B1248" s="238">
        <v>2007.0</v>
      </c>
      <c r="C1248" s="169" t="s">
        <v>10</v>
      </c>
      <c r="D1248" s="169">
        <v>42.0</v>
      </c>
      <c r="E1248" s="289">
        <v>1635.66</v>
      </c>
      <c r="F1248" s="289" t="s">
        <v>106</v>
      </c>
      <c r="G1248" s="54">
        <v>80.7</v>
      </c>
      <c r="H1248" s="33">
        <v>68534.0</v>
      </c>
      <c r="I1248" s="33">
        <v>39100.0</v>
      </c>
      <c r="J1248" s="33">
        <v>39800.0</v>
      </c>
      <c r="K1248" s="238" t="s">
        <v>134</v>
      </c>
      <c r="L1248" s="1"/>
      <c r="M1248" s="1"/>
      <c r="N1248" s="1"/>
      <c r="O1248" s="1"/>
      <c r="P1248" s="1"/>
      <c r="Q1248" s="1"/>
      <c r="R1248" s="1"/>
      <c r="S1248" s="1"/>
    </row>
    <row r="1249" ht="12.75" customHeight="1">
      <c r="A1249" s="1"/>
      <c r="B1249" s="238">
        <v>2008.0</v>
      </c>
      <c r="C1249" s="169" t="s">
        <v>10</v>
      </c>
      <c r="D1249" s="169">
        <v>27.0</v>
      </c>
      <c r="E1249" s="289">
        <v>2055.41</v>
      </c>
      <c r="F1249" s="289" t="s">
        <v>106</v>
      </c>
      <c r="G1249" s="54">
        <v>94.9</v>
      </c>
      <c r="H1249" s="33">
        <v>55290.0</v>
      </c>
      <c r="I1249" s="33">
        <v>25900.0</v>
      </c>
      <c r="J1249" s="33">
        <v>43400.0</v>
      </c>
      <c r="K1249" s="293">
        <v>39692.0</v>
      </c>
      <c r="L1249" s="1"/>
      <c r="M1249" s="1"/>
      <c r="N1249" s="1"/>
      <c r="O1249" s="1"/>
      <c r="P1249" s="1"/>
      <c r="Q1249" s="1"/>
      <c r="R1249" s="1"/>
      <c r="S1249" s="1"/>
    </row>
    <row r="1250" ht="12.0" customHeight="1">
      <c r="A1250" s="1"/>
      <c r="B1250" s="238">
        <v>2009.0</v>
      </c>
      <c r="C1250" s="169" t="s">
        <v>10</v>
      </c>
      <c r="D1250" s="169">
        <v>37.0</v>
      </c>
      <c r="E1250" s="289">
        <v>1297.47</v>
      </c>
      <c r="F1250" s="289" t="s">
        <v>106</v>
      </c>
      <c r="G1250" s="54">
        <v>91.2</v>
      </c>
      <c r="H1250" s="33">
        <v>48266.0</v>
      </c>
      <c r="I1250" s="33">
        <v>37400.0</v>
      </c>
      <c r="J1250" s="33">
        <v>44400.0</v>
      </c>
      <c r="K1250" s="293">
        <v>40087.0</v>
      </c>
      <c r="L1250" s="1"/>
      <c r="M1250" s="1"/>
      <c r="N1250" s="1"/>
      <c r="O1250" s="1"/>
      <c r="P1250" s="1"/>
      <c r="Q1250" s="1"/>
      <c r="R1250" s="1"/>
      <c r="S1250" s="1"/>
    </row>
    <row r="1251" ht="11.25" customHeight="1">
      <c r="A1251" s="1"/>
      <c r="B1251" s="238"/>
      <c r="C1251" s="169"/>
      <c r="D1251" s="169"/>
      <c r="E1251" s="289"/>
      <c r="F1251" s="289"/>
      <c r="G1251" s="54"/>
      <c r="H1251" s="33"/>
      <c r="I1251" s="33"/>
      <c r="J1251" s="33"/>
      <c r="K1251" s="293"/>
      <c r="L1251" s="1"/>
      <c r="M1251" s="1"/>
      <c r="N1251" s="1"/>
      <c r="O1251" s="1"/>
      <c r="P1251" s="1"/>
      <c r="Q1251" s="1"/>
      <c r="R1251" s="1"/>
      <c r="S1251" s="1"/>
    </row>
    <row r="1252" ht="12.0" customHeight="1">
      <c r="A1252" s="1"/>
      <c r="B1252" s="238">
        <v>2010.0</v>
      </c>
      <c r="C1252" s="169" t="s">
        <v>10</v>
      </c>
      <c r="D1252" s="169">
        <v>34.0</v>
      </c>
      <c r="E1252" s="289">
        <v>2170.08</v>
      </c>
      <c r="F1252" s="289" t="s">
        <v>106</v>
      </c>
      <c r="G1252" s="54">
        <v>109.8</v>
      </c>
      <c r="H1252" s="33">
        <v>73783.0</v>
      </c>
      <c r="I1252" s="33">
        <v>34000.0</v>
      </c>
      <c r="J1252" s="33">
        <v>44600.0</v>
      </c>
      <c r="K1252" s="293">
        <v>40483.0</v>
      </c>
      <c r="L1252" s="1"/>
      <c r="M1252" s="1"/>
      <c r="N1252" s="1"/>
      <c r="O1252" s="1"/>
      <c r="P1252" s="1"/>
      <c r="Q1252" s="1"/>
      <c r="R1252" s="1"/>
      <c r="S1252" s="1"/>
    </row>
    <row r="1253" ht="11.25" customHeight="1">
      <c r="A1253" s="1"/>
      <c r="B1253" s="238">
        <v>2011.0</v>
      </c>
      <c r="C1253" s="169" t="s">
        <v>10</v>
      </c>
      <c r="D1253" s="169">
        <v>66.0</v>
      </c>
      <c r="E1253" s="289">
        <v>2003.1</v>
      </c>
      <c r="F1253" s="289" t="s">
        <v>106</v>
      </c>
      <c r="G1253" s="54">
        <v>118.4</v>
      </c>
      <c r="H1253" s="33" t="s">
        <v>946</v>
      </c>
      <c r="I1253" s="33" t="s">
        <v>947</v>
      </c>
      <c r="J1253" s="33">
        <v>45200.0</v>
      </c>
      <c r="K1253" s="293">
        <v>40878.0</v>
      </c>
      <c r="L1253" s="1"/>
      <c r="M1253" s="1"/>
      <c r="N1253" s="1"/>
      <c r="O1253" s="1"/>
      <c r="P1253" s="1"/>
      <c r="Q1253" s="1"/>
      <c r="R1253" s="1"/>
      <c r="S1253" s="1"/>
    </row>
    <row r="1254" ht="10.5" customHeight="1">
      <c r="A1254" s="1"/>
      <c r="B1254" s="238">
        <v>2012.0</v>
      </c>
      <c r="C1254" s="169" t="s">
        <v>10</v>
      </c>
      <c r="D1254" s="169">
        <v>57.0</v>
      </c>
      <c r="E1254" s="289">
        <v>2051.58</v>
      </c>
      <c r="F1254" s="289" t="s">
        <v>106</v>
      </c>
      <c r="G1254" s="54">
        <v>107.0</v>
      </c>
      <c r="H1254" s="33">
        <v>116427.0</v>
      </c>
      <c r="I1254" s="33" t="s">
        <v>948</v>
      </c>
      <c r="J1254" s="33" t="s">
        <v>949</v>
      </c>
      <c r="K1254" s="11" t="s">
        <v>149</v>
      </c>
      <c r="L1254" s="1"/>
      <c r="M1254" s="1"/>
      <c r="N1254" s="1"/>
      <c r="O1254" s="1"/>
      <c r="P1254" s="1"/>
      <c r="Q1254" s="1"/>
      <c r="R1254" s="1"/>
      <c r="S1254" s="1"/>
    </row>
    <row r="1255" ht="10.5" customHeight="1">
      <c r="A1255" s="1"/>
      <c r="B1255" s="238">
        <v>2013.0</v>
      </c>
      <c r="C1255" s="169" t="s">
        <v>10</v>
      </c>
      <c r="D1255" s="169">
        <v>28.0</v>
      </c>
      <c r="E1255" s="289">
        <v>2270.5</v>
      </c>
      <c r="F1255" s="289" t="s">
        <v>106</v>
      </c>
      <c r="G1255" s="54">
        <v>117.0</v>
      </c>
      <c r="H1255" s="33">
        <v>64189.0</v>
      </c>
      <c r="I1255" s="33">
        <v>28297.0</v>
      </c>
      <c r="J1255" s="33">
        <v>56015.0</v>
      </c>
      <c r="K1255" s="11" t="s">
        <v>151</v>
      </c>
      <c r="L1255" s="1"/>
      <c r="M1255" s="1"/>
      <c r="N1255" s="1"/>
      <c r="O1255" s="1"/>
      <c r="P1255" s="1"/>
      <c r="Q1255" s="1"/>
      <c r="R1255" s="1"/>
      <c r="S1255" s="1"/>
    </row>
    <row r="1256" ht="10.5" customHeight="1">
      <c r="A1256" s="1"/>
      <c r="B1256" s="238">
        <v>2014.0</v>
      </c>
      <c r="C1256" s="169" t="s">
        <v>10</v>
      </c>
      <c r="D1256" s="169">
        <v>24.0</v>
      </c>
      <c r="E1256" s="289">
        <v>2945.49</v>
      </c>
      <c r="F1256" s="289" t="s">
        <v>106</v>
      </c>
      <c r="G1256" s="54">
        <v>162.0</v>
      </c>
      <c r="H1256" s="33">
        <v>70268.0</v>
      </c>
      <c r="I1256" s="33">
        <v>23856.0</v>
      </c>
      <c r="J1256" s="33">
        <v>50512.0</v>
      </c>
      <c r="K1256" s="11" t="s">
        <v>153</v>
      </c>
      <c r="L1256" s="1"/>
      <c r="M1256" s="1"/>
      <c r="N1256" s="1"/>
      <c r="O1256" s="1"/>
      <c r="P1256" s="1"/>
      <c r="Q1256" s="1"/>
      <c r="R1256" s="1"/>
      <c r="S1256" s="1"/>
    </row>
    <row r="1257" ht="10.5" customHeight="1">
      <c r="A1257" s="1"/>
      <c r="B1257" s="238"/>
      <c r="C1257" s="169"/>
      <c r="D1257" s="169"/>
      <c r="E1257" s="289"/>
      <c r="F1257" s="289"/>
      <c r="G1257" s="54"/>
      <c r="H1257" s="33"/>
      <c r="I1257" s="33"/>
      <c r="J1257" s="33"/>
      <c r="K1257" s="11"/>
      <c r="L1257" s="1"/>
      <c r="M1257" s="1"/>
      <c r="N1257" s="1"/>
      <c r="O1257" s="1"/>
      <c r="P1257" s="1"/>
      <c r="Q1257" s="1"/>
      <c r="R1257" s="1"/>
      <c r="S1257" s="1"/>
    </row>
    <row r="1258" ht="10.5" customHeight="1">
      <c r="A1258" s="1"/>
      <c r="B1258" s="238">
        <v>2015.0</v>
      </c>
      <c r="C1258" s="169" t="s">
        <v>10</v>
      </c>
      <c r="D1258" s="169">
        <v>38.0</v>
      </c>
      <c r="E1258" s="289">
        <v>4153.08</v>
      </c>
      <c r="F1258" s="289" t="s">
        <v>106</v>
      </c>
      <c r="G1258" s="54">
        <v>202.0</v>
      </c>
      <c r="H1258" s="33">
        <v>159740.0</v>
      </c>
      <c r="I1258" s="33">
        <v>38463.0</v>
      </c>
      <c r="J1258" s="33">
        <v>61958.0</v>
      </c>
      <c r="K1258" s="11" t="s">
        <v>155</v>
      </c>
      <c r="L1258" s="1"/>
      <c r="M1258" s="1"/>
      <c r="N1258" s="1"/>
      <c r="O1258" s="1"/>
      <c r="P1258" s="1"/>
      <c r="Q1258" s="1"/>
      <c r="R1258" s="1"/>
      <c r="S1258" s="1"/>
    </row>
    <row r="1259" ht="10.5" customHeight="1">
      <c r="A1259" s="1"/>
      <c r="B1259" s="11" t="s">
        <v>59</v>
      </c>
      <c r="C1259" s="169" t="s">
        <v>10</v>
      </c>
      <c r="D1259" s="169">
        <v>56.0</v>
      </c>
      <c r="E1259" s="289">
        <v>2738.69</v>
      </c>
      <c r="F1259" s="289" t="s">
        <v>106</v>
      </c>
      <c r="G1259" s="54">
        <v>163.1</v>
      </c>
      <c r="H1259" s="33">
        <v>152241.0</v>
      </c>
      <c r="I1259" s="33">
        <v>55589.0</v>
      </c>
      <c r="J1259" s="33">
        <v>59379.0</v>
      </c>
      <c r="K1259" s="11" t="s">
        <v>160</v>
      </c>
      <c r="L1259" s="1"/>
      <c r="M1259" s="1"/>
      <c r="N1259" s="1"/>
      <c r="O1259" s="1"/>
      <c r="P1259" s="1"/>
      <c r="Q1259" s="1"/>
      <c r="R1259" s="1"/>
      <c r="S1259" s="1"/>
    </row>
    <row r="1260" ht="10.5" customHeight="1">
      <c r="A1260" s="1"/>
      <c r="B1260" s="52" t="s">
        <v>950</v>
      </c>
      <c r="C1260" s="260" t="s">
        <v>10</v>
      </c>
      <c r="D1260" s="260" t="s">
        <v>10</v>
      </c>
      <c r="E1260" s="290" t="s">
        <v>10</v>
      </c>
      <c r="F1260" s="290" t="s">
        <v>106</v>
      </c>
      <c r="G1260" s="107" t="s">
        <v>10</v>
      </c>
      <c r="H1260" s="57" t="s">
        <v>10</v>
      </c>
      <c r="I1260" s="57">
        <v>22800.0</v>
      </c>
      <c r="J1260" s="57">
        <v>51531.0</v>
      </c>
      <c r="K1260" s="52" t="s">
        <v>162</v>
      </c>
      <c r="L1260" s="1"/>
      <c r="M1260" s="1"/>
      <c r="N1260" s="1"/>
      <c r="O1260" s="1"/>
      <c r="P1260" s="1"/>
      <c r="Q1260" s="1"/>
      <c r="R1260" s="1"/>
      <c r="S1260" s="1"/>
    </row>
    <row r="1261" ht="6.0" customHeight="1">
      <c r="A1261" s="1"/>
      <c r="B1261" s="573"/>
      <c r="C1261" s="573"/>
      <c r="D1261" s="573"/>
      <c r="E1261" s="573"/>
      <c r="F1261" s="573"/>
      <c r="G1261" s="573"/>
      <c r="H1261" s="306"/>
      <c r="I1261" s="242"/>
      <c r="J1261" s="1"/>
      <c r="K1261" s="58"/>
      <c r="L1261" s="1"/>
      <c r="M1261" s="1"/>
      <c r="N1261" s="1"/>
      <c r="O1261" s="1"/>
      <c r="P1261" s="1"/>
      <c r="Q1261" s="1"/>
      <c r="R1261" s="1"/>
      <c r="S1261" s="1"/>
    </row>
    <row r="1262" ht="10.5" customHeight="1">
      <c r="A1262" s="1"/>
      <c r="B1262" s="185" t="s">
        <v>951</v>
      </c>
      <c r="C1262" s="322"/>
      <c r="D1262" s="322"/>
      <c r="E1262" s="23"/>
      <c r="F1262" s="23"/>
      <c r="G1262" s="23"/>
      <c r="H1262" s="15"/>
      <c r="I1262" s="1"/>
      <c r="J1262" s="1"/>
      <c r="K1262" s="1"/>
      <c r="L1262" s="1"/>
      <c r="M1262" s="1"/>
      <c r="N1262" s="1"/>
      <c r="O1262" s="1"/>
      <c r="P1262" s="1"/>
      <c r="Q1262" s="1"/>
      <c r="R1262" s="1"/>
      <c r="S1262" s="1"/>
    </row>
    <row r="1263" ht="10.5" customHeight="1">
      <c r="A1263" s="1"/>
      <c r="B1263" s="185" t="s">
        <v>952</v>
      </c>
      <c r="C1263" s="185"/>
      <c r="D1263" s="185"/>
      <c r="E1263" s="1"/>
      <c r="F1263" s="1"/>
      <c r="G1263" s="1"/>
      <c r="H1263" s="1"/>
      <c r="I1263" s="1"/>
      <c r="J1263" s="1"/>
      <c r="K1263" s="1"/>
      <c r="L1263" s="1"/>
      <c r="M1263" s="1"/>
      <c r="N1263" s="1"/>
      <c r="O1263" s="1"/>
      <c r="P1263" s="1"/>
      <c r="Q1263" s="1"/>
      <c r="R1263" s="1"/>
      <c r="S1263" s="1"/>
    </row>
    <row r="1264" ht="10.5" customHeight="1">
      <c r="A1264" s="1"/>
      <c r="B1264" s="185" t="s">
        <v>953</v>
      </c>
      <c r="C1264" s="185"/>
      <c r="D1264" s="185"/>
      <c r="E1264" s="1"/>
      <c r="F1264" s="1"/>
      <c r="G1264" s="1"/>
      <c r="H1264" s="1"/>
      <c r="I1264" s="1"/>
      <c r="J1264" s="1"/>
      <c r="K1264" s="1"/>
      <c r="L1264" s="1"/>
      <c r="M1264" s="1"/>
      <c r="N1264" s="1"/>
      <c r="O1264" s="1"/>
      <c r="P1264" s="1"/>
      <c r="Q1264" s="1"/>
      <c r="R1264" s="1"/>
      <c r="S1264" s="1"/>
    </row>
    <row r="1265" ht="10.5" customHeight="1">
      <c r="A1265" s="1"/>
      <c r="B1265" s="185" t="s">
        <v>954</v>
      </c>
      <c r="C1265" s="185"/>
      <c r="D1265" s="185"/>
      <c r="E1265" s="1"/>
      <c r="F1265" s="1"/>
      <c r="G1265" s="1"/>
      <c r="H1265" s="1"/>
      <c r="I1265" s="1"/>
      <c r="J1265" s="1"/>
      <c r="K1265" s="1"/>
      <c r="L1265" s="1"/>
      <c r="M1265" s="1"/>
      <c r="N1265" s="1"/>
      <c r="O1265" s="1"/>
      <c r="P1265" s="1"/>
      <c r="Q1265" s="1"/>
      <c r="R1265" s="1"/>
      <c r="S1265" s="1"/>
    </row>
    <row r="1266" ht="10.5" customHeight="1">
      <c r="A1266" s="1"/>
      <c r="B1266" s="185" t="s">
        <v>955</v>
      </c>
      <c r="C1266" s="185"/>
      <c r="D1266" s="185"/>
      <c r="E1266" s="1"/>
      <c r="F1266" s="1"/>
      <c r="G1266" s="1"/>
      <c r="H1266" s="1"/>
      <c r="I1266" s="1"/>
      <c r="J1266" s="1"/>
      <c r="K1266" s="1"/>
      <c r="L1266" s="1"/>
      <c r="M1266" s="1"/>
      <c r="N1266" s="1"/>
      <c r="O1266" s="1"/>
      <c r="P1266" s="1"/>
      <c r="Q1266" s="1"/>
      <c r="R1266" s="1"/>
      <c r="S1266" s="1"/>
    </row>
    <row r="1267" ht="10.5" customHeight="1">
      <c r="A1267" s="1"/>
      <c r="B1267" s="185" t="s">
        <v>956</v>
      </c>
      <c r="E1267" s="1"/>
      <c r="F1267" s="1"/>
      <c r="G1267" s="1"/>
      <c r="H1267" s="1"/>
      <c r="I1267" s="1"/>
      <c r="J1267" s="1"/>
      <c r="K1267" s="1"/>
      <c r="L1267" s="1"/>
      <c r="M1267" s="1"/>
      <c r="N1267" s="1"/>
      <c r="O1267" s="1"/>
      <c r="P1267" s="1"/>
      <c r="Q1267" s="1"/>
      <c r="R1267" s="1"/>
      <c r="S1267" s="1"/>
    </row>
    <row r="1268" ht="10.5" customHeight="1">
      <c r="A1268" s="1"/>
      <c r="B1268" s="185" t="s">
        <v>957</v>
      </c>
      <c r="E1268" s="1"/>
      <c r="F1268" s="1"/>
      <c r="G1268" s="1"/>
      <c r="H1268" s="1"/>
      <c r="I1268" s="1"/>
      <c r="J1268" s="1"/>
      <c r="K1268" s="1"/>
      <c r="L1268" s="1"/>
      <c r="M1268" s="1"/>
      <c r="N1268" s="1"/>
      <c r="O1268" s="1"/>
      <c r="P1268" s="1"/>
      <c r="Q1268" s="1"/>
      <c r="R1268" s="1"/>
      <c r="S1268" s="1"/>
    </row>
    <row r="1269" ht="10.5" customHeight="1">
      <c r="A1269" s="1"/>
      <c r="B1269" s="60"/>
      <c r="C1269" s="60"/>
      <c r="D1269" s="60"/>
      <c r="E1269" s="1"/>
      <c r="F1269" s="1"/>
      <c r="G1269" s="1"/>
      <c r="H1269" s="1"/>
      <c r="I1269" s="1"/>
      <c r="J1269" s="1"/>
      <c r="K1269" s="1"/>
      <c r="L1269" s="1"/>
      <c r="M1269" s="1"/>
      <c r="N1269" s="1"/>
      <c r="O1269" s="1"/>
      <c r="P1269" s="1"/>
      <c r="Q1269" s="1"/>
      <c r="R1269" s="1"/>
      <c r="S1269" s="1"/>
    </row>
    <row r="1270" ht="10.5" customHeight="1">
      <c r="A1270" s="1"/>
      <c r="B1270" s="60"/>
      <c r="C1270" s="60"/>
      <c r="D1270" s="60"/>
      <c r="E1270" s="1"/>
      <c r="F1270" s="1"/>
      <c r="G1270" s="1"/>
      <c r="H1270" s="1"/>
      <c r="I1270" s="1"/>
      <c r="J1270" s="1"/>
      <c r="K1270" s="1"/>
      <c r="L1270" s="1"/>
      <c r="M1270" s="1"/>
      <c r="N1270" s="1"/>
      <c r="O1270" s="1"/>
      <c r="P1270" s="1"/>
      <c r="Q1270" s="1"/>
      <c r="R1270" s="1"/>
      <c r="S1270" s="1"/>
    </row>
    <row r="1271" ht="10.5" customHeight="1">
      <c r="A1271" s="1"/>
      <c r="B1271" s="60"/>
      <c r="C1271" s="60"/>
      <c r="D1271" s="60"/>
      <c r="E1271" s="1"/>
      <c r="F1271" s="1"/>
      <c r="G1271" s="1"/>
      <c r="H1271" s="1"/>
      <c r="I1271" s="1"/>
      <c r="J1271" s="1"/>
      <c r="K1271" s="1"/>
      <c r="L1271" s="1"/>
      <c r="M1271" s="1"/>
      <c r="N1271" s="1"/>
      <c r="O1271" s="1"/>
      <c r="P1271" s="1"/>
      <c r="Q1271" s="1"/>
      <c r="R1271" s="1"/>
      <c r="S1271" s="1"/>
    </row>
    <row r="1272" ht="10.5" customHeight="1">
      <c r="A1272" s="1"/>
      <c r="B1272" s="60"/>
      <c r="C1272" s="60"/>
      <c r="D1272" s="60"/>
      <c r="E1272" s="1"/>
      <c r="F1272" s="1"/>
      <c r="G1272" s="1"/>
      <c r="H1272" s="1"/>
      <c r="I1272" s="1"/>
      <c r="J1272" s="1"/>
      <c r="K1272" s="1"/>
      <c r="L1272" s="1"/>
      <c r="M1272" s="1"/>
      <c r="N1272" s="1"/>
      <c r="O1272" s="1"/>
      <c r="P1272" s="1"/>
      <c r="Q1272" s="1"/>
      <c r="R1272" s="1"/>
      <c r="S1272" s="1"/>
    </row>
    <row r="1273" ht="10.5" customHeight="1">
      <c r="A1273" s="1"/>
      <c r="B1273" s="60"/>
      <c r="C1273" s="60"/>
      <c r="D1273" s="60"/>
      <c r="E1273" s="1"/>
      <c r="F1273" s="1"/>
      <c r="G1273" s="1"/>
      <c r="H1273" s="1"/>
      <c r="I1273" s="1"/>
      <c r="J1273" s="1"/>
      <c r="K1273" s="1"/>
      <c r="L1273" s="1"/>
      <c r="M1273" s="1"/>
      <c r="N1273" s="1"/>
      <c r="O1273" s="1"/>
      <c r="P1273" s="1"/>
      <c r="Q1273" s="1"/>
      <c r="R1273" s="1"/>
      <c r="S1273" s="1"/>
    </row>
    <row r="1274" ht="10.5" customHeight="1">
      <c r="A1274" s="1"/>
      <c r="B1274" s="60"/>
      <c r="C1274" s="60"/>
      <c r="D1274" s="60"/>
      <c r="E1274" s="1"/>
      <c r="F1274" s="1"/>
      <c r="G1274" s="1"/>
      <c r="H1274" s="1"/>
      <c r="I1274" s="1"/>
      <c r="J1274" s="1"/>
      <c r="K1274" s="1"/>
      <c r="L1274" s="1"/>
      <c r="M1274" s="1"/>
      <c r="N1274" s="1"/>
      <c r="O1274" s="1"/>
      <c r="P1274" s="1"/>
      <c r="Q1274" s="1"/>
      <c r="R1274" s="1"/>
      <c r="S1274" s="1"/>
    </row>
    <row r="1275" ht="10.5" customHeight="1">
      <c r="A1275" s="1"/>
      <c r="B1275" s="60"/>
      <c r="C1275" s="60"/>
      <c r="D1275" s="60"/>
      <c r="E1275" s="1"/>
      <c r="F1275" s="1"/>
      <c r="G1275" s="1"/>
      <c r="H1275" s="1"/>
      <c r="I1275" s="1"/>
      <c r="J1275" s="1"/>
      <c r="K1275" s="1"/>
      <c r="L1275" s="1"/>
      <c r="M1275" s="1"/>
      <c r="N1275" s="1"/>
      <c r="O1275" s="1"/>
      <c r="P1275" s="1"/>
      <c r="Q1275" s="1"/>
      <c r="R1275" s="1"/>
      <c r="S1275" s="1"/>
    </row>
    <row r="1276" ht="10.5" customHeight="1">
      <c r="A1276" s="1"/>
      <c r="B1276" s="1"/>
      <c r="C1276" s="1"/>
      <c r="D1276" s="1"/>
      <c r="E1276" s="1"/>
      <c r="F1276" s="1"/>
      <c r="G1276" s="1"/>
      <c r="H1276" s="1"/>
      <c r="I1276" s="1"/>
      <c r="J1276" s="1"/>
      <c r="K1276" s="1"/>
      <c r="L1276" s="1"/>
      <c r="M1276" s="1"/>
      <c r="N1276" s="1"/>
      <c r="O1276" s="1"/>
      <c r="P1276" s="1"/>
      <c r="Q1276" s="1"/>
      <c r="R1276" s="1"/>
      <c r="S1276" s="1"/>
    </row>
    <row r="1277" ht="10.5" customHeight="1">
      <c r="A1277" s="1"/>
      <c r="B1277" s="1"/>
      <c r="C1277" s="1"/>
      <c r="D1277" s="1"/>
      <c r="E1277" s="1"/>
      <c r="F1277" s="1"/>
      <c r="G1277" s="1"/>
      <c r="H1277" s="1"/>
      <c r="I1277" s="1"/>
      <c r="J1277" s="1"/>
      <c r="K1277" s="1"/>
      <c r="L1277" s="1"/>
      <c r="M1277" s="1"/>
      <c r="N1277" s="1"/>
      <c r="O1277" s="1"/>
      <c r="P1277" s="1"/>
      <c r="Q1277" s="1"/>
      <c r="R1277" s="1"/>
      <c r="S1277" s="1"/>
    </row>
    <row r="1278" ht="10.5" customHeight="1">
      <c r="A1278" s="1"/>
      <c r="B1278" s="1"/>
      <c r="C1278" s="1"/>
      <c r="D1278" s="1"/>
      <c r="E1278" s="1"/>
      <c r="F1278" s="1"/>
      <c r="G1278" s="1"/>
      <c r="H1278" s="1"/>
      <c r="I1278" s="1"/>
      <c r="J1278" s="1"/>
      <c r="K1278" s="1"/>
      <c r="L1278" s="1"/>
      <c r="M1278" s="1"/>
      <c r="N1278" s="1"/>
      <c r="O1278" s="1"/>
      <c r="P1278" s="1"/>
      <c r="Q1278" s="1"/>
      <c r="R1278" s="1"/>
      <c r="S1278" s="1"/>
    </row>
    <row r="1279" ht="10.5" customHeight="1">
      <c r="A1279" s="1"/>
      <c r="B1279" s="1"/>
      <c r="C1279" s="1"/>
      <c r="D1279" s="1"/>
      <c r="E1279" s="1"/>
      <c r="F1279" s="1"/>
      <c r="G1279" s="1"/>
      <c r="H1279" s="1"/>
      <c r="I1279" s="1"/>
      <c r="J1279" s="1"/>
      <c r="K1279" s="1"/>
      <c r="L1279" s="1"/>
      <c r="M1279" s="1"/>
      <c r="N1279" s="1"/>
      <c r="O1279" s="1"/>
      <c r="P1279" s="1"/>
      <c r="Q1279" s="1"/>
      <c r="R1279" s="1"/>
      <c r="S1279" s="1"/>
    </row>
    <row r="1280" ht="10.5" customHeight="1">
      <c r="A1280" s="1"/>
      <c r="B1280" s="1"/>
      <c r="C1280" s="1"/>
      <c r="D1280" s="1"/>
      <c r="E1280" s="1"/>
      <c r="F1280" s="1"/>
      <c r="G1280" s="1"/>
      <c r="H1280" s="1"/>
      <c r="I1280" s="1"/>
      <c r="J1280" s="1"/>
      <c r="K1280" s="1"/>
      <c r="L1280" s="1"/>
      <c r="M1280" s="1"/>
      <c r="N1280" s="1"/>
      <c r="O1280" s="1"/>
      <c r="P1280" s="1"/>
      <c r="Q1280" s="1"/>
      <c r="R1280" s="1"/>
      <c r="S1280" s="1"/>
    </row>
    <row r="1281" ht="10.5" customHeight="1">
      <c r="A1281" s="1"/>
      <c r="B1281" s="1"/>
      <c r="C1281" s="1"/>
      <c r="D1281" s="1"/>
      <c r="E1281" s="1"/>
      <c r="F1281" s="1"/>
      <c r="G1281" s="1"/>
      <c r="H1281" s="1"/>
      <c r="I1281" s="1"/>
      <c r="J1281" s="1"/>
      <c r="K1281" s="1"/>
      <c r="L1281" s="1"/>
      <c r="M1281" s="1"/>
      <c r="N1281" s="1"/>
      <c r="O1281" s="1"/>
      <c r="P1281" s="1"/>
      <c r="Q1281" s="1"/>
      <c r="R1281" s="1"/>
      <c r="S1281" s="1"/>
    </row>
    <row r="1282" ht="10.5" customHeight="1">
      <c r="A1282" s="1"/>
      <c r="B1282" s="1"/>
      <c r="C1282" s="1"/>
      <c r="D1282" s="1"/>
      <c r="E1282" s="1"/>
      <c r="F1282" s="1"/>
      <c r="G1282" s="1"/>
      <c r="H1282" s="1"/>
      <c r="I1282" s="1"/>
      <c r="J1282" s="1"/>
      <c r="K1282" s="1"/>
      <c r="L1282" s="1"/>
      <c r="M1282" s="1"/>
      <c r="N1282" s="1"/>
      <c r="O1282" s="1"/>
      <c r="P1282" s="1"/>
      <c r="Q1282" s="1"/>
      <c r="R1282" s="1"/>
      <c r="S1282" s="1"/>
    </row>
    <row r="1283" ht="10.5" customHeight="1">
      <c r="A1283" s="1"/>
      <c r="B1283" s="1"/>
      <c r="C1283" s="1"/>
      <c r="D1283" s="1"/>
      <c r="E1283" s="1"/>
      <c r="F1283" s="1"/>
      <c r="G1283" s="1"/>
      <c r="H1283" s="1"/>
      <c r="I1283" s="1"/>
      <c r="J1283" s="1"/>
      <c r="K1283" s="1"/>
      <c r="L1283" s="1"/>
      <c r="M1283" s="1"/>
      <c r="N1283" s="1"/>
      <c r="O1283" s="1"/>
      <c r="P1283" s="1"/>
      <c r="Q1283" s="1"/>
      <c r="R1283" s="1"/>
      <c r="S1283" s="1"/>
    </row>
    <row r="1284" ht="10.5" customHeight="1">
      <c r="A1284" s="1"/>
      <c r="B1284" s="1"/>
      <c r="C1284" s="1"/>
      <c r="D1284" s="1"/>
      <c r="E1284" s="1"/>
      <c r="F1284" s="1"/>
      <c r="G1284" s="1"/>
      <c r="H1284" s="1"/>
      <c r="I1284" s="1"/>
      <c r="J1284" s="1"/>
      <c r="K1284" s="1"/>
      <c r="L1284" s="1"/>
      <c r="M1284" s="1"/>
      <c r="N1284" s="1"/>
      <c r="O1284" s="1"/>
      <c r="P1284" s="1"/>
      <c r="Q1284" s="1"/>
      <c r="R1284" s="1"/>
      <c r="S1284" s="1"/>
    </row>
    <row r="1285" ht="10.5" customHeight="1">
      <c r="A1285" s="1"/>
      <c r="B1285" s="1"/>
      <c r="C1285" s="1"/>
      <c r="D1285" s="1"/>
      <c r="E1285" s="1"/>
      <c r="F1285" s="1"/>
      <c r="G1285" s="1"/>
      <c r="H1285" s="1"/>
      <c r="I1285" s="1"/>
      <c r="J1285" s="1"/>
      <c r="K1285" s="1"/>
      <c r="L1285" s="1"/>
      <c r="M1285" s="1"/>
      <c r="N1285" s="1"/>
      <c r="O1285" s="1"/>
      <c r="P1285" s="1"/>
      <c r="Q1285" s="1"/>
      <c r="R1285" s="1"/>
      <c r="S1285" s="1"/>
    </row>
    <row r="1286" ht="10.5" customHeight="1">
      <c r="A1286" s="1"/>
      <c r="B1286" s="1"/>
      <c r="C1286" s="1"/>
      <c r="D1286" s="1"/>
      <c r="E1286" s="1"/>
      <c r="F1286" s="1"/>
      <c r="G1286" s="1"/>
      <c r="H1286" s="1"/>
      <c r="I1286" s="1"/>
      <c r="J1286" s="1"/>
      <c r="K1286" s="1"/>
      <c r="L1286" s="1"/>
      <c r="M1286" s="1"/>
      <c r="N1286" s="1"/>
      <c r="O1286" s="1"/>
      <c r="P1286" s="1"/>
      <c r="Q1286" s="1"/>
      <c r="R1286" s="1"/>
      <c r="S1286" s="1"/>
    </row>
    <row r="1287" ht="10.5" customHeight="1">
      <c r="A1287" s="1"/>
      <c r="B1287" s="1"/>
      <c r="C1287" s="1"/>
      <c r="D1287" s="1"/>
      <c r="E1287" s="1"/>
      <c r="F1287" s="1"/>
      <c r="G1287" s="1"/>
      <c r="H1287" s="1"/>
      <c r="I1287" s="1"/>
      <c r="J1287" s="1"/>
      <c r="K1287" s="1"/>
      <c r="L1287" s="1"/>
      <c r="M1287" s="1"/>
      <c r="N1287" s="1"/>
      <c r="O1287" s="1"/>
      <c r="P1287" s="1"/>
      <c r="Q1287" s="1"/>
      <c r="R1287" s="1"/>
      <c r="S1287" s="1"/>
    </row>
    <row r="1288" ht="10.5" customHeight="1">
      <c r="A1288" s="1"/>
      <c r="B1288" s="1"/>
      <c r="C1288" s="1"/>
      <c r="D1288" s="1"/>
      <c r="E1288" s="1"/>
      <c r="F1288" s="1"/>
      <c r="G1288" s="1"/>
      <c r="H1288" s="1"/>
      <c r="I1288" s="1"/>
      <c r="J1288" s="1"/>
      <c r="K1288" s="1"/>
      <c r="L1288" s="1"/>
      <c r="M1288" s="1"/>
      <c r="N1288" s="1"/>
      <c r="O1288" s="1"/>
      <c r="P1288" s="1"/>
      <c r="Q1288" s="1"/>
      <c r="R1288" s="1"/>
      <c r="S1288" s="1"/>
    </row>
    <row r="1289" ht="10.5" customHeight="1">
      <c r="A1289" s="1"/>
      <c r="B1289" s="1"/>
      <c r="C1289" s="1"/>
      <c r="D1289" s="1"/>
      <c r="E1289" s="1"/>
      <c r="F1289" s="1"/>
      <c r="G1289" s="1"/>
      <c r="H1289" s="1"/>
      <c r="I1289" s="1"/>
      <c r="J1289" s="1"/>
      <c r="K1289" s="1"/>
      <c r="L1289" s="1"/>
      <c r="M1289" s="1"/>
      <c r="N1289" s="1"/>
      <c r="O1289" s="1"/>
      <c r="P1289" s="1"/>
      <c r="Q1289" s="1"/>
      <c r="R1289" s="1"/>
      <c r="S1289" s="1"/>
    </row>
    <row r="1290" ht="10.5" customHeight="1">
      <c r="A1290" s="1"/>
      <c r="B1290" s="1"/>
      <c r="C1290" s="1"/>
      <c r="D1290" s="1"/>
      <c r="E1290" s="1"/>
      <c r="F1290" s="1"/>
      <c r="G1290" s="1"/>
      <c r="H1290" s="1"/>
      <c r="I1290" s="1"/>
      <c r="J1290" s="1"/>
      <c r="K1290" s="1"/>
      <c r="L1290" s="1"/>
      <c r="M1290" s="1"/>
      <c r="N1290" s="1"/>
      <c r="O1290" s="1"/>
      <c r="P1290" s="1"/>
      <c r="Q1290" s="1"/>
      <c r="R1290" s="1"/>
      <c r="S1290" s="1"/>
    </row>
    <row r="1291" ht="10.5" customHeight="1">
      <c r="A1291" s="1"/>
      <c r="B1291" s="1"/>
      <c r="C1291" s="1"/>
      <c r="D1291" s="1"/>
      <c r="E1291" s="1"/>
      <c r="F1291" s="1"/>
      <c r="G1291" s="1"/>
      <c r="H1291" s="1"/>
      <c r="I1291" s="1"/>
      <c r="J1291" s="1"/>
      <c r="K1291" s="1"/>
      <c r="L1291" s="1"/>
      <c r="M1291" s="1"/>
      <c r="N1291" s="1"/>
      <c r="O1291" s="1"/>
      <c r="P1291" s="1"/>
      <c r="Q1291" s="1"/>
      <c r="R1291" s="1"/>
      <c r="S1291" s="1"/>
    </row>
    <row r="1292" ht="10.5" customHeight="1">
      <c r="A1292" s="1"/>
      <c r="B1292" s="1"/>
      <c r="C1292" s="1"/>
      <c r="D1292" s="1"/>
      <c r="E1292" s="1"/>
      <c r="F1292" s="1"/>
      <c r="G1292" s="1"/>
      <c r="H1292" s="1"/>
      <c r="I1292" s="1"/>
      <c r="J1292" s="1"/>
      <c r="K1292" s="1"/>
      <c r="L1292" s="1"/>
      <c r="M1292" s="1"/>
      <c r="N1292" s="1"/>
      <c r="O1292" s="1"/>
      <c r="P1292" s="1"/>
      <c r="Q1292" s="1"/>
      <c r="R1292" s="1"/>
      <c r="S1292" s="1"/>
    </row>
    <row r="1293" ht="10.5" customHeight="1">
      <c r="A1293" s="1"/>
      <c r="B1293" s="1"/>
      <c r="C1293" s="1"/>
      <c r="D1293" s="1"/>
      <c r="E1293" s="1"/>
      <c r="F1293" s="1"/>
      <c r="G1293" s="1"/>
      <c r="H1293" s="1"/>
      <c r="I1293" s="1"/>
      <c r="J1293" s="1"/>
      <c r="K1293" s="1"/>
      <c r="L1293" s="1"/>
      <c r="M1293" s="1"/>
      <c r="N1293" s="1"/>
      <c r="O1293" s="1"/>
      <c r="P1293" s="1"/>
      <c r="Q1293" s="1"/>
      <c r="R1293" s="1"/>
      <c r="S1293" s="1"/>
    </row>
    <row r="1294" ht="10.5" customHeight="1">
      <c r="A1294" s="1"/>
      <c r="B1294" s="1"/>
      <c r="C1294" s="1"/>
      <c r="D1294" s="1"/>
      <c r="E1294" s="1"/>
      <c r="F1294" s="1"/>
      <c r="G1294" s="1"/>
      <c r="H1294" s="1"/>
      <c r="I1294" s="1"/>
      <c r="J1294" s="1"/>
      <c r="K1294" s="1"/>
      <c r="L1294" s="1"/>
      <c r="M1294" s="1"/>
      <c r="N1294" s="1"/>
      <c r="O1294" s="1"/>
      <c r="P1294" s="1"/>
      <c r="Q1294" s="1"/>
      <c r="R1294" s="1"/>
      <c r="S1294" s="1"/>
    </row>
    <row r="1295" ht="10.5" customHeight="1">
      <c r="A1295" s="1"/>
      <c r="B1295" s="1"/>
      <c r="C1295" s="1"/>
      <c r="D1295" s="1"/>
      <c r="E1295" s="1"/>
      <c r="F1295" s="1"/>
      <c r="G1295" s="1"/>
      <c r="H1295" s="1"/>
      <c r="I1295" s="1"/>
      <c r="J1295" s="1"/>
      <c r="K1295" s="1"/>
      <c r="L1295" s="1"/>
      <c r="M1295" s="1"/>
      <c r="N1295" s="1"/>
      <c r="O1295" s="1"/>
      <c r="P1295" s="1"/>
      <c r="Q1295" s="1"/>
      <c r="R1295" s="1"/>
      <c r="S1295" s="1"/>
    </row>
    <row r="1296" ht="10.5" customHeight="1">
      <c r="A1296" s="1"/>
      <c r="B1296" s="1"/>
      <c r="C1296" s="1"/>
      <c r="D1296" s="1"/>
      <c r="E1296" s="1"/>
      <c r="F1296" s="1"/>
      <c r="G1296" s="1"/>
      <c r="H1296" s="1"/>
      <c r="I1296" s="1"/>
      <c r="J1296" s="1"/>
      <c r="K1296" s="1"/>
      <c r="L1296" s="1"/>
      <c r="M1296" s="1"/>
      <c r="N1296" s="1"/>
      <c r="O1296" s="1"/>
      <c r="P1296" s="1"/>
      <c r="Q1296" s="1"/>
      <c r="R1296" s="1"/>
      <c r="S1296" s="1"/>
    </row>
    <row r="1297" ht="10.5" customHeight="1">
      <c r="A1297" s="1"/>
      <c r="B1297" s="1"/>
      <c r="C1297" s="1"/>
      <c r="D1297" s="1"/>
      <c r="E1297" s="1"/>
      <c r="F1297" s="1"/>
      <c r="G1297" s="1"/>
      <c r="H1297" s="1"/>
      <c r="I1297" s="1"/>
      <c r="J1297" s="1"/>
      <c r="K1297" s="1"/>
      <c r="L1297" s="1"/>
      <c r="M1297" s="1"/>
      <c r="N1297" s="1"/>
      <c r="O1297" s="1"/>
      <c r="P1297" s="1"/>
      <c r="Q1297" s="1"/>
      <c r="R1297" s="1"/>
      <c r="S1297" s="1"/>
    </row>
    <row r="1298" ht="10.5" customHeight="1">
      <c r="A1298" s="1"/>
      <c r="B1298" s="1"/>
      <c r="C1298" s="1"/>
      <c r="D1298" s="1"/>
      <c r="E1298" s="1"/>
      <c r="F1298" s="1"/>
      <c r="G1298" s="1"/>
      <c r="H1298" s="1"/>
      <c r="I1298" s="1"/>
      <c r="J1298" s="1"/>
      <c r="K1298" s="1"/>
      <c r="L1298" s="1"/>
      <c r="M1298" s="1"/>
      <c r="N1298" s="1"/>
      <c r="O1298" s="1"/>
      <c r="P1298" s="1"/>
      <c r="Q1298" s="1"/>
      <c r="R1298" s="1"/>
      <c r="S1298" s="1"/>
    </row>
    <row r="1299" ht="10.5" customHeight="1">
      <c r="A1299" s="1"/>
      <c r="B1299" s="1"/>
      <c r="C1299" s="1"/>
      <c r="D1299" s="1"/>
      <c r="E1299" s="1"/>
      <c r="F1299" s="1"/>
      <c r="G1299" s="1"/>
      <c r="H1299" s="1"/>
      <c r="I1299" s="1"/>
      <c r="J1299" s="1"/>
      <c r="K1299" s="1"/>
      <c r="L1299" s="1"/>
      <c r="M1299" s="1"/>
      <c r="N1299" s="1"/>
      <c r="O1299" s="1"/>
      <c r="P1299" s="1"/>
      <c r="Q1299" s="1"/>
      <c r="R1299" s="1"/>
      <c r="S1299" s="1"/>
    </row>
    <row r="1300" ht="10.5" customHeight="1">
      <c r="A1300" s="1"/>
      <c r="B1300" s="1"/>
      <c r="C1300" s="1"/>
      <c r="D1300" s="1"/>
      <c r="E1300" s="1"/>
      <c r="F1300" s="1"/>
      <c r="G1300" s="110">
        <v>21.0</v>
      </c>
      <c r="H1300" s="1"/>
      <c r="I1300" s="1"/>
      <c r="J1300" s="1"/>
      <c r="K1300" s="1"/>
      <c r="L1300" s="1"/>
      <c r="M1300" s="1"/>
      <c r="N1300" s="1"/>
      <c r="O1300" s="1"/>
      <c r="P1300" s="1"/>
      <c r="Q1300" s="1"/>
      <c r="R1300" s="1"/>
      <c r="S1300" s="1"/>
    </row>
    <row r="1301" ht="10.5" customHeight="1">
      <c r="A1301" s="1"/>
      <c r="B1301" s="1"/>
      <c r="C1301" s="1"/>
      <c r="D1301" s="1"/>
      <c r="E1301" s="1"/>
      <c r="F1301" s="1"/>
      <c r="G1301" s="1"/>
      <c r="H1301" s="1"/>
      <c r="I1301" s="1"/>
      <c r="J1301" s="1"/>
      <c r="K1301" s="1"/>
      <c r="L1301" s="1"/>
      <c r="M1301" s="1"/>
      <c r="N1301" s="1"/>
      <c r="O1301" s="1"/>
      <c r="P1301" s="1"/>
      <c r="Q1301" s="1"/>
      <c r="R1301" s="1"/>
      <c r="S1301" s="1"/>
    </row>
    <row r="1302" ht="10.5" customHeight="1">
      <c r="A1302" s="1"/>
      <c r="B1302" s="1"/>
      <c r="C1302" s="1"/>
      <c r="D1302" s="1"/>
      <c r="E1302" s="1"/>
      <c r="F1302" s="1"/>
      <c r="G1302" s="1"/>
      <c r="H1302" s="1"/>
      <c r="I1302" s="1"/>
      <c r="J1302" s="1"/>
      <c r="K1302" s="1"/>
      <c r="L1302" s="1"/>
      <c r="M1302" s="1"/>
      <c r="N1302" s="1"/>
      <c r="O1302" s="1"/>
      <c r="P1302" s="1"/>
      <c r="Q1302" s="1"/>
      <c r="R1302" s="1"/>
      <c r="S1302" s="1"/>
    </row>
    <row r="1303" ht="11.25" customHeight="1">
      <c r="A1303" s="1"/>
      <c r="B1303" s="111" t="s">
        <v>963</v>
      </c>
      <c r="C1303" s="25"/>
      <c r="D1303" s="25"/>
      <c r="E1303" s="25"/>
      <c r="F1303" s="25"/>
      <c r="G1303" s="25"/>
      <c r="H1303" s="25"/>
      <c r="I1303" s="25"/>
      <c r="J1303" s="25"/>
      <c r="K1303" s="1"/>
      <c r="L1303" s="154"/>
      <c r="M1303" s="154"/>
      <c r="N1303" s="154"/>
      <c r="O1303" s="154"/>
      <c r="P1303" s="1"/>
      <c r="Q1303" s="1"/>
      <c r="R1303" s="1"/>
      <c r="S1303" s="1"/>
    </row>
    <row r="1304" ht="11.25" customHeight="1">
      <c r="A1304" s="1"/>
      <c r="B1304" s="29" t="s">
        <v>31</v>
      </c>
      <c r="C1304" s="584" t="s">
        <v>965</v>
      </c>
      <c r="D1304" s="31" t="s">
        <v>968</v>
      </c>
      <c r="E1304" s="128" t="s">
        <v>970</v>
      </c>
      <c r="F1304" s="10"/>
      <c r="G1304" s="31" t="s">
        <v>973</v>
      </c>
      <c r="H1304" s="31" t="s">
        <v>512</v>
      </c>
      <c r="I1304" s="31" t="s">
        <v>976</v>
      </c>
      <c r="J1304" s="31" t="s">
        <v>979</v>
      </c>
      <c r="K1304" s="561" t="s">
        <v>936</v>
      </c>
      <c r="L1304" s="154"/>
      <c r="M1304" s="154"/>
      <c r="N1304" s="154"/>
      <c r="O1304" s="154"/>
      <c r="P1304" s="1"/>
      <c r="Q1304" s="1"/>
      <c r="R1304" s="1"/>
      <c r="S1304" s="1"/>
    </row>
    <row r="1305" ht="11.25" customHeight="1">
      <c r="A1305" s="1"/>
      <c r="B1305" s="5"/>
      <c r="C1305" s="588" t="s">
        <v>981</v>
      </c>
      <c r="D1305" s="6"/>
      <c r="E1305" s="7" t="s">
        <v>466</v>
      </c>
      <c r="F1305" s="7" t="s">
        <v>44</v>
      </c>
      <c r="G1305" s="6"/>
      <c r="H1305" s="6"/>
      <c r="I1305" s="6"/>
      <c r="J1305" s="6"/>
      <c r="K1305" s="5"/>
      <c r="L1305" s="154"/>
      <c r="M1305" s="154"/>
      <c r="N1305" s="154"/>
      <c r="O1305" s="154"/>
      <c r="P1305" s="1"/>
      <c r="Q1305" s="1"/>
      <c r="R1305" s="1"/>
      <c r="S1305" s="1"/>
    </row>
    <row r="1306" ht="10.5" customHeight="1">
      <c r="A1306" s="1"/>
      <c r="B1306" s="6"/>
      <c r="C1306" s="134" t="s">
        <v>48</v>
      </c>
      <c r="D1306" s="134" t="s">
        <v>49</v>
      </c>
      <c r="E1306" s="8" t="s">
        <v>52</v>
      </c>
      <c r="F1306" s="10"/>
      <c r="G1306" s="134" t="s">
        <v>54</v>
      </c>
      <c r="H1306" s="134" t="s">
        <v>50</v>
      </c>
      <c r="I1306" s="8" t="s">
        <v>520</v>
      </c>
      <c r="J1306" s="10"/>
      <c r="K1306" s="6"/>
      <c r="L1306" s="154"/>
      <c r="M1306" s="154"/>
      <c r="N1306" s="154"/>
      <c r="O1306" s="154"/>
      <c r="P1306" s="1"/>
      <c r="Q1306" s="1"/>
      <c r="R1306" s="1"/>
      <c r="S1306" s="1"/>
    </row>
    <row r="1307" ht="10.5" customHeight="1">
      <c r="A1307" s="1"/>
      <c r="B1307" s="11">
        <v>1990.0</v>
      </c>
      <c r="C1307" s="590">
        <v>110.0</v>
      </c>
      <c r="D1307" s="222">
        <v>262.0</v>
      </c>
      <c r="E1307" s="276">
        <v>464.15</v>
      </c>
      <c r="F1307" s="276">
        <v>457.39</v>
      </c>
      <c r="G1307" s="364">
        <v>25.0</v>
      </c>
      <c r="H1307" s="136">
        <v>119252.0</v>
      </c>
      <c r="I1307" s="136">
        <v>239338.0</v>
      </c>
      <c r="J1307" s="136">
        <v>212075.0</v>
      </c>
      <c r="K1307" s="55" t="s">
        <v>108</v>
      </c>
      <c r="L1307" s="154"/>
      <c r="M1307" s="154"/>
      <c r="N1307" s="154"/>
      <c r="O1307" s="154"/>
      <c r="P1307" s="1"/>
      <c r="Q1307" s="1"/>
      <c r="R1307" s="1"/>
      <c r="S1307" s="1"/>
    </row>
    <row r="1308" ht="10.5" customHeight="1">
      <c r="A1308" s="1"/>
      <c r="B1308" s="11">
        <v>1991.0</v>
      </c>
      <c r="C1308" s="590">
        <v>135.0</v>
      </c>
      <c r="D1308" s="222">
        <v>170.0</v>
      </c>
      <c r="E1308" s="276">
        <v>606.0</v>
      </c>
      <c r="F1308" s="276">
        <v>520.18</v>
      </c>
      <c r="G1308" s="364">
        <v>28.5</v>
      </c>
      <c r="H1308" s="136">
        <v>83458.0</v>
      </c>
      <c r="I1308" s="136">
        <v>169145.0</v>
      </c>
      <c r="J1308" s="136">
        <v>193090.0</v>
      </c>
      <c r="K1308" s="55" t="s">
        <v>111</v>
      </c>
      <c r="L1308" s="154"/>
      <c r="M1308" s="154"/>
      <c r="N1308" s="154"/>
      <c r="O1308" s="154"/>
      <c r="P1308" s="1"/>
      <c r="Q1308" s="1"/>
      <c r="R1308" s="1"/>
      <c r="S1308" s="1"/>
    </row>
    <row r="1309" ht="10.5" customHeight="1">
      <c r="A1309" s="1"/>
      <c r="B1309" s="11">
        <v>1992.0</v>
      </c>
      <c r="C1309" s="590">
        <v>134.0</v>
      </c>
      <c r="D1309" s="222">
        <v>265.0</v>
      </c>
      <c r="E1309" s="276">
        <v>657.7</v>
      </c>
      <c r="F1309" s="276">
        <v>586.12</v>
      </c>
      <c r="G1309" s="364">
        <v>31.7</v>
      </c>
      <c r="H1309" s="136">
        <v>150160.0</v>
      </c>
      <c r="I1309" s="136">
        <v>260264.0</v>
      </c>
      <c r="J1309" s="136">
        <v>238616.0</v>
      </c>
      <c r="K1309" s="55" t="s">
        <v>112</v>
      </c>
      <c r="L1309" s="154"/>
      <c r="M1309" s="154"/>
      <c r="N1309" s="154"/>
      <c r="O1309" s="154"/>
      <c r="P1309" s="1"/>
      <c r="Q1309" s="1"/>
      <c r="R1309" s="1"/>
      <c r="S1309" s="1"/>
    </row>
    <row r="1310" ht="10.5" customHeight="1">
      <c r="A1310" s="1"/>
      <c r="B1310" s="11">
        <v>1993.0</v>
      </c>
      <c r="C1310" s="590">
        <v>116.0</v>
      </c>
      <c r="D1310" s="222">
        <v>230.0</v>
      </c>
      <c r="E1310" s="276">
        <v>729.72</v>
      </c>
      <c r="F1310" s="276">
        <v>671.29</v>
      </c>
      <c r="G1310" s="364">
        <v>36.4</v>
      </c>
      <c r="H1310" s="136">
        <v>150703.0</v>
      </c>
      <c r="I1310" s="136">
        <v>210186.0</v>
      </c>
      <c r="J1310" s="136">
        <v>221659.0</v>
      </c>
      <c r="K1310" s="55" t="s">
        <v>113</v>
      </c>
      <c r="L1310" s="154"/>
      <c r="M1310" s="154"/>
      <c r="N1310" s="154"/>
      <c r="O1310" s="154"/>
      <c r="P1310" s="1"/>
      <c r="Q1310" s="1"/>
      <c r="R1310" s="1"/>
      <c r="S1310" s="1"/>
    </row>
    <row r="1311" ht="10.5" customHeight="1">
      <c r="A1311" s="1"/>
      <c r="B1311" s="11">
        <v>1994.0</v>
      </c>
      <c r="C1311" s="590">
        <v>120.0</v>
      </c>
      <c r="D1311" s="222">
        <v>275.0</v>
      </c>
      <c r="E1311" s="276">
        <v>729.04</v>
      </c>
      <c r="F1311" s="276">
        <v>671.79</v>
      </c>
      <c r="G1311" s="364">
        <v>36.4</v>
      </c>
      <c r="H1311" s="136">
        <v>195676.0</v>
      </c>
      <c r="I1311" s="136">
        <v>265799.0</v>
      </c>
      <c r="J1311" s="136">
        <v>226616.0</v>
      </c>
      <c r="K1311" s="55" t="s">
        <v>114</v>
      </c>
      <c r="L1311" s="154"/>
      <c r="M1311" s="154"/>
      <c r="N1311" s="154"/>
      <c r="O1311" s="154"/>
      <c r="P1311" s="1"/>
      <c r="Q1311" s="1"/>
      <c r="R1311" s="1"/>
      <c r="S1311" s="1"/>
    </row>
    <row r="1312" ht="10.5" customHeight="1">
      <c r="A1312" s="1"/>
      <c r="B1312" s="11"/>
      <c r="C1312" s="590"/>
      <c r="D1312" s="222"/>
      <c r="E1312" s="276"/>
      <c r="F1312" s="276"/>
      <c r="G1312" s="364"/>
      <c r="H1312" s="136"/>
      <c r="I1312" s="136"/>
      <c r="J1312" s="136"/>
      <c r="K1312" s="55"/>
      <c r="L1312" s="154"/>
      <c r="M1312" s="154"/>
      <c r="N1312" s="154"/>
      <c r="O1312" s="154"/>
      <c r="P1312" s="1"/>
      <c r="Q1312" s="1"/>
      <c r="R1312" s="1"/>
      <c r="S1312" s="1"/>
    </row>
    <row r="1313" ht="10.5" customHeight="1">
      <c r="A1313" s="1"/>
      <c r="B1313" s="11">
        <v>1995.0</v>
      </c>
      <c r="C1313" s="590">
        <v>125.0</v>
      </c>
      <c r="D1313" s="222">
        <v>300.0</v>
      </c>
      <c r="E1313" s="276">
        <v>802.78</v>
      </c>
      <c r="F1313" s="276">
        <v>720.11</v>
      </c>
      <c r="G1313" s="364">
        <v>39.0</v>
      </c>
      <c r="H1313" s="136">
        <v>233469.0</v>
      </c>
      <c r="I1313" s="136">
        <v>297904.0</v>
      </c>
      <c r="J1313" s="136">
        <v>221243.0</v>
      </c>
      <c r="K1313" s="55" t="s">
        <v>115</v>
      </c>
      <c r="L1313" s="154"/>
      <c r="M1313" s="154"/>
      <c r="N1313" s="154"/>
      <c r="O1313" s="154"/>
      <c r="P1313" s="1"/>
      <c r="Q1313" s="1"/>
      <c r="R1313" s="1"/>
      <c r="S1313" s="1"/>
    </row>
    <row r="1314" ht="10.5" customHeight="1">
      <c r="A1314" s="1"/>
      <c r="B1314" s="11">
        <v>1996.0</v>
      </c>
      <c r="C1314" s="590">
        <v>127.0</v>
      </c>
      <c r="D1314" s="222">
        <v>174.0</v>
      </c>
      <c r="E1314" s="276">
        <v>896.27</v>
      </c>
      <c r="F1314" s="276">
        <v>790.87</v>
      </c>
      <c r="G1314" s="364">
        <v>42.9</v>
      </c>
      <c r="H1314" s="136">
        <v>140409.0</v>
      </c>
      <c r="I1314" s="136">
        <v>167919.0</v>
      </c>
      <c r="J1314" s="136">
        <v>110422.0</v>
      </c>
      <c r="K1314" s="55" t="s">
        <v>117</v>
      </c>
      <c r="L1314" s="154"/>
      <c r="M1314" s="154"/>
      <c r="N1314" s="154"/>
      <c r="O1314" s="154"/>
      <c r="P1314" s="1"/>
      <c r="Q1314" s="1"/>
      <c r="R1314" s="1"/>
      <c r="S1314" s="1"/>
    </row>
    <row r="1315" ht="10.5" customHeight="1">
      <c r="A1315" s="1"/>
      <c r="B1315" s="11">
        <v>1997.0</v>
      </c>
      <c r="C1315" s="590">
        <v>132.0</v>
      </c>
      <c r="D1315" s="222">
        <v>178.0</v>
      </c>
      <c r="E1315" s="276">
        <v>800.0</v>
      </c>
      <c r="F1315" s="276" t="s">
        <v>106</v>
      </c>
      <c r="G1315" s="364">
        <v>43.4</v>
      </c>
      <c r="H1315" s="136">
        <v>145600.0</v>
      </c>
      <c r="I1315" s="136">
        <v>277000.0</v>
      </c>
      <c r="J1315" s="136">
        <v>258000.0</v>
      </c>
      <c r="K1315" s="55" t="s">
        <v>121</v>
      </c>
      <c r="L1315" s="154"/>
      <c r="M1315" s="154"/>
      <c r="N1315" s="154"/>
      <c r="O1315" s="154"/>
      <c r="P1315" s="1"/>
      <c r="Q1315" s="1"/>
      <c r="R1315" s="1"/>
      <c r="S1315" s="1"/>
    </row>
    <row r="1316" ht="10.5" customHeight="1">
      <c r="A1316" s="1"/>
      <c r="B1316" s="11">
        <v>1998.0</v>
      </c>
      <c r="C1316" s="590">
        <v>112.0</v>
      </c>
      <c r="D1316" s="222">
        <v>200.0</v>
      </c>
      <c r="E1316" s="276">
        <v>750.0</v>
      </c>
      <c r="F1316" s="276" t="s">
        <v>106</v>
      </c>
      <c r="G1316" s="364">
        <v>40.7</v>
      </c>
      <c r="H1316" s="136">
        <v>152866.0</v>
      </c>
      <c r="I1316" s="136">
        <v>203821.0</v>
      </c>
      <c r="J1316" s="136">
        <v>252738.0</v>
      </c>
      <c r="K1316" s="55" t="s">
        <v>122</v>
      </c>
      <c r="L1316" s="154"/>
      <c r="M1316" s="154"/>
      <c r="N1316" s="154"/>
      <c r="O1316" s="154"/>
      <c r="P1316" s="1"/>
      <c r="Q1316" s="1"/>
      <c r="R1316" s="1"/>
      <c r="S1316" s="1"/>
    </row>
    <row r="1317" ht="10.5" customHeight="1">
      <c r="A1317" s="1"/>
      <c r="B1317" s="11">
        <v>1999.0</v>
      </c>
      <c r="C1317" s="590">
        <v>102.0</v>
      </c>
      <c r="D1317" s="222">
        <v>92.0</v>
      </c>
      <c r="E1317" s="276">
        <v>758.24</v>
      </c>
      <c r="F1317" s="276" t="s">
        <v>106</v>
      </c>
      <c r="G1317" s="364">
        <v>42.2</v>
      </c>
      <c r="H1317" s="136">
        <v>70068.0</v>
      </c>
      <c r="I1317" s="136">
        <v>92400.0</v>
      </c>
      <c r="J1317" s="136">
        <v>262400.0</v>
      </c>
      <c r="K1317" s="564" t="s">
        <v>123</v>
      </c>
      <c r="L1317" s="154"/>
      <c r="M1317" s="154"/>
      <c r="N1317" s="154"/>
      <c r="O1317" s="154"/>
      <c r="P1317" s="1"/>
      <c r="Q1317" s="1"/>
      <c r="R1317" s="1"/>
      <c r="S1317" s="1"/>
    </row>
    <row r="1318" ht="10.5" customHeight="1">
      <c r="A1318" s="1"/>
      <c r="B1318" s="11"/>
      <c r="C1318" s="590"/>
      <c r="D1318" s="222"/>
      <c r="E1318" s="276"/>
      <c r="F1318" s="276"/>
      <c r="G1318" s="364"/>
      <c r="H1318" s="136"/>
      <c r="I1318" s="136"/>
      <c r="J1318" s="136"/>
      <c r="K1318" s="55"/>
      <c r="L1318" s="154"/>
      <c r="M1318" s="154"/>
      <c r="N1318" s="154"/>
      <c r="O1318" s="154"/>
      <c r="P1318" s="1"/>
      <c r="Q1318" s="1"/>
      <c r="R1318" s="1"/>
      <c r="S1318" s="1"/>
    </row>
    <row r="1319" ht="10.5" customHeight="1">
      <c r="A1319" s="1"/>
      <c r="B1319" s="11">
        <v>2000.0</v>
      </c>
      <c r="C1319" s="590">
        <v>78.0</v>
      </c>
      <c r="D1319" s="222">
        <v>116.0</v>
      </c>
      <c r="E1319" s="276">
        <v>800.0</v>
      </c>
      <c r="F1319" s="276" t="s">
        <v>106</v>
      </c>
      <c r="G1319" s="364">
        <v>42.6</v>
      </c>
      <c r="H1319" s="136">
        <v>92961.0</v>
      </c>
      <c r="I1319" s="136">
        <v>116200.0</v>
      </c>
      <c r="J1319" s="136">
        <v>257200.0</v>
      </c>
      <c r="K1319" s="55" t="s">
        <v>125</v>
      </c>
      <c r="L1319" s="154"/>
      <c r="M1319" s="154"/>
      <c r="N1319" s="154"/>
      <c r="O1319" s="154"/>
      <c r="P1319" s="1"/>
      <c r="Q1319" s="1"/>
      <c r="R1319" s="1"/>
      <c r="S1319" s="1"/>
    </row>
    <row r="1320" ht="10.5" customHeight="1">
      <c r="A1320" s="1"/>
      <c r="B1320" s="11">
        <v>2001.0</v>
      </c>
      <c r="C1320" s="590">
        <v>73.0</v>
      </c>
      <c r="D1320" s="222">
        <v>131.0</v>
      </c>
      <c r="E1320" s="276">
        <v>1000.0</v>
      </c>
      <c r="F1320" s="276" t="s">
        <v>106</v>
      </c>
      <c r="G1320" s="364">
        <v>51.5</v>
      </c>
      <c r="H1320" s="136">
        <v>131400.0</v>
      </c>
      <c r="I1320" s="136">
        <v>131400.0</v>
      </c>
      <c r="J1320" s="136">
        <v>286300.0</v>
      </c>
      <c r="K1320" s="55" t="s">
        <v>127</v>
      </c>
      <c r="L1320" s="154"/>
      <c r="M1320" s="154"/>
      <c r="N1320" s="154"/>
      <c r="O1320" s="154"/>
      <c r="P1320" s="1"/>
      <c r="Q1320" s="1"/>
      <c r="R1320" s="1"/>
      <c r="S1320" s="1"/>
    </row>
    <row r="1321" ht="10.5" customHeight="1">
      <c r="A1321" s="1"/>
      <c r="B1321" s="11">
        <v>2002.0</v>
      </c>
      <c r="C1321" s="590">
        <v>72.0</v>
      </c>
      <c r="D1321" s="222">
        <v>180.0</v>
      </c>
      <c r="E1321" s="276">
        <v>1200.0</v>
      </c>
      <c r="F1321" s="276" t="s">
        <v>106</v>
      </c>
      <c r="G1321" s="364">
        <v>62.3</v>
      </c>
      <c r="H1321" s="136">
        <v>215863.0</v>
      </c>
      <c r="I1321" s="136">
        <v>179900.0</v>
      </c>
      <c r="J1321" s="136">
        <v>274700.0</v>
      </c>
      <c r="K1321" s="55" t="s">
        <v>128</v>
      </c>
      <c r="L1321" s="154"/>
      <c r="M1321" s="154"/>
      <c r="N1321" s="154"/>
      <c r="O1321" s="154"/>
      <c r="P1321" s="1"/>
      <c r="Q1321" s="1"/>
      <c r="R1321" s="1"/>
      <c r="S1321" s="1"/>
    </row>
    <row r="1322" ht="10.5" customHeight="1">
      <c r="A1322" s="1"/>
      <c r="B1322" s="11">
        <v>2003.0</v>
      </c>
      <c r="C1322" s="596">
        <v>84.0</v>
      </c>
      <c r="D1322" s="214">
        <v>240.0</v>
      </c>
      <c r="E1322" s="289">
        <v>1433.0</v>
      </c>
      <c r="F1322" s="289" t="s">
        <v>106</v>
      </c>
      <c r="G1322" s="467">
        <v>74.5</v>
      </c>
      <c r="H1322" s="169">
        <v>343920.0</v>
      </c>
      <c r="I1322" s="169">
        <v>238400.0</v>
      </c>
      <c r="J1322" s="169">
        <v>269600.0</v>
      </c>
      <c r="K1322" s="238" t="s">
        <v>129</v>
      </c>
      <c r="L1322" s="154"/>
      <c r="M1322" s="154"/>
      <c r="N1322" s="154"/>
      <c r="O1322" s="154"/>
      <c r="P1322" s="1"/>
      <c r="Q1322" s="1"/>
      <c r="R1322" s="1"/>
      <c r="S1322" s="1"/>
    </row>
    <row r="1323" ht="10.5" customHeight="1">
      <c r="A1323" s="1"/>
      <c r="B1323" s="11">
        <v>2004.0</v>
      </c>
      <c r="C1323" s="596">
        <v>83.0</v>
      </c>
      <c r="D1323" s="214">
        <v>185.0</v>
      </c>
      <c r="E1323" s="289">
        <v>1342.3</v>
      </c>
      <c r="F1323" s="289" t="s">
        <v>106</v>
      </c>
      <c r="G1323" s="467">
        <v>72.7</v>
      </c>
      <c r="H1323" s="169">
        <v>248326.0</v>
      </c>
      <c r="I1323" s="169">
        <v>181400.0</v>
      </c>
      <c r="J1323" s="169">
        <v>266500.0</v>
      </c>
      <c r="K1323" s="238" t="s">
        <v>130</v>
      </c>
      <c r="L1323" s="154"/>
      <c r="M1323" s="154"/>
      <c r="N1323" s="154"/>
      <c r="O1323" s="154"/>
      <c r="P1323" s="1"/>
      <c r="Q1323" s="1"/>
      <c r="R1323" s="1"/>
      <c r="S1323" s="1"/>
    </row>
    <row r="1324" ht="10.5" customHeight="1">
      <c r="A1324" s="1"/>
      <c r="B1324" s="11"/>
      <c r="C1324" s="590"/>
      <c r="D1324" s="214"/>
      <c r="E1324" s="289"/>
      <c r="F1324" s="289"/>
      <c r="G1324" s="467"/>
      <c r="H1324" s="169"/>
      <c r="I1324" s="169"/>
      <c r="J1324" s="169"/>
      <c r="K1324" s="55"/>
      <c r="L1324" s="154"/>
      <c r="M1324" s="154"/>
      <c r="N1324" s="154"/>
      <c r="O1324" s="154"/>
      <c r="P1324" s="1"/>
      <c r="Q1324" s="1"/>
      <c r="R1324" s="1"/>
      <c r="S1324" s="1"/>
    </row>
    <row r="1325" ht="10.5" customHeight="1">
      <c r="A1325" s="1"/>
      <c r="B1325" s="181">
        <v>2005.0</v>
      </c>
      <c r="C1325" s="598">
        <v>90.0</v>
      </c>
      <c r="D1325" s="599">
        <v>225.0</v>
      </c>
      <c r="E1325" s="600">
        <v>1142.8</v>
      </c>
      <c r="F1325" s="289" t="s">
        <v>106</v>
      </c>
      <c r="G1325" s="518">
        <v>66.7</v>
      </c>
      <c r="H1325" s="178">
        <v>257129.0</v>
      </c>
      <c r="I1325" s="178">
        <v>222800.0</v>
      </c>
      <c r="J1325" s="178">
        <v>264900.0</v>
      </c>
      <c r="K1325" s="540" t="s">
        <v>131</v>
      </c>
      <c r="L1325" s="154"/>
      <c r="M1325" s="154"/>
      <c r="N1325" s="154"/>
      <c r="O1325" s="154"/>
      <c r="P1325" s="1"/>
      <c r="Q1325" s="1"/>
      <c r="R1325" s="1"/>
      <c r="S1325" s="1"/>
    </row>
    <row r="1326" ht="10.5" customHeight="1">
      <c r="A1326" s="1"/>
      <c r="B1326" s="181">
        <v>2006.0</v>
      </c>
      <c r="C1326" s="598">
        <v>90.0</v>
      </c>
      <c r="D1326" s="599">
        <v>236.0</v>
      </c>
      <c r="E1326" s="600">
        <v>1576.42</v>
      </c>
      <c r="F1326" s="289" t="s">
        <v>106</v>
      </c>
      <c r="G1326" s="518">
        <v>59.0</v>
      </c>
      <c r="H1326" s="178">
        <v>372036.0</v>
      </c>
      <c r="I1326" s="178">
        <v>232600.0</v>
      </c>
      <c r="J1326" s="376">
        <v>280300.0</v>
      </c>
      <c r="K1326" s="540" t="s">
        <v>133</v>
      </c>
      <c r="L1326" s="154"/>
      <c r="M1326" s="154"/>
      <c r="N1326" s="154"/>
      <c r="O1326" s="154"/>
      <c r="P1326" s="1"/>
      <c r="Q1326" s="1"/>
      <c r="R1326" s="1"/>
      <c r="S1326" s="1"/>
    </row>
    <row r="1327" ht="10.5" customHeight="1">
      <c r="A1327" s="1"/>
      <c r="B1327" s="181">
        <v>2007.0</v>
      </c>
      <c r="C1327" s="598">
        <v>73.0</v>
      </c>
      <c r="D1327" s="599">
        <v>223.0</v>
      </c>
      <c r="E1327" s="600">
        <v>1381.4</v>
      </c>
      <c r="F1327" s="289" t="s">
        <v>106</v>
      </c>
      <c r="G1327" s="518">
        <v>83.0</v>
      </c>
      <c r="H1327" s="178">
        <v>307360.0</v>
      </c>
      <c r="I1327" s="178">
        <v>216900.0</v>
      </c>
      <c r="J1327" s="376">
        <v>270800.0</v>
      </c>
      <c r="K1327" s="540" t="s">
        <v>134</v>
      </c>
      <c r="L1327" s="154"/>
      <c r="M1327" s="154"/>
      <c r="N1327" s="154"/>
      <c r="O1327" s="154"/>
      <c r="P1327" s="1"/>
      <c r="Q1327" s="1"/>
      <c r="R1327" s="1"/>
      <c r="S1327" s="1"/>
    </row>
    <row r="1328" ht="10.5" customHeight="1">
      <c r="A1328" s="1"/>
      <c r="B1328" s="181">
        <v>2008.0</v>
      </c>
      <c r="C1328" s="598">
        <v>68.0</v>
      </c>
      <c r="D1328" s="599">
        <v>224.0</v>
      </c>
      <c r="E1328" s="600">
        <v>2300.31</v>
      </c>
      <c r="F1328" s="289" t="s">
        <v>106</v>
      </c>
      <c r="G1328" s="518">
        <v>129.3</v>
      </c>
      <c r="H1328" s="178">
        <v>514400.0</v>
      </c>
      <c r="I1328" s="178">
        <v>189800.0</v>
      </c>
      <c r="J1328" s="178">
        <v>272100.0</v>
      </c>
      <c r="K1328" s="508">
        <v>39692.0</v>
      </c>
      <c r="L1328" s="154"/>
      <c r="M1328" s="154"/>
      <c r="N1328" s="154"/>
      <c r="O1328" s="154"/>
      <c r="P1328" s="1"/>
      <c r="Q1328" s="1"/>
      <c r="R1328" s="1"/>
      <c r="S1328" s="1"/>
    </row>
    <row r="1329" ht="10.5" customHeight="1">
      <c r="A1329" s="1"/>
      <c r="B1329" s="181">
        <v>2009.0</v>
      </c>
      <c r="C1329" s="598">
        <v>75.0</v>
      </c>
      <c r="D1329" s="599">
        <v>216.0</v>
      </c>
      <c r="E1329" s="600">
        <v>2125.9</v>
      </c>
      <c r="F1329" s="289" t="s">
        <v>106</v>
      </c>
      <c r="G1329" s="518">
        <v>106.6</v>
      </c>
      <c r="H1329" s="178">
        <v>459194.0</v>
      </c>
      <c r="I1329" s="178">
        <v>214100.0</v>
      </c>
      <c r="J1329" s="178">
        <v>238600.0</v>
      </c>
      <c r="K1329" s="508">
        <v>40087.0</v>
      </c>
      <c r="L1329" s="154"/>
      <c r="M1329" s="154"/>
      <c r="N1329" s="154"/>
      <c r="O1329" s="154"/>
      <c r="P1329" s="1"/>
      <c r="Q1329" s="1"/>
      <c r="R1329" s="1"/>
      <c r="S1329" s="1"/>
    </row>
    <row r="1330" ht="10.5" customHeight="1">
      <c r="A1330" s="1"/>
      <c r="B1330" s="609"/>
      <c r="C1330" s="598"/>
      <c r="D1330" s="599"/>
      <c r="E1330" s="600"/>
      <c r="F1330" s="289"/>
      <c r="G1330" s="518"/>
      <c r="H1330" s="178"/>
      <c r="I1330" s="178"/>
      <c r="J1330" s="178"/>
      <c r="K1330" s="508"/>
      <c r="L1330" s="154"/>
      <c r="M1330" s="154"/>
      <c r="N1330" s="154"/>
      <c r="O1330" s="154"/>
      <c r="P1330" s="1"/>
      <c r="Q1330" s="1"/>
      <c r="R1330" s="1"/>
      <c r="S1330" s="1"/>
    </row>
    <row r="1331" ht="10.5" customHeight="1">
      <c r="A1331" s="1"/>
      <c r="B1331" s="181">
        <v>2010.0</v>
      </c>
      <c r="C1331" s="598">
        <v>83.0</v>
      </c>
      <c r="D1331" s="599">
        <v>194.0</v>
      </c>
      <c r="E1331" s="600">
        <v>2009.93</v>
      </c>
      <c r="F1331" s="289" t="s">
        <v>106</v>
      </c>
      <c r="G1331" s="467">
        <v>118.0</v>
      </c>
      <c r="H1331" s="178">
        <v>389927.0</v>
      </c>
      <c r="I1331" s="178">
        <v>192100.0</v>
      </c>
      <c r="J1331" s="178">
        <v>270700.0</v>
      </c>
      <c r="K1331" s="508">
        <v>40483.0</v>
      </c>
      <c r="L1331" s="154"/>
      <c r="M1331" s="154"/>
      <c r="N1331" s="154"/>
      <c r="O1331" s="154"/>
      <c r="P1331" s="1"/>
      <c r="Q1331" s="1"/>
      <c r="R1331" s="1"/>
      <c r="S1331" s="1"/>
    </row>
    <row r="1332" ht="12.0" customHeight="1">
      <c r="A1332" s="1"/>
      <c r="B1332" s="181" t="s">
        <v>487</v>
      </c>
      <c r="C1332" s="598">
        <v>80.0</v>
      </c>
      <c r="D1332" s="599">
        <v>312.0</v>
      </c>
      <c r="E1332" s="600">
        <v>2277.23</v>
      </c>
      <c r="F1332" s="463" t="s">
        <v>106</v>
      </c>
      <c r="G1332" s="610">
        <v>126.2</v>
      </c>
      <c r="H1332" s="178">
        <v>710495.0</v>
      </c>
      <c r="I1332" s="178">
        <v>311600.0</v>
      </c>
      <c r="J1332" s="611">
        <v>289000.0</v>
      </c>
      <c r="K1332" s="508">
        <v>40878.0</v>
      </c>
      <c r="L1332" s="154"/>
      <c r="M1332" s="154"/>
      <c r="N1332" s="154"/>
      <c r="O1332" s="154"/>
      <c r="P1332" s="1"/>
      <c r="Q1332" s="1"/>
      <c r="R1332" s="1"/>
      <c r="S1332" s="1"/>
    </row>
    <row r="1333" ht="11.25" customHeight="1">
      <c r="A1333" s="1"/>
      <c r="B1333" s="181" t="s">
        <v>489</v>
      </c>
      <c r="C1333" s="598">
        <v>85.0</v>
      </c>
      <c r="D1333" s="599">
        <v>298.0</v>
      </c>
      <c r="E1333" s="600">
        <v>2498.99</v>
      </c>
      <c r="F1333" s="463" t="s">
        <v>106</v>
      </c>
      <c r="G1333" s="610">
        <v>134.3</v>
      </c>
      <c r="H1333" s="178">
        <v>744700.0</v>
      </c>
      <c r="I1333" s="178">
        <v>297528.0</v>
      </c>
      <c r="J1333" s="611">
        <v>319443.0</v>
      </c>
      <c r="K1333" s="508" t="s">
        <v>149</v>
      </c>
      <c r="L1333" s="154"/>
      <c r="M1333" s="154"/>
      <c r="N1333" s="154"/>
      <c r="O1333" s="154"/>
      <c r="P1333" s="1"/>
      <c r="Q1333" s="1"/>
      <c r="R1333" s="1"/>
      <c r="S1333" s="1"/>
    </row>
    <row r="1334" ht="11.25" customHeight="1">
      <c r="A1334" s="1"/>
      <c r="B1334" s="181" t="s">
        <v>55</v>
      </c>
      <c r="C1334" s="598">
        <v>81.0</v>
      </c>
      <c r="D1334" s="599">
        <v>267.0</v>
      </c>
      <c r="E1334" s="600">
        <v>2519.07</v>
      </c>
      <c r="F1334" s="463" t="s">
        <v>106</v>
      </c>
      <c r="G1334" s="610">
        <v>130.3</v>
      </c>
      <c r="H1334" s="178">
        <v>673851.0</v>
      </c>
      <c r="I1334" s="178">
        <v>275182.0</v>
      </c>
      <c r="J1334" s="611">
        <v>315589.0</v>
      </c>
      <c r="K1334" s="508" t="s">
        <v>151</v>
      </c>
      <c r="L1334" s="154"/>
      <c r="M1334" s="154"/>
      <c r="N1334" s="154"/>
      <c r="O1334" s="154"/>
      <c r="P1334" s="154"/>
      <c r="Q1334" s="1"/>
      <c r="R1334" s="1"/>
      <c r="S1334" s="1"/>
    </row>
    <row r="1335" ht="9.75" customHeight="1">
      <c r="A1335" s="1"/>
      <c r="B1335" s="181" t="s">
        <v>57</v>
      </c>
      <c r="C1335" s="598">
        <v>85.0</v>
      </c>
      <c r="D1335" s="599">
        <v>302.0</v>
      </c>
      <c r="E1335" s="600">
        <v>2644.29</v>
      </c>
      <c r="F1335" s="463" t="s">
        <v>106</v>
      </c>
      <c r="G1335" s="610">
        <v>128.9</v>
      </c>
      <c r="H1335" s="178">
        <v>798576.0</v>
      </c>
      <c r="I1335" s="178">
        <v>291017.0</v>
      </c>
      <c r="J1335" s="611">
        <v>297027.0</v>
      </c>
      <c r="K1335" s="508" t="s">
        <v>153</v>
      </c>
      <c r="L1335" s="154"/>
      <c r="M1335" s="154"/>
      <c r="N1335" s="154"/>
      <c r="O1335" s="154"/>
      <c r="P1335" s="154"/>
      <c r="Q1335" s="1"/>
      <c r="R1335" s="1"/>
      <c r="S1335" s="1"/>
    </row>
    <row r="1336" ht="9.75" customHeight="1">
      <c r="A1336" s="1"/>
      <c r="B1336" s="181"/>
      <c r="C1336" s="598"/>
      <c r="D1336" s="599"/>
      <c r="E1336" s="600"/>
      <c r="F1336" s="463"/>
      <c r="G1336" s="610"/>
      <c r="H1336" s="178"/>
      <c r="I1336" s="178"/>
      <c r="J1336" s="611"/>
      <c r="K1336" s="508"/>
      <c r="L1336" s="154"/>
      <c r="M1336" s="154"/>
      <c r="N1336" s="154"/>
      <c r="O1336" s="154"/>
      <c r="P1336" s="154"/>
      <c r="Q1336" s="1"/>
      <c r="R1336" s="1"/>
      <c r="S1336" s="1"/>
    </row>
    <row r="1337" ht="9.75" customHeight="1">
      <c r="A1337" s="1"/>
      <c r="B1337" s="181" t="s">
        <v>58</v>
      </c>
      <c r="C1337" s="598">
        <v>94.0</v>
      </c>
      <c r="D1337" s="599">
        <v>332.0</v>
      </c>
      <c r="E1337" s="600">
        <v>3098.03</v>
      </c>
      <c r="F1337" s="463" t="s">
        <v>106</v>
      </c>
      <c r="G1337" s="610">
        <v>171.0</v>
      </c>
      <c r="H1337" s="178">
        <v>1028546.0</v>
      </c>
      <c r="I1337" s="178">
        <v>329845.0</v>
      </c>
      <c r="J1337" s="611">
        <v>370791.0</v>
      </c>
      <c r="K1337" s="508" t="s">
        <v>155</v>
      </c>
      <c r="L1337" s="154"/>
      <c r="M1337" s="154"/>
      <c r="N1337" s="154"/>
      <c r="O1337" s="154"/>
      <c r="P1337" s="154"/>
      <c r="Q1337" s="1"/>
      <c r="R1337" s="1"/>
      <c r="S1337" s="1"/>
    </row>
    <row r="1338" ht="9.75" customHeight="1">
      <c r="A1338" s="1"/>
      <c r="B1338" s="176" t="s">
        <v>59</v>
      </c>
      <c r="C1338" s="598">
        <v>89.0</v>
      </c>
      <c r="D1338" s="599">
        <v>355.0</v>
      </c>
      <c r="E1338" s="600">
        <v>3352.15</v>
      </c>
      <c r="F1338" s="463" t="s">
        <v>106</v>
      </c>
      <c r="G1338" s="610">
        <v>166.8</v>
      </c>
      <c r="H1338" s="178">
        <v>1190015.0</v>
      </c>
      <c r="I1338" s="178">
        <v>352643.0</v>
      </c>
      <c r="J1338" s="611">
        <v>353843.0</v>
      </c>
      <c r="K1338" s="181" t="s">
        <v>160</v>
      </c>
      <c r="L1338" s="154"/>
      <c r="M1338" s="154"/>
      <c r="N1338" s="154"/>
      <c r="O1338" s="154"/>
      <c r="P1338" s="154"/>
      <c r="Q1338" s="1"/>
      <c r="R1338" s="1"/>
      <c r="S1338" s="1"/>
    </row>
    <row r="1339" ht="9.75" customHeight="1">
      <c r="A1339" s="1"/>
      <c r="B1339" s="183" t="s">
        <v>989</v>
      </c>
      <c r="C1339" s="614">
        <v>91.0</v>
      </c>
      <c r="D1339" s="615">
        <v>307.0</v>
      </c>
      <c r="E1339" s="600">
        <v>2823.56</v>
      </c>
      <c r="F1339" s="488" t="s">
        <v>106</v>
      </c>
      <c r="G1339" s="616" t="s">
        <v>10</v>
      </c>
      <c r="H1339" s="184">
        <v>867014.0</v>
      </c>
      <c r="I1339" s="184">
        <v>305564.0</v>
      </c>
      <c r="J1339" s="617">
        <v>343989.0</v>
      </c>
      <c r="K1339" s="618" t="s">
        <v>162</v>
      </c>
      <c r="L1339" s="154"/>
      <c r="M1339" s="154"/>
      <c r="N1339" s="154"/>
      <c r="O1339" s="154"/>
      <c r="P1339" s="154"/>
      <c r="Q1339" s="1"/>
      <c r="R1339" s="1"/>
      <c r="S1339" s="1"/>
    </row>
    <row r="1340" ht="11.25" customHeight="1">
      <c r="A1340" s="1"/>
      <c r="B1340" s="31" t="s">
        <v>31</v>
      </c>
      <c r="C1340" s="620" t="s">
        <v>990</v>
      </c>
      <c r="D1340" s="9"/>
      <c r="E1340" s="9"/>
      <c r="F1340" s="9"/>
      <c r="G1340" s="9"/>
      <c r="H1340" s="9"/>
      <c r="I1340" s="9"/>
      <c r="J1340" s="9"/>
      <c r="K1340" s="10"/>
      <c r="L1340" s="154"/>
      <c r="M1340" s="154"/>
      <c r="N1340" s="154"/>
      <c r="O1340" s="154"/>
      <c r="P1340" s="154"/>
      <c r="Q1340" s="1"/>
      <c r="R1340" s="1"/>
      <c r="S1340" s="1"/>
    </row>
    <row r="1341" ht="10.5" customHeight="1">
      <c r="A1341" s="1"/>
      <c r="B1341" s="5"/>
      <c r="C1341" s="7" t="s">
        <v>235</v>
      </c>
      <c r="D1341" s="7" t="s">
        <v>240</v>
      </c>
      <c r="E1341" s="7" t="s">
        <v>247</v>
      </c>
      <c r="F1341" s="7" t="s">
        <v>252</v>
      </c>
      <c r="G1341" s="7" t="s">
        <v>253</v>
      </c>
      <c r="H1341" s="7" t="s">
        <v>249</v>
      </c>
      <c r="I1341" s="7" t="s">
        <v>263</v>
      </c>
      <c r="J1341" s="7" t="s">
        <v>256</v>
      </c>
      <c r="K1341" s="7" t="s">
        <v>2</v>
      </c>
      <c r="L1341" s="154"/>
      <c r="M1341" s="154"/>
      <c r="N1341" s="154"/>
      <c r="O1341" s="154"/>
      <c r="P1341" s="154"/>
      <c r="Q1341" s="1"/>
      <c r="R1341" s="1"/>
      <c r="S1341" s="1"/>
    </row>
    <row r="1342" ht="23.25" customHeight="1">
      <c r="A1342" s="1"/>
      <c r="B1342" s="6"/>
      <c r="C1342" s="34" t="s">
        <v>49</v>
      </c>
      <c r="D1342" s="9"/>
      <c r="E1342" s="9"/>
      <c r="F1342" s="9"/>
      <c r="G1342" s="9"/>
      <c r="H1342" s="9"/>
      <c r="I1342" s="9"/>
      <c r="J1342" s="9"/>
      <c r="K1342" s="10"/>
      <c r="L1342" s="154"/>
      <c r="M1342" s="154"/>
      <c r="N1342" s="154"/>
      <c r="O1342" s="154"/>
      <c r="P1342" s="154"/>
      <c r="Q1342" s="1"/>
      <c r="R1342" s="1"/>
      <c r="S1342" s="1"/>
    </row>
    <row r="1343" ht="10.5" customHeight="1">
      <c r="A1343" s="1"/>
      <c r="B1343" s="11">
        <v>1999.0</v>
      </c>
      <c r="C1343" s="365">
        <v>86.51</v>
      </c>
      <c r="D1343" s="365" t="s">
        <v>40</v>
      </c>
      <c r="E1343" s="365">
        <v>1.32</v>
      </c>
      <c r="F1343" s="365" t="s">
        <v>40</v>
      </c>
      <c r="G1343" s="365">
        <v>4.58</v>
      </c>
      <c r="H1343" s="621" t="s">
        <v>40</v>
      </c>
      <c r="I1343" s="365" t="s">
        <v>40</v>
      </c>
      <c r="J1343" s="365" t="s">
        <v>40</v>
      </c>
      <c r="K1343" s="365">
        <f t="shared" ref="K1343:K1347" si="62">SUM(D1343:J1343)</f>
        <v>5.9</v>
      </c>
      <c r="L1343" s="154"/>
      <c r="M1343" s="154"/>
      <c r="N1343" s="154"/>
      <c r="O1343" s="154"/>
      <c r="P1343" s="154"/>
      <c r="Q1343" s="1"/>
      <c r="R1343" s="1"/>
      <c r="S1343" s="1"/>
    </row>
    <row r="1344" ht="10.5" customHeight="1">
      <c r="A1344" s="180"/>
      <c r="B1344" s="11">
        <v>2000.0</v>
      </c>
      <c r="C1344" s="365">
        <v>103.35</v>
      </c>
      <c r="D1344" s="365">
        <v>0.09</v>
      </c>
      <c r="E1344" s="365">
        <v>9.72</v>
      </c>
      <c r="F1344" s="365" t="s">
        <v>40</v>
      </c>
      <c r="G1344" s="365">
        <v>3.03</v>
      </c>
      <c r="H1344" s="623" t="s">
        <v>40</v>
      </c>
      <c r="I1344" s="365" t="s">
        <v>40</v>
      </c>
      <c r="J1344" s="365" t="s">
        <v>40</v>
      </c>
      <c r="K1344" s="365">
        <f t="shared" si="62"/>
        <v>12.84</v>
      </c>
      <c r="L1344" s="154"/>
      <c r="M1344" s="154"/>
      <c r="N1344" s="154"/>
      <c r="O1344" s="154"/>
      <c r="P1344" s="154"/>
      <c r="Q1344" s="1"/>
      <c r="R1344" s="1"/>
      <c r="S1344" s="1"/>
    </row>
    <row r="1345" ht="10.5" customHeight="1">
      <c r="A1345" s="180"/>
      <c r="B1345" s="11">
        <v>2001.0</v>
      </c>
      <c r="C1345" s="365">
        <v>99.2</v>
      </c>
      <c r="D1345" s="365">
        <v>1.3</v>
      </c>
      <c r="E1345" s="365">
        <v>35.1</v>
      </c>
      <c r="F1345" s="365" t="s">
        <v>40</v>
      </c>
      <c r="G1345" s="365">
        <v>5.0</v>
      </c>
      <c r="H1345" s="623">
        <v>0.5</v>
      </c>
      <c r="I1345" s="365" t="s">
        <v>40</v>
      </c>
      <c r="J1345" s="365" t="s">
        <v>40</v>
      </c>
      <c r="K1345" s="365">
        <f t="shared" si="62"/>
        <v>41.9</v>
      </c>
      <c r="L1345" s="154"/>
      <c r="M1345" s="154"/>
      <c r="N1345" s="154"/>
      <c r="O1345" s="154"/>
      <c r="P1345" s="154"/>
      <c r="Q1345" s="1"/>
      <c r="R1345" s="1"/>
      <c r="S1345" s="1"/>
    </row>
    <row r="1346" ht="10.5" customHeight="1">
      <c r="A1346" s="180"/>
      <c r="B1346" s="11">
        <v>2002.0</v>
      </c>
      <c r="C1346" s="365">
        <v>146.25</v>
      </c>
      <c r="D1346" s="365">
        <v>1.11</v>
      </c>
      <c r="E1346" s="365">
        <v>24.75</v>
      </c>
      <c r="F1346" s="365" t="s">
        <v>40</v>
      </c>
      <c r="G1346" s="365">
        <v>11.66</v>
      </c>
      <c r="H1346" s="623" t="s">
        <v>40</v>
      </c>
      <c r="I1346" s="365" t="s">
        <v>40</v>
      </c>
      <c r="J1346" s="389" t="s">
        <v>40</v>
      </c>
      <c r="K1346" s="389">
        <f t="shared" si="62"/>
        <v>37.52</v>
      </c>
      <c r="L1346" s="154"/>
      <c r="M1346" s="154"/>
      <c r="N1346" s="154"/>
      <c r="O1346" s="154"/>
      <c r="P1346" s="154"/>
      <c r="Q1346" s="1"/>
      <c r="R1346" s="1"/>
      <c r="S1346" s="1"/>
    </row>
    <row r="1347" ht="10.5" customHeight="1">
      <c r="A1347" s="180"/>
      <c r="B1347" s="11">
        <v>2003.0</v>
      </c>
      <c r="C1347" s="389">
        <v>168.5</v>
      </c>
      <c r="D1347" s="389">
        <v>1.0</v>
      </c>
      <c r="E1347" s="389">
        <v>58.35</v>
      </c>
      <c r="F1347" s="389">
        <v>0.15</v>
      </c>
      <c r="G1347" s="389">
        <v>9.0</v>
      </c>
      <c r="H1347" s="623">
        <v>3.0</v>
      </c>
      <c r="I1347" s="365" t="s">
        <v>40</v>
      </c>
      <c r="J1347" s="389" t="s">
        <v>40</v>
      </c>
      <c r="K1347" s="389">
        <f t="shared" si="62"/>
        <v>71.5</v>
      </c>
      <c r="L1347" s="154"/>
      <c r="M1347" s="154"/>
      <c r="N1347" s="154"/>
      <c r="O1347" s="154"/>
      <c r="P1347" s="154"/>
      <c r="Q1347" s="1"/>
      <c r="R1347" s="1"/>
      <c r="S1347" s="1"/>
    </row>
    <row r="1348" ht="10.5" customHeight="1">
      <c r="A1348" s="180"/>
      <c r="B1348" s="11"/>
      <c r="C1348" s="389"/>
      <c r="D1348" s="365"/>
      <c r="E1348" s="389"/>
      <c r="F1348" s="389"/>
      <c r="G1348" s="389"/>
      <c r="H1348" s="623"/>
      <c r="I1348" s="365"/>
      <c r="J1348" s="365"/>
      <c r="K1348" s="365"/>
      <c r="L1348" s="154"/>
      <c r="M1348" s="154"/>
      <c r="N1348" s="154"/>
      <c r="O1348" s="154"/>
      <c r="P1348" s="154"/>
      <c r="Q1348" s="1"/>
      <c r="R1348" s="1"/>
      <c r="S1348" s="1"/>
    </row>
    <row r="1349" ht="10.5" customHeight="1">
      <c r="A1349" s="180"/>
      <c r="B1349" s="181">
        <v>2004.0</v>
      </c>
      <c r="C1349" s="392">
        <v>114.5</v>
      </c>
      <c r="D1349" s="626">
        <v>1.2</v>
      </c>
      <c r="E1349" s="626">
        <v>55.0</v>
      </c>
      <c r="F1349" s="365" t="s">
        <v>40</v>
      </c>
      <c r="G1349" s="626">
        <v>13.2</v>
      </c>
      <c r="H1349" s="623">
        <v>1.1</v>
      </c>
      <c r="I1349" s="626" t="s">
        <v>40</v>
      </c>
      <c r="J1349" s="389" t="s">
        <v>40</v>
      </c>
      <c r="K1349" s="389">
        <f t="shared" ref="K1349:K1353" si="63">SUM(D1349:J1349)</f>
        <v>70.5</v>
      </c>
      <c r="L1349" s="154"/>
      <c r="M1349" s="154"/>
      <c r="N1349" s="154"/>
      <c r="O1349" s="154"/>
      <c r="P1349" s="154"/>
      <c r="Q1349" s="1"/>
      <c r="R1349" s="1"/>
      <c r="S1349" s="1"/>
    </row>
    <row r="1350" ht="10.5" customHeight="1">
      <c r="A1350" s="1"/>
      <c r="B1350" s="181">
        <v>2005.0</v>
      </c>
      <c r="C1350" s="392">
        <v>154.0</v>
      </c>
      <c r="D1350" s="626">
        <v>0.6</v>
      </c>
      <c r="E1350" s="626">
        <v>60.3</v>
      </c>
      <c r="F1350" s="365" t="s">
        <v>40</v>
      </c>
      <c r="G1350" s="626">
        <v>9.0</v>
      </c>
      <c r="H1350" s="623">
        <v>1.1</v>
      </c>
      <c r="I1350" s="626" t="s">
        <v>40</v>
      </c>
      <c r="J1350" s="389" t="s">
        <v>40</v>
      </c>
      <c r="K1350" s="389">
        <f t="shared" si="63"/>
        <v>71</v>
      </c>
      <c r="L1350" s="154"/>
      <c r="M1350" s="154"/>
      <c r="N1350" s="154"/>
      <c r="O1350" s="154"/>
      <c r="P1350" s="154"/>
      <c r="Q1350" s="1"/>
      <c r="R1350" s="1"/>
      <c r="S1350" s="1"/>
    </row>
    <row r="1351" ht="10.5" customHeight="1">
      <c r="A1351" s="1"/>
      <c r="B1351" s="181">
        <v>2006.0</v>
      </c>
      <c r="C1351" s="392">
        <v>169.0</v>
      </c>
      <c r="D1351" s="626" t="s">
        <v>40</v>
      </c>
      <c r="E1351" s="626">
        <v>58.0</v>
      </c>
      <c r="F1351" s="365" t="s">
        <v>40</v>
      </c>
      <c r="G1351" s="626">
        <v>8.0</v>
      </c>
      <c r="H1351" s="623">
        <v>1.0</v>
      </c>
      <c r="I1351" s="626" t="s">
        <v>40</v>
      </c>
      <c r="J1351" s="389" t="s">
        <v>40</v>
      </c>
      <c r="K1351" s="389">
        <f t="shared" si="63"/>
        <v>67</v>
      </c>
      <c r="L1351" s="154"/>
      <c r="M1351" s="154"/>
      <c r="N1351" s="154"/>
      <c r="O1351" s="154"/>
      <c r="P1351" s="154"/>
      <c r="Q1351" s="1"/>
      <c r="R1351" s="1"/>
      <c r="S1351" s="1"/>
    </row>
    <row r="1352" ht="10.5" customHeight="1">
      <c r="A1352" s="1"/>
      <c r="B1352" s="181">
        <v>2006.0</v>
      </c>
      <c r="C1352" s="392">
        <v>152.0</v>
      </c>
      <c r="D1352" s="392" t="s">
        <v>40</v>
      </c>
      <c r="E1352" s="626">
        <v>60.0</v>
      </c>
      <c r="F1352" s="626" t="s">
        <v>998</v>
      </c>
      <c r="G1352" s="626">
        <v>9.1</v>
      </c>
      <c r="H1352" s="623">
        <v>1.4</v>
      </c>
      <c r="I1352" s="626" t="s">
        <v>998</v>
      </c>
      <c r="J1352" s="389" t="s">
        <v>40</v>
      </c>
      <c r="K1352" s="389">
        <f t="shared" si="63"/>
        <v>70.5</v>
      </c>
      <c r="L1352" s="154"/>
      <c r="M1352" s="154"/>
      <c r="N1352" s="154"/>
      <c r="O1352" s="154"/>
      <c r="P1352" s="154"/>
      <c r="Q1352" s="1"/>
      <c r="R1352" s="1"/>
      <c r="S1352" s="1"/>
    </row>
    <row r="1353" ht="10.5" customHeight="1">
      <c r="A1353" s="1"/>
      <c r="B1353" s="181">
        <v>2008.0</v>
      </c>
      <c r="C1353" s="392">
        <v>110.0</v>
      </c>
      <c r="D1353" s="626" t="s">
        <v>40</v>
      </c>
      <c r="E1353" s="626">
        <v>70.48</v>
      </c>
      <c r="F1353" s="626" t="s">
        <v>40</v>
      </c>
      <c r="G1353" s="626">
        <v>10.0</v>
      </c>
      <c r="H1353" s="623">
        <v>1.52</v>
      </c>
      <c r="I1353" s="626" t="s">
        <v>40</v>
      </c>
      <c r="J1353" s="389" t="s">
        <v>40</v>
      </c>
      <c r="K1353" s="389">
        <f t="shared" si="63"/>
        <v>82</v>
      </c>
      <c r="L1353" s="154"/>
      <c r="M1353" s="154"/>
      <c r="N1353" s="154"/>
      <c r="O1353" s="154"/>
      <c r="P1353" s="154"/>
      <c r="Q1353" s="1"/>
      <c r="R1353" s="1"/>
      <c r="S1353" s="1"/>
    </row>
    <row r="1354" ht="10.5" customHeight="1">
      <c r="A1354" s="1"/>
      <c r="B1354" s="181"/>
      <c r="C1354" s="392"/>
      <c r="D1354" s="626"/>
      <c r="E1354" s="626"/>
      <c r="F1354" s="626"/>
      <c r="G1354" s="626"/>
      <c r="H1354" s="623"/>
      <c r="I1354" s="626"/>
      <c r="J1354" s="626"/>
      <c r="K1354" s="626"/>
      <c r="L1354" s="154"/>
      <c r="M1354" s="154"/>
      <c r="N1354" s="154"/>
      <c r="O1354" s="154"/>
      <c r="P1354" s="154"/>
      <c r="Q1354" s="1"/>
      <c r="R1354" s="1"/>
      <c r="S1354" s="1"/>
    </row>
    <row r="1355" ht="10.5" customHeight="1">
      <c r="A1355" s="1"/>
      <c r="B1355" s="181">
        <v>2009.0</v>
      </c>
      <c r="C1355" s="392">
        <v>161.65</v>
      </c>
      <c r="D1355" s="626" t="s">
        <v>40</v>
      </c>
      <c r="E1355" s="392">
        <v>47.6</v>
      </c>
      <c r="F1355" s="392" t="s">
        <v>40</v>
      </c>
      <c r="G1355" s="392">
        <v>6.53</v>
      </c>
      <c r="H1355" s="623">
        <v>0.22</v>
      </c>
      <c r="I1355" s="626" t="s">
        <v>40</v>
      </c>
      <c r="J1355" s="389" t="s">
        <v>40</v>
      </c>
      <c r="K1355" s="389">
        <f t="shared" ref="K1355:K1359" si="64">SUM(D1355:J1355)</f>
        <v>54.35</v>
      </c>
      <c r="L1355" s="154"/>
      <c r="M1355" s="154"/>
      <c r="N1355" s="154"/>
      <c r="O1355" s="154"/>
      <c r="P1355" s="154"/>
      <c r="Q1355" s="1"/>
      <c r="R1355" s="1"/>
      <c r="S1355" s="1"/>
    </row>
    <row r="1356" ht="10.5" customHeight="1">
      <c r="A1356" s="1"/>
      <c r="B1356" s="181">
        <v>2010.0</v>
      </c>
      <c r="C1356" s="392">
        <v>142.66</v>
      </c>
      <c r="D1356" s="626" t="s">
        <v>40</v>
      </c>
      <c r="E1356" s="392">
        <v>45.0</v>
      </c>
      <c r="F1356" s="392" t="s">
        <v>40</v>
      </c>
      <c r="G1356" s="392">
        <v>5.47</v>
      </c>
      <c r="H1356" s="623">
        <v>0.82</v>
      </c>
      <c r="I1356" s="626" t="s">
        <v>40</v>
      </c>
      <c r="J1356" s="389" t="s">
        <v>40</v>
      </c>
      <c r="K1356" s="389">
        <f t="shared" si="64"/>
        <v>51.29</v>
      </c>
      <c r="L1356" s="154"/>
      <c r="M1356" s="154"/>
      <c r="N1356" s="154"/>
      <c r="O1356" s="154"/>
      <c r="P1356" s="154"/>
      <c r="Q1356" s="1"/>
      <c r="R1356" s="1"/>
      <c r="S1356" s="1"/>
    </row>
    <row r="1357" ht="10.5" customHeight="1">
      <c r="A1357" s="1"/>
      <c r="B1357" s="181" t="s">
        <v>487</v>
      </c>
      <c r="C1357" s="392">
        <v>254.0</v>
      </c>
      <c r="D1357" s="392" t="s">
        <v>40</v>
      </c>
      <c r="E1357" s="392">
        <v>51.3</v>
      </c>
      <c r="F1357" s="392" t="s">
        <v>40</v>
      </c>
      <c r="G1357" s="392">
        <v>6.05</v>
      </c>
      <c r="H1357" s="623">
        <v>0.7</v>
      </c>
      <c r="I1357" s="626" t="s">
        <v>40</v>
      </c>
      <c r="J1357" s="389" t="s">
        <v>40</v>
      </c>
      <c r="K1357" s="389">
        <f t="shared" si="64"/>
        <v>58.05</v>
      </c>
      <c r="L1357" s="154"/>
      <c r="M1357" s="154"/>
      <c r="N1357" s="154"/>
      <c r="O1357" s="154"/>
      <c r="P1357" s="154"/>
      <c r="Q1357" s="1"/>
      <c r="R1357" s="1"/>
      <c r="S1357" s="1"/>
    </row>
    <row r="1358" ht="10.5" customHeight="1">
      <c r="A1358" s="1"/>
      <c r="B1358" s="181" t="s">
        <v>489</v>
      </c>
      <c r="C1358" s="392">
        <v>237.37</v>
      </c>
      <c r="D1358" s="392" t="s">
        <v>40</v>
      </c>
      <c r="E1358" s="392">
        <v>51.7</v>
      </c>
      <c r="F1358" s="392" t="s">
        <v>998</v>
      </c>
      <c r="G1358" s="392">
        <v>7.2</v>
      </c>
      <c r="H1358" s="623" t="s">
        <v>40</v>
      </c>
      <c r="I1358" s="626">
        <v>1.68</v>
      </c>
      <c r="J1358" s="389" t="s">
        <v>40</v>
      </c>
      <c r="K1358" s="389">
        <f t="shared" si="64"/>
        <v>60.58</v>
      </c>
      <c r="L1358" s="154"/>
      <c r="M1358" s="154"/>
      <c r="N1358" s="154"/>
      <c r="O1358" s="154"/>
      <c r="P1358" s="154"/>
      <c r="Q1358" s="1"/>
      <c r="R1358" s="1"/>
      <c r="S1358" s="1"/>
    </row>
    <row r="1359" ht="10.5" customHeight="1">
      <c r="A1359" s="1"/>
      <c r="B1359" s="181" t="s">
        <v>55</v>
      </c>
      <c r="C1359" s="392">
        <v>201.6</v>
      </c>
      <c r="D1359" s="392" t="s">
        <v>40</v>
      </c>
      <c r="E1359" s="392">
        <v>58.3</v>
      </c>
      <c r="F1359" s="392" t="s">
        <v>40</v>
      </c>
      <c r="G1359" s="392">
        <v>6.32</v>
      </c>
      <c r="H1359" s="623">
        <v>1.0</v>
      </c>
      <c r="I1359" s="626">
        <v>0.29</v>
      </c>
      <c r="J1359" s="389" t="s">
        <v>40</v>
      </c>
      <c r="K1359" s="389">
        <f t="shared" si="64"/>
        <v>65.91</v>
      </c>
      <c r="L1359" s="154"/>
      <c r="M1359" s="154"/>
      <c r="N1359" s="154"/>
      <c r="O1359" s="154"/>
      <c r="P1359" s="154"/>
      <c r="Q1359" s="1"/>
      <c r="R1359" s="1"/>
      <c r="S1359" s="1"/>
    </row>
    <row r="1360" ht="10.5" customHeight="1">
      <c r="A1360" s="1"/>
      <c r="B1360" s="181"/>
      <c r="C1360" s="392"/>
      <c r="D1360" s="392"/>
      <c r="E1360" s="392"/>
      <c r="F1360" s="392"/>
      <c r="G1360" s="392"/>
      <c r="H1360" s="623"/>
      <c r="I1360" s="626"/>
      <c r="J1360" s="389"/>
      <c r="K1360" s="389"/>
      <c r="L1360" s="154"/>
      <c r="M1360" s="154"/>
      <c r="N1360" s="154"/>
      <c r="O1360" s="154"/>
      <c r="P1360" s="1"/>
      <c r="Q1360" s="1"/>
      <c r="R1360" s="1"/>
      <c r="S1360" s="1"/>
    </row>
    <row r="1361" ht="10.5" customHeight="1">
      <c r="A1361" s="1"/>
      <c r="B1361" s="181" t="s">
        <v>57</v>
      </c>
      <c r="C1361" s="392">
        <v>212.0</v>
      </c>
      <c r="D1361" s="392" t="s">
        <v>40</v>
      </c>
      <c r="E1361" s="392">
        <v>81.6</v>
      </c>
      <c r="F1361" s="392" t="s">
        <v>40</v>
      </c>
      <c r="G1361" s="392">
        <v>6.3</v>
      </c>
      <c r="H1361" s="623">
        <v>0.8</v>
      </c>
      <c r="I1361" s="626">
        <v>1.3</v>
      </c>
      <c r="J1361" s="389" t="s">
        <v>40</v>
      </c>
      <c r="K1361" s="389">
        <v>302.0</v>
      </c>
      <c r="L1361" s="154"/>
      <c r="M1361" s="154"/>
      <c r="N1361" s="154"/>
      <c r="O1361" s="154"/>
      <c r="P1361" s="1"/>
      <c r="Q1361" s="1"/>
      <c r="R1361" s="1"/>
      <c r="S1361" s="1"/>
    </row>
    <row r="1362" ht="10.5" customHeight="1">
      <c r="A1362" s="1"/>
      <c r="B1362" s="181" t="s">
        <v>58</v>
      </c>
      <c r="C1362" s="392">
        <v>256.0</v>
      </c>
      <c r="D1362" s="392">
        <v>0.1</v>
      </c>
      <c r="E1362" s="392">
        <v>53.5</v>
      </c>
      <c r="F1362" s="392" t="s">
        <v>40</v>
      </c>
      <c r="G1362" s="392">
        <v>9.0</v>
      </c>
      <c r="H1362" s="623">
        <v>1.2</v>
      </c>
      <c r="I1362" s="626">
        <v>12.2</v>
      </c>
      <c r="J1362" s="389" t="s">
        <v>40</v>
      </c>
      <c r="K1362" s="389">
        <v>332.0</v>
      </c>
      <c r="L1362" s="154"/>
      <c r="M1362" s="154"/>
      <c r="N1362" s="154"/>
      <c r="O1362" s="154"/>
      <c r="P1362" s="1"/>
      <c r="Q1362" s="1"/>
      <c r="R1362" s="1"/>
      <c r="S1362" s="1"/>
    </row>
    <row r="1363" ht="10.5" customHeight="1">
      <c r="A1363" s="1"/>
      <c r="B1363" s="181" t="s">
        <v>59</v>
      </c>
      <c r="C1363" s="392">
        <v>317.0</v>
      </c>
      <c r="D1363" s="392" t="s">
        <v>40</v>
      </c>
      <c r="E1363" s="392">
        <v>19.7</v>
      </c>
      <c r="F1363" s="392">
        <v>0.1</v>
      </c>
      <c r="G1363" s="392">
        <v>9.1</v>
      </c>
      <c r="H1363" s="623">
        <v>2.0</v>
      </c>
      <c r="I1363" s="392">
        <v>7.1</v>
      </c>
      <c r="J1363" s="389" t="s">
        <v>40</v>
      </c>
      <c r="K1363" s="389">
        <v>355.0</v>
      </c>
      <c r="L1363" s="154"/>
      <c r="M1363" s="154"/>
      <c r="N1363" s="154"/>
      <c r="O1363" s="154"/>
      <c r="P1363" s="1"/>
      <c r="Q1363" s="1"/>
      <c r="R1363" s="1"/>
      <c r="S1363" s="1"/>
    </row>
    <row r="1364" ht="10.5" customHeight="1">
      <c r="A1364" s="1"/>
      <c r="B1364" s="618" t="s">
        <v>999</v>
      </c>
      <c r="C1364" s="629">
        <v>263.5</v>
      </c>
      <c r="D1364" s="629" t="s">
        <v>40</v>
      </c>
      <c r="E1364" s="629">
        <v>25.7</v>
      </c>
      <c r="F1364" s="629" t="s">
        <v>40</v>
      </c>
      <c r="G1364" s="629">
        <v>9.7</v>
      </c>
      <c r="H1364" s="623">
        <v>0.5</v>
      </c>
      <c r="I1364" s="394">
        <v>7.3</v>
      </c>
      <c r="J1364" s="394">
        <v>0.3</v>
      </c>
      <c r="K1364" s="394">
        <v>307.0</v>
      </c>
      <c r="L1364" s="154"/>
      <c r="M1364" s="154"/>
      <c r="N1364" s="154"/>
      <c r="O1364" s="154"/>
      <c r="P1364" s="1"/>
      <c r="Q1364" s="1"/>
      <c r="R1364" s="1"/>
      <c r="S1364" s="1"/>
    </row>
    <row r="1365" ht="10.5" customHeight="1">
      <c r="A1365" s="1"/>
      <c r="B1365" s="630"/>
      <c r="C1365" s="631"/>
      <c r="D1365" s="631"/>
      <c r="E1365" s="631"/>
      <c r="F1365" s="631"/>
      <c r="G1365" s="631"/>
      <c r="H1365" s="631"/>
      <c r="I1365" s="632"/>
      <c r="J1365" s="154"/>
      <c r="K1365" s="154"/>
      <c r="L1365" s="154"/>
      <c r="M1365" s="154"/>
      <c r="N1365" s="154"/>
      <c r="O1365" s="154"/>
      <c r="P1365" s="1"/>
      <c r="Q1365" s="1"/>
      <c r="R1365" s="1"/>
      <c r="S1365" s="1"/>
    </row>
    <row r="1366" ht="6.0" customHeight="1">
      <c r="A1366" s="1"/>
      <c r="B1366" s="633"/>
      <c r="C1366" s="634"/>
      <c r="D1366" s="634"/>
      <c r="E1366" s="634"/>
      <c r="F1366" s="634"/>
      <c r="G1366" s="634"/>
      <c r="H1366" s="634"/>
      <c r="I1366" s="154"/>
      <c r="J1366" s="154"/>
      <c r="K1366" s="154"/>
      <c r="L1366" s="154"/>
      <c r="M1366" s="154"/>
      <c r="N1366" s="154"/>
      <c r="O1366" s="154"/>
      <c r="P1366" s="1"/>
      <c r="Q1366" s="1"/>
      <c r="R1366" s="1"/>
      <c r="S1366" s="1"/>
    </row>
    <row r="1367" ht="10.5" customHeight="1">
      <c r="A1367" s="1"/>
      <c r="B1367" s="185" t="s">
        <v>1001</v>
      </c>
      <c r="C1367" s="185"/>
      <c r="D1367" s="185"/>
      <c r="E1367" s="185"/>
      <c r="F1367" s="185"/>
      <c r="G1367" s="185"/>
      <c r="H1367" s="635"/>
      <c r="I1367" s="154"/>
      <c r="J1367" s="154"/>
      <c r="K1367" s="154"/>
      <c r="L1367" s="154"/>
      <c r="M1367" s="154"/>
      <c r="N1367" s="154"/>
      <c r="O1367" s="154"/>
      <c r="P1367" s="1"/>
      <c r="Q1367" s="1"/>
      <c r="R1367" s="1"/>
      <c r="S1367" s="1"/>
    </row>
    <row r="1368" ht="10.5" customHeight="1">
      <c r="A1368" s="1"/>
      <c r="B1368" s="185" t="s">
        <v>1002</v>
      </c>
      <c r="C1368" s="185"/>
      <c r="D1368" s="185"/>
      <c r="E1368" s="185"/>
      <c r="F1368" s="185"/>
      <c r="H1368" s="635"/>
      <c r="I1368" s="154"/>
      <c r="J1368" s="154"/>
      <c r="K1368" s="154"/>
      <c r="L1368" s="154"/>
      <c r="M1368" s="154"/>
      <c r="N1368" s="154"/>
      <c r="O1368" s="154"/>
      <c r="P1368" s="1"/>
      <c r="Q1368" s="1"/>
      <c r="R1368" s="1"/>
      <c r="S1368" s="1"/>
    </row>
    <row r="1369" ht="10.5" customHeight="1">
      <c r="A1369" s="1"/>
      <c r="B1369" s="185" t="s">
        <v>1003</v>
      </c>
      <c r="C1369" s="185"/>
      <c r="D1369" s="185"/>
      <c r="E1369" s="185"/>
      <c r="F1369" s="185"/>
      <c r="G1369" s="185"/>
      <c r="H1369" s="635"/>
      <c r="I1369" s="154"/>
      <c r="J1369" s="154"/>
      <c r="K1369" s="154"/>
      <c r="L1369" s="154"/>
      <c r="M1369" s="154"/>
      <c r="N1369" s="154"/>
      <c r="O1369" s="154"/>
      <c r="P1369" s="1"/>
      <c r="Q1369" s="1"/>
      <c r="R1369" s="1"/>
      <c r="S1369" s="1"/>
    </row>
    <row r="1370" ht="10.5" customHeight="1">
      <c r="A1370" s="1"/>
      <c r="B1370" s="639" t="s">
        <v>1005</v>
      </c>
      <c r="H1370" s="635"/>
      <c r="I1370" s="154"/>
      <c r="J1370" s="154"/>
      <c r="K1370" s="154"/>
      <c r="L1370" s="154"/>
      <c r="M1370" s="154"/>
      <c r="N1370" s="154"/>
      <c r="O1370" s="154"/>
      <c r="P1370" s="1"/>
      <c r="Q1370" s="1"/>
      <c r="R1370" s="1"/>
      <c r="S1370" s="1"/>
    </row>
    <row r="1371" ht="10.5" customHeight="1">
      <c r="A1371" s="1"/>
      <c r="B1371" s="185" t="s">
        <v>1006</v>
      </c>
      <c r="C1371" s="185"/>
      <c r="D1371" s="185"/>
      <c r="E1371" s="185"/>
      <c r="F1371" s="185"/>
      <c r="G1371" s="185"/>
      <c r="H1371" s="641"/>
      <c r="I1371" s="154"/>
      <c r="J1371" s="154"/>
      <c r="K1371" s="154"/>
      <c r="L1371" s="154"/>
      <c r="M1371" s="154"/>
      <c r="N1371" s="154"/>
      <c r="O1371" s="154"/>
      <c r="P1371" s="1"/>
      <c r="Q1371" s="1"/>
      <c r="R1371" s="1"/>
      <c r="S1371" s="1"/>
    </row>
    <row r="1372" ht="10.5" customHeight="1">
      <c r="A1372" s="1"/>
      <c r="B1372" s="185" t="s">
        <v>1008</v>
      </c>
      <c r="C1372" s="185"/>
      <c r="D1372" s="185"/>
      <c r="E1372" s="185"/>
      <c r="F1372" s="185"/>
      <c r="G1372" s="185"/>
      <c r="H1372" s="641"/>
      <c r="I1372" s="154"/>
      <c r="J1372" s="154"/>
      <c r="K1372" s="154"/>
      <c r="L1372" s="154"/>
      <c r="M1372" s="154"/>
      <c r="N1372" s="154"/>
      <c r="O1372" s="154"/>
      <c r="P1372" s="1"/>
      <c r="Q1372" s="1"/>
      <c r="R1372" s="1"/>
      <c r="S1372" s="1"/>
    </row>
    <row r="1373" ht="10.5" customHeight="1">
      <c r="A1373" s="1"/>
      <c r="B1373" s="642" t="s">
        <v>1009</v>
      </c>
      <c r="F1373" s="185"/>
      <c r="G1373" s="185"/>
      <c r="H1373" s="641"/>
      <c r="I1373" s="154"/>
      <c r="J1373" s="154"/>
      <c r="K1373" s="154"/>
      <c r="L1373" s="154"/>
      <c r="M1373" s="154"/>
      <c r="N1373" s="154"/>
      <c r="O1373" s="154"/>
      <c r="P1373" s="1"/>
      <c r="Q1373" s="1"/>
      <c r="R1373" s="1"/>
      <c r="S1373" s="1"/>
    </row>
    <row r="1374" ht="10.5" customHeight="1">
      <c r="A1374" s="1"/>
      <c r="B1374" s="185" t="s">
        <v>1011</v>
      </c>
      <c r="C1374" s="185"/>
      <c r="D1374" s="185"/>
      <c r="E1374" s="185"/>
      <c r="F1374" s="185"/>
      <c r="G1374" s="185"/>
      <c r="H1374" s="641"/>
      <c r="I1374" s="154"/>
      <c r="J1374" s="154"/>
      <c r="K1374" s="154"/>
      <c r="L1374" s="154"/>
      <c r="M1374" s="154"/>
      <c r="N1374" s="154"/>
      <c r="O1374" s="154"/>
      <c r="P1374" s="1"/>
      <c r="Q1374" s="1"/>
      <c r="R1374" s="1"/>
      <c r="S1374" s="1"/>
    </row>
    <row r="1375" ht="10.5" customHeight="1">
      <c r="A1375" s="1"/>
      <c r="B1375" s="185" t="s">
        <v>1012</v>
      </c>
      <c r="C1375" s="185"/>
      <c r="D1375" s="185"/>
      <c r="E1375" s="185"/>
      <c r="F1375" s="185"/>
      <c r="G1375" s="185"/>
      <c r="H1375" s="641"/>
      <c r="I1375" s="154"/>
      <c r="J1375" s="154"/>
      <c r="K1375" s="154"/>
      <c r="L1375" s="154"/>
      <c r="M1375" s="154"/>
      <c r="N1375" s="154"/>
      <c r="O1375" s="154"/>
      <c r="P1375" s="1"/>
      <c r="Q1375" s="1"/>
      <c r="R1375" s="1"/>
      <c r="S1375" s="1"/>
    </row>
    <row r="1376" ht="10.5" customHeight="1">
      <c r="A1376" s="1"/>
      <c r="B1376" s="185" t="s">
        <v>1014</v>
      </c>
      <c r="C1376" s="185"/>
      <c r="D1376" s="185"/>
      <c r="E1376" s="185"/>
      <c r="F1376" s="185"/>
      <c r="G1376" s="185"/>
      <c r="H1376" s="641"/>
      <c r="I1376" s="154"/>
      <c r="J1376" s="154"/>
      <c r="K1376" s="154"/>
      <c r="L1376" s="154"/>
      <c r="M1376" s="154"/>
      <c r="N1376" s="154"/>
      <c r="O1376" s="154"/>
      <c r="P1376" s="1"/>
      <c r="Q1376" s="1"/>
      <c r="R1376" s="1"/>
      <c r="S1376" s="1"/>
    </row>
    <row r="1377" ht="10.5" customHeight="1">
      <c r="A1377" s="1"/>
      <c r="B1377" s="185"/>
      <c r="C1377" s="185"/>
      <c r="D1377" s="185"/>
      <c r="E1377" s="185"/>
      <c r="F1377" s="185"/>
      <c r="G1377" s="185"/>
      <c r="H1377" s="641"/>
      <c r="I1377" s="154"/>
      <c r="J1377" s="154"/>
      <c r="K1377" s="154"/>
      <c r="L1377" s="154"/>
      <c r="M1377" s="154"/>
      <c r="N1377" s="154"/>
      <c r="O1377" s="154"/>
      <c r="P1377" s="1"/>
      <c r="Q1377" s="1"/>
      <c r="R1377" s="1"/>
      <c r="S1377" s="1"/>
    </row>
    <row r="1378" ht="10.5" customHeight="1">
      <c r="A1378" s="1"/>
      <c r="B1378" s="185"/>
      <c r="C1378" s="185"/>
      <c r="D1378" s="185"/>
      <c r="E1378" s="185"/>
      <c r="F1378" s="185"/>
      <c r="G1378" s="185"/>
      <c r="H1378" s="641"/>
      <c r="I1378" s="154"/>
      <c r="J1378" s="154"/>
      <c r="K1378" s="154"/>
      <c r="L1378" s="154"/>
      <c r="M1378" s="154"/>
      <c r="N1378" s="154"/>
      <c r="O1378" s="154"/>
      <c r="P1378" s="1"/>
      <c r="Q1378" s="1"/>
      <c r="R1378" s="1"/>
      <c r="S1378" s="1"/>
    </row>
    <row r="1379" ht="10.5" customHeight="1">
      <c r="A1379" s="1"/>
      <c r="B1379" s="185"/>
      <c r="C1379" s="185"/>
      <c r="D1379" s="185"/>
      <c r="E1379" s="185"/>
      <c r="F1379" s="185"/>
      <c r="G1379" s="185"/>
      <c r="H1379" s="641"/>
      <c r="I1379" s="154"/>
      <c r="J1379" s="154"/>
      <c r="K1379" s="154"/>
      <c r="L1379" s="154"/>
      <c r="M1379" s="154"/>
      <c r="N1379" s="154"/>
      <c r="O1379" s="154"/>
      <c r="P1379" s="1"/>
      <c r="Q1379" s="1"/>
      <c r="R1379" s="1"/>
      <c r="S1379" s="1"/>
    </row>
    <row r="1380" ht="10.5" customHeight="1">
      <c r="A1380" s="1"/>
      <c r="B1380" s="185"/>
      <c r="C1380" s="185"/>
      <c r="D1380" s="185"/>
      <c r="E1380" s="185"/>
      <c r="F1380" s="185"/>
      <c r="G1380" s="185"/>
      <c r="H1380" s="641"/>
      <c r="I1380" s="154"/>
      <c r="J1380" s="154"/>
      <c r="K1380" s="154"/>
      <c r="L1380" s="154"/>
      <c r="M1380" s="154"/>
      <c r="N1380" s="154"/>
      <c r="O1380" s="154"/>
      <c r="P1380" s="1"/>
      <c r="Q1380" s="1"/>
      <c r="R1380" s="1"/>
      <c r="S1380" s="1"/>
    </row>
    <row r="1381" ht="10.5" customHeight="1">
      <c r="A1381" s="1"/>
      <c r="B1381" s="185"/>
      <c r="C1381" s="185"/>
      <c r="D1381" s="185"/>
      <c r="E1381" s="185"/>
      <c r="F1381" s="185"/>
      <c r="G1381" s="185"/>
      <c r="H1381" s="641"/>
      <c r="I1381" s="154"/>
      <c r="J1381" s="154"/>
      <c r="K1381" s="154"/>
      <c r="L1381" s="154"/>
      <c r="M1381" s="154"/>
      <c r="N1381" s="154"/>
      <c r="O1381" s="154"/>
      <c r="P1381" s="1"/>
      <c r="Q1381" s="1"/>
      <c r="R1381" s="1"/>
      <c r="S1381" s="1"/>
    </row>
    <row r="1382" ht="10.5" customHeight="1">
      <c r="A1382" s="1"/>
      <c r="B1382" s="185"/>
      <c r="C1382" s="185"/>
      <c r="D1382" s="185"/>
      <c r="E1382" s="185"/>
      <c r="F1382" s="185"/>
      <c r="G1382" s="185"/>
      <c r="H1382" s="641"/>
      <c r="I1382" s="154"/>
      <c r="J1382" s="154"/>
      <c r="K1382" s="154"/>
      <c r="L1382" s="154"/>
      <c r="M1382" s="154"/>
      <c r="N1382" s="154"/>
      <c r="O1382" s="154"/>
      <c r="P1382" s="1"/>
      <c r="Q1382" s="1"/>
      <c r="R1382" s="1"/>
      <c r="S1382" s="1"/>
    </row>
    <row r="1383" ht="10.5" customHeight="1">
      <c r="A1383" s="1"/>
      <c r="B1383" s="185"/>
      <c r="C1383" s="185"/>
      <c r="D1383" s="185"/>
      <c r="E1383" s="185"/>
      <c r="F1383" s="185"/>
      <c r="G1383" s="185"/>
      <c r="H1383" s="641"/>
      <c r="I1383" s="154"/>
      <c r="J1383" s="154"/>
      <c r="K1383" s="154"/>
      <c r="L1383" s="154"/>
      <c r="M1383" s="154"/>
      <c r="N1383" s="154"/>
      <c r="O1383" s="154"/>
      <c r="P1383" s="1"/>
      <c r="Q1383" s="1"/>
      <c r="R1383" s="1"/>
      <c r="S1383" s="1"/>
    </row>
    <row r="1384" ht="10.5" customHeight="1">
      <c r="A1384" s="1"/>
      <c r="B1384" s="185"/>
      <c r="C1384" s="185"/>
      <c r="D1384" s="185"/>
      <c r="E1384" s="185"/>
      <c r="F1384" s="185"/>
      <c r="G1384" s="185"/>
      <c r="H1384" s="641"/>
      <c r="I1384" s="154"/>
      <c r="J1384" s="154"/>
      <c r="K1384" s="154"/>
      <c r="L1384" s="154"/>
      <c r="M1384" s="154"/>
      <c r="N1384" s="154"/>
      <c r="O1384" s="154"/>
      <c r="P1384" s="1"/>
      <c r="Q1384" s="1"/>
      <c r="R1384" s="1"/>
      <c r="S1384" s="1"/>
    </row>
    <row r="1385" ht="10.5" customHeight="1">
      <c r="A1385" s="1"/>
      <c r="B1385" s="185"/>
      <c r="C1385" s="185"/>
      <c r="D1385" s="185"/>
      <c r="E1385" s="185"/>
      <c r="F1385" s="185"/>
      <c r="G1385" s="185"/>
      <c r="H1385" s="641"/>
      <c r="I1385" s="154"/>
      <c r="J1385" s="154"/>
      <c r="K1385" s="154"/>
      <c r="L1385" s="154"/>
      <c r="M1385" s="154"/>
      <c r="N1385" s="154"/>
      <c r="O1385" s="154"/>
      <c r="P1385" s="1"/>
      <c r="Q1385" s="1"/>
      <c r="R1385" s="1"/>
      <c r="S1385" s="1"/>
    </row>
    <row r="1386" ht="10.5" customHeight="1">
      <c r="A1386" s="1"/>
      <c r="B1386" s="185"/>
      <c r="C1386" s="185"/>
      <c r="D1386" s="185"/>
      <c r="E1386" s="185"/>
      <c r="F1386" s="185"/>
      <c r="G1386" s="185"/>
      <c r="H1386" s="641"/>
      <c r="I1386" s="154"/>
      <c r="J1386" s="154"/>
      <c r="K1386" s="154"/>
      <c r="L1386" s="154"/>
      <c r="M1386" s="154"/>
      <c r="N1386" s="154"/>
      <c r="O1386" s="154"/>
      <c r="P1386" s="1"/>
      <c r="Q1386" s="1"/>
      <c r="R1386" s="1"/>
      <c r="S1386" s="1"/>
    </row>
    <row r="1387" ht="10.5" customHeight="1">
      <c r="A1387" s="1"/>
      <c r="B1387" s="185"/>
      <c r="C1387" s="185"/>
      <c r="D1387" s="185"/>
      <c r="E1387" s="185"/>
      <c r="F1387" s="185"/>
      <c r="G1387" s="185"/>
      <c r="H1387" s="641"/>
      <c r="I1387" s="154"/>
      <c r="J1387" s="154"/>
      <c r="K1387" s="154"/>
      <c r="L1387" s="154"/>
      <c r="M1387" s="154"/>
      <c r="N1387" s="154"/>
      <c r="O1387" s="154"/>
      <c r="P1387" s="1"/>
      <c r="Q1387" s="1"/>
      <c r="R1387" s="1"/>
      <c r="S1387" s="1"/>
    </row>
    <row r="1388" ht="10.5" customHeight="1">
      <c r="A1388" s="1"/>
      <c r="B1388" s="185"/>
      <c r="C1388" s="185"/>
      <c r="D1388" s="185"/>
      <c r="E1388" s="185"/>
      <c r="F1388" s="185"/>
      <c r="G1388" s="185"/>
      <c r="H1388" s="641"/>
      <c r="I1388" s="154"/>
      <c r="J1388" s="154"/>
      <c r="K1388" s="154"/>
      <c r="L1388" s="154"/>
      <c r="M1388" s="154"/>
      <c r="N1388" s="154"/>
      <c r="O1388" s="154"/>
      <c r="P1388" s="1"/>
      <c r="Q1388" s="1"/>
      <c r="R1388" s="1"/>
      <c r="S1388" s="1"/>
    </row>
    <row r="1389" ht="10.5" customHeight="1">
      <c r="A1389" s="1"/>
      <c r="B1389" s="185"/>
      <c r="C1389" s="185"/>
      <c r="D1389" s="185"/>
      <c r="E1389" s="185"/>
      <c r="F1389" s="185"/>
      <c r="G1389" s="185"/>
      <c r="H1389" s="641"/>
      <c r="I1389" s="154"/>
      <c r="J1389" s="154"/>
      <c r="K1389" s="154"/>
      <c r="L1389" s="154"/>
      <c r="M1389" s="154"/>
      <c r="N1389" s="154"/>
      <c r="O1389" s="154"/>
      <c r="P1389" s="1"/>
      <c r="Q1389" s="1"/>
      <c r="R1389" s="1"/>
      <c r="S1389" s="1"/>
    </row>
    <row r="1390" ht="10.5" customHeight="1">
      <c r="A1390" s="1"/>
      <c r="B1390" s="185"/>
      <c r="C1390" s="185"/>
      <c r="D1390" s="185"/>
      <c r="E1390" s="185"/>
      <c r="F1390" s="185"/>
      <c r="G1390" s="185"/>
      <c r="H1390" s="641"/>
      <c r="I1390" s="154"/>
      <c r="J1390" s="154"/>
      <c r="K1390" s="154"/>
      <c r="L1390" s="154"/>
      <c r="M1390" s="154"/>
      <c r="N1390" s="154"/>
      <c r="O1390" s="154"/>
      <c r="P1390" s="1"/>
      <c r="Q1390" s="1"/>
      <c r="R1390" s="1"/>
      <c r="S1390" s="1"/>
    </row>
    <row r="1391" ht="10.5" customHeight="1">
      <c r="A1391" s="1"/>
      <c r="B1391" s="185"/>
      <c r="C1391" s="185"/>
      <c r="D1391" s="185"/>
      <c r="E1391" s="185"/>
      <c r="F1391" s="185"/>
      <c r="G1391" s="185"/>
      <c r="H1391" s="641"/>
      <c r="I1391" s="154"/>
      <c r="J1391" s="154"/>
      <c r="K1391" s="154"/>
      <c r="L1391" s="154"/>
      <c r="M1391" s="154"/>
      <c r="N1391" s="154"/>
      <c r="O1391" s="154"/>
      <c r="P1391" s="1"/>
      <c r="Q1391" s="1"/>
      <c r="R1391" s="1"/>
      <c r="S1391" s="1"/>
    </row>
    <row r="1392" ht="10.5" customHeight="1">
      <c r="A1392" s="1"/>
      <c r="B1392" s="186"/>
      <c r="C1392" s="186"/>
      <c r="D1392" s="186"/>
      <c r="E1392" s="186"/>
      <c r="F1392" s="186"/>
      <c r="G1392" s="186"/>
      <c r="H1392" s="641"/>
      <c r="I1392" s="154"/>
      <c r="J1392" s="154"/>
      <c r="K1392" s="154"/>
      <c r="L1392" s="154"/>
      <c r="M1392" s="154"/>
      <c r="N1392" s="154"/>
      <c r="O1392" s="154"/>
      <c r="P1392" s="1"/>
      <c r="Q1392" s="1"/>
      <c r="R1392" s="1"/>
      <c r="S1392" s="1"/>
    </row>
    <row r="1393" ht="10.5" customHeight="1">
      <c r="A1393" s="1"/>
      <c r="B1393" s="186"/>
      <c r="C1393" s="186"/>
      <c r="D1393" s="186"/>
      <c r="E1393" s="186"/>
      <c r="F1393" s="186"/>
      <c r="G1393" s="110">
        <v>22.0</v>
      </c>
      <c r="H1393" s="641"/>
      <c r="I1393" s="154"/>
      <c r="J1393" s="154"/>
      <c r="K1393" s="154"/>
      <c r="L1393" s="154"/>
      <c r="M1393" s="154"/>
      <c r="N1393" s="154"/>
      <c r="O1393" s="154"/>
      <c r="P1393" s="1"/>
      <c r="Q1393" s="1"/>
      <c r="R1393" s="1"/>
      <c r="S1393" s="1"/>
    </row>
    <row r="1394" ht="10.5" customHeight="1">
      <c r="A1394" s="1"/>
      <c r="B1394" s="186"/>
      <c r="C1394" s="186"/>
      <c r="D1394" s="186"/>
      <c r="E1394" s="186"/>
      <c r="F1394" s="186"/>
      <c r="G1394" s="186"/>
      <c r="H1394" s="641"/>
      <c r="I1394" s="1"/>
      <c r="J1394" s="1"/>
      <c r="K1394" s="1"/>
      <c r="L1394" s="1"/>
      <c r="M1394" s="1"/>
      <c r="N1394" s="1"/>
      <c r="O1394" s="1"/>
      <c r="P1394" s="1"/>
      <c r="Q1394" s="1"/>
      <c r="R1394" s="1"/>
      <c r="S1394" s="1"/>
    </row>
    <row r="1395" ht="10.5" customHeight="1">
      <c r="A1395" s="1"/>
      <c r="B1395" s="186"/>
      <c r="C1395" s="186"/>
      <c r="D1395" s="186"/>
      <c r="E1395" s="186"/>
      <c r="F1395" s="186"/>
      <c r="G1395" s="186"/>
      <c r="H1395" s="641"/>
      <c r="I1395" s="1"/>
      <c r="J1395" s="1"/>
      <c r="K1395" s="1"/>
      <c r="L1395" s="1"/>
      <c r="M1395" s="1"/>
      <c r="N1395" s="1"/>
      <c r="O1395" s="1"/>
      <c r="P1395" s="1"/>
      <c r="Q1395" s="1"/>
      <c r="R1395" s="1"/>
      <c r="S1395" s="1"/>
    </row>
    <row r="1396" ht="11.25" customHeight="1">
      <c r="A1396" s="1"/>
      <c r="B1396" s="111" t="s">
        <v>1018</v>
      </c>
      <c r="C1396" s="35"/>
      <c r="D1396" s="35"/>
      <c r="E1396" s="35"/>
      <c r="F1396" s="35"/>
      <c r="G1396" s="35"/>
      <c r="H1396" s="35"/>
      <c r="I1396" s="35"/>
      <c r="J1396" s="35"/>
      <c r="K1396" s="1"/>
      <c r="L1396" s="1"/>
      <c r="M1396" s="1"/>
      <c r="N1396" s="1"/>
      <c r="O1396" s="1"/>
      <c r="P1396" s="1"/>
      <c r="Q1396" s="1"/>
      <c r="R1396" s="1"/>
      <c r="S1396" s="1"/>
    </row>
    <row r="1397" ht="11.25" customHeight="1">
      <c r="A1397" s="1"/>
      <c r="B1397" s="29" t="s">
        <v>31</v>
      </c>
      <c r="C1397" s="3" t="s">
        <v>1019</v>
      </c>
      <c r="D1397" s="3" t="s">
        <v>1020</v>
      </c>
      <c r="E1397" s="3" t="s">
        <v>1021</v>
      </c>
      <c r="F1397" s="3" t="s">
        <v>1022</v>
      </c>
      <c r="G1397" s="3" t="s">
        <v>512</v>
      </c>
      <c r="H1397" s="3" t="s">
        <v>1023</v>
      </c>
      <c r="I1397" s="3" t="s">
        <v>1024</v>
      </c>
      <c r="J1397" s="29" t="s">
        <v>458</v>
      </c>
      <c r="K1397" s="1"/>
      <c r="L1397" s="1"/>
      <c r="M1397" s="1"/>
      <c r="N1397" s="1"/>
      <c r="O1397" s="1"/>
      <c r="P1397" s="1"/>
      <c r="Q1397" s="1"/>
      <c r="R1397" s="1"/>
      <c r="S1397" s="1"/>
    </row>
    <row r="1398" ht="11.25" customHeight="1">
      <c r="A1398" s="1"/>
      <c r="B1398" s="5"/>
      <c r="C1398" s="6"/>
      <c r="D1398" s="6"/>
      <c r="E1398" s="6"/>
      <c r="F1398" s="6"/>
      <c r="G1398" s="6"/>
      <c r="H1398" s="6"/>
      <c r="I1398" s="6"/>
      <c r="J1398" s="5"/>
      <c r="K1398" s="1"/>
      <c r="L1398" s="1"/>
      <c r="M1398" s="1"/>
      <c r="N1398" s="1"/>
      <c r="O1398" s="1"/>
      <c r="P1398" s="1"/>
      <c r="Q1398" s="1"/>
      <c r="R1398" s="1"/>
      <c r="S1398" s="1"/>
    </row>
    <row r="1399" ht="10.5" customHeight="1">
      <c r="A1399" s="1"/>
      <c r="B1399" s="6"/>
      <c r="C1399" s="647" t="s">
        <v>48</v>
      </c>
      <c r="D1399" s="647" t="s">
        <v>49</v>
      </c>
      <c r="E1399" s="476" t="s">
        <v>52</v>
      </c>
      <c r="F1399" s="648" t="s">
        <v>54</v>
      </c>
      <c r="G1399" s="647" t="s">
        <v>50</v>
      </c>
      <c r="H1399" s="128" t="s">
        <v>520</v>
      </c>
      <c r="I1399" s="10"/>
      <c r="J1399" s="6"/>
      <c r="K1399" s="1"/>
      <c r="L1399" s="1"/>
      <c r="M1399" s="1"/>
      <c r="N1399" s="1"/>
      <c r="O1399" s="1"/>
      <c r="P1399" s="1"/>
      <c r="Q1399" s="1"/>
      <c r="R1399" s="1"/>
      <c r="S1399" s="1"/>
    </row>
    <row r="1400" ht="10.5" customHeight="1">
      <c r="A1400" s="1"/>
      <c r="B1400" s="238">
        <v>2000.0</v>
      </c>
      <c r="C1400" s="136">
        <v>19.0</v>
      </c>
      <c r="D1400" s="136">
        <v>20.0</v>
      </c>
      <c r="E1400" s="51">
        <v>1208.0</v>
      </c>
      <c r="F1400" s="364">
        <v>52.1</v>
      </c>
      <c r="G1400" s="30">
        <v>24522.0</v>
      </c>
      <c r="H1400" s="30">
        <v>19000.0</v>
      </c>
      <c r="I1400" s="30">
        <v>23400.0</v>
      </c>
      <c r="J1400" s="55" t="s">
        <v>125</v>
      </c>
      <c r="K1400" s="1"/>
      <c r="L1400" s="1"/>
      <c r="M1400" s="1"/>
      <c r="N1400" s="1"/>
      <c r="O1400" s="1"/>
      <c r="P1400" s="1"/>
      <c r="Q1400" s="1"/>
      <c r="R1400" s="1"/>
      <c r="S1400" s="1"/>
    </row>
    <row r="1401" ht="10.5" customHeight="1">
      <c r="A1401" s="1"/>
      <c r="B1401" s="238">
        <v>2001.0</v>
      </c>
      <c r="C1401" s="136">
        <v>27.0</v>
      </c>
      <c r="D1401" s="136">
        <v>26.0</v>
      </c>
      <c r="E1401" s="51">
        <v>1638.0</v>
      </c>
      <c r="F1401" s="364">
        <v>74.8</v>
      </c>
      <c r="G1401" s="30">
        <v>42179.0</v>
      </c>
      <c r="H1401" s="30">
        <v>19900.0</v>
      </c>
      <c r="I1401" s="30">
        <v>21700.0</v>
      </c>
      <c r="J1401" s="55" t="s">
        <v>127</v>
      </c>
      <c r="K1401" s="1"/>
      <c r="L1401" s="1"/>
      <c r="M1401" s="1"/>
      <c r="N1401" s="1"/>
      <c r="O1401" s="1"/>
      <c r="P1401" s="1"/>
      <c r="Q1401" s="1"/>
      <c r="R1401" s="1"/>
      <c r="S1401" s="1"/>
    </row>
    <row r="1402" ht="10.5" customHeight="1">
      <c r="A1402" s="1"/>
      <c r="B1402" s="238">
        <v>2002.0</v>
      </c>
      <c r="C1402" s="136">
        <v>31.0</v>
      </c>
      <c r="D1402" s="136">
        <v>34.0</v>
      </c>
      <c r="E1402" s="51">
        <v>2385.0</v>
      </c>
      <c r="F1402" s="364">
        <v>65.1</v>
      </c>
      <c r="G1402" s="30">
        <v>96368.0</v>
      </c>
      <c r="H1402" s="30">
        <v>33900.0</v>
      </c>
      <c r="I1402" s="30">
        <v>26700.0</v>
      </c>
      <c r="J1402" s="55" t="s">
        <v>128</v>
      </c>
      <c r="K1402" s="1"/>
      <c r="L1402" s="1"/>
      <c r="M1402" s="1"/>
      <c r="N1402" s="1"/>
      <c r="O1402" s="1"/>
      <c r="P1402" s="1"/>
      <c r="Q1402" s="1"/>
      <c r="R1402" s="1"/>
      <c r="S1402" s="1"/>
    </row>
    <row r="1403" ht="10.5" customHeight="1">
      <c r="A1403" s="1"/>
      <c r="B1403" s="238">
        <v>2003.0</v>
      </c>
      <c r="C1403" s="136">
        <v>44.0</v>
      </c>
      <c r="D1403" s="136">
        <v>41.0</v>
      </c>
      <c r="E1403" s="51">
        <v>1754.5</v>
      </c>
      <c r="F1403" s="364">
        <v>59.7</v>
      </c>
      <c r="G1403" s="30">
        <v>71568.0</v>
      </c>
      <c r="H1403" s="30">
        <v>40800.0</v>
      </c>
      <c r="I1403" s="30">
        <v>37400.0</v>
      </c>
      <c r="J1403" s="238" t="s">
        <v>129</v>
      </c>
      <c r="K1403" s="1"/>
      <c r="L1403" s="1"/>
      <c r="M1403" s="1"/>
      <c r="N1403" s="1"/>
      <c r="O1403" s="1"/>
      <c r="P1403" s="1"/>
      <c r="Q1403" s="1"/>
      <c r="R1403" s="1"/>
      <c r="S1403" s="1"/>
    </row>
    <row r="1404" ht="10.5" customHeight="1">
      <c r="A1404" s="1"/>
      <c r="B1404" s="238">
        <v>2004.0</v>
      </c>
      <c r="C1404" s="136">
        <v>44.0</v>
      </c>
      <c r="D1404" s="136">
        <v>32.0</v>
      </c>
      <c r="E1404" s="51">
        <v>1745.38</v>
      </c>
      <c r="F1404" s="364">
        <v>59.5</v>
      </c>
      <c r="G1404" s="30">
        <v>55852.0</v>
      </c>
      <c r="H1404" s="30">
        <v>31500.0</v>
      </c>
      <c r="I1404" s="30">
        <v>31400.0</v>
      </c>
      <c r="J1404" s="238" t="s">
        <v>130</v>
      </c>
      <c r="K1404" s="1"/>
      <c r="L1404" s="1"/>
      <c r="M1404" s="1"/>
      <c r="N1404" s="1"/>
      <c r="O1404" s="1"/>
      <c r="P1404" s="1"/>
      <c r="Q1404" s="1"/>
      <c r="R1404" s="1"/>
      <c r="S1404" s="1"/>
    </row>
    <row r="1405" ht="10.5" customHeight="1">
      <c r="A1405" s="1"/>
      <c r="B1405" s="238"/>
      <c r="C1405" s="136"/>
      <c r="D1405" s="136"/>
      <c r="E1405" s="51"/>
      <c r="F1405" s="364"/>
      <c r="G1405" s="30"/>
      <c r="H1405" s="30"/>
      <c r="I1405" s="30"/>
      <c r="J1405" s="55"/>
      <c r="K1405" s="1"/>
      <c r="L1405" s="1"/>
      <c r="M1405" s="1"/>
      <c r="N1405" s="1"/>
      <c r="O1405" s="1"/>
      <c r="P1405" s="1"/>
      <c r="Q1405" s="1"/>
      <c r="R1405" s="1"/>
      <c r="S1405" s="1"/>
    </row>
    <row r="1406" ht="10.5" customHeight="1">
      <c r="A1406" s="1"/>
      <c r="B1406" s="238">
        <v>2005.0</v>
      </c>
      <c r="C1406" s="136">
        <v>40.0</v>
      </c>
      <c r="D1406" s="136">
        <v>44.0</v>
      </c>
      <c r="E1406" s="51">
        <v>1686.54</v>
      </c>
      <c r="F1406" s="364">
        <v>58.0</v>
      </c>
      <c r="G1406" s="30">
        <v>74545.0</v>
      </c>
      <c r="H1406" s="30">
        <v>42400.0</v>
      </c>
      <c r="I1406" s="30">
        <v>38500.0</v>
      </c>
      <c r="J1406" s="540" t="s">
        <v>131</v>
      </c>
      <c r="K1406" s="1"/>
      <c r="L1406" s="1"/>
      <c r="M1406" s="1"/>
      <c r="N1406" s="1"/>
      <c r="O1406" s="1"/>
      <c r="P1406" s="1"/>
      <c r="Q1406" s="1"/>
      <c r="R1406" s="1"/>
      <c r="S1406" s="1"/>
    </row>
    <row r="1407" ht="10.5" customHeight="1">
      <c r="A1407" s="1"/>
      <c r="B1407" s="238">
        <v>2006.0</v>
      </c>
      <c r="C1407" s="136">
        <v>32.0</v>
      </c>
      <c r="D1407" s="136">
        <v>36.0</v>
      </c>
      <c r="E1407" s="51">
        <v>2660.0</v>
      </c>
      <c r="F1407" s="364">
        <v>82.4</v>
      </c>
      <c r="G1407" s="30">
        <v>97090.0</v>
      </c>
      <c r="H1407" s="30">
        <v>35600.0</v>
      </c>
      <c r="I1407" s="30">
        <v>39900.0</v>
      </c>
      <c r="J1407" s="540" t="s">
        <v>133</v>
      </c>
      <c r="K1407" s="1"/>
      <c r="L1407" s="1"/>
      <c r="M1407" s="1"/>
      <c r="N1407" s="1"/>
      <c r="O1407" s="1"/>
      <c r="P1407" s="1"/>
      <c r="Q1407" s="1"/>
      <c r="R1407" s="1"/>
      <c r="S1407" s="1"/>
    </row>
    <row r="1408" ht="10.5" customHeight="1">
      <c r="A1408" s="1"/>
      <c r="B1408" s="238">
        <v>2007.0</v>
      </c>
      <c r="C1408" s="136">
        <v>33.0</v>
      </c>
      <c r="D1408" s="136">
        <v>38.0</v>
      </c>
      <c r="E1408" s="51">
        <v>2700.0</v>
      </c>
      <c r="F1408" s="364">
        <v>91.7</v>
      </c>
      <c r="G1408" s="30">
        <v>102870.0</v>
      </c>
      <c r="H1408" s="30">
        <v>37600.0</v>
      </c>
      <c r="I1408" s="30">
        <v>39200.0</v>
      </c>
      <c r="J1408" s="540" t="s">
        <v>134</v>
      </c>
      <c r="K1408" s="1"/>
      <c r="L1408" s="1"/>
      <c r="M1408" s="1"/>
      <c r="N1408" s="1"/>
      <c r="O1408" s="1"/>
      <c r="P1408" s="1"/>
      <c r="Q1408" s="1"/>
      <c r="R1408" s="1"/>
      <c r="S1408" s="1"/>
    </row>
    <row r="1409" ht="10.5" customHeight="1">
      <c r="A1409" s="1"/>
      <c r="B1409" s="238">
        <v>2008.0</v>
      </c>
      <c r="C1409" s="136">
        <v>34.0</v>
      </c>
      <c r="D1409" s="136">
        <v>31.0</v>
      </c>
      <c r="E1409" s="51">
        <v>3100.0</v>
      </c>
      <c r="F1409" s="364">
        <v>102.2</v>
      </c>
      <c r="G1409" s="30">
        <v>96720.0</v>
      </c>
      <c r="H1409" s="30">
        <v>30600.0</v>
      </c>
      <c r="I1409" s="30">
        <v>31000.0</v>
      </c>
      <c r="J1409" s="508">
        <v>39692.0</v>
      </c>
      <c r="K1409" s="1"/>
      <c r="L1409" s="1"/>
      <c r="M1409" s="1"/>
      <c r="N1409" s="1"/>
      <c r="O1409" s="1"/>
      <c r="P1409" s="1"/>
      <c r="Q1409" s="1"/>
      <c r="R1409" s="1"/>
      <c r="S1409" s="1"/>
    </row>
    <row r="1410" ht="10.5" customHeight="1">
      <c r="A1410" s="1"/>
      <c r="B1410" s="238">
        <v>2009.0</v>
      </c>
      <c r="C1410" s="136">
        <v>35.0</v>
      </c>
      <c r="D1410" s="136">
        <v>40.0</v>
      </c>
      <c r="E1410" s="51">
        <v>2800.0</v>
      </c>
      <c r="F1410" s="364">
        <v>98.0</v>
      </c>
      <c r="G1410" s="30">
        <v>112280.0</v>
      </c>
      <c r="H1410" s="30">
        <v>40100.0</v>
      </c>
      <c r="I1410" s="30">
        <v>42100.0</v>
      </c>
      <c r="J1410" s="508">
        <v>40087.0</v>
      </c>
      <c r="K1410" s="1"/>
      <c r="L1410" s="1"/>
      <c r="M1410" s="1"/>
      <c r="N1410" s="1"/>
      <c r="O1410" s="1"/>
      <c r="P1410" s="1"/>
      <c r="Q1410" s="1"/>
      <c r="R1410" s="1"/>
      <c r="S1410" s="1"/>
    </row>
    <row r="1411" ht="12.0" customHeight="1">
      <c r="A1411" s="1"/>
      <c r="B1411" s="238"/>
      <c r="C1411" s="136"/>
      <c r="D1411" s="136"/>
      <c r="E1411" s="51"/>
      <c r="F1411" s="364"/>
      <c r="G1411" s="30"/>
      <c r="H1411" s="30"/>
      <c r="I1411" s="30"/>
      <c r="J1411" s="508"/>
      <c r="K1411" s="1"/>
      <c r="L1411" s="1"/>
      <c r="M1411" s="1"/>
      <c r="N1411" s="1"/>
      <c r="O1411" s="1"/>
      <c r="P1411" s="1"/>
      <c r="Q1411" s="1"/>
      <c r="R1411" s="1"/>
      <c r="S1411" s="1"/>
    </row>
    <row r="1412" ht="12.0" customHeight="1">
      <c r="A1412" s="1"/>
      <c r="B1412" s="238">
        <v>2010.0</v>
      </c>
      <c r="C1412" s="136">
        <v>35.0</v>
      </c>
      <c r="D1412" s="136">
        <v>37.0</v>
      </c>
      <c r="E1412" s="50">
        <v>3182.04</v>
      </c>
      <c r="F1412" s="467">
        <v>104.1</v>
      </c>
      <c r="G1412" s="30">
        <v>117417.0</v>
      </c>
      <c r="H1412" s="33">
        <v>36900.0</v>
      </c>
      <c r="I1412" s="33">
        <v>44100.0</v>
      </c>
      <c r="J1412" s="508">
        <v>40483.0</v>
      </c>
      <c r="K1412" s="1"/>
      <c r="L1412" s="1"/>
      <c r="M1412" s="1"/>
      <c r="N1412" s="1"/>
      <c r="O1412" s="1"/>
      <c r="P1412" s="1"/>
      <c r="Q1412" s="1"/>
      <c r="R1412" s="1"/>
      <c r="S1412" s="1"/>
    </row>
    <row r="1413" ht="13.5" customHeight="1">
      <c r="A1413" s="1"/>
      <c r="B1413" s="11" t="s">
        <v>487</v>
      </c>
      <c r="C1413" s="169">
        <v>44.0</v>
      </c>
      <c r="D1413" s="169">
        <v>59.0</v>
      </c>
      <c r="E1413" s="50">
        <v>4600.0</v>
      </c>
      <c r="F1413" s="467">
        <v>132.7</v>
      </c>
      <c r="G1413" s="33">
        <v>270480.0</v>
      </c>
      <c r="H1413" s="33">
        <v>58800.0</v>
      </c>
      <c r="I1413" s="33">
        <v>56700.0</v>
      </c>
      <c r="J1413" s="181" t="s">
        <v>143</v>
      </c>
      <c r="K1413" s="1"/>
      <c r="L1413" s="1"/>
      <c r="M1413" s="1"/>
      <c r="N1413" s="1"/>
      <c r="O1413" s="1"/>
      <c r="P1413" s="1"/>
      <c r="Q1413" s="1"/>
      <c r="R1413" s="1"/>
      <c r="S1413" s="1"/>
    </row>
    <row r="1414" ht="10.5" customHeight="1">
      <c r="A1414" s="1"/>
      <c r="B1414" s="11" t="s">
        <v>489</v>
      </c>
      <c r="C1414" s="169">
        <v>44.0</v>
      </c>
      <c r="D1414" s="169">
        <v>79.0</v>
      </c>
      <c r="E1414" s="50">
        <v>4760.0</v>
      </c>
      <c r="F1414" s="467">
        <v>145.3</v>
      </c>
      <c r="G1414" s="33">
        <v>376040.0</v>
      </c>
      <c r="H1414" s="33">
        <v>79541.0</v>
      </c>
      <c r="I1414" s="33">
        <v>75920.0</v>
      </c>
      <c r="J1414" s="181" t="s">
        <v>149</v>
      </c>
      <c r="K1414" s="1"/>
      <c r="L1414" s="1"/>
      <c r="M1414" s="1"/>
      <c r="N1414" s="1"/>
      <c r="O1414" s="1"/>
      <c r="P1414" s="1"/>
      <c r="Q1414" s="1"/>
      <c r="R1414" s="1"/>
      <c r="S1414" s="1"/>
    </row>
    <row r="1415" ht="10.5" customHeight="1">
      <c r="A1415" s="1"/>
      <c r="B1415" s="11" t="s">
        <v>55</v>
      </c>
      <c r="C1415" s="169">
        <v>72.0</v>
      </c>
      <c r="D1415" s="169">
        <v>112.0</v>
      </c>
      <c r="E1415" s="50">
        <v>4650.79</v>
      </c>
      <c r="F1415" s="467">
        <v>144.0</v>
      </c>
      <c r="G1415" s="33">
        <v>520888.0</v>
      </c>
      <c r="H1415" s="33">
        <v>112345.0</v>
      </c>
      <c r="I1415" s="33">
        <v>98312.0</v>
      </c>
      <c r="J1415" s="181" t="s">
        <v>151</v>
      </c>
      <c r="K1415" s="1"/>
      <c r="L1415" s="1"/>
      <c r="M1415" s="1"/>
      <c r="N1415" s="1"/>
      <c r="O1415" s="1"/>
      <c r="P1415" s="1"/>
      <c r="Q1415" s="1"/>
      <c r="R1415" s="1"/>
      <c r="S1415" s="1"/>
    </row>
    <row r="1416" ht="10.5" customHeight="1">
      <c r="A1416" s="1"/>
      <c r="B1416" s="11" t="s">
        <v>57</v>
      </c>
      <c r="C1416" s="169">
        <v>95.0</v>
      </c>
      <c r="D1416" s="169">
        <v>121.0</v>
      </c>
      <c r="E1416" s="50">
        <v>4750.0</v>
      </c>
      <c r="F1416" s="467">
        <v>145.4</v>
      </c>
      <c r="G1416" s="33">
        <v>574750.0</v>
      </c>
      <c r="H1416" s="33">
        <v>120974.0</v>
      </c>
      <c r="I1416" s="33">
        <v>102885.0</v>
      </c>
      <c r="J1416" s="181" t="s">
        <v>153</v>
      </c>
      <c r="K1416" s="1"/>
      <c r="L1416" s="1"/>
      <c r="M1416" s="1"/>
      <c r="N1416" s="1"/>
      <c r="O1416" s="1"/>
      <c r="P1416" s="1"/>
      <c r="Q1416" s="1"/>
      <c r="R1416" s="1"/>
      <c r="S1416" s="1"/>
    </row>
    <row r="1417" ht="10.5" customHeight="1">
      <c r="A1417" s="1"/>
      <c r="B1417" s="11"/>
      <c r="C1417" s="169"/>
      <c r="D1417" s="169"/>
      <c r="E1417" s="50"/>
      <c r="F1417" s="467"/>
      <c r="G1417" s="33"/>
      <c r="H1417" s="33"/>
      <c r="I1417" s="33"/>
      <c r="J1417" s="181"/>
      <c r="K1417" s="1"/>
      <c r="L1417" s="1"/>
      <c r="M1417" s="1"/>
      <c r="N1417" s="1"/>
      <c r="O1417" s="1"/>
      <c r="P1417" s="1"/>
      <c r="Q1417" s="1"/>
      <c r="R1417" s="1"/>
      <c r="S1417" s="1"/>
    </row>
    <row r="1418" ht="10.5" customHeight="1">
      <c r="A1418" s="1"/>
      <c r="B1418" s="11" t="s">
        <v>58</v>
      </c>
      <c r="C1418" s="169">
        <v>78.0</v>
      </c>
      <c r="D1418" s="169">
        <v>93.0</v>
      </c>
      <c r="E1418" s="50">
        <v>5950.0</v>
      </c>
      <c r="F1418" s="467">
        <v>173.9</v>
      </c>
      <c r="G1418" s="33">
        <v>553350.0</v>
      </c>
      <c r="H1418" s="33">
        <v>93543.0</v>
      </c>
      <c r="I1418" s="33">
        <v>127835.0</v>
      </c>
      <c r="J1418" s="181" t="s">
        <v>155</v>
      </c>
      <c r="K1418" s="1"/>
      <c r="L1418" s="1"/>
      <c r="M1418" s="1"/>
      <c r="N1418" s="1"/>
      <c r="O1418" s="1"/>
      <c r="P1418" s="1"/>
      <c r="Q1418" s="1"/>
      <c r="R1418" s="1"/>
      <c r="S1418" s="1"/>
    </row>
    <row r="1419" ht="10.5" customHeight="1">
      <c r="A1419" s="1"/>
      <c r="B1419" s="11" t="s">
        <v>59</v>
      </c>
      <c r="C1419" s="169">
        <v>68.0</v>
      </c>
      <c r="D1419" s="169">
        <v>105.0</v>
      </c>
      <c r="E1419" s="50">
        <v>5707.04</v>
      </c>
      <c r="F1419" s="467">
        <v>177.5</v>
      </c>
      <c r="G1419" s="33">
        <v>599239.0</v>
      </c>
      <c r="H1419" s="33">
        <v>103996.0</v>
      </c>
      <c r="I1419" s="33">
        <v>120875.0</v>
      </c>
      <c r="J1419" s="181" t="s">
        <v>160</v>
      </c>
      <c r="K1419" s="1"/>
      <c r="L1419" s="1"/>
      <c r="M1419" s="1"/>
      <c r="N1419" s="1"/>
      <c r="O1419" s="1"/>
      <c r="P1419" s="1"/>
      <c r="Q1419" s="1"/>
      <c r="R1419" s="1"/>
      <c r="S1419" s="1"/>
    </row>
    <row r="1420" ht="10.5" customHeight="1">
      <c r="A1420" s="1"/>
      <c r="B1420" s="52" t="s">
        <v>1025</v>
      </c>
      <c r="C1420" s="260">
        <v>84.0</v>
      </c>
      <c r="D1420" s="260">
        <v>93.0</v>
      </c>
      <c r="E1420" s="98">
        <v>5300.0</v>
      </c>
      <c r="F1420" s="471" t="s">
        <v>10</v>
      </c>
      <c r="G1420" s="57">
        <v>495380.0</v>
      </c>
      <c r="H1420" s="57">
        <v>93369.0</v>
      </c>
      <c r="I1420" s="57">
        <v>105441.0</v>
      </c>
      <c r="J1420" s="618" t="s">
        <v>162</v>
      </c>
      <c r="K1420" s="1"/>
      <c r="L1420" s="1"/>
      <c r="M1420" s="1"/>
      <c r="N1420" s="1"/>
      <c r="O1420" s="1"/>
      <c r="P1420" s="1"/>
      <c r="Q1420" s="1"/>
      <c r="R1420" s="1"/>
      <c r="S1420" s="1"/>
    </row>
    <row r="1421" ht="6.0" customHeight="1">
      <c r="A1421" s="1"/>
      <c r="B1421" s="658"/>
      <c r="C1421" s="660"/>
      <c r="D1421" s="267"/>
      <c r="E1421" s="662"/>
      <c r="F1421" s="473"/>
      <c r="G1421" s="306"/>
      <c r="H1421" s="306"/>
      <c r="I1421" s="1"/>
      <c r="J1421" s="1"/>
      <c r="K1421" s="1"/>
      <c r="L1421" s="1"/>
      <c r="M1421" s="1"/>
      <c r="N1421" s="1"/>
      <c r="O1421" s="1"/>
      <c r="P1421" s="1"/>
      <c r="Q1421" s="1"/>
      <c r="R1421" s="1"/>
      <c r="S1421" s="1"/>
    </row>
    <row r="1422" ht="10.5" customHeight="1">
      <c r="A1422" s="1"/>
      <c r="B1422" s="642" t="s">
        <v>1031</v>
      </c>
      <c r="D1422" s="664"/>
      <c r="E1422" s="665"/>
      <c r="F1422" s="665"/>
      <c r="G1422" s="666"/>
      <c r="H1422" s="667"/>
      <c r="I1422" s="1"/>
      <c r="J1422" s="1"/>
      <c r="K1422" s="1"/>
      <c r="L1422" s="1"/>
      <c r="M1422" s="1"/>
      <c r="N1422" s="1"/>
      <c r="O1422" s="1"/>
      <c r="P1422" s="1"/>
      <c r="Q1422" s="1"/>
      <c r="R1422" s="1"/>
      <c r="S1422" s="1"/>
    </row>
    <row r="1423" ht="10.5" customHeight="1">
      <c r="A1423" s="1"/>
      <c r="B1423" s="642" t="s">
        <v>1033</v>
      </c>
      <c r="E1423" s="665"/>
      <c r="F1423" s="665"/>
      <c r="G1423" s="666"/>
      <c r="H1423" s="667"/>
      <c r="I1423" s="1"/>
      <c r="J1423" s="1"/>
      <c r="K1423" s="1"/>
      <c r="L1423" s="1"/>
      <c r="M1423" s="1"/>
      <c r="N1423" s="1"/>
      <c r="O1423" s="1"/>
      <c r="P1423" s="1"/>
      <c r="Q1423" s="1"/>
      <c r="R1423" s="1"/>
      <c r="S1423" s="1"/>
    </row>
    <row r="1424" ht="10.5" customHeight="1">
      <c r="A1424" s="1"/>
      <c r="B1424" s="642" t="s">
        <v>1034</v>
      </c>
      <c r="H1424" s="667"/>
      <c r="I1424" s="1"/>
      <c r="J1424" s="1"/>
      <c r="K1424" s="1"/>
      <c r="L1424" s="1"/>
      <c r="M1424" s="1"/>
      <c r="N1424" s="1"/>
      <c r="O1424" s="1"/>
      <c r="P1424" s="1"/>
      <c r="Q1424" s="1"/>
      <c r="R1424" s="1"/>
      <c r="S1424" s="1"/>
    </row>
    <row r="1425" ht="10.5" customHeight="1">
      <c r="A1425" s="1"/>
      <c r="B1425" s="642" t="s">
        <v>1036</v>
      </c>
      <c r="D1425" s="664"/>
      <c r="E1425" s="665"/>
      <c r="F1425" s="665"/>
      <c r="G1425" s="666"/>
      <c r="H1425" s="667"/>
      <c r="I1425" s="1"/>
      <c r="J1425" s="1"/>
      <c r="K1425" s="1"/>
      <c r="L1425" s="1"/>
      <c r="M1425" s="1"/>
      <c r="N1425" s="1"/>
      <c r="O1425" s="1"/>
      <c r="P1425" s="1"/>
      <c r="Q1425" s="1"/>
      <c r="R1425" s="1"/>
      <c r="S1425" s="1"/>
    </row>
    <row r="1426" ht="10.5" customHeight="1">
      <c r="A1426" s="1"/>
      <c r="B1426" s="642" t="s">
        <v>1038</v>
      </c>
      <c r="D1426" s="664"/>
      <c r="E1426" s="665"/>
      <c r="F1426" s="665"/>
      <c r="G1426" s="666"/>
      <c r="H1426" s="667"/>
      <c r="I1426" s="1"/>
      <c r="J1426" s="1"/>
      <c r="K1426" s="1"/>
      <c r="L1426" s="1"/>
      <c r="M1426" s="1"/>
      <c r="N1426" s="1"/>
      <c r="O1426" s="1"/>
      <c r="P1426" s="1"/>
      <c r="Q1426" s="1"/>
      <c r="R1426" s="1"/>
      <c r="S1426" s="1"/>
    </row>
    <row r="1427" ht="10.5" customHeight="1">
      <c r="A1427" s="1"/>
      <c r="B1427" s="92"/>
      <c r="C1427" s="668"/>
      <c r="D1427" s="668"/>
      <c r="E1427" s="669"/>
      <c r="G1427" s="667"/>
      <c r="H1427" s="667"/>
      <c r="I1427" s="1"/>
      <c r="J1427" s="1"/>
      <c r="K1427" s="1"/>
      <c r="L1427" s="1"/>
      <c r="M1427" s="1"/>
      <c r="N1427" s="1"/>
      <c r="O1427" s="1"/>
      <c r="P1427" s="1"/>
      <c r="Q1427" s="1"/>
      <c r="R1427" s="1"/>
      <c r="S1427" s="1"/>
    </row>
    <row r="1428" ht="10.5" customHeight="1">
      <c r="A1428" s="1"/>
      <c r="B1428" s="92"/>
      <c r="C1428" s="668"/>
      <c r="D1428" s="668"/>
      <c r="E1428" s="669"/>
      <c r="G1428" s="667"/>
      <c r="H1428" s="667"/>
      <c r="I1428" s="1"/>
      <c r="J1428" s="1"/>
      <c r="K1428" s="1"/>
      <c r="L1428" s="1"/>
      <c r="M1428" s="1"/>
      <c r="N1428" s="1"/>
      <c r="O1428" s="1"/>
      <c r="P1428" s="1"/>
      <c r="Q1428" s="1"/>
      <c r="R1428" s="1"/>
      <c r="S1428" s="1"/>
    </row>
    <row r="1429" ht="10.5" customHeight="1">
      <c r="A1429" s="1"/>
      <c r="B1429" s="92"/>
      <c r="C1429" s="668"/>
      <c r="D1429" s="668"/>
      <c r="E1429" s="635"/>
      <c r="G1429" s="667"/>
      <c r="H1429" s="667"/>
      <c r="I1429" s="1"/>
      <c r="J1429" s="1"/>
      <c r="K1429" s="1"/>
      <c r="L1429" s="1"/>
      <c r="M1429" s="1"/>
      <c r="N1429" s="1"/>
      <c r="O1429" s="1"/>
      <c r="P1429" s="1"/>
      <c r="Q1429" s="1"/>
      <c r="R1429" s="1"/>
      <c r="S1429" s="1"/>
    </row>
    <row r="1430" ht="10.5" customHeight="1">
      <c r="A1430" s="1"/>
      <c r="B1430" s="92"/>
      <c r="C1430" s="668"/>
      <c r="D1430" s="668"/>
      <c r="E1430" s="669"/>
      <c r="G1430" s="667"/>
      <c r="H1430" s="667"/>
      <c r="I1430" s="1"/>
      <c r="J1430" s="1"/>
      <c r="K1430" s="1"/>
      <c r="L1430" s="1"/>
      <c r="M1430" s="1"/>
      <c r="N1430" s="1"/>
      <c r="O1430" s="1"/>
      <c r="P1430" s="1"/>
      <c r="Q1430" s="1"/>
      <c r="R1430" s="1"/>
      <c r="S1430" s="1"/>
    </row>
    <row r="1431" ht="10.5" customHeight="1">
      <c r="A1431" s="1"/>
      <c r="B1431" s="92"/>
      <c r="C1431" s="668"/>
      <c r="D1431" s="668"/>
      <c r="E1431" s="669"/>
      <c r="G1431" s="667"/>
      <c r="H1431" s="667"/>
      <c r="I1431" s="1"/>
      <c r="J1431" s="1"/>
      <c r="K1431" s="1"/>
      <c r="L1431" s="1"/>
      <c r="M1431" s="1"/>
      <c r="N1431" s="1"/>
      <c r="O1431" s="1"/>
      <c r="P1431" s="1"/>
      <c r="Q1431" s="1"/>
      <c r="R1431" s="1"/>
      <c r="S1431" s="1"/>
    </row>
    <row r="1432" ht="10.5" customHeight="1">
      <c r="A1432" s="1"/>
      <c r="B1432" s="92"/>
      <c r="C1432" s="668"/>
      <c r="D1432" s="668"/>
      <c r="E1432" s="669"/>
      <c r="G1432" s="667"/>
      <c r="H1432" s="667"/>
      <c r="I1432" s="1"/>
      <c r="J1432" s="1"/>
      <c r="K1432" s="1"/>
      <c r="L1432" s="1"/>
      <c r="M1432" s="1"/>
      <c r="N1432" s="1"/>
      <c r="O1432" s="1"/>
      <c r="P1432" s="1"/>
      <c r="Q1432" s="1"/>
      <c r="R1432" s="1"/>
      <c r="S1432" s="1"/>
    </row>
    <row r="1433" ht="10.5" customHeight="1">
      <c r="A1433" s="1"/>
      <c r="B1433" s="92"/>
      <c r="C1433" s="668"/>
      <c r="D1433" s="668"/>
      <c r="E1433" s="669"/>
      <c r="G1433" s="667"/>
      <c r="H1433" s="667"/>
      <c r="I1433" s="1"/>
      <c r="J1433" s="1"/>
      <c r="K1433" s="1"/>
      <c r="L1433" s="1"/>
      <c r="M1433" s="1"/>
      <c r="N1433" s="1"/>
      <c r="O1433" s="1"/>
      <c r="P1433" s="1"/>
      <c r="Q1433" s="1"/>
      <c r="R1433" s="1"/>
      <c r="S1433" s="1"/>
    </row>
    <row r="1434" ht="10.5" customHeight="1">
      <c r="A1434" s="1"/>
      <c r="B1434" s="92"/>
      <c r="C1434" s="668"/>
      <c r="D1434" s="668"/>
      <c r="E1434" s="669"/>
      <c r="G1434" s="667"/>
      <c r="H1434" s="667"/>
      <c r="I1434" s="1"/>
      <c r="J1434" s="1"/>
      <c r="K1434" s="1"/>
      <c r="L1434" s="1"/>
      <c r="M1434" s="1"/>
      <c r="N1434" s="1"/>
      <c r="O1434" s="1"/>
      <c r="P1434" s="1"/>
      <c r="Q1434" s="1"/>
      <c r="R1434" s="1"/>
      <c r="S1434" s="1"/>
    </row>
    <row r="1435" ht="10.5" customHeight="1">
      <c r="A1435" s="1"/>
      <c r="B1435" s="92"/>
      <c r="C1435" s="668"/>
      <c r="D1435" s="668"/>
      <c r="E1435" s="669"/>
      <c r="G1435" s="667"/>
      <c r="H1435" s="667"/>
      <c r="I1435" s="1"/>
      <c r="J1435" s="1"/>
      <c r="K1435" s="1"/>
      <c r="L1435" s="1"/>
      <c r="M1435" s="1"/>
      <c r="N1435" s="1"/>
      <c r="O1435" s="1"/>
      <c r="P1435" s="1"/>
      <c r="Q1435" s="1"/>
      <c r="R1435" s="1"/>
      <c r="S1435" s="1"/>
    </row>
    <row r="1436" ht="10.5" customHeight="1">
      <c r="A1436" s="1"/>
      <c r="B1436" s="92"/>
      <c r="C1436" s="668"/>
      <c r="D1436" s="668"/>
      <c r="E1436" s="669"/>
      <c r="G1436" s="667"/>
      <c r="H1436" s="667"/>
      <c r="I1436" s="1"/>
      <c r="J1436" s="1"/>
      <c r="K1436" s="1"/>
      <c r="L1436" s="1"/>
      <c r="M1436" s="1"/>
      <c r="N1436" s="1"/>
      <c r="O1436" s="1"/>
      <c r="P1436" s="1"/>
      <c r="Q1436" s="1"/>
      <c r="R1436" s="1"/>
      <c r="S1436" s="1"/>
    </row>
    <row r="1437" ht="10.5" customHeight="1">
      <c r="A1437" s="1"/>
      <c r="B1437" s="92"/>
      <c r="C1437" s="668"/>
      <c r="D1437" s="668"/>
      <c r="E1437" s="669"/>
      <c r="G1437" s="667"/>
      <c r="H1437" s="667"/>
      <c r="I1437" s="1"/>
      <c r="J1437" s="1"/>
      <c r="K1437" s="1"/>
      <c r="L1437" s="1"/>
      <c r="M1437" s="1"/>
      <c r="N1437" s="1"/>
      <c r="O1437" s="1"/>
      <c r="P1437" s="1"/>
      <c r="Q1437" s="1"/>
      <c r="R1437" s="1"/>
      <c r="S1437" s="1"/>
    </row>
    <row r="1438" ht="10.5" customHeight="1">
      <c r="A1438" s="1"/>
      <c r="B1438" s="92"/>
      <c r="C1438" s="668"/>
      <c r="D1438" s="668"/>
      <c r="E1438" s="669"/>
      <c r="G1438" s="667"/>
      <c r="H1438" s="667"/>
      <c r="I1438" s="1"/>
      <c r="J1438" s="1"/>
      <c r="K1438" s="1"/>
      <c r="L1438" s="1"/>
      <c r="M1438" s="1"/>
      <c r="N1438" s="1"/>
      <c r="O1438" s="1"/>
      <c r="P1438" s="1"/>
      <c r="Q1438" s="1"/>
      <c r="R1438" s="1"/>
      <c r="S1438" s="1"/>
    </row>
    <row r="1439" ht="10.5" customHeight="1">
      <c r="A1439" s="1"/>
      <c r="B1439" s="92"/>
      <c r="C1439" s="668"/>
      <c r="D1439" s="668"/>
      <c r="E1439" s="669"/>
      <c r="G1439" s="667"/>
      <c r="H1439" s="667"/>
      <c r="I1439" s="1"/>
      <c r="J1439" s="1"/>
      <c r="K1439" s="1"/>
      <c r="L1439" s="1"/>
      <c r="M1439" s="1"/>
      <c r="N1439" s="1"/>
      <c r="O1439" s="1"/>
      <c r="P1439" s="1"/>
      <c r="Q1439" s="1"/>
      <c r="R1439" s="1"/>
      <c r="S1439" s="1"/>
    </row>
    <row r="1440" ht="10.5" customHeight="1">
      <c r="A1440" s="1"/>
      <c r="B1440" s="92"/>
      <c r="C1440" s="668"/>
      <c r="D1440" s="668"/>
      <c r="E1440" s="669"/>
      <c r="G1440" s="667"/>
      <c r="H1440" s="667"/>
      <c r="I1440" s="1"/>
      <c r="J1440" s="1"/>
      <c r="K1440" s="1"/>
      <c r="L1440" s="1"/>
      <c r="M1440" s="1"/>
      <c r="N1440" s="1"/>
      <c r="O1440" s="1"/>
      <c r="P1440" s="1"/>
      <c r="Q1440" s="1"/>
      <c r="R1440" s="1"/>
      <c r="S1440" s="1"/>
    </row>
    <row r="1441" ht="10.5" customHeight="1">
      <c r="A1441" s="1"/>
      <c r="B1441" s="92"/>
      <c r="C1441" s="668"/>
      <c r="D1441" s="668"/>
      <c r="E1441" s="669"/>
      <c r="G1441" s="667"/>
      <c r="H1441" s="667"/>
      <c r="I1441" s="1"/>
      <c r="J1441" s="1"/>
      <c r="K1441" s="1"/>
      <c r="L1441" s="1"/>
      <c r="M1441" s="1"/>
      <c r="N1441" s="1"/>
      <c r="O1441" s="1"/>
      <c r="P1441" s="1"/>
      <c r="Q1441" s="1"/>
      <c r="R1441" s="1"/>
      <c r="S1441" s="1"/>
    </row>
    <row r="1442" ht="10.5" customHeight="1">
      <c r="A1442" s="1"/>
      <c r="B1442" s="92"/>
      <c r="C1442" s="668"/>
      <c r="D1442" s="668"/>
      <c r="E1442" s="669"/>
      <c r="G1442" s="667"/>
      <c r="H1442" s="667"/>
      <c r="I1442" s="1"/>
      <c r="J1442" s="1"/>
      <c r="K1442" s="1"/>
      <c r="L1442" s="1"/>
      <c r="M1442" s="1"/>
      <c r="N1442" s="1"/>
      <c r="O1442" s="1"/>
      <c r="P1442" s="1"/>
      <c r="Q1442" s="1"/>
      <c r="R1442" s="1"/>
      <c r="S1442" s="1"/>
    </row>
    <row r="1443" ht="10.5" customHeight="1">
      <c r="A1443" s="1"/>
      <c r="B1443" s="92"/>
      <c r="C1443" s="668"/>
      <c r="D1443" s="668"/>
      <c r="E1443" s="669"/>
      <c r="G1443" s="667"/>
      <c r="H1443" s="667"/>
      <c r="I1443" s="1"/>
      <c r="J1443" s="1"/>
      <c r="K1443" s="1"/>
      <c r="L1443" s="1"/>
      <c r="M1443" s="1"/>
      <c r="N1443" s="1"/>
      <c r="O1443" s="1"/>
      <c r="P1443" s="1"/>
      <c r="Q1443" s="1"/>
      <c r="R1443" s="1"/>
      <c r="S1443" s="1"/>
    </row>
    <row r="1444" ht="10.5" customHeight="1">
      <c r="A1444" s="1"/>
      <c r="B1444" s="92"/>
      <c r="C1444" s="668"/>
      <c r="D1444" s="668"/>
      <c r="E1444" s="669"/>
      <c r="G1444" s="667"/>
      <c r="H1444" s="667"/>
      <c r="I1444" s="1"/>
      <c r="J1444" s="1"/>
      <c r="K1444" s="1"/>
      <c r="L1444" s="1"/>
      <c r="M1444" s="1"/>
      <c r="N1444" s="1"/>
      <c r="O1444" s="1"/>
      <c r="P1444" s="1"/>
      <c r="Q1444" s="1"/>
      <c r="R1444" s="1"/>
      <c r="S1444" s="1"/>
    </row>
    <row r="1445" ht="10.5" customHeight="1">
      <c r="A1445" s="1"/>
      <c r="B1445" s="92"/>
      <c r="C1445" s="668"/>
      <c r="D1445" s="668"/>
      <c r="E1445" s="669"/>
      <c r="G1445" s="667"/>
      <c r="H1445" s="667"/>
      <c r="I1445" s="1"/>
      <c r="J1445" s="1"/>
      <c r="K1445" s="1"/>
      <c r="L1445" s="1"/>
      <c r="M1445" s="1"/>
      <c r="N1445" s="1"/>
      <c r="O1445" s="1"/>
      <c r="P1445" s="1"/>
      <c r="Q1445" s="1"/>
      <c r="R1445" s="1"/>
      <c r="S1445" s="1"/>
    </row>
    <row r="1446" ht="10.5" customHeight="1">
      <c r="A1446" s="1"/>
      <c r="B1446" s="92"/>
      <c r="C1446" s="668"/>
      <c r="D1446" s="668"/>
      <c r="E1446" s="672"/>
      <c r="G1446" s="667"/>
      <c r="H1446" s="667"/>
      <c r="I1446" s="1"/>
      <c r="J1446" s="1"/>
      <c r="K1446" s="1"/>
      <c r="L1446" s="1"/>
      <c r="M1446" s="1"/>
      <c r="N1446" s="1"/>
      <c r="O1446" s="1"/>
      <c r="P1446" s="1"/>
      <c r="Q1446" s="1"/>
      <c r="R1446" s="1"/>
      <c r="S1446" s="1"/>
    </row>
    <row r="1447" ht="10.5" customHeight="1">
      <c r="A1447" s="1"/>
      <c r="B1447" s="92"/>
      <c r="C1447" s="673"/>
      <c r="D1447" s="673"/>
      <c r="E1447" s="674"/>
      <c r="G1447" s="673"/>
      <c r="H1447" s="667"/>
      <c r="I1447" s="1"/>
      <c r="J1447" s="1"/>
      <c r="K1447" s="1"/>
      <c r="L1447" s="1"/>
      <c r="M1447" s="1"/>
      <c r="N1447" s="1"/>
      <c r="O1447" s="1"/>
      <c r="P1447" s="1"/>
      <c r="Q1447" s="1"/>
      <c r="R1447" s="1"/>
      <c r="S1447" s="1"/>
    </row>
    <row r="1448" ht="10.5" customHeight="1">
      <c r="A1448" s="1"/>
      <c r="B1448" s="92"/>
      <c r="C1448" s="673"/>
      <c r="D1448" s="673"/>
      <c r="E1448" s="675"/>
      <c r="G1448" s="673"/>
      <c r="H1448" s="667"/>
      <c r="I1448" s="1"/>
      <c r="J1448" s="1"/>
      <c r="K1448" s="1"/>
      <c r="L1448" s="1"/>
      <c r="M1448" s="1"/>
      <c r="N1448" s="1"/>
      <c r="O1448" s="1"/>
      <c r="P1448" s="1"/>
      <c r="Q1448" s="1"/>
      <c r="R1448" s="1"/>
      <c r="S1448" s="1"/>
    </row>
    <row r="1449" ht="10.5" customHeight="1">
      <c r="A1449" s="1"/>
      <c r="B1449" s="1"/>
      <c r="C1449" s="1"/>
      <c r="D1449" s="1"/>
      <c r="E1449" s="1"/>
      <c r="F1449" s="1"/>
      <c r="G1449" s="1"/>
      <c r="H1449" s="1"/>
      <c r="I1449" s="1"/>
      <c r="J1449" s="1"/>
      <c r="K1449" s="1"/>
      <c r="L1449" s="1"/>
      <c r="M1449" s="1"/>
      <c r="N1449" s="1"/>
      <c r="O1449" s="1"/>
      <c r="P1449" s="1"/>
      <c r="Q1449" s="1"/>
      <c r="R1449" s="1"/>
      <c r="S1449" s="1"/>
    </row>
    <row r="1450" ht="10.5" customHeight="1">
      <c r="A1450" s="1"/>
      <c r="B1450" s="1"/>
      <c r="C1450" s="1"/>
      <c r="D1450" s="1"/>
      <c r="E1450" s="1"/>
      <c r="F1450" s="1"/>
      <c r="G1450" s="1"/>
      <c r="H1450" s="1"/>
      <c r="I1450" s="1"/>
      <c r="J1450" s="1"/>
      <c r="K1450" s="1"/>
      <c r="L1450" s="1"/>
      <c r="M1450" s="1"/>
      <c r="N1450" s="1"/>
      <c r="O1450" s="1"/>
      <c r="P1450" s="1"/>
      <c r="Q1450" s="1"/>
      <c r="R1450" s="1"/>
      <c r="S1450" s="1"/>
    </row>
    <row r="1451" ht="10.5" customHeight="1">
      <c r="A1451" s="1"/>
      <c r="B1451" s="1"/>
      <c r="C1451" s="1"/>
      <c r="D1451" s="1"/>
      <c r="E1451" s="1"/>
      <c r="F1451" s="1"/>
      <c r="G1451" s="1"/>
      <c r="H1451" s="1"/>
      <c r="I1451" s="1"/>
      <c r="J1451" s="1"/>
      <c r="K1451" s="1"/>
      <c r="L1451" s="1"/>
      <c r="M1451" s="1"/>
      <c r="N1451" s="1"/>
      <c r="O1451" s="1"/>
      <c r="P1451" s="1"/>
      <c r="Q1451" s="1"/>
      <c r="R1451" s="1"/>
      <c r="S1451" s="1"/>
    </row>
    <row r="1452" ht="10.5" customHeight="1">
      <c r="A1452" s="1"/>
      <c r="B1452" s="1"/>
      <c r="C1452" s="1"/>
      <c r="D1452" s="1"/>
      <c r="E1452" s="1"/>
      <c r="F1452" s="1"/>
      <c r="G1452" s="1"/>
      <c r="H1452" s="1"/>
      <c r="I1452" s="1"/>
      <c r="J1452" s="1"/>
      <c r="K1452" s="1"/>
      <c r="L1452" s="1"/>
      <c r="M1452" s="1"/>
      <c r="N1452" s="1"/>
      <c r="O1452" s="1"/>
      <c r="P1452" s="1"/>
      <c r="Q1452" s="1"/>
      <c r="R1452" s="1"/>
      <c r="S1452" s="1"/>
    </row>
    <row r="1453" ht="10.5" customHeight="1">
      <c r="A1453" s="1"/>
      <c r="B1453" s="1"/>
      <c r="C1453" s="1"/>
      <c r="D1453" s="1"/>
      <c r="E1453" s="1"/>
      <c r="F1453" s="1"/>
      <c r="G1453" s="1"/>
      <c r="H1453" s="1"/>
      <c r="I1453" s="1"/>
      <c r="J1453" s="1"/>
      <c r="K1453" s="1"/>
      <c r="L1453" s="1"/>
      <c r="M1453" s="1"/>
      <c r="N1453" s="1"/>
      <c r="O1453" s="1"/>
      <c r="P1453" s="1"/>
      <c r="Q1453" s="1"/>
      <c r="R1453" s="1"/>
      <c r="S1453" s="1"/>
    </row>
    <row r="1454" ht="10.5" customHeight="1">
      <c r="A1454" s="1"/>
      <c r="B1454" s="1"/>
      <c r="C1454" s="1"/>
      <c r="D1454" s="1"/>
      <c r="E1454" s="1"/>
      <c r="F1454" s="1"/>
      <c r="G1454" s="1"/>
      <c r="H1454" s="1"/>
      <c r="I1454" s="1"/>
      <c r="J1454" s="1"/>
      <c r="K1454" s="1"/>
      <c r="L1454" s="1"/>
      <c r="M1454" s="1"/>
      <c r="N1454" s="1"/>
      <c r="O1454" s="1"/>
      <c r="P1454" s="1"/>
      <c r="Q1454" s="1"/>
      <c r="R1454" s="1"/>
      <c r="S1454" s="1"/>
    </row>
    <row r="1455" ht="10.5" customHeight="1">
      <c r="A1455" s="1"/>
      <c r="B1455" s="1"/>
      <c r="C1455" s="1"/>
      <c r="D1455" s="1"/>
      <c r="E1455" s="1"/>
      <c r="F1455" s="1"/>
      <c r="G1455" s="1"/>
      <c r="H1455" s="1"/>
      <c r="I1455" s="1"/>
      <c r="J1455" s="1"/>
      <c r="K1455" s="1"/>
      <c r="L1455" s="1"/>
      <c r="M1455" s="1"/>
      <c r="N1455" s="1"/>
      <c r="O1455" s="1"/>
      <c r="P1455" s="1"/>
      <c r="Q1455" s="1"/>
      <c r="R1455" s="1"/>
      <c r="S1455" s="1"/>
    </row>
    <row r="1456" ht="10.5" customHeight="1">
      <c r="A1456" s="1"/>
      <c r="B1456" s="1"/>
      <c r="C1456" s="1"/>
      <c r="D1456" s="1"/>
      <c r="E1456" s="1"/>
      <c r="F1456" s="1"/>
      <c r="G1456" s="1"/>
      <c r="H1456" s="1"/>
      <c r="I1456" s="1"/>
      <c r="J1456" s="1"/>
      <c r="K1456" s="1"/>
      <c r="L1456" s="1"/>
      <c r="M1456" s="1"/>
      <c r="N1456" s="1"/>
      <c r="O1456" s="1"/>
      <c r="P1456" s="1"/>
      <c r="Q1456" s="1"/>
      <c r="R1456" s="1"/>
      <c r="S1456" s="1"/>
    </row>
    <row r="1457" ht="10.5" customHeight="1">
      <c r="A1457" s="1"/>
      <c r="B1457" s="1"/>
      <c r="C1457" s="1"/>
      <c r="D1457" s="1"/>
      <c r="E1457" s="1"/>
      <c r="F1457" s="1"/>
      <c r="G1457" s="1"/>
      <c r="H1457" s="1"/>
      <c r="I1457" s="1"/>
      <c r="J1457" s="1"/>
      <c r="K1457" s="1"/>
      <c r="L1457" s="1"/>
      <c r="M1457" s="1"/>
      <c r="N1457" s="1"/>
      <c r="O1457" s="1"/>
      <c r="P1457" s="1"/>
      <c r="Q1457" s="1"/>
      <c r="R1457" s="1"/>
      <c r="S1457" s="1"/>
    </row>
    <row r="1458" ht="10.5" customHeight="1">
      <c r="A1458" s="1"/>
      <c r="B1458" s="1"/>
      <c r="C1458" s="1"/>
      <c r="D1458" s="1"/>
      <c r="E1458" s="481"/>
      <c r="F1458" s="481"/>
      <c r="G1458" s="1"/>
      <c r="H1458" s="1"/>
      <c r="I1458" s="1"/>
      <c r="J1458" s="1"/>
      <c r="K1458" s="1"/>
      <c r="L1458" s="1"/>
      <c r="M1458" s="1"/>
      <c r="N1458" s="1"/>
      <c r="O1458" s="1"/>
      <c r="P1458" s="1"/>
      <c r="Q1458" s="1"/>
      <c r="R1458" s="1"/>
      <c r="S1458" s="1"/>
    </row>
    <row r="1459" ht="10.5" customHeight="1">
      <c r="A1459" s="1"/>
      <c r="B1459" s="1"/>
      <c r="C1459" s="1"/>
      <c r="D1459" s="1"/>
      <c r="E1459" s="1"/>
      <c r="F1459" s="1"/>
      <c r="G1459" s="1"/>
      <c r="H1459" s="1"/>
      <c r="I1459" s="1"/>
      <c r="J1459" s="1"/>
      <c r="K1459" s="1"/>
      <c r="L1459" s="1"/>
      <c r="M1459" s="1"/>
      <c r="N1459" s="1"/>
      <c r="O1459" s="1"/>
      <c r="P1459" s="1"/>
      <c r="Q1459" s="1"/>
      <c r="R1459" s="1"/>
      <c r="S1459" s="1"/>
    </row>
    <row r="1460" ht="10.5" customHeight="1">
      <c r="A1460" s="1"/>
      <c r="B1460" s="1"/>
      <c r="C1460" s="1"/>
      <c r="D1460" s="1"/>
      <c r="E1460" s="1"/>
      <c r="F1460" s="1"/>
      <c r="G1460" s="1"/>
      <c r="H1460" s="1"/>
      <c r="I1460" s="1"/>
      <c r="J1460" s="1"/>
      <c r="K1460" s="1"/>
      <c r="L1460" s="1"/>
      <c r="M1460" s="1"/>
      <c r="N1460" s="1"/>
      <c r="O1460" s="1"/>
      <c r="P1460" s="1"/>
      <c r="Q1460" s="1"/>
      <c r="R1460" s="1"/>
      <c r="S1460" s="1"/>
    </row>
    <row r="1461" ht="10.5" customHeight="1">
      <c r="A1461" s="1"/>
      <c r="B1461" s="1"/>
      <c r="C1461" s="1"/>
      <c r="D1461" s="1"/>
      <c r="E1461" s="1"/>
      <c r="F1461" s="1"/>
      <c r="G1461" s="1"/>
      <c r="H1461" s="1"/>
      <c r="I1461" s="1"/>
      <c r="J1461" s="1"/>
      <c r="K1461" s="1"/>
      <c r="L1461" s="1"/>
      <c r="M1461" s="1"/>
      <c r="N1461" s="1"/>
      <c r="O1461" s="1"/>
      <c r="P1461" s="1"/>
      <c r="Q1461" s="1"/>
      <c r="R1461" s="1"/>
      <c r="S1461" s="1"/>
    </row>
    <row r="1462" ht="10.5" customHeight="1">
      <c r="A1462" s="1"/>
      <c r="B1462" s="1"/>
      <c r="C1462" s="1"/>
      <c r="D1462" s="1"/>
      <c r="E1462" s="1"/>
      <c r="F1462" s="1"/>
      <c r="G1462" s="1"/>
      <c r="H1462" s="1"/>
      <c r="I1462" s="1"/>
      <c r="J1462" s="1"/>
      <c r="K1462" s="1"/>
      <c r="L1462" s="1"/>
      <c r="M1462" s="1"/>
      <c r="N1462" s="1"/>
      <c r="O1462" s="1"/>
      <c r="P1462" s="1"/>
      <c r="Q1462" s="1"/>
      <c r="R1462" s="1"/>
      <c r="S1462" s="1"/>
    </row>
    <row r="1463" ht="10.5" customHeight="1">
      <c r="A1463" s="1"/>
      <c r="B1463" s="1"/>
      <c r="C1463" s="1"/>
      <c r="D1463" s="1"/>
      <c r="E1463" s="1"/>
      <c r="F1463" s="1"/>
      <c r="G1463" s="1"/>
      <c r="H1463" s="1"/>
      <c r="I1463" s="1"/>
      <c r="J1463" s="1"/>
      <c r="K1463" s="1"/>
      <c r="L1463" s="1"/>
      <c r="M1463" s="1"/>
      <c r="N1463" s="1"/>
      <c r="O1463" s="1"/>
      <c r="P1463" s="1"/>
      <c r="Q1463" s="1"/>
      <c r="R1463" s="1"/>
      <c r="S1463" s="1"/>
    </row>
    <row r="1464" ht="10.5" customHeight="1">
      <c r="A1464" s="1"/>
      <c r="B1464" s="1"/>
      <c r="C1464" s="1"/>
      <c r="D1464" s="1"/>
      <c r="E1464" s="1"/>
      <c r="F1464" s="1"/>
      <c r="G1464" s="1"/>
      <c r="H1464" s="1"/>
      <c r="I1464" s="1"/>
      <c r="J1464" s="1"/>
      <c r="K1464" s="1"/>
      <c r="L1464" s="1"/>
      <c r="M1464" s="1"/>
      <c r="N1464" s="1"/>
      <c r="O1464" s="1"/>
      <c r="P1464" s="1"/>
      <c r="Q1464" s="1"/>
      <c r="R1464" s="1"/>
      <c r="S1464" s="1"/>
    </row>
    <row r="1465" ht="10.5" customHeight="1">
      <c r="A1465" s="1"/>
      <c r="B1465" s="1"/>
      <c r="C1465" s="1"/>
      <c r="D1465" s="1"/>
      <c r="E1465" s="1"/>
      <c r="F1465" s="1"/>
      <c r="G1465" s="1"/>
      <c r="H1465" s="1"/>
      <c r="I1465" s="1"/>
      <c r="J1465" s="1"/>
      <c r="K1465" s="1"/>
      <c r="L1465" s="1"/>
      <c r="M1465" s="1"/>
      <c r="N1465" s="1"/>
      <c r="O1465" s="1"/>
      <c r="P1465" s="1"/>
      <c r="Q1465" s="1"/>
      <c r="R1465" s="1"/>
      <c r="S1465" s="1"/>
    </row>
    <row r="1466" ht="10.5" customHeight="1">
      <c r="A1466" s="1"/>
      <c r="B1466" s="1"/>
      <c r="C1466" s="1"/>
      <c r="D1466" s="1"/>
      <c r="E1466" s="1"/>
      <c r="F1466" s="1"/>
      <c r="G1466" s="1"/>
      <c r="H1466" s="1"/>
      <c r="I1466" s="1"/>
      <c r="J1466" s="1"/>
      <c r="K1466" s="1"/>
      <c r="L1466" s="1"/>
      <c r="M1466" s="1"/>
      <c r="N1466" s="1"/>
      <c r="O1466" s="1"/>
      <c r="P1466" s="1"/>
      <c r="Q1466" s="1"/>
      <c r="R1466" s="1"/>
      <c r="S1466" s="1"/>
    </row>
    <row r="1467" ht="10.5" customHeight="1">
      <c r="A1467" s="1"/>
      <c r="B1467" s="1"/>
      <c r="C1467" s="1"/>
      <c r="D1467" s="1"/>
      <c r="E1467" s="1"/>
      <c r="F1467" s="1"/>
      <c r="G1467" s="1"/>
      <c r="H1467" s="1"/>
      <c r="I1467" s="1"/>
      <c r="J1467" s="1"/>
      <c r="K1467" s="1"/>
      <c r="L1467" s="1"/>
      <c r="M1467" s="1"/>
      <c r="N1467" s="1"/>
      <c r="O1467" s="1"/>
      <c r="P1467" s="1"/>
      <c r="Q1467" s="1"/>
      <c r="R1467" s="1"/>
      <c r="S1467" s="1"/>
    </row>
    <row r="1468" ht="10.5" customHeight="1">
      <c r="A1468" s="1"/>
      <c r="B1468" s="1"/>
      <c r="C1468" s="1"/>
      <c r="D1468" s="1"/>
      <c r="E1468" s="1"/>
      <c r="F1468" s="1"/>
      <c r="G1468" s="1"/>
      <c r="H1468" s="1"/>
      <c r="I1468" s="1"/>
      <c r="J1468" s="1"/>
      <c r="K1468" s="1"/>
      <c r="L1468" s="1"/>
      <c r="M1468" s="1"/>
      <c r="N1468" s="1"/>
      <c r="O1468" s="1"/>
      <c r="P1468" s="1"/>
      <c r="Q1468" s="1"/>
      <c r="R1468" s="1"/>
      <c r="S1468" s="1"/>
    </row>
    <row r="1469" ht="10.5" customHeight="1">
      <c r="A1469" s="1"/>
      <c r="B1469" s="1"/>
      <c r="C1469" s="1"/>
      <c r="D1469" s="1"/>
      <c r="E1469" s="1"/>
      <c r="F1469" s="1"/>
      <c r="G1469" s="1"/>
      <c r="H1469" s="1"/>
      <c r="I1469" s="1"/>
      <c r="J1469" s="1"/>
      <c r="K1469" s="1"/>
      <c r="L1469" s="1"/>
      <c r="M1469" s="1"/>
      <c r="N1469" s="1"/>
      <c r="O1469" s="1"/>
      <c r="P1469" s="1"/>
      <c r="Q1469" s="1"/>
      <c r="R1469" s="1"/>
      <c r="S1469" s="1"/>
    </row>
    <row r="1470" ht="10.5" customHeight="1">
      <c r="A1470" s="1"/>
      <c r="B1470" s="1"/>
      <c r="C1470" s="1"/>
      <c r="D1470" s="1"/>
      <c r="E1470" s="1"/>
      <c r="F1470" s="1"/>
      <c r="G1470" s="1"/>
      <c r="H1470" s="1"/>
      <c r="I1470" s="1"/>
      <c r="J1470" s="1"/>
      <c r="K1470" s="1"/>
      <c r="L1470" s="1"/>
      <c r="M1470" s="1"/>
      <c r="N1470" s="1"/>
      <c r="O1470" s="1"/>
      <c r="P1470" s="1"/>
      <c r="Q1470" s="1"/>
      <c r="R1470" s="1"/>
      <c r="S1470" s="1"/>
    </row>
    <row r="1471" ht="10.5" customHeight="1">
      <c r="A1471" s="1"/>
      <c r="B1471" s="1"/>
      <c r="C1471" s="1"/>
      <c r="D1471" s="1"/>
      <c r="E1471" s="1"/>
      <c r="F1471" s="1"/>
      <c r="G1471" s="1"/>
      <c r="H1471" s="1"/>
      <c r="I1471" s="1"/>
      <c r="J1471" s="1"/>
      <c r="K1471" s="1"/>
      <c r="L1471" s="1"/>
      <c r="M1471" s="1"/>
      <c r="N1471" s="1"/>
      <c r="O1471" s="1"/>
      <c r="P1471" s="1"/>
      <c r="Q1471" s="1"/>
      <c r="R1471" s="1"/>
      <c r="S1471" s="1"/>
    </row>
    <row r="1472" ht="10.5" customHeight="1">
      <c r="A1472" s="1"/>
      <c r="B1472" s="1"/>
      <c r="C1472" s="1"/>
      <c r="D1472" s="1"/>
      <c r="E1472" s="1"/>
      <c r="F1472" s="1"/>
      <c r="G1472" s="1"/>
      <c r="H1472" s="1"/>
      <c r="I1472" s="1"/>
      <c r="J1472" s="1"/>
      <c r="K1472" s="1"/>
      <c r="L1472" s="1"/>
      <c r="M1472" s="1"/>
      <c r="N1472" s="1"/>
      <c r="O1472" s="1"/>
      <c r="P1472" s="1"/>
      <c r="Q1472" s="1"/>
      <c r="R1472" s="1"/>
      <c r="S1472" s="1"/>
    </row>
    <row r="1473" ht="10.5" customHeight="1">
      <c r="A1473" s="1"/>
      <c r="B1473" s="1"/>
      <c r="C1473" s="1"/>
      <c r="D1473" s="1"/>
      <c r="E1473" s="1"/>
      <c r="F1473" s="1"/>
      <c r="G1473" s="1"/>
      <c r="H1473" s="1"/>
      <c r="I1473" s="1"/>
      <c r="J1473" s="1"/>
      <c r="K1473" s="1"/>
      <c r="L1473" s="1"/>
      <c r="M1473" s="1"/>
      <c r="N1473" s="1"/>
      <c r="O1473" s="1"/>
      <c r="P1473" s="1"/>
      <c r="Q1473" s="1"/>
      <c r="R1473" s="1"/>
      <c r="S1473" s="1"/>
    </row>
    <row r="1474" ht="10.5" customHeight="1">
      <c r="A1474" s="1"/>
      <c r="B1474" s="1"/>
      <c r="C1474" s="1"/>
      <c r="D1474" s="1"/>
      <c r="E1474" s="1"/>
      <c r="F1474" s="1"/>
      <c r="G1474" s="1"/>
      <c r="H1474" s="1"/>
      <c r="I1474" s="1"/>
      <c r="J1474" s="1"/>
      <c r="K1474" s="1"/>
      <c r="L1474" s="1"/>
      <c r="M1474" s="1"/>
      <c r="N1474" s="1"/>
      <c r="O1474" s="1"/>
      <c r="P1474" s="1"/>
      <c r="Q1474" s="1"/>
      <c r="R1474" s="1"/>
      <c r="S1474" s="1"/>
    </row>
    <row r="1475" ht="10.5" customHeight="1">
      <c r="A1475" s="1"/>
      <c r="B1475" s="1"/>
      <c r="C1475" s="1"/>
      <c r="D1475" s="1"/>
      <c r="E1475" s="1"/>
      <c r="F1475" s="1"/>
      <c r="G1475" s="1"/>
      <c r="H1475" s="1"/>
      <c r="I1475" s="1"/>
      <c r="J1475" s="1"/>
      <c r="K1475" s="1"/>
      <c r="L1475" s="1"/>
      <c r="M1475" s="1"/>
      <c r="N1475" s="1"/>
      <c r="O1475" s="1"/>
      <c r="P1475" s="1"/>
      <c r="Q1475" s="1"/>
      <c r="R1475" s="1"/>
      <c r="S1475" s="1"/>
    </row>
    <row r="1476" ht="10.5" customHeight="1">
      <c r="A1476" s="1"/>
      <c r="B1476" s="1"/>
      <c r="C1476" s="1"/>
      <c r="D1476" s="1"/>
      <c r="E1476" s="1"/>
      <c r="F1476" s="1"/>
      <c r="G1476" s="1"/>
      <c r="H1476" s="1"/>
      <c r="I1476" s="1"/>
      <c r="J1476" s="1"/>
      <c r="K1476" s="1"/>
      <c r="L1476" s="1"/>
      <c r="M1476" s="1"/>
      <c r="N1476" s="1"/>
      <c r="O1476" s="1"/>
      <c r="P1476" s="1"/>
      <c r="Q1476" s="1"/>
      <c r="R1476" s="1"/>
      <c r="S1476" s="1"/>
    </row>
    <row r="1477" ht="10.5" customHeight="1">
      <c r="A1477" s="1"/>
      <c r="B1477" s="1"/>
      <c r="C1477" s="1"/>
      <c r="D1477" s="1"/>
      <c r="E1477" s="1"/>
      <c r="F1477" s="1"/>
      <c r="G1477" s="1"/>
      <c r="H1477" s="1"/>
      <c r="I1477" s="1"/>
      <c r="J1477" s="1"/>
      <c r="K1477" s="1"/>
      <c r="L1477" s="1"/>
      <c r="M1477" s="1"/>
      <c r="N1477" s="1"/>
      <c r="O1477" s="1"/>
      <c r="P1477" s="1"/>
      <c r="Q1477" s="1"/>
      <c r="R1477" s="1"/>
      <c r="S1477" s="1"/>
    </row>
    <row r="1478" ht="10.5" customHeight="1">
      <c r="A1478" s="1"/>
      <c r="B1478" s="1"/>
      <c r="C1478" s="1"/>
      <c r="D1478" s="1"/>
      <c r="E1478" s="1"/>
      <c r="F1478" s="1"/>
      <c r="G1478" s="1"/>
      <c r="H1478" s="1"/>
      <c r="I1478" s="1"/>
      <c r="J1478" s="1"/>
      <c r="K1478" s="1"/>
      <c r="L1478" s="1"/>
      <c r="M1478" s="1"/>
      <c r="N1478" s="1"/>
      <c r="O1478" s="1"/>
      <c r="P1478" s="1"/>
      <c r="Q1478" s="1"/>
      <c r="R1478" s="1"/>
      <c r="S1478" s="1"/>
    </row>
    <row r="1479" ht="10.5" customHeight="1">
      <c r="A1479" s="1"/>
      <c r="B1479" s="1"/>
      <c r="C1479" s="1"/>
      <c r="D1479" s="1"/>
      <c r="E1479" s="1"/>
      <c r="F1479" s="1"/>
      <c r="G1479" s="1"/>
      <c r="H1479" s="1"/>
      <c r="I1479" s="1"/>
      <c r="J1479" s="1"/>
      <c r="K1479" s="1"/>
      <c r="L1479" s="1"/>
      <c r="M1479" s="1"/>
      <c r="N1479" s="1"/>
      <c r="O1479" s="1"/>
      <c r="P1479" s="1"/>
      <c r="Q1479" s="1"/>
      <c r="R1479" s="1"/>
      <c r="S1479" s="1"/>
    </row>
    <row r="1480" ht="10.5" customHeight="1">
      <c r="A1480" s="1"/>
      <c r="B1480" s="1"/>
      <c r="C1480" s="1"/>
      <c r="D1480" s="1"/>
      <c r="E1480" s="1"/>
      <c r="F1480" s="1"/>
      <c r="G1480" s="1"/>
      <c r="H1480" s="1"/>
      <c r="I1480" s="1"/>
      <c r="J1480" s="1"/>
      <c r="K1480" s="1"/>
      <c r="L1480" s="1"/>
      <c r="M1480" s="1"/>
      <c r="N1480" s="1"/>
      <c r="O1480" s="1"/>
      <c r="P1480" s="1"/>
      <c r="Q1480" s="1"/>
      <c r="R1480" s="1"/>
      <c r="S1480" s="1"/>
    </row>
    <row r="1481" ht="10.5" customHeight="1">
      <c r="A1481" s="1"/>
      <c r="B1481" s="1"/>
      <c r="C1481" s="1"/>
      <c r="D1481" s="1"/>
      <c r="E1481" s="1"/>
      <c r="F1481" s="1"/>
      <c r="G1481" s="1"/>
      <c r="H1481" s="1"/>
      <c r="I1481" s="1"/>
      <c r="J1481" s="1"/>
      <c r="K1481" s="1"/>
      <c r="L1481" s="1"/>
      <c r="M1481" s="1"/>
      <c r="N1481" s="1"/>
      <c r="O1481" s="1"/>
      <c r="P1481" s="1"/>
      <c r="Q1481" s="1"/>
      <c r="R1481" s="1"/>
      <c r="S1481" s="1"/>
    </row>
    <row r="1482" ht="10.5" customHeight="1">
      <c r="A1482" s="1"/>
      <c r="B1482" s="1"/>
      <c r="C1482" s="1"/>
      <c r="D1482" s="1"/>
      <c r="E1482" s="1"/>
      <c r="F1482" s="1"/>
      <c r="G1482" s="1"/>
      <c r="H1482" s="1"/>
      <c r="I1482" s="1"/>
      <c r="J1482" s="1"/>
      <c r="K1482" s="1"/>
      <c r="L1482" s="1"/>
      <c r="M1482" s="1"/>
      <c r="N1482" s="1"/>
      <c r="O1482" s="1"/>
      <c r="P1482" s="1"/>
      <c r="Q1482" s="1"/>
      <c r="R1482" s="1"/>
      <c r="S1482" s="1"/>
    </row>
    <row r="1483" ht="10.5" customHeight="1">
      <c r="A1483" s="1"/>
      <c r="B1483" s="1"/>
      <c r="C1483" s="1"/>
      <c r="D1483" s="1"/>
      <c r="E1483" s="1"/>
      <c r="F1483" s="1"/>
      <c r="G1483" s="1"/>
      <c r="H1483" s="1"/>
      <c r="I1483" s="1"/>
      <c r="J1483" s="1"/>
      <c r="K1483" s="1"/>
      <c r="L1483" s="1"/>
      <c r="M1483" s="1"/>
      <c r="N1483" s="1"/>
      <c r="O1483" s="1"/>
      <c r="P1483" s="1"/>
      <c r="Q1483" s="1"/>
      <c r="R1483" s="1"/>
      <c r="S1483" s="1"/>
    </row>
    <row r="1484" ht="10.5" customHeight="1">
      <c r="A1484" s="1"/>
      <c r="B1484" s="1"/>
      <c r="C1484" s="1"/>
      <c r="D1484" s="1"/>
      <c r="E1484" s="1"/>
      <c r="F1484" s="1"/>
      <c r="G1484" s="110">
        <v>23.0</v>
      </c>
      <c r="H1484" s="1"/>
      <c r="I1484" s="1"/>
      <c r="J1484" s="1"/>
      <c r="K1484" s="1"/>
      <c r="L1484" s="1"/>
      <c r="M1484" s="1"/>
      <c r="N1484" s="1"/>
      <c r="O1484" s="1"/>
      <c r="P1484" s="1"/>
      <c r="Q1484" s="1"/>
      <c r="R1484" s="1"/>
      <c r="S1484" s="1"/>
    </row>
    <row r="1485" ht="10.5" customHeight="1">
      <c r="A1485" s="1"/>
      <c r="B1485" s="1"/>
      <c r="C1485" s="1"/>
      <c r="D1485" s="1"/>
      <c r="E1485" s="1"/>
      <c r="F1485" s="1"/>
      <c r="G1485" s="1"/>
      <c r="H1485" s="1"/>
      <c r="I1485" s="1"/>
      <c r="J1485" s="1"/>
      <c r="K1485" s="1"/>
      <c r="L1485" s="1"/>
      <c r="M1485" s="1"/>
      <c r="N1485" s="1"/>
      <c r="O1485" s="1"/>
      <c r="P1485" s="1"/>
      <c r="Q1485" s="1"/>
      <c r="R1485" s="1"/>
      <c r="S1485" s="1"/>
    </row>
    <row r="1486" ht="10.5" customHeight="1">
      <c r="A1486" s="1"/>
      <c r="B1486" s="1"/>
      <c r="C1486" s="1"/>
      <c r="D1486" s="1"/>
      <c r="E1486" s="1"/>
      <c r="F1486" s="1"/>
      <c r="G1486" s="1"/>
      <c r="H1486" s="1"/>
      <c r="I1486" s="1"/>
      <c r="J1486" s="1"/>
      <c r="K1486" s="1"/>
      <c r="L1486" s="1"/>
      <c r="M1486" s="1"/>
      <c r="N1486" s="1"/>
      <c r="O1486" s="1"/>
      <c r="P1486" s="1"/>
      <c r="Q1486" s="1"/>
      <c r="R1486" s="1"/>
      <c r="S1486" s="1"/>
    </row>
    <row r="1487" ht="11.25" customHeight="1">
      <c r="A1487" s="1"/>
      <c r="B1487" s="65" t="s">
        <v>1046</v>
      </c>
      <c r="C1487" s="1"/>
      <c r="D1487" s="1"/>
      <c r="E1487" s="1"/>
      <c r="F1487" s="1"/>
      <c r="G1487" s="1"/>
      <c r="H1487" s="1"/>
      <c r="I1487" s="1"/>
      <c r="J1487" s="111"/>
      <c r="K1487" s="188"/>
      <c r="L1487" s="1"/>
      <c r="M1487" s="1"/>
      <c r="N1487" s="1"/>
      <c r="O1487" s="1"/>
      <c r="P1487" s="1"/>
      <c r="Q1487" s="1"/>
      <c r="R1487" s="1"/>
      <c r="S1487" s="1"/>
    </row>
    <row r="1488" ht="11.25" customHeight="1">
      <c r="A1488" s="1"/>
      <c r="B1488" s="29" t="s">
        <v>31</v>
      </c>
      <c r="C1488" s="31" t="s">
        <v>1047</v>
      </c>
      <c r="D1488" s="31" t="s">
        <v>1048</v>
      </c>
      <c r="E1488" s="128" t="s">
        <v>1049</v>
      </c>
      <c r="F1488" s="9"/>
      <c r="G1488" s="9"/>
      <c r="H1488" s="9"/>
      <c r="I1488" s="10"/>
      <c r="J1488" s="29" t="s">
        <v>1050</v>
      </c>
      <c r="K1488" s="677"/>
      <c r="L1488" s="1"/>
      <c r="M1488" s="1"/>
      <c r="N1488" s="1"/>
      <c r="O1488" s="1"/>
      <c r="P1488" s="1"/>
      <c r="Q1488" s="1"/>
      <c r="R1488" s="1"/>
      <c r="S1488" s="1"/>
    </row>
    <row r="1489" ht="11.25" customHeight="1">
      <c r="A1489" s="1"/>
      <c r="B1489" s="5"/>
      <c r="C1489" s="5"/>
      <c r="D1489" s="5"/>
      <c r="E1489" s="31" t="s">
        <v>1051</v>
      </c>
      <c r="F1489" s="31" t="s">
        <v>1052</v>
      </c>
      <c r="G1489" s="31" t="s">
        <v>1053</v>
      </c>
      <c r="H1489" s="128" t="s">
        <v>1054</v>
      </c>
      <c r="I1489" s="10"/>
      <c r="J1489" s="5"/>
      <c r="K1489" s="677"/>
      <c r="L1489" s="1"/>
      <c r="M1489" s="1"/>
      <c r="N1489" s="1"/>
      <c r="O1489" s="1"/>
      <c r="P1489" s="1"/>
      <c r="Q1489" s="1"/>
      <c r="R1489" s="1"/>
      <c r="S1489" s="1"/>
    </row>
    <row r="1490" ht="11.25" customHeight="1">
      <c r="A1490" s="1"/>
      <c r="B1490" s="5"/>
      <c r="C1490" s="6"/>
      <c r="D1490" s="6"/>
      <c r="E1490" s="6"/>
      <c r="F1490" s="6"/>
      <c r="G1490" s="6"/>
      <c r="H1490" s="128" t="s">
        <v>47</v>
      </c>
      <c r="I1490" s="128" t="s">
        <v>1056</v>
      </c>
      <c r="J1490" s="5"/>
      <c r="K1490" s="677"/>
      <c r="L1490" s="1"/>
      <c r="M1490" s="1"/>
      <c r="N1490" s="1"/>
      <c r="O1490" s="1"/>
      <c r="P1490" s="1"/>
      <c r="Q1490" s="1"/>
      <c r="R1490" s="1"/>
      <c r="S1490" s="1"/>
    </row>
    <row r="1491" ht="10.5" customHeight="1">
      <c r="A1491" s="1"/>
      <c r="B1491" s="6"/>
      <c r="C1491" s="8" t="s">
        <v>48</v>
      </c>
      <c r="D1491" s="8" t="s">
        <v>49</v>
      </c>
      <c r="E1491" s="8" t="s">
        <v>52</v>
      </c>
      <c r="F1491" s="9"/>
      <c r="G1491" s="9"/>
      <c r="H1491" s="9"/>
      <c r="I1491" s="10"/>
      <c r="J1491" s="6"/>
      <c r="K1491" s="677"/>
      <c r="L1491" s="1"/>
      <c r="M1491" s="1"/>
      <c r="N1491" s="1"/>
      <c r="O1491" s="1"/>
      <c r="P1491" s="1"/>
      <c r="Q1491" s="1"/>
      <c r="R1491" s="1"/>
      <c r="S1491" s="1"/>
    </row>
    <row r="1492" ht="10.5" customHeight="1">
      <c r="A1492" s="1"/>
      <c r="B1492" s="48" t="s">
        <v>56</v>
      </c>
      <c r="C1492" s="278">
        <v>73.0</v>
      </c>
      <c r="D1492" s="278">
        <v>99.0</v>
      </c>
      <c r="E1492" s="484">
        <v>34.35</v>
      </c>
      <c r="F1492" s="484">
        <v>54.37</v>
      </c>
      <c r="G1492" s="484">
        <v>57.68</v>
      </c>
      <c r="H1492" s="484">
        <v>58.12</v>
      </c>
      <c r="I1492" s="484">
        <v>55.37</v>
      </c>
      <c r="J1492" s="238">
        <v>1981.0</v>
      </c>
      <c r="K1492" s="677"/>
      <c r="L1492" s="1"/>
      <c r="M1492" s="1"/>
      <c r="N1492" s="1"/>
      <c r="O1492" s="1"/>
      <c r="P1492" s="1"/>
      <c r="Q1492" s="1"/>
      <c r="R1492" s="1"/>
      <c r="S1492" s="1"/>
    </row>
    <row r="1493" ht="10.5" customHeight="1">
      <c r="A1493" s="1"/>
      <c r="B1493" s="48" t="s">
        <v>81</v>
      </c>
      <c r="C1493" s="278">
        <v>71.0</v>
      </c>
      <c r="D1493" s="278">
        <v>84.0</v>
      </c>
      <c r="E1493" s="484">
        <v>36.28</v>
      </c>
      <c r="F1493" s="484">
        <v>46.0</v>
      </c>
      <c r="G1493" s="484">
        <v>45.64</v>
      </c>
      <c r="H1493" s="484">
        <v>35.37</v>
      </c>
      <c r="I1493" s="484">
        <v>34.96</v>
      </c>
      <c r="J1493" s="238">
        <v>1982.0</v>
      </c>
      <c r="K1493" s="677"/>
      <c r="L1493" s="1"/>
      <c r="M1493" s="1"/>
      <c r="N1493" s="1"/>
      <c r="O1493" s="1"/>
      <c r="P1493" s="1"/>
      <c r="Q1493" s="1"/>
      <c r="R1493" s="1"/>
      <c r="S1493" s="1"/>
    </row>
    <row r="1494" ht="10.5" customHeight="1">
      <c r="A1494" s="1"/>
      <c r="B1494" s="48" t="s">
        <v>86</v>
      </c>
      <c r="C1494" s="278">
        <v>79.0</v>
      </c>
      <c r="D1494" s="278">
        <v>53.0</v>
      </c>
      <c r="E1494" s="484">
        <v>79.3</v>
      </c>
      <c r="F1494" s="484">
        <v>53.93</v>
      </c>
      <c r="G1494" s="484">
        <v>78.3</v>
      </c>
      <c r="H1494" s="484">
        <v>63.03</v>
      </c>
      <c r="I1494" s="484">
        <v>58.21</v>
      </c>
      <c r="J1494" s="238">
        <v>1983.0</v>
      </c>
      <c r="K1494" s="677"/>
      <c r="L1494" s="1"/>
      <c r="M1494" s="1"/>
      <c r="N1494" s="1"/>
      <c r="O1494" s="1"/>
      <c r="P1494" s="1"/>
      <c r="Q1494" s="1"/>
      <c r="R1494" s="1"/>
      <c r="S1494" s="1"/>
    </row>
    <row r="1495" ht="10.5" customHeight="1">
      <c r="A1495" s="1"/>
      <c r="B1495" s="48" t="s">
        <v>87</v>
      </c>
      <c r="C1495" s="278">
        <v>86.0</v>
      </c>
      <c r="D1495" s="278">
        <v>70.0</v>
      </c>
      <c r="E1495" s="484">
        <v>70.9</v>
      </c>
      <c r="F1495" s="484">
        <v>61.68</v>
      </c>
      <c r="G1495" s="484">
        <v>70.9</v>
      </c>
      <c r="H1495" s="484">
        <v>70.29</v>
      </c>
      <c r="I1495" s="484">
        <v>62.77</v>
      </c>
      <c r="J1495" s="238">
        <v>1984.0</v>
      </c>
      <c r="K1495" s="677"/>
      <c r="L1495" s="1"/>
      <c r="M1495" s="1"/>
      <c r="N1495" s="1"/>
      <c r="O1495" s="1"/>
      <c r="P1495" s="1"/>
      <c r="Q1495" s="1"/>
      <c r="R1495" s="1"/>
      <c r="S1495" s="1"/>
    </row>
    <row r="1496" ht="10.5" customHeight="1">
      <c r="A1496" s="1"/>
      <c r="B1496" s="48" t="s">
        <v>90</v>
      </c>
      <c r="C1496" s="278">
        <v>67.0</v>
      </c>
      <c r="D1496" s="278">
        <v>87.0</v>
      </c>
      <c r="E1496" s="484">
        <v>52.88</v>
      </c>
      <c r="F1496" s="484">
        <v>55.64</v>
      </c>
      <c r="G1496" s="484">
        <v>62.61</v>
      </c>
      <c r="H1496" s="484">
        <v>65.0</v>
      </c>
      <c r="I1496" s="484">
        <v>51.78</v>
      </c>
      <c r="J1496" s="238">
        <v>1985.0</v>
      </c>
      <c r="K1496" s="677"/>
      <c r="L1496" s="1"/>
      <c r="M1496" s="1"/>
      <c r="N1496" s="1"/>
      <c r="O1496" s="1"/>
      <c r="P1496" s="1"/>
      <c r="Q1496" s="1"/>
      <c r="R1496" s="1"/>
      <c r="S1496" s="1"/>
    </row>
    <row r="1497" ht="10.5" customHeight="1">
      <c r="A1497" s="1"/>
      <c r="B1497" s="48"/>
      <c r="C1497" s="278"/>
      <c r="D1497" s="278"/>
      <c r="E1497" s="484"/>
      <c r="F1497" s="484"/>
      <c r="G1497" s="484"/>
      <c r="H1497" s="484"/>
      <c r="I1497" s="484"/>
      <c r="J1497" s="238"/>
      <c r="K1497" s="677"/>
      <c r="L1497" s="1"/>
      <c r="M1497" s="1"/>
      <c r="N1497" s="1"/>
      <c r="O1497" s="1"/>
      <c r="P1497" s="1"/>
      <c r="Q1497" s="1"/>
      <c r="R1497" s="1"/>
      <c r="S1497" s="1"/>
    </row>
    <row r="1498" ht="10.5" customHeight="1">
      <c r="A1498" s="1"/>
      <c r="B1498" s="48" t="s">
        <v>93</v>
      </c>
      <c r="C1498" s="278">
        <v>81.0</v>
      </c>
      <c r="D1498" s="278">
        <v>98.0</v>
      </c>
      <c r="E1498" s="484">
        <v>55.83</v>
      </c>
      <c r="F1498" s="484">
        <v>51.79</v>
      </c>
      <c r="G1498" s="484">
        <v>66.14</v>
      </c>
      <c r="H1498" s="484">
        <v>54.75</v>
      </c>
      <c r="I1498" s="484">
        <v>48.01</v>
      </c>
      <c r="J1498" s="238">
        <v>1986.0</v>
      </c>
      <c r="K1498" s="677"/>
      <c r="L1498" s="1"/>
      <c r="M1498" s="1"/>
      <c r="N1498" s="1"/>
      <c r="O1498" s="1"/>
      <c r="P1498" s="1"/>
      <c r="Q1498" s="1"/>
      <c r="R1498" s="1"/>
      <c r="S1498" s="1"/>
    </row>
    <row r="1499" ht="10.5" customHeight="1">
      <c r="A1499" s="1"/>
      <c r="B1499" s="48" t="s">
        <v>97</v>
      </c>
      <c r="C1499" s="278">
        <v>87.0</v>
      </c>
      <c r="D1499" s="278">
        <v>99.0</v>
      </c>
      <c r="E1499" s="484">
        <v>61.51</v>
      </c>
      <c r="F1499" s="484">
        <v>56.18</v>
      </c>
      <c r="G1499" s="484">
        <v>76.32</v>
      </c>
      <c r="H1499" s="484">
        <v>58.65</v>
      </c>
      <c r="I1499" s="484">
        <v>54.98</v>
      </c>
      <c r="J1499" s="238">
        <v>1987.0</v>
      </c>
      <c r="K1499" s="677"/>
      <c r="L1499" s="1"/>
      <c r="M1499" s="1"/>
      <c r="N1499" s="1"/>
      <c r="O1499" s="1"/>
      <c r="P1499" s="1"/>
      <c r="Q1499" s="1"/>
      <c r="R1499" s="1"/>
      <c r="S1499" s="1"/>
    </row>
    <row r="1500" ht="10.5" customHeight="1">
      <c r="A1500" s="1"/>
      <c r="B1500" s="48" t="s">
        <v>101</v>
      </c>
      <c r="C1500" s="278">
        <v>77.0</v>
      </c>
      <c r="D1500" s="278">
        <v>97.0</v>
      </c>
      <c r="E1500" s="484">
        <v>94.29</v>
      </c>
      <c r="F1500" s="484">
        <v>62.21</v>
      </c>
      <c r="G1500" s="484">
        <v>91.84</v>
      </c>
      <c r="H1500" s="484">
        <v>85.63</v>
      </c>
      <c r="I1500" s="484">
        <v>80.72</v>
      </c>
      <c r="J1500" s="238">
        <v>1988.0</v>
      </c>
      <c r="K1500" s="677"/>
      <c r="L1500" s="1"/>
      <c r="M1500" s="1"/>
      <c r="N1500" s="1"/>
      <c r="O1500" s="1"/>
      <c r="P1500" s="1"/>
      <c r="Q1500" s="1"/>
      <c r="R1500" s="1"/>
      <c r="S1500" s="1"/>
    </row>
    <row r="1501" ht="10.5" customHeight="1">
      <c r="A1501" s="1"/>
      <c r="B1501" s="48" t="s">
        <v>103</v>
      </c>
      <c r="C1501" s="278">
        <v>80.0</v>
      </c>
      <c r="D1501" s="278">
        <v>117.0</v>
      </c>
      <c r="E1501" s="484">
        <v>72.71</v>
      </c>
      <c r="F1501" s="484">
        <v>64.16</v>
      </c>
      <c r="G1501" s="484">
        <v>96.47</v>
      </c>
      <c r="H1501" s="484">
        <v>70.53</v>
      </c>
      <c r="I1501" s="484">
        <v>71.3</v>
      </c>
      <c r="J1501" s="238">
        <v>1989.0</v>
      </c>
      <c r="K1501" s="677"/>
      <c r="L1501" s="1"/>
      <c r="M1501" s="1"/>
      <c r="N1501" s="1"/>
      <c r="O1501" s="1"/>
      <c r="P1501" s="1"/>
      <c r="Q1501" s="1"/>
      <c r="R1501" s="1"/>
      <c r="S1501" s="1"/>
    </row>
    <row r="1502" ht="10.5" customHeight="1">
      <c r="A1502" s="1"/>
      <c r="B1502" s="48" t="s">
        <v>104</v>
      </c>
      <c r="C1502" s="278">
        <v>87.0</v>
      </c>
      <c r="D1502" s="278">
        <v>136.0</v>
      </c>
      <c r="E1502" s="484">
        <v>68.63</v>
      </c>
      <c r="F1502" s="484">
        <v>65.8</v>
      </c>
      <c r="G1502" s="484">
        <v>94.03</v>
      </c>
      <c r="H1502" s="484">
        <v>74.69</v>
      </c>
      <c r="I1502" s="484">
        <v>71.32</v>
      </c>
      <c r="J1502" s="238">
        <v>1990.0</v>
      </c>
      <c r="K1502" s="677"/>
      <c r="L1502" s="1"/>
      <c r="M1502" s="1"/>
      <c r="N1502" s="1"/>
      <c r="O1502" s="1"/>
      <c r="P1502" s="1"/>
      <c r="Q1502" s="1"/>
      <c r="R1502" s="1"/>
      <c r="S1502" s="1"/>
    </row>
    <row r="1503" ht="10.5" customHeight="1">
      <c r="A1503" s="1"/>
      <c r="B1503" s="48"/>
      <c r="C1503" s="278"/>
      <c r="D1503" s="278"/>
      <c r="E1503" s="484"/>
      <c r="F1503" s="484"/>
      <c r="G1503" s="484"/>
      <c r="H1503" s="484"/>
      <c r="I1503" s="484"/>
      <c r="J1503" s="238"/>
      <c r="K1503" s="677"/>
      <c r="L1503" s="1"/>
      <c r="M1503" s="1"/>
      <c r="N1503" s="1"/>
      <c r="O1503" s="1"/>
      <c r="P1503" s="1"/>
      <c r="Q1503" s="1"/>
      <c r="R1503" s="1"/>
      <c r="S1503" s="1"/>
    </row>
    <row r="1504" ht="10.5" customHeight="1">
      <c r="A1504" s="1"/>
      <c r="B1504" s="48" t="s">
        <v>108</v>
      </c>
      <c r="C1504" s="278">
        <v>100.0</v>
      </c>
      <c r="D1504" s="278">
        <v>125.0</v>
      </c>
      <c r="E1504" s="484">
        <v>72.64</v>
      </c>
      <c r="F1504" s="484">
        <v>68.53</v>
      </c>
      <c r="G1504" s="484">
        <v>92.92</v>
      </c>
      <c r="H1504" s="484">
        <v>82.63</v>
      </c>
      <c r="I1504" s="484">
        <v>83.29</v>
      </c>
      <c r="J1504" s="238">
        <v>1991.0</v>
      </c>
      <c r="K1504" s="677"/>
      <c r="L1504" s="1"/>
      <c r="M1504" s="1"/>
      <c r="N1504" s="1"/>
      <c r="O1504" s="1"/>
      <c r="P1504" s="1"/>
      <c r="Q1504" s="1"/>
      <c r="R1504" s="1"/>
      <c r="S1504" s="1"/>
    </row>
    <row r="1505" ht="10.5" customHeight="1">
      <c r="A1505" s="1"/>
      <c r="B1505" s="48" t="s">
        <v>111</v>
      </c>
      <c r="C1505" s="278">
        <v>70.0</v>
      </c>
      <c r="D1505" s="278">
        <v>35.0</v>
      </c>
      <c r="E1505" s="484">
        <v>140.34</v>
      </c>
      <c r="F1505" s="484">
        <v>98.77</v>
      </c>
      <c r="G1505" s="484">
        <v>132.87</v>
      </c>
      <c r="H1505" s="484">
        <v>102.19</v>
      </c>
      <c r="I1505" s="484">
        <v>112.91</v>
      </c>
      <c r="J1505" s="238">
        <v>1992.0</v>
      </c>
      <c r="K1505" s="677"/>
      <c r="L1505" s="1"/>
      <c r="M1505" s="1"/>
      <c r="N1505" s="1"/>
      <c r="O1505" s="1"/>
      <c r="P1505" s="1"/>
      <c r="Q1505" s="1"/>
      <c r="R1505" s="1"/>
      <c r="S1505" s="1"/>
    </row>
    <row r="1506" ht="10.5" customHeight="1">
      <c r="A1506" s="1"/>
      <c r="B1506" s="48" t="s">
        <v>112</v>
      </c>
      <c r="C1506" s="278">
        <v>57.0</v>
      </c>
      <c r="D1506" s="278">
        <v>75.0</v>
      </c>
      <c r="E1506" s="484">
        <v>135.0</v>
      </c>
      <c r="F1506" s="484">
        <v>97.99</v>
      </c>
      <c r="G1506" s="484">
        <v>126.84</v>
      </c>
      <c r="H1506" s="484">
        <v>113.56</v>
      </c>
      <c r="I1506" s="484">
        <v>109.15</v>
      </c>
      <c r="J1506" s="238">
        <v>1993.0</v>
      </c>
      <c r="K1506" s="677"/>
      <c r="L1506" s="1"/>
      <c r="M1506" s="1"/>
      <c r="N1506" s="1"/>
      <c r="O1506" s="1"/>
      <c r="P1506" s="1"/>
      <c r="Q1506" s="1"/>
      <c r="R1506" s="1"/>
      <c r="S1506" s="1"/>
    </row>
    <row r="1507" ht="10.5" customHeight="1">
      <c r="A1507" s="1"/>
      <c r="B1507" s="48" t="s">
        <v>113</v>
      </c>
      <c r="C1507" s="278">
        <v>69.0</v>
      </c>
      <c r="D1507" s="278">
        <v>63.0</v>
      </c>
      <c r="E1507" s="484">
        <v>128.92</v>
      </c>
      <c r="F1507" s="484">
        <v>108.26</v>
      </c>
      <c r="G1507" s="484">
        <v>135.18</v>
      </c>
      <c r="H1507" s="484">
        <v>114.86</v>
      </c>
      <c r="I1507" s="484">
        <v>117.45</v>
      </c>
      <c r="J1507" s="238">
        <v>1994.0</v>
      </c>
      <c r="K1507" s="677"/>
      <c r="L1507" s="1"/>
      <c r="M1507" s="1"/>
      <c r="N1507" s="1"/>
      <c r="O1507" s="1"/>
      <c r="P1507" s="1"/>
      <c r="Q1507" s="1"/>
      <c r="R1507" s="1"/>
      <c r="S1507" s="1"/>
    </row>
    <row r="1508" ht="10.5" customHeight="1">
      <c r="A1508" s="1"/>
      <c r="B1508" s="48" t="s">
        <v>114</v>
      </c>
      <c r="C1508" s="278">
        <v>67.0</v>
      </c>
      <c r="D1508" s="278">
        <v>61.0</v>
      </c>
      <c r="E1508" s="484">
        <v>185.01</v>
      </c>
      <c r="F1508" s="484">
        <v>198.03</v>
      </c>
      <c r="G1508" s="484">
        <v>175.0</v>
      </c>
      <c r="H1508" s="484">
        <v>152.04</v>
      </c>
      <c r="I1508" s="87"/>
      <c r="J1508" s="238">
        <v>1995.0</v>
      </c>
      <c r="K1508" s="677"/>
      <c r="L1508" s="1"/>
      <c r="M1508" s="1"/>
      <c r="N1508" s="1"/>
      <c r="O1508" s="1"/>
      <c r="P1508" s="1"/>
      <c r="Q1508" s="1"/>
      <c r="R1508" s="1"/>
      <c r="S1508" s="1"/>
    </row>
    <row r="1509" ht="10.5" customHeight="1">
      <c r="A1509" s="1"/>
      <c r="B1509" s="48"/>
      <c r="C1509" s="278"/>
      <c r="D1509" s="278"/>
      <c r="E1509" s="484"/>
      <c r="F1509" s="484"/>
      <c r="G1509" s="484"/>
      <c r="H1509" s="484"/>
      <c r="I1509" s="87"/>
      <c r="J1509" s="238"/>
      <c r="K1509" s="677"/>
      <c r="L1509" s="1"/>
      <c r="M1509" s="1"/>
      <c r="N1509" s="1"/>
      <c r="O1509" s="1"/>
      <c r="P1509" s="1"/>
      <c r="Q1509" s="1"/>
      <c r="R1509" s="1"/>
      <c r="S1509" s="1"/>
    </row>
    <row r="1510" ht="10.5" customHeight="1">
      <c r="A1510" s="1"/>
      <c r="B1510" s="48" t="s">
        <v>115</v>
      </c>
      <c r="C1510" s="278">
        <v>64.0</v>
      </c>
      <c r="D1510" s="278">
        <v>63.0</v>
      </c>
      <c r="E1510" s="484">
        <v>205.03</v>
      </c>
      <c r="F1510" s="484">
        <v>168.0</v>
      </c>
      <c r="G1510" s="484">
        <v>164.99</v>
      </c>
      <c r="H1510" s="484">
        <v>142.1</v>
      </c>
      <c r="I1510" s="87"/>
      <c r="J1510" s="238">
        <v>1996.0</v>
      </c>
      <c r="K1510" s="677"/>
      <c r="L1510" s="1"/>
      <c r="M1510" s="1"/>
      <c r="N1510" s="1"/>
      <c r="O1510" s="1"/>
      <c r="P1510" s="1"/>
      <c r="Q1510" s="1"/>
      <c r="R1510" s="1"/>
      <c r="S1510" s="1"/>
    </row>
    <row r="1511" ht="10.5" customHeight="1">
      <c r="A1511" s="1"/>
      <c r="B1511" s="48" t="s">
        <v>117</v>
      </c>
      <c r="C1511" s="278">
        <v>47.0</v>
      </c>
      <c r="D1511" s="278">
        <v>67.0</v>
      </c>
      <c r="E1511" s="484">
        <v>178.57</v>
      </c>
      <c r="F1511" s="484">
        <v>178.5</v>
      </c>
      <c r="G1511" s="484">
        <v>182.84</v>
      </c>
      <c r="H1511" s="484">
        <v>161.0</v>
      </c>
      <c r="I1511" s="87"/>
      <c r="J1511" s="238">
        <v>1997.0</v>
      </c>
      <c r="K1511" s="677"/>
      <c r="L1511" s="1"/>
      <c r="M1511" s="1"/>
      <c r="N1511" s="1"/>
      <c r="O1511" s="1"/>
      <c r="P1511" s="1"/>
      <c r="Q1511" s="1"/>
      <c r="R1511" s="1"/>
      <c r="S1511" s="1"/>
    </row>
    <row r="1512" ht="10.5" customHeight="1">
      <c r="A1512" s="1"/>
      <c r="B1512" s="48" t="s">
        <v>121</v>
      </c>
      <c r="C1512" s="278">
        <v>39.0</v>
      </c>
      <c r="D1512" s="278">
        <v>50.0</v>
      </c>
      <c r="E1512" s="484">
        <v>214.13</v>
      </c>
      <c r="F1512" s="484">
        <v>208.67</v>
      </c>
      <c r="G1512" s="484">
        <v>204.54</v>
      </c>
      <c r="H1512" s="484">
        <v>158.9</v>
      </c>
      <c r="I1512" s="87"/>
      <c r="J1512" s="238">
        <v>1998.0</v>
      </c>
      <c r="K1512" s="677"/>
      <c r="L1512" s="1"/>
      <c r="M1512" s="1"/>
      <c r="N1512" s="1"/>
      <c r="O1512" s="1"/>
      <c r="P1512" s="1"/>
      <c r="Q1512" s="1"/>
      <c r="R1512" s="1"/>
      <c r="S1512" s="1"/>
    </row>
    <row r="1513" ht="10.5" customHeight="1">
      <c r="A1513" s="1"/>
      <c r="B1513" s="48" t="s">
        <v>122</v>
      </c>
      <c r="C1513" s="278">
        <v>65.0</v>
      </c>
      <c r="D1513" s="278">
        <v>88.0</v>
      </c>
      <c r="E1513" s="484">
        <v>292.74</v>
      </c>
      <c r="F1513" s="484">
        <v>215.95</v>
      </c>
      <c r="G1513" s="484">
        <v>226.87</v>
      </c>
      <c r="H1513" s="484">
        <v>173.6</v>
      </c>
      <c r="I1513" s="87"/>
      <c r="J1513" s="238">
        <v>1999.0</v>
      </c>
      <c r="K1513" s="188"/>
      <c r="L1513" s="1"/>
      <c r="M1513" s="1"/>
      <c r="N1513" s="1"/>
      <c r="O1513" s="1"/>
      <c r="P1513" s="1"/>
      <c r="Q1513" s="1"/>
      <c r="R1513" s="1"/>
      <c r="S1513" s="1"/>
    </row>
    <row r="1514" ht="10.5" customHeight="1">
      <c r="A1514" s="1"/>
      <c r="B1514" s="48" t="s">
        <v>123</v>
      </c>
      <c r="C1514" s="278">
        <v>72.0</v>
      </c>
      <c r="D1514" s="278">
        <v>83.0</v>
      </c>
      <c r="E1514" s="484">
        <v>368.48</v>
      </c>
      <c r="F1514" s="484">
        <v>235.76</v>
      </c>
      <c r="G1514" s="484">
        <v>216.23</v>
      </c>
      <c r="H1514" s="484">
        <v>169.75</v>
      </c>
      <c r="I1514" s="87"/>
      <c r="J1514" s="238">
        <v>2000.0</v>
      </c>
      <c r="K1514" s="188"/>
      <c r="L1514" s="1"/>
      <c r="M1514" s="1"/>
      <c r="N1514" s="1"/>
      <c r="O1514" s="1"/>
      <c r="P1514" s="1"/>
      <c r="Q1514" s="1"/>
      <c r="R1514" s="1"/>
      <c r="S1514" s="1"/>
    </row>
    <row r="1515" ht="10.5" customHeight="1">
      <c r="A1515" s="1"/>
      <c r="B1515" s="48"/>
      <c r="C1515" s="278"/>
      <c r="D1515" s="278"/>
      <c r="E1515" s="71"/>
      <c r="F1515" s="71"/>
      <c r="G1515" s="71"/>
      <c r="H1515" s="71"/>
      <c r="I1515" s="87"/>
      <c r="J1515" s="238"/>
      <c r="K1515" s="1"/>
      <c r="L1515" s="1"/>
      <c r="M1515" s="1"/>
      <c r="N1515" s="1"/>
      <c r="O1515" s="1"/>
      <c r="P1515" s="1"/>
      <c r="Q1515" s="1"/>
      <c r="R1515" s="1"/>
      <c r="S1515" s="1"/>
    </row>
    <row r="1516" ht="10.5" customHeight="1">
      <c r="A1516" s="1"/>
      <c r="B1516" s="48" t="s">
        <v>125</v>
      </c>
      <c r="C1516" s="278">
        <v>78.0</v>
      </c>
      <c r="D1516" s="278">
        <v>104.0</v>
      </c>
      <c r="E1516" s="484">
        <v>4200.0</v>
      </c>
      <c r="F1516" s="289">
        <v>3200.0</v>
      </c>
      <c r="G1516" s="292">
        <v>2600.0</v>
      </c>
      <c r="H1516" s="484">
        <v>1800.0</v>
      </c>
      <c r="I1516" s="87"/>
      <c r="J1516" s="238">
        <v>2001.0</v>
      </c>
      <c r="K1516" s="1"/>
      <c r="L1516" s="1"/>
      <c r="M1516" s="1"/>
      <c r="N1516" s="1"/>
      <c r="O1516" s="1"/>
      <c r="P1516" s="1"/>
      <c r="Q1516" s="1"/>
      <c r="R1516" s="1"/>
      <c r="S1516" s="1"/>
    </row>
    <row r="1517" ht="10.5" customHeight="1">
      <c r="A1517" s="1"/>
      <c r="B1517" s="48" t="s">
        <v>127</v>
      </c>
      <c r="C1517" s="169">
        <v>45.0</v>
      </c>
      <c r="D1517" s="169">
        <v>62.0</v>
      </c>
      <c r="E1517" s="289">
        <v>4000.0</v>
      </c>
      <c r="F1517" s="289">
        <v>4200.0</v>
      </c>
      <c r="G1517" s="484">
        <v>4700.0</v>
      </c>
      <c r="H1517" s="484">
        <v>3200.0</v>
      </c>
      <c r="I1517" s="87"/>
      <c r="J1517" s="238">
        <v>2002.0</v>
      </c>
      <c r="K1517" s="1"/>
      <c r="L1517" s="1"/>
      <c r="M1517" s="1"/>
      <c r="N1517" s="1"/>
      <c r="O1517" s="1"/>
      <c r="P1517" s="1"/>
      <c r="Q1517" s="1"/>
      <c r="R1517" s="1"/>
      <c r="S1517" s="1"/>
    </row>
    <row r="1518" ht="10.5" customHeight="1">
      <c r="A1518" s="1"/>
      <c r="B1518" s="85" t="s">
        <v>128</v>
      </c>
      <c r="C1518" s="169">
        <v>51.0</v>
      </c>
      <c r="D1518" s="169">
        <v>68.0</v>
      </c>
      <c r="E1518" s="289">
        <v>4500.0</v>
      </c>
      <c r="F1518" s="289">
        <v>4400.0</v>
      </c>
      <c r="G1518" s="289">
        <v>4200.0</v>
      </c>
      <c r="H1518" s="484">
        <v>3500.0</v>
      </c>
      <c r="I1518" s="87"/>
      <c r="J1518" s="238">
        <v>2003.0</v>
      </c>
      <c r="K1518" s="1"/>
      <c r="L1518" s="1"/>
      <c r="M1518" s="1"/>
      <c r="N1518" s="1"/>
      <c r="O1518" s="1"/>
      <c r="P1518" s="1"/>
      <c r="Q1518" s="1"/>
      <c r="R1518" s="1"/>
      <c r="S1518" s="1"/>
    </row>
    <row r="1519" ht="10.5" customHeight="1">
      <c r="A1519" s="1"/>
      <c r="B1519" s="85" t="s">
        <v>129</v>
      </c>
      <c r="C1519" s="169">
        <v>56.0</v>
      </c>
      <c r="D1519" s="169">
        <v>85.0</v>
      </c>
      <c r="E1519" s="289">
        <v>4200.0</v>
      </c>
      <c r="F1519" s="289">
        <v>3500.0</v>
      </c>
      <c r="G1519" s="289">
        <v>3500.0</v>
      </c>
      <c r="H1519" s="484">
        <v>2800.0</v>
      </c>
      <c r="I1519" s="87"/>
      <c r="J1519" s="238">
        <v>2004.0</v>
      </c>
      <c r="K1519" s="1"/>
      <c r="L1519" s="1"/>
      <c r="M1519" s="1"/>
      <c r="N1519" s="1"/>
      <c r="O1519" s="1"/>
      <c r="P1519" s="1"/>
      <c r="Q1519" s="1"/>
      <c r="R1519" s="1"/>
      <c r="S1519" s="1"/>
    </row>
    <row r="1520" ht="10.5" customHeight="1">
      <c r="A1520" s="1"/>
      <c r="B1520" s="85" t="s">
        <v>130</v>
      </c>
      <c r="C1520" s="169">
        <v>49.0</v>
      </c>
      <c r="D1520" s="169">
        <v>79.0</v>
      </c>
      <c r="E1520" s="289">
        <v>4500.0</v>
      </c>
      <c r="F1520" s="289">
        <v>3000.0</v>
      </c>
      <c r="G1520" s="289">
        <v>3100.0</v>
      </c>
      <c r="H1520" s="484">
        <v>2000.0</v>
      </c>
      <c r="I1520" s="87"/>
      <c r="J1520" s="238">
        <v>2005.0</v>
      </c>
      <c r="K1520" s="1"/>
      <c r="L1520" s="1"/>
      <c r="M1520" s="1"/>
      <c r="N1520" s="1"/>
      <c r="O1520" s="1"/>
      <c r="P1520" s="1"/>
      <c r="Q1520" s="1"/>
      <c r="R1520" s="1"/>
      <c r="S1520" s="1"/>
    </row>
    <row r="1521" ht="10.5" customHeight="1">
      <c r="A1521" s="1"/>
      <c r="B1521" s="85"/>
      <c r="C1521" s="169"/>
      <c r="D1521" s="169"/>
      <c r="E1521" s="289"/>
      <c r="F1521" s="289"/>
      <c r="G1521" s="289"/>
      <c r="H1521" s="683"/>
      <c r="I1521" s="87"/>
      <c r="J1521" s="238"/>
      <c r="K1521" s="1"/>
      <c r="L1521" s="1"/>
      <c r="M1521" s="1"/>
      <c r="N1521" s="1"/>
      <c r="O1521" s="1"/>
      <c r="P1521" s="1"/>
      <c r="Q1521" s="1"/>
      <c r="R1521" s="1"/>
      <c r="S1521" s="1"/>
    </row>
    <row r="1522" ht="10.5" customHeight="1">
      <c r="A1522" s="1"/>
      <c r="B1522" s="48" t="s">
        <v>131</v>
      </c>
      <c r="C1522" s="169">
        <v>55.0</v>
      </c>
      <c r="D1522" s="169">
        <v>74.0</v>
      </c>
      <c r="E1522" s="289">
        <v>5800.0</v>
      </c>
      <c r="F1522" s="289">
        <v>4200.0</v>
      </c>
      <c r="G1522" s="289">
        <v>4400.0</v>
      </c>
      <c r="H1522" s="683">
        <v>3200.0</v>
      </c>
      <c r="I1522" s="87"/>
      <c r="J1522" s="238">
        <v>2006.0</v>
      </c>
      <c r="K1522" s="1"/>
      <c r="L1522" s="1"/>
      <c r="M1522" s="1"/>
      <c r="N1522" s="1"/>
      <c r="O1522" s="1"/>
      <c r="P1522" s="1"/>
      <c r="Q1522" s="1"/>
      <c r="R1522" s="1"/>
      <c r="S1522" s="1"/>
    </row>
    <row r="1523" ht="10.5" customHeight="1">
      <c r="A1523" s="1"/>
      <c r="B1523" s="48" t="s">
        <v>133</v>
      </c>
      <c r="C1523" s="169">
        <v>51.0</v>
      </c>
      <c r="D1523" s="169">
        <v>44.0</v>
      </c>
      <c r="E1523" s="289">
        <v>9500.0</v>
      </c>
      <c r="F1523" s="289">
        <v>5200.0</v>
      </c>
      <c r="G1523" s="289">
        <v>6500.0</v>
      </c>
      <c r="H1523" s="484">
        <v>5000.0</v>
      </c>
      <c r="I1523" s="87"/>
      <c r="J1523" s="238">
        <v>2007.0</v>
      </c>
      <c r="K1523" s="1"/>
      <c r="L1523" s="1"/>
      <c r="M1523" s="1"/>
      <c r="N1523" s="1"/>
      <c r="O1523" s="1"/>
      <c r="P1523" s="1"/>
      <c r="Q1523" s="1"/>
      <c r="R1523" s="1"/>
      <c r="S1523" s="1"/>
    </row>
    <row r="1524" ht="10.5" customHeight="1">
      <c r="A1524" s="1"/>
      <c r="B1524" s="48" t="s">
        <v>134</v>
      </c>
      <c r="C1524" s="169">
        <v>44.0</v>
      </c>
      <c r="D1524" s="169">
        <v>65.0</v>
      </c>
      <c r="E1524" s="276">
        <v>9000.0</v>
      </c>
      <c r="F1524" s="289">
        <v>6120.0</v>
      </c>
      <c r="G1524" s="289">
        <v>7500.0</v>
      </c>
      <c r="H1524" s="683">
        <v>6500.0</v>
      </c>
      <c r="I1524" s="87"/>
      <c r="J1524" s="238">
        <v>2008.0</v>
      </c>
      <c r="K1524" s="1"/>
      <c r="L1524" s="1"/>
      <c r="M1524" s="1"/>
      <c r="N1524" s="1"/>
      <c r="O1524" s="1"/>
      <c r="P1524" s="1"/>
      <c r="Q1524" s="1"/>
      <c r="R1524" s="1"/>
      <c r="S1524" s="1"/>
    </row>
    <row r="1525" ht="10.5" customHeight="1">
      <c r="A1525" s="1"/>
      <c r="B1525" s="293">
        <v>39692.0</v>
      </c>
      <c r="C1525" s="169">
        <v>44.0</v>
      </c>
      <c r="D1525" s="169">
        <v>74.0</v>
      </c>
      <c r="E1525" s="289">
        <v>7400.0</v>
      </c>
      <c r="F1525" s="289">
        <v>8500.0</v>
      </c>
      <c r="G1525" s="289">
        <v>6000.0</v>
      </c>
      <c r="H1525" s="683">
        <v>4500.0</v>
      </c>
      <c r="I1525" s="87"/>
      <c r="J1525" s="238">
        <v>2009.0</v>
      </c>
      <c r="K1525" s="1"/>
      <c r="L1525" s="1"/>
      <c r="M1525" s="1"/>
      <c r="N1525" s="1"/>
      <c r="O1525" s="1"/>
      <c r="P1525" s="1"/>
      <c r="Q1525" s="1"/>
      <c r="R1525" s="1"/>
      <c r="S1525" s="1"/>
    </row>
    <row r="1526" ht="10.5" customHeight="1">
      <c r="A1526" s="1"/>
      <c r="B1526" s="293">
        <v>40087.0</v>
      </c>
      <c r="C1526" s="169">
        <v>44.0</v>
      </c>
      <c r="D1526" s="169">
        <v>57.0</v>
      </c>
      <c r="E1526" s="289">
        <v>11918.0</v>
      </c>
      <c r="F1526" s="289">
        <v>7150.0</v>
      </c>
      <c r="G1526" s="276">
        <v>6016.0</v>
      </c>
      <c r="H1526" s="683">
        <v>4500.0</v>
      </c>
      <c r="I1526" s="87"/>
      <c r="J1526" s="238">
        <v>2010.0</v>
      </c>
      <c r="K1526" s="253"/>
      <c r="L1526" s="1"/>
      <c r="M1526" s="1"/>
      <c r="N1526" s="1"/>
      <c r="O1526" s="1"/>
      <c r="P1526" s="1"/>
      <c r="Q1526" s="1"/>
      <c r="R1526" s="1"/>
      <c r="S1526" s="1"/>
    </row>
    <row r="1527" ht="10.5" customHeight="1">
      <c r="A1527" s="1"/>
      <c r="B1527" s="293"/>
      <c r="C1527" s="169"/>
      <c r="D1527" s="169"/>
      <c r="E1527" s="289"/>
      <c r="F1527" s="289"/>
      <c r="G1527" s="289"/>
      <c r="H1527" s="683"/>
      <c r="I1527" s="87"/>
      <c r="J1527" s="238"/>
      <c r="K1527" s="1"/>
      <c r="L1527" s="1"/>
      <c r="M1527" s="1"/>
      <c r="N1527" s="1"/>
      <c r="O1527" s="1"/>
      <c r="P1527" s="1"/>
      <c r="Q1527" s="1"/>
      <c r="R1527" s="1"/>
      <c r="S1527" s="1"/>
    </row>
    <row r="1528" ht="10.5" customHeight="1">
      <c r="A1528" s="1"/>
      <c r="B1528" s="293">
        <v>40483.0</v>
      </c>
      <c r="C1528" s="169">
        <v>42.0</v>
      </c>
      <c r="D1528" s="169">
        <v>46.0</v>
      </c>
      <c r="E1528" s="289">
        <v>11335.0</v>
      </c>
      <c r="F1528" s="289">
        <v>6537.0</v>
      </c>
      <c r="G1528" s="289">
        <v>6688.0</v>
      </c>
      <c r="H1528" s="683">
        <v>7000.0</v>
      </c>
      <c r="I1528" s="87"/>
      <c r="J1528" s="238">
        <v>2011.0</v>
      </c>
      <c r="K1528" s="1"/>
      <c r="L1528" s="1"/>
      <c r="M1528" s="1"/>
      <c r="N1528" s="1"/>
      <c r="O1528" s="1"/>
      <c r="P1528" s="1"/>
      <c r="Q1528" s="1"/>
      <c r="R1528" s="1"/>
      <c r="S1528" s="1"/>
    </row>
    <row r="1529" ht="10.5" customHeight="1">
      <c r="A1529" s="1"/>
      <c r="B1529" s="293">
        <v>40878.0</v>
      </c>
      <c r="C1529" s="169">
        <v>40.0</v>
      </c>
      <c r="D1529" s="169">
        <v>52.0</v>
      </c>
      <c r="E1529" s="289">
        <v>14000.0</v>
      </c>
      <c r="F1529" s="289">
        <v>8318.0</v>
      </c>
      <c r="G1529" s="289">
        <v>10636.0</v>
      </c>
      <c r="H1529" s="683">
        <v>11500.0</v>
      </c>
      <c r="I1529" s="87"/>
      <c r="J1529" s="238">
        <v>2012.0</v>
      </c>
      <c r="K1529" s="253"/>
      <c r="L1529" s="1"/>
      <c r="M1529" s="1"/>
      <c r="N1529" s="1"/>
      <c r="O1529" s="1"/>
      <c r="P1529" s="1"/>
      <c r="Q1529" s="1"/>
      <c r="R1529" s="1"/>
      <c r="S1529" s="1"/>
    </row>
    <row r="1530" ht="11.25" customHeight="1">
      <c r="A1530" s="1"/>
      <c r="B1530" s="293" t="s">
        <v>149</v>
      </c>
      <c r="C1530" s="169">
        <v>44.0</v>
      </c>
      <c r="D1530" s="169">
        <v>66.0</v>
      </c>
      <c r="E1530" s="289">
        <v>14500.0</v>
      </c>
      <c r="F1530" s="289">
        <v>9630.0</v>
      </c>
      <c r="G1530" s="289">
        <v>12677.0</v>
      </c>
      <c r="H1530" s="683">
        <v>12500.0</v>
      </c>
      <c r="I1530" s="87"/>
      <c r="J1530" s="238">
        <v>2013.0</v>
      </c>
      <c r="K1530" s="625"/>
      <c r="L1530" s="236"/>
      <c r="M1530" s="1"/>
      <c r="N1530" s="1"/>
      <c r="O1530" s="1"/>
      <c r="P1530" s="1"/>
      <c r="Q1530" s="1"/>
      <c r="R1530" s="1"/>
      <c r="S1530" s="1"/>
    </row>
    <row r="1531" ht="11.25" customHeight="1">
      <c r="A1531" s="1"/>
      <c r="B1531" s="293" t="s">
        <v>151</v>
      </c>
      <c r="C1531" s="169">
        <v>56.0</v>
      </c>
      <c r="D1531" s="169">
        <v>90.0</v>
      </c>
      <c r="E1531" s="289">
        <v>22300.0</v>
      </c>
      <c r="F1531" s="289">
        <v>10525.0</v>
      </c>
      <c r="G1531" s="276">
        <v>12790.0</v>
      </c>
      <c r="H1531" s="684">
        <v>12500.0</v>
      </c>
      <c r="I1531" s="87"/>
      <c r="J1531" s="238">
        <v>2014.0</v>
      </c>
      <c r="K1531" s="1"/>
      <c r="L1531" s="1"/>
      <c r="M1531" s="1"/>
      <c r="N1531" s="1"/>
      <c r="O1531" s="1"/>
      <c r="P1531" s="1"/>
      <c r="Q1531" s="1"/>
      <c r="R1531" s="1"/>
      <c r="S1531" s="1"/>
    </row>
    <row r="1532" ht="11.25" customHeight="1">
      <c r="A1532" s="1"/>
      <c r="B1532" s="293" t="s">
        <v>153</v>
      </c>
      <c r="C1532" s="169">
        <v>64.0</v>
      </c>
      <c r="D1532" s="169">
        <v>81.0</v>
      </c>
      <c r="E1532" s="289">
        <v>17500.0</v>
      </c>
      <c r="F1532" s="289">
        <v>10525.0</v>
      </c>
      <c r="G1532" s="276">
        <v>10760.44</v>
      </c>
      <c r="H1532" s="684">
        <v>16000.0</v>
      </c>
      <c r="I1532" s="87"/>
      <c r="J1532" s="238">
        <v>2015.0</v>
      </c>
      <c r="K1532" s="1"/>
      <c r="L1532" s="1"/>
      <c r="M1532" s="1"/>
      <c r="N1532" s="1"/>
      <c r="O1532" s="1"/>
      <c r="P1532" s="1"/>
      <c r="Q1532" s="1"/>
      <c r="R1532" s="1"/>
      <c r="S1532" s="1"/>
    </row>
    <row r="1533" ht="11.25" customHeight="1">
      <c r="A1533" s="1"/>
      <c r="B1533" s="293"/>
      <c r="C1533" s="169"/>
      <c r="D1533" s="169"/>
      <c r="E1533" s="289"/>
      <c r="F1533" s="289"/>
      <c r="G1533" s="276"/>
      <c r="H1533" s="684"/>
      <c r="I1533" s="87"/>
      <c r="J1533" s="238"/>
      <c r="K1533" s="1"/>
      <c r="L1533" s="1"/>
      <c r="M1533" s="1"/>
      <c r="N1533" s="1"/>
      <c r="O1533" s="1"/>
      <c r="P1533" s="1"/>
      <c r="Q1533" s="1"/>
      <c r="R1533" s="1"/>
      <c r="S1533" s="1"/>
    </row>
    <row r="1534" ht="11.25" customHeight="1">
      <c r="A1534" s="1"/>
      <c r="B1534" s="293" t="s">
        <v>155</v>
      </c>
      <c r="C1534" s="169">
        <v>34.0</v>
      </c>
      <c r="D1534" s="169">
        <v>39.0</v>
      </c>
      <c r="E1534" s="289">
        <v>19500.0</v>
      </c>
      <c r="F1534" s="289">
        <v>10946.0</v>
      </c>
      <c r="G1534" s="276">
        <v>13924.7</v>
      </c>
      <c r="H1534" s="684">
        <v>15750.0</v>
      </c>
      <c r="I1534" s="87"/>
      <c r="J1534" s="238">
        <v>2016.0</v>
      </c>
      <c r="K1534" s="1"/>
      <c r="L1534" s="1"/>
      <c r="M1534" s="1"/>
      <c r="N1534" s="1"/>
      <c r="O1534" s="1"/>
      <c r="P1534" s="1"/>
      <c r="Q1534" s="1"/>
      <c r="R1534" s="1"/>
      <c r="S1534" s="1"/>
    </row>
    <row r="1535" ht="11.25" customHeight="1">
      <c r="A1535" s="1"/>
      <c r="B1535" s="293" t="s">
        <v>160</v>
      </c>
      <c r="C1535" s="169">
        <v>45.0</v>
      </c>
      <c r="D1535" s="169">
        <v>75.0</v>
      </c>
      <c r="E1535" s="289">
        <v>15000.0</v>
      </c>
      <c r="F1535" s="289">
        <v>11934.0</v>
      </c>
      <c r="G1535" s="276">
        <v>14500.0</v>
      </c>
      <c r="H1535" s="684">
        <v>16500.0</v>
      </c>
      <c r="I1535" s="87"/>
      <c r="J1535" s="238">
        <v>2017.0</v>
      </c>
      <c r="K1535" s="1"/>
      <c r="L1535" s="1"/>
      <c r="M1535" s="1"/>
      <c r="N1535" s="1"/>
      <c r="O1535" s="1"/>
      <c r="P1535" s="1"/>
      <c r="Q1535" s="1"/>
      <c r="R1535" s="1"/>
      <c r="S1535" s="1"/>
    </row>
    <row r="1536" ht="11.25" customHeight="1">
      <c r="A1536" s="1"/>
      <c r="B1536" s="685" t="s">
        <v>1074</v>
      </c>
      <c r="C1536" s="260">
        <v>57.0</v>
      </c>
      <c r="D1536" s="260">
        <v>78.0</v>
      </c>
      <c r="E1536" s="290">
        <v>15000.0</v>
      </c>
      <c r="F1536" s="290">
        <v>11388.0</v>
      </c>
      <c r="G1536" s="686">
        <v>13000.0</v>
      </c>
      <c r="H1536" s="684">
        <v>14500.0</v>
      </c>
      <c r="I1536" s="87"/>
      <c r="J1536" s="279">
        <v>2018.0</v>
      </c>
      <c r="K1536" s="253"/>
      <c r="L1536" s="1"/>
      <c r="M1536" s="1"/>
      <c r="N1536" s="1"/>
      <c r="O1536" s="1"/>
      <c r="P1536" s="1"/>
      <c r="Q1536" s="1"/>
      <c r="R1536" s="1"/>
      <c r="S1536" s="1"/>
    </row>
    <row r="1537" ht="11.25" customHeight="1">
      <c r="A1537" s="1"/>
      <c r="B1537" s="31" t="s">
        <v>31</v>
      </c>
      <c r="C1537" s="128" t="s">
        <v>1075</v>
      </c>
      <c r="D1537" s="193"/>
      <c r="E1537" s="193"/>
      <c r="F1537" s="193"/>
      <c r="G1537" s="193"/>
      <c r="H1537" s="193"/>
      <c r="I1537" s="193"/>
      <c r="J1537" s="273"/>
      <c r="K1537" s="687"/>
      <c r="L1537" s="687"/>
      <c r="M1537" s="1"/>
      <c r="N1537" s="1"/>
      <c r="O1537" s="1"/>
      <c r="P1537" s="1"/>
      <c r="Q1537" s="1"/>
      <c r="R1537" s="1"/>
      <c r="S1537" s="1"/>
    </row>
    <row r="1538" ht="11.25" customHeight="1">
      <c r="A1538" s="1"/>
      <c r="B1538" s="5"/>
      <c r="C1538" s="3" t="s">
        <v>352</v>
      </c>
      <c r="D1538" s="198" t="s">
        <v>353</v>
      </c>
      <c r="E1538" s="198" t="s">
        <v>354</v>
      </c>
      <c r="F1538" s="198" t="s">
        <v>249</v>
      </c>
      <c r="G1538" s="198" t="s">
        <v>609</v>
      </c>
      <c r="H1538" s="198" t="s">
        <v>263</v>
      </c>
      <c r="I1538" s="198" t="s">
        <v>357</v>
      </c>
      <c r="J1538" s="198" t="s">
        <v>256</v>
      </c>
      <c r="K1538" s="198" t="s">
        <v>358</v>
      </c>
      <c r="L1538" s="3" t="s">
        <v>2</v>
      </c>
      <c r="M1538" s="1"/>
      <c r="N1538" s="1"/>
      <c r="O1538" s="1"/>
      <c r="P1538" s="1"/>
      <c r="Q1538" s="1"/>
      <c r="R1538" s="1"/>
      <c r="S1538" s="1"/>
    </row>
    <row r="1539" ht="10.5" customHeight="1">
      <c r="A1539" s="1"/>
      <c r="B1539" s="5"/>
      <c r="C1539" s="200" t="s">
        <v>348</v>
      </c>
      <c r="D1539" s="200" t="s">
        <v>348</v>
      </c>
      <c r="E1539" s="200" t="s">
        <v>348</v>
      </c>
      <c r="F1539" s="200"/>
      <c r="G1539" s="200" t="s">
        <v>349</v>
      </c>
      <c r="H1539" s="200"/>
      <c r="I1539" s="200" t="s">
        <v>360</v>
      </c>
      <c r="J1539" s="200"/>
      <c r="K1539" s="200" t="s">
        <v>361</v>
      </c>
      <c r="L1539" s="200"/>
      <c r="M1539" s="1"/>
      <c r="N1539" s="1"/>
      <c r="O1539" s="1"/>
      <c r="P1539" s="1"/>
      <c r="Q1539" s="1"/>
      <c r="R1539" s="1"/>
      <c r="S1539" s="1"/>
    </row>
    <row r="1540" ht="10.5" customHeight="1">
      <c r="A1540" s="1"/>
      <c r="B1540" s="6"/>
      <c r="C1540" s="8" t="s">
        <v>49</v>
      </c>
      <c r="D1540" s="9"/>
      <c r="E1540" s="9"/>
      <c r="F1540" s="9"/>
      <c r="G1540" s="9"/>
      <c r="H1540" s="9"/>
      <c r="I1540" s="9"/>
      <c r="J1540" s="9"/>
      <c r="K1540" s="9"/>
      <c r="L1540" s="10"/>
      <c r="M1540" s="1"/>
      <c r="N1540" s="1"/>
      <c r="O1540" s="1"/>
      <c r="P1540" s="1"/>
      <c r="Q1540" s="1"/>
      <c r="R1540" s="1"/>
      <c r="S1540" s="1"/>
    </row>
    <row r="1541" ht="10.5" customHeight="1">
      <c r="A1541" s="1"/>
      <c r="B1541" s="688" t="s">
        <v>115</v>
      </c>
      <c r="C1541" s="365">
        <v>0.56</v>
      </c>
      <c r="D1541" s="388" t="s">
        <v>40</v>
      </c>
      <c r="E1541" s="388">
        <v>1.59</v>
      </c>
      <c r="F1541" s="388">
        <v>16.62</v>
      </c>
      <c r="G1541" s="388">
        <v>1.67</v>
      </c>
      <c r="H1541" s="388" t="s">
        <v>40</v>
      </c>
      <c r="I1541" s="388">
        <v>25.76</v>
      </c>
      <c r="J1541" s="388" t="s">
        <v>40</v>
      </c>
      <c r="K1541" s="388">
        <v>3.54</v>
      </c>
      <c r="L1541" s="389">
        <f t="shared" ref="L1541:L1545" si="65">SUM(C1541:J1541)</f>
        <v>46.2</v>
      </c>
      <c r="M1541" s="1"/>
      <c r="N1541" s="1"/>
      <c r="O1541" s="1"/>
      <c r="P1541" s="1"/>
      <c r="Q1541" s="1"/>
      <c r="R1541" s="1"/>
      <c r="S1541" s="1"/>
    </row>
    <row r="1542" ht="10.5" customHeight="1">
      <c r="A1542" s="1"/>
      <c r="B1542" s="688" t="s">
        <v>117</v>
      </c>
      <c r="C1542" s="365" t="s">
        <v>40</v>
      </c>
      <c r="D1542" s="388" t="s">
        <v>40</v>
      </c>
      <c r="E1542" s="388">
        <v>5.34</v>
      </c>
      <c r="F1542" s="388">
        <v>13.9</v>
      </c>
      <c r="G1542" s="388">
        <v>0.24</v>
      </c>
      <c r="H1542" s="388" t="s">
        <v>40</v>
      </c>
      <c r="I1542" s="388">
        <v>21.26</v>
      </c>
      <c r="J1542" s="388">
        <v>3.52</v>
      </c>
      <c r="K1542" s="388">
        <v>7.74</v>
      </c>
      <c r="L1542" s="389">
        <f t="shared" si="65"/>
        <v>44.26</v>
      </c>
      <c r="M1542" s="1"/>
      <c r="N1542" s="1"/>
      <c r="O1542" s="1"/>
      <c r="P1542" s="1"/>
      <c r="Q1542" s="1"/>
      <c r="R1542" s="1"/>
      <c r="S1542" s="1"/>
    </row>
    <row r="1543" ht="10.5" customHeight="1">
      <c r="A1543" s="1"/>
      <c r="B1543" s="688" t="s">
        <v>121</v>
      </c>
      <c r="C1543" s="365" t="s">
        <v>40</v>
      </c>
      <c r="D1543" s="388" t="s">
        <v>40</v>
      </c>
      <c r="E1543" s="388">
        <v>1.7</v>
      </c>
      <c r="F1543" s="388">
        <v>6.8</v>
      </c>
      <c r="G1543" s="388">
        <v>1.73</v>
      </c>
      <c r="H1543" s="388">
        <v>0.09</v>
      </c>
      <c r="I1543" s="388">
        <v>23.0</v>
      </c>
      <c r="J1543" s="388">
        <v>3.0</v>
      </c>
      <c r="K1543" s="388">
        <v>5.83</v>
      </c>
      <c r="L1543" s="389">
        <f t="shared" si="65"/>
        <v>36.32</v>
      </c>
      <c r="M1543" s="1"/>
      <c r="N1543" s="1"/>
      <c r="O1543" s="1"/>
      <c r="P1543" s="1"/>
      <c r="Q1543" s="1"/>
      <c r="R1543" s="1"/>
      <c r="S1543" s="1"/>
    </row>
    <row r="1544" ht="10.5" customHeight="1">
      <c r="A1544" s="1"/>
      <c r="B1544" s="688" t="s">
        <v>122</v>
      </c>
      <c r="C1544" s="365" t="s">
        <v>40</v>
      </c>
      <c r="D1544" s="388" t="s">
        <v>40</v>
      </c>
      <c r="E1544" s="388">
        <v>4.5</v>
      </c>
      <c r="F1544" s="388">
        <v>19.5</v>
      </c>
      <c r="G1544" s="388">
        <v>2.8</v>
      </c>
      <c r="H1544" s="388">
        <v>1.3</v>
      </c>
      <c r="I1544" s="388">
        <v>37.0</v>
      </c>
      <c r="J1544" s="388">
        <v>3.5</v>
      </c>
      <c r="K1544" s="388">
        <v>7.4</v>
      </c>
      <c r="L1544" s="389">
        <f t="shared" si="65"/>
        <v>68.6</v>
      </c>
      <c r="M1544" s="1"/>
      <c r="N1544" s="1"/>
      <c r="O1544" s="1"/>
      <c r="P1544" s="1"/>
      <c r="Q1544" s="1"/>
      <c r="R1544" s="1"/>
      <c r="S1544" s="1"/>
    </row>
    <row r="1545" ht="10.5" customHeight="1">
      <c r="A1545" s="1"/>
      <c r="B1545" s="688" t="s">
        <v>123</v>
      </c>
      <c r="C1545" s="365">
        <v>0.18</v>
      </c>
      <c r="D1545" s="388">
        <v>0.55</v>
      </c>
      <c r="E1545" s="388">
        <v>3.0</v>
      </c>
      <c r="F1545" s="388">
        <v>19.0</v>
      </c>
      <c r="G1545" s="388">
        <v>3.72</v>
      </c>
      <c r="H1545" s="388">
        <v>1.32</v>
      </c>
      <c r="I1545" s="388">
        <v>34.2</v>
      </c>
      <c r="J1545" s="388">
        <v>2.88</v>
      </c>
      <c r="K1545" s="388">
        <v>7.15</v>
      </c>
      <c r="L1545" s="389">
        <f t="shared" si="65"/>
        <v>64.85</v>
      </c>
      <c r="M1545" s="1"/>
      <c r="N1545" s="1"/>
      <c r="O1545" s="1"/>
      <c r="P1545" s="1"/>
      <c r="Q1545" s="1"/>
      <c r="R1545" s="1"/>
      <c r="S1545" s="1"/>
    </row>
    <row r="1546" ht="10.5" customHeight="1">
      <c r="A1546" s="1"/>
      <c r="B1546" s="688"/>
      <c r="C1546" s="365"/>
      <c r="D1546" s="388"/>
      <c r="E1546" s="388"/>
      <c r="F1546" s="388"/>
      <c r="G1546" s="388"/>
      <c r="H1546" s="388"/>
      <c r="I1546" s="388"/>
      <c r="J1546" s="388"/>
      <c r="K1546" s="389"/>
      <c r="L1546" s="365"/>
      <c r="M1546" s="1"/>
      <c r="N1546" s="1"/>
      <c r="O1546" s="1"/>
      <c r="P1546" s="1"/>
      <c r="Q1546" s="1"/>
      <c r="R1546" s="1"/>
      <c r="S1546" s="1"/>
    </row>
    <row r="1547" ht="10.5" customHeight="1">
      <c r="A1547" s="1"/>
      <c r="B1547" s="688" t="s">
        <v>125</v>
      </c>
      <c r="C1547" s="389">
        <v>0.16</v>
      </c>
      <c r="D1547" s="389">
        <v>0.77</v>
      </c>
      <c r="E1547" s="389">
        <v>2.76</v>
      </c>
      <c r="F1547" s="389">
        <v>25.8</v>
      </c>
      <c r="G1547" s="389">
        <v>4.16</v>
      </c>
      <c r="H1547" s="389">
        <v>1.49</v>
      </c>
      <c r="I1547" s="389">
        <v>45.1</v>
      </c>
      <c r="J1547" s="389">
        <v>4.55</v>
      </c>
      <c r="K1547" s="389">
        <v>6.84</v>
      </c>
      <c r="L1547" s="389">
        <f t="shared" ref="L1547:L1551" si="66">SUM(C1547:J1547)</f>
        <v>84.79</v>
      </c>
      <c r="M1547" s="1"/>
      <c r="N1547" s="1"/>
      <c r="O1547" s="1"/>
      <c r="P1547" s="1"/>
      <c r="Q1547" s="1"/>
      <c r="R1547" s="1"/>
      <c r="S1547" s="1"/>
    </row>
    <row r="1548" ht="10.5" customHeight="1">
      <c r="A1548" s="1"/>
      <c r="B1548" s="688" t="s">
        <v>127</v>
      </c>
      <c r="C1548" s="365">
        <v>0.63</v>
      </c>
      <c r="D1548" s="388">
        <v>0.53</v>
      </c>
      <c r="E1548" s="388">
        <v>0.5</v>
      </c>
      <c r="F1548" s="388">
        <v>13.75</v>
      </c>
      <c r="G1548" s="388">
        <v>2.7</v>
      </c>
      <c r="H1548" s="388">
        <v>0.72</v>
      </c>
      <c r="I1548" s="388">
        <v>32.5</v>
      </c>
      <c r="J1548" s="388">
        <v>4.2</v>
      </c>
      <c r="K1548" s="388">
        <v>3.5</v>
      </c>
      <c r="L1548" s="389">
        <f t="shared" si="66"/>
        <v>55.53</v>
      </c>
      <c r="M1548" s="1"/>
      <c r="N1548" s="1"/>
      <c r="O1548" s="1"/>
      <c r="P1548" s="1"/>
      <c r="Q1548" s="1"/>
      <c r="R1548" s="1"/>
      <c r="S1548" s="1"/>
    </row>
    <row r="1549" ht="10.5" customHeight="1">
      <c r="A1549" s="1"/>
      <c r="B1549" s="690" t="s">
        <v>128</v>
      </c>
      <c r="C1549" s="365">
        <v>0.15</v>
      </c>
      <c r="D1549" s="388">
        <v>0.15</v>
      </c>
      <c r="E1549" s="388">
        <v>0.58</v>
      </c>
      <c r="F1549" s="388">
        <v>15.7</v>
      </c>
      <c r="G1549" s="388">
        <v>1.52</v>
      </c>
      <c r="H1549" s="388">
        <v>0.95</v>
      </c>
      <c r="I1549" s="388">
        <v>32.0</v>
      </c>
      <c r="J1549" s="388">
        <v>4.55</v>
      </c>
      <c r="K1549" s="388">
        <v>4.7</v>
      </c>
      <c r="L1549" s="389">
        <f t="shared" si="66"/>
        <v>55.6</v>
      </c>
      <c r="M1549" s="1"/>
      <c r="N1549" s="1"/>
      <c r="O1549" s="1"/>
      <c r="P1549" s="1"/>
      <c r="Q1549" s="1"/>
      <c r="R1549" s="1"/>
      <c r="S1549" s="1"/>
    </row>
    <row r="1550" ht="10.5" customHeight="1">
      <c r="A1550" s="1"/>
      <c r="B1550" s="690" t="s">
        <v>129</v>
      </c>
      <c r="C1550" s="389">
        <v>0.48</v>
      </c>
      <c r="D1550" s="389">
        <v>0.3</v>
      </c>
      <c r="E1550" s="389">
        <v>1.2</v>
      </c>
      <c r="F1550" s="389">
        <v>20.15</v>
      </c>
      <c r="G1550" s="389">
        <v>1.8</v>
      </c>
      <c r="H1550" s="389">
        <v>0.72</v>
      </c>
      <c r="I1550" s="389">
        <v>43.5</v>
      </c>
      <c r="J1550" s="389">
        <v>6.0</v>
      </c>
      <c r="K1550" s="389">
        <v>5.85</v>
      </c>
      <c r="L1550" s="389">
        <f t="shared" si="66"/>
        <v>74.15</v>
      </c>
      <c r="M1550" s="1"/>
      <c r="N1550" s="1"/>
      <c r="O1550" s="1"/>
      <c r="P1550" s="1"/>
      <c r="Q1550" s="1"/>
      <c r="R1550" s="1"/>
      <c r="S1550" s="1"/>
    </row>
    <row r="1551" ht="10.5" customHeight="1">
      <c r="A1551" s="1"/>
      <c r="B1551" s="690" t="s">
        <v>130</v>
      </c>
      <c r="C1551" s="389">
        <v>0.6</v>
      </c>
      <c r="D1551" s="389">
        <v>0.3</v>
      </c>
      <c r="E1551" s="389">
        <v>0.96</v>
      </c>
      <c r="F1551" s="389">
        <v>19.6</v>
      </c>
      <c r="G1551" s="389">
        <v>1.8</v>
      </c>
      <c r="H1551" s="389">
        <v>0.56</v>
      </c>
      <c r="I1551" s="389">
        <v>33.6</v>
      </c>
      <c r="J1551" s="389">
        <v>5.25</v>
      </c>
      <c r="K1551" s="389">
        <v>7.15</v>
      </c>
      <c r="L1551" s="389">
        <f t="shared" si="66"/>
        <v>62.67</v>
      </c>
      <c r="M1551" s="1"/>
      <c r="N1551" s="1"/>
      <c r="O1551" s="1"/>
      <c r="P1551" s="1"/>
      <c r="Q1551" s="1"/>
      <c r="R1551" s="1"/>
      <c r="S1551" s="1"/>
    </row>
    <row r="1552" ht="10.5" customHeight="1">
      <c r="A1552" s="1"/>
      <c r="B1552" s="690"/>
      <c r="C1552" s="389"/>
      <c r="D1552" s="389"/>
      <c r="E1552" s="389"/>
      <c r="F1552" s="389"/>
      <c r="G1552" s="389"/>
      <c r="H1552" s="389"/>
      <c r="I1552" s="389"/>
      <c r="J1552" s="389"/>
      <c r="K1552" s="389"/>
      <c r="L1552" s="389"/>
      <c r="M1552" s="1"/>
      <c r="N1552" s="1"/>
      <c r="O1552" s="1"/>
      <c r="P1552" s="1"/>
      <c r="Q1552" s="1"/>
      <c r="R1552" s="1"/>
      <c r="S1552" s="1"/>
    </row>
    <row r="1553" ht="10.5" customHeight="1">
      <c r="A1553" s="1"/>
      <c r="B1553" s="85" t="s">
        <v>131</v>
      </c>
      <c r="C1553" s="389">
        <v>0.45</v>
      </c>
      <c r="D1553" s="389">
        <v>0.0</v>
      </c>
      <c r="E1553" s="389">
        <v>0.9</v>
      </c>
      <c r="F1553" s="389">
        <v>19.8</v>
      </c>
      <c r="G1553" s="389">
        <v>0.9</v>
      </c>
      <c r="H1553" s="389">
        <v>0.6</v>
      </c>
      <c r="I1553" s="389">
        <v>27.5</v>
      </c>
      <c r="J1553" s="389">
        <v>6.3</v>
      </c>
      <c r="K1553" s="389">
        <v>10.8</v>
      </c>
      <c r="L1553" s="389">
        <f t="shared" ref="L1553:L1557" si="67">SUM(C1553:J1553)</f>
        <v>56.45</v>
      </c>
      <c r="M1553" s="1"/>
      <c r="N1553" s="1"/>
      <c r="O1553" s="1"/>
      <c r="P1553" s="1"/>
      <c r="Q1553" s="1"/>
      <c r="R1553" s="1"/>
      <c r="S1553" s="1"/>
    </row>
    <row r="1554" ht="10.5" customHeight="1">
      <c r="A1554" s="1"/>
      <c r="B1554" s="85" t="s">
        <v>133</v>
      </c>
      <c r="C1554" s="389">
        <v>0.34</v>
      </c>
      <c r="D1554" s="389">
        <v>0.0</v>
      </c>
      <c r="E1554" s="389">
        <v>0.22</v>
      </c>
      <c r="F1554" s="389">
        <v>12.38</v>
      </c>
      <c r="G1554" s="389">
        <v>3.0</v>
      </c>
      <c r="H1554" s="389">
        <v>4.9</v>
      </c>
      <c r="I1554" s="389">
        <v>13.3</v>
      </c>
      <c r="J1554" s="389">
        <v>3.4</v>
      </c>
      <c r="K1554" s="389">
        <v>2.0</v>
      </c>
      <c r="L1554" s="389">
        <f t="shared" si="67"/>
        <v>37.54</v>
      </c>
      <c r="M1554" s="1"/>
      <c r="N1554" s="1"/>
      <c r="O1554" s="1"/>
      <c r="P1554" s="1"/>
      <c r="Q1554" s="1"/>
      <c r="R1554" s="1"/>
      <c r="S1554" s="1"/>
    </row>
    <row r="1555" ht="10.5" customHeight="1">
      <c r="A1555" s="1"/>
      <c r="B1555" s="85" t="s">
        <v>134</v>
      </c>
      <c r="C1555" s="389">
        <v>0.25</v>
      </c>
      <c r="D1555" s="389">
        <v>0.0</v>
      </c>
      <c r="E1555" s="389">
        <v>0.6</v>
      </c>
      <c r="F1555" s="389">
        <v>21.45</v>
      </c>
      <c r="G1555" s="389">
        <v>5.95</v>
      </c>
      <c r="H1555" s="389">
        <v>6.8</v>
      </c>
      <c r="I1555" s="389">
        <v>15.0</v>
      </c>
      <c r="J1555" s="389">
        <v>5.08</v>
      </c>
      <c r="K1555" s="389">
        <v>3.85</v>
      </c>
      <c r="L1555" s="389">
        <f t="shared" si="67"/>
        <v>55.13</v>
      </c>
      <c r="M1555" s="1"/>
      <c r="N1555" s="1"/>
      <c r="O1555" s="1"/>
      <c r="P1555" s="1"/>
      <c r="Q1555" s="1"/>
      <c r="R1555" s="1"/>
      <c r="S1555" s="1"/>
    </row>
    <row r="1556" ht="10.5" customHeight="1">
      <c r="A1556" s="1"/>
      <c r="B1556" s="85" t="s">
        <v>1081</v>
      </c>
      <c r="C1556" s="389">
        <v>0.28</v>
      </c>
      <c r="D1556" s="389">
        <v>0.3</v>
      </c>
      <c r="E1556" s="389">
        <v>0.25</v>
      </c>
      <c r="F1556" s="389">
        <v>28.8</v>
      </c>
      <c r="G1556" s="389">
        <v>4.8</v>
      </c>
      <c r="H1556" s="389">
        <v>6.75</v>
      </c>
      <c r="I1556" s="389">
        <v>15.75</v>
      </c>
      <c r="J1556" s="389">
        <v>5.1</v>
      </c>
      <c r="K1556" s="389">
        <v>5.0</v>
      </c>
      <c r="L1556" s="389">
        <f t="shared" si="67"/>
        <v>62.03</v>
      </c>
      <c r="M1556" s="1"/>
      <c r="N1556" s="1"/>
      <c r="O1556" s="1"/>
      <c r="P1556" s="1"/>
      <c r="Q1556" s="1"/>
      <c r="R1556" s="1"/>
      <c r="S1556" s="1"/>
    </row>
    <row r="1557" ht="10.5" customHeight="1">
      <c r="A1557" s="1"/>
      <c r="B1557" s="85" t="s">
        <v>138</v>
      </c>
      <c r="C1557" s="389">
        <v>0.3</v>
      </c>
      <c r="D1557" s="389">
        <v>0.48</v>
      </c>
      <c r="E1557" s="389">
        <v>1.2</v>
      </c>
      <c r="F1557" s="389">
        <v>14.4</v>
      </c>
      <c r="G1557" s="389">
        <v>4.5</v>
      </c>
      <c r="H1557" s="389">
        <v>9.35</v>
      </c>
      <c r="I1557" s="389">
        <v>12.08</v>
      </c>
      <c r="J1557" s="389">
        <v>4.55</v>
      </c>
      <c r="K1557" s="389">
        <v>5.4</v>
      </c>
      <c r="L1557" s="389">
        <f t="shared" si="67"/>
        <v>46.86</v>
      </c>
      <c r="M1557" s="1"/>
      <c r="N1557" s="1"/>
      <c r="O1557" s="1"/>
      <c r="P1557" s="1"/>
      <c r="Q1557" s="1"/>
      <c r="R1557" s="1"/>
      <c r="S1557" s="1"/>
    </row>
    <row r="1558" ht="10.5" customHeight="1">
      <c r="A1558" s="1"/>
      <c r="B1558" s="85"/>
      <c r="C1558" s="389"/>
      <c r="D1558" s="389"/>
      <c r="E1558" s="389"/>
      <c r="F1558" s="389"/>
      <c r="G1558" s="389"/>
      <c r="H1558" s="389"/>
      <c r="I1558" s="389"/>
      <c r="J1558" s="389"/>
      <c r="K1558" s="389"/>
      <c r="L1558" s="389"/>
      <c r="M1558" s="1"/>
      <c r="N1558" s="1"/>
      <c r="O1558" s="1"/>
      <c r="P1558" s="1"/>
      <c r="Q1558" s="1"/>
      <c r="R1558" s="1"/>
      <c r="S1558" s="1"/>
    </row>
    <row r="1559" ht="10.5" customHeight="1">
      <c r="A1559" s="1"/>
      <c r="B1559" s="85" t="s">
        <v>139</v>
      </c>
      <c r="C1559" s="389">
        <v>0.32</v>
      </c>
      <c r="D1559" s="389">
        <v>0.1</v>
      </c>
      <c r="E1559" s="389">
        <v>1.0</v>
      </c>
      <c r="F1559" s="389">
        <v>10.5</v>
      </c>
      <c r="G1559" s="389">
        <v>4.8</v>
      </c>
      <c r="H1559" s="389">
        <v>9.36</v>
      </c>
      <c r="I1559" s="389">
        <v>8.5</v>
      </c>
      <c r="J1559" s="389">
        <v>1.9</v>
      </c>
      <c r="K1559" s="389">
        <v>5.5</v>
      </c>
      <c r="L1559" s="389">
        <f t="shared" ref="L1559:L1563" si="68">SUM(C1559:J1559)</f>
        <v>36.48</v>
      </c>
      <c r="M1559" s="1"/>
      <c r="N1559" s="1"/>
      <c r="O1559" s="1"/>
      <c r="P1559" s="1"/>
      <c r="Q1559" s="1"/>
      <c r="R1559" s="1"/>
      <c r="S1559" s="1"/>
    </row>
    <row r="1560" ht="10.5" customHeight="1">
      <c r="A1560" s="1"/>
      <c r="B1560" s="85" t="s">
        <v>143</v>
      </c>
      <c r="C1560" s="389">
        <v>1.0</v>
      </c>
      <c r="D1560" s="389">
        <v>0.24</v>
      </c>
      <c r="E1560" s="389">
        <v>1.5</v>
      </c>
      <c r="F1560" s="389">
        <v>17.6</v>
      </c>
      <c r="G1560" s="389">
        <v>5.2</v>
      </c>
      <c r="H1560" s="389">
        <v>6.25</v>
      </c>
      <c r="I1560" s="389">
        <v>8.5</v>
      </c>
      <c r="J1560" s="389">
        <v>2.4</v>
      </c>
      <c r="K1560" s="389">
        <v>5.0</v>
      </c>
      <c r="L1560" s="389">
        <f t="shared" si="68"/>
        <v>42.69</v>
      </c>
      <c r="M1560" s="1"/>
      <c r="N1560" s="1"/>
      <c r="O1560" s="1"/>
      <c r="P1560" s="1"/>
      <c r="Q1560" s="1"/>
      <c r="R1560" s="1"/>
      <c r="S1560" s="1"/>
    </row>
    <row r="1561" ht="10.5" customHeight="1">
      <c r="A1561" s="1"/>
      <c r="B1561" s="85" t="s">
        <v>149</v>
      </c>
      <c r="C1561" s="389">
        <v>0.4</v>
      </c>
      <c r="D1561" s="389">
        <v>0.2</v>
      </c>
      <c r="E1561" s="389">
        <v>1.7</v>
      </c>
      <c r="F1561" s="389">
        <v>19.2</v>
      </c>
      <c r="G1561" s="389">
        <v>7.8</v>
      </c>
      <c r="H1561" s="389">
        <v>10.8</v>
      </c>
      <c r="I1561" s="389">
        <v>11.9</v>
      </c>
      <c r="J1561" s="389">
        <v>3.4</v>
      </c>
      <c r="K1561" s="389">
        <v>4.8</v>
      </c>
      <c r="L1561" s="389">
        <f t="shared" si="68"/>
        <v>55.4</v>
      </c>
      <c r="M1561" s="1"/>
      <c r="N1561" s="1"/>
      <c r="O1561" s="1"/>
      <c r="P1561" s="1"/>
      <c r="Q1561" s="1"/>
      <c r="R1561" s="1"/>
      <c r="S1561" s="1"/>
    </row>
    <row r="1562" ht="10.5" customHeight="1">
      <c r="A1562" s="1"/>
      <c r="B1562" s="85" t="s">
        <v>151</v>
      </c>
      <c r="C1562" s="389">
        <v>0.4</v>
      </c>
      <c r="D1562" s="389">
        <v>1.2</v>
      </c>
      <c r="E1562" s="389">
        <v>2.0</v>
      </c>
      <c r="F1562" s="389">
        <v>37.7</v>
      </c>
      <c r="G1562" s="389">
        <v>6.5</v>
      </c>
      <c r="H1562" s="389">
        <v>9.6</v>
      </c>
      <c r="I1562" s="389">
        <v>12.2</v>
      </c>
      <c r="J1562" s="389">
        <v>4.2</v>
      </c>
      <c r="K1562" s="389">
        <v>8.3</v>
      </c>
      <c r="L1562" s="389">
        <f t="shared" si="68"/>
        <v>73.8</v>
      </c>
      <c r="M1562" s="1"/>
      <c r="N1562" s="1"/>
      <c r="O1562" s="1"/>
      <c r="P1562" s="1"/>
      <c r="Q1562" s="1"/>
      <c r="R1562" s="1"/>
      <c r="S1562" s="1"/>
    </row>
    <row r="1563" ht="10.5" customHeight="1">
      <c r="A1563" s="1"/>
      <c r="B1563" s="85" t="s">
        <v>153</v>
      </c>
      <c r="C1563" s="389">
        <v>0.4</v>
      </c>
      <c r="D1563" s="389">
        <v>1.0</v>
      </c>
      <c r="E1563" s="389">
        <v>2.2</v>
      </c>
      <c r="F1563" s="389">
        <v>22.4</v>
      </c>
      <c r="G1563" s="389">
        <v>7.8</v>
      </c>
      <c r="H1563" s="389">
        <v>16.8</v>
      </c>
      <c r="I1563" s="389">
        <v>11.2</v>
      </c>
      <c r="J1563" s="389">
        <v>4.8</v>
      </c>
      <c r="K1563" s="389">
        <v>6.7</v>
      </c>
      <c r="L1563" s="389">
        <f t="shared" si="68"/>
        <v>66.6</v>
      </c>
      <c r="M1563" s="1"/>
      <c r="N1563" s="1"/>
      <c r="O1563" s="1"/>
      <c r="P1563" s="1"/>
      <c r="Q1563" s="1"/>
      <c r="R1563" s="1"/>
      <c r="S1563" s="1"/>
    </row>
    <row r="1564" ht="10.5" customHeight="1">
      <c r="A1564" s="1"/>
      <c r="B1564" s="85"/>
      <c r="C1564" s="389"/>
      <c r="D1564" s="389"/>
      <c r="E1564" s="389"/>
      <c r="F1564" s="389"/>
      <c r="G1564" s="389"/>
      <c r="H1564" s="389"/>
      <c r="I1564" s="389"/>
      <c r="J1564" s="389"/>
      <c r="K1564" s="389"/>
      <c r="L1564" s="365"/>
      <c r="M1564" s="1"/>
      <c r="N1564" s="1"/>
      <c r="O1564" s="1"/>
      <c r="P1564" s="1"/>
      <c r="Q1564" s="1"/>
      <c r="R1564" s="1"/>
      <c r="S1564" s="1"/>
    </row>
    <row r="1565" ht="10.5" customHeight="1">
      <c r="A1565" s="1"/>
      <c r="B1565" s="85"/>
      <c r="C1565" s="389"/>
      <c r="D1565" s="389"/>
      <c r="E1565" s="389"/>
      <c r="F1565" s="389"/>
      <c r="G1565" s="389"/>
      <c r="H1565" s="389"/>
      <c r="I1565" s="389"/>
      <c r="J1565" s="389"/>
      <c r="K1565" s="627"/>
      <c r="L1565" s="180"/>
      <c r="M1565" s="1"/>
      <c r="N1565" s="1"/>
      <c r="O1565" s="1"/>
      <c r="P1565" s="1"/>
      <c r="Q1565" s="1"/>
      <c r="R1565" s="1"/>
      <c r="S1565" s="1"/>
    </row>
    <row r="1566" ht="10.5" customHeight="1">
      <c r="A1566" s="1"/>
      <c r="B1566" s="85" t="s">
        <v>155</v>
      </c>
      <c r="C1566" s="389">
        <v>0.2</v>
      </c>
      <c r="D1566" s="389">
        <v>0.4</v>
      </c>
      <c r="E1566" s="389">
        <v>0.6</v>
      </c>
      <c r="F1566" s="389">
        <v>17.0</v>
      </c>
      <c r="G1566" s="389">
        <v>2.6</v>
      </c>
      <c r="H1566" s="389">
        <v>3.7</v>
      </c>
      <c r="I1566" s="389">
        <v>6.0</v>
      </c>
      <c r="J1566" s="389">
        <v>2.5</v>
      </c>
      <c r="K1566" s="389">
        <v>2.4</v>
      </c>
      <c r="L1566" s="389">
        <v>35.4</v>
      </c>
      <c r="M1566" s="1"/>
      <c r="N1566" s="1"/>
      <c r="O1566" s="1"/>
      <c r="P1566" s="1"/>
      <c r="Q1566" s="1"/>
      <c r="R1566" s="1"/>
      <c r="S1566" s="1"/>
    </row>
    <row r="1567" ht="10.5" customHeight="1">
      <c r="A1567" s="1"/>
      <c r="B1567" s="85" t="s">
        <v>160</v>
      </c>
      <c r="C1567" s="389">
        <v>0.2</v>
      </c>
      <c r="D1567" s="389">
        <v>0.4</v>
      </c>
      <c r="E1567" s="389">
        <v>1.3</v>
      </c>
      <c r="F1567" s="389">
        <v>32.0</v>
      </c>
      <c r="G1567" s="389">
        <v>5.4</v>
      </c>
      <c r="H1567" s="389">
        <v>13.0</v>
      </c>
      <c r="I1567" s="389">
        <v>8.5</v>
      </c>
      <c r="J1567" s="389">
        <v>2.2</v>
      </c>
      <c r="K1567" s="389">
        <v>5.5</v>
      </c>
      <c r="L1567" s="365">
        <v>68.5</v>
      </c>
      <c r="M1567" s="1"/>
      <c r="N1567" s="1"/>
      <c r="O1567" s="1"/>
      <c r="P1567" s="1"/>
      <c r="Q1567" s="1"/>
      <c r="R1567" s="1"/>
      <c r="S1567" s="1"/>
    </row>
    <row r="1568" ht="10.5" customHeight="1">
      <c r="A1568" s="1"/>
      <c r="B1568" s="96" t="s">
        <v>1088</v>
      </c>
      <c r="C1568" s="394">
        <v>0.0</v>
      </c>
      <c r="D1568" s="394">
        <v>0.1</v>
      </c>
      <c r="E1568" s="394">
        <v>1.1</v>
      </c>
      <c r="F1568" s="394">
        <v>36.0</v>
      </c>
      <c r="G1568" s="394">
        <v>3.0</v>
      </c>
      <c r="H1568" s="394">
        <v>12.0</v>
      </c>
      <c r="I1568" s="394">
        <v>7.2</v>
      </c>
      <c r="J1568" s="394">
        <v>1.8</v>
      </c>
      <c r="K1568" s="394">
        <v>9.6</v>
      </c>
      <c r="L1568" s="394">
        <v>70.8</v>
      </c>
      <c r="M1568" s="1"/>
      <c r="N1568" s="1"/>
      <c r="O1568" s="1"/>
      <c r="P1568" s="1"/>
      <c r="Q1568" s="1"/>
      <c r="R1568" s="1"/>
      <c r="S1568" s="1"/>
    </row>
    <row r="1569" ht="6.0" customHeight="1">
      <c r="A1569" s="1"/>
      <c r="B1569" s="291"/>
      <c r="C1569" s="391"/>
      <c r="D1569" s="391"/>
      <c r="E1569" s="391"/>
      <c r="F1569" s="391"/>
      <c r="G1569" s="391"/>
      <c r="H1569" s="391"/>
      <c r="I1569" s="391"/>
      <c r="J1569" s="391"/>
      <c r="K1569" s="1"/>
      <c r="L1569" s="1"/>
      <c r="M1569" s="1"/>
      <c r="N1569" s="1"/>
      <c r="O1569" s="1"/>
      <c r="P1569" s="1"/>
      <c r="Q1569" s="1"/>
      <c r="R1569" s="1"/>
      <c r="S1569" s="1"/>
    </row>
    <row r="1570" ht="10.5" customHeight="1">
      <c r="A1570" s="1"/>
      <c r="B1570" s="185" t="s">
        <v>1091</v>
      </c>
      <c r="C1570" s="185"/>
      <c r="D1570" s="185"/>
      <c r="E1570" s="185"/>
      <c r="F1570" s="185"/>
      <c r="G1570" s="185"/>
      <c r="H1570" s="185"/>
      <c r="I1570" s="1"/>
      <c r="J1570" s="1"/>
      <c r="K1570" s="1"/>
      <c r="L1570" s="1"/>
      <c r="M1570" s="1"/>
      <c r="N1570" s="1"/>
      <c r="O1570" s="1"/>
      <c r="P1570" s="1"/>
      <c r="Q1570" s="1"/>
      <c r="R1570" s="1"/>
      <c r="S1570" s="1"/>
    </row>
    <row r="1571" ht="11.25" customHeight="1">
      <c r="A1571" s="1"/>
      <c r="B1571" s="185" t="s">
        <v>1092</v>
      </c>
      <c r="C1571" s="185"/>
      <c r="D1571" s="185"/>
      <c r="E1571" s="185"/>
      <c r="F1571" s="185"/>
      <c r="G1571" s="185"/>
      <c r="H1571" s="185"/>
      <c r="I1571" s="1"/>
      <c r="J1571" s="1"/>
      <c r="K1571" s="1"/>
      <c r="L1571" s="1"/>
      <c r="M1571" s="1"/>
      <c r="N1571" s="1"/>
      <c r="O1571" s="1"/>
      <c r="P1571" s="1"/>
      <c r="Q1571" s="1"/>
      <c r="R1571" s="1"/>
      <c r="S1571" s="1"/>
    </row>
    <row r="1572" ht="10.5" customHeight="1">
      <c r="A1572" s="1"/>
      <c r="B1572" s="185" t="s">
        <v>1093</v>
      </c>
      <c r="I1572" s="1"/>
      <c r="J1572" s="1"/>
      <c r="K1572" s="1"/>
      <c r="L1572" s="1"/>
      <c r="M1572" s="1"/>
      <c r="N1572" s="1"/>
      <c r="O1572" s="1"/>
      <c r="P1572" s="1"/>
      <c r="Q1572" s="1"/>
      <c r="R1572" s="1"/>
      <c r="S1572" s="1"/>
    </row>
    <row r="1573" ht="10.5" customHeight="1">
      <c r="A1573" s="1"/>
      <c r="B1573" s="185" t="s">
        <v>1095</v>
      </c>
      <c r="C1573" s="185"/>
      <c r="D1573" s="185"/>
      <c r="E1573" s="185"/>
      <c r="F1573" s="185"/>
      <c r="G1573" s="185"/>
      <c r="H1573" s="185"/>
      <c r="I1573" s="1"/>
      <c r="J1573" s="1"/>
      <c r="K1573" s="1"/>
      <c r="L1573" s="1"/>
      <c r="M1573" s="1"/>
      <c r="N1573" s="1"/>
      <c r="O1573" s="1"/>
      <c r="P1573" s="1"/>
      <c r="Q1573" s="1"/>
      <c r="R1573" s="1"/>
      <c r="S1573" s="1"/>
    </row>
    <row r="1574" ht="10.5" customHeight="1">
      <c r="A1574" s="1"/>
      <c r="B1574" s="1" t="s">
        <v>1096</v>
      </c>
      <c r="C1574" s="1"/>
      <c r="D1574" s="1"/>
      <c r="E1574" s="15"/>
      <c r="F1574" s="15"/>
      <c r="G1574" s="15"/>
      <c r="H1574" s="1"/>
      <c r="I1574" s="1"/>
      <c r="J1574" s="1"/>
      <c r="K1574" s="1"/>
      <c r="L1574" s="1"/>
      <c r="M1574" s="1"/>
      <c r="N1574" s="1"/>
      <c r="O1574" s="1"/>
      <c r="P1574" s="1"/>
      <c r="Q1574" s="1"/>
      <c r="R1574" s="1"/>
      <c r="S1574" s="1"/>
    </row>
    <row r="1575" ht="10.5" customHeight="1">
      <c r="A1575" s="1"/>
      <c r="B1575" s="1"/>
      <c r="C1575" s="1"/>
      <c r="D1575" s="1"/>
      <c r="E1575" s="1"/>
      <c r="F1575" s="1"/>
      <c r="G1575" s="1"/>
      <c r="H1575" s="1"/>
      <c r="I1575" s="1"/>
      <c r="J1575" s="1"/>
      <c r="K1575" s="1"/>
      <c r="L1575" s="1"/>
      <c r="M1575" s="1"/>
      <c r="N1575" s="1"/>
      <c r="O1575" s="1"/>
      <c r="P1575" s="1"/>
      <c r="Q1575" s="1"/>
      <c r="R1575" s="1"/>
      <c r="S1575" s="1"/>
    </row>
    <row r="1576" ht="10.5" customHeight="1">
      <c r="A1576" s="1"/>
      <c r="B1576" s="1"/>
      <c r="C1576" s="1"/>
      <c r="D1576" s="1"/>
      <c r="E1576" s="1"/>
      <c r="F1576" s="1"/>
      <c r="G1576" s="1"/>
      <c r="H1576" s="1"/>
      <c r="I1576" s="1"/>
      <c r="J1576" s="1"/>
      <c r="K1576" s="1"/>
      <c r="L1576" s="1"/>
      <c r="M1576" s="1"/>
      <c r="N1576" s="1"/>
      <c r="O1576" s="1"/>
      <c r="P1576" s="1"/>
      <c r="Q1576" s="1"/>
      <c r="R1576" s="1"/>
      <c r="S1576" s="1"/>
    </row>
    <row r="1577" ht="10.5" customHeight="1">
      <c r="A1577" s="1"/>
      <c r="B1577" s="1"/>
      <c r="C1577" s="1"/>
      <c r="D1577" s="1"/>
      <c r="E1577" s="1"/>
      <c r="F1577" s="1"/>
      <c r="G1577" s="1"/>
      <c r="H1577" s="1"/>
      <c r="I1577" s="1"/>
      <c r="J1577" s="1"/>
      <c r="K1577" s="1"/>
      <c r="L1577" s="1"/>
      <c r="M1577" s="1"/>
      <c r="N1577" s="1"/>
      <c r="O1577" s="1"/>
      <c r="P1577" s="1"/>
      <c r="Q1577" s="1"/>
      <c r="R1577" s="1"/>
      <c r="S1577" s="1"/>
    </row>
    <row r="1578" ht="10.5" customHeight="1">
      <c r="A1578" s="1"/>
      <c r="B1578" s="1"/>
      <c r="C1578" s="1"/>
      <c r="D1578" s="1"/>
      <c r="E1578" s="1"/>
      <c r="F1578" s="1"/>
      <c r="G1578" s="110">
        <v>24.0</v>
      </c>
      <c r="H1578" s="1"/>
      <c r="I1578" s="1"/>
      <c r="J1578" s="1"/>
      <c r="K1578" s="1"/>
      <c r="L1578" s="1"/>
      <c r="M1578" s="1"/>
      <c r="N1578" s="1"/>
      <c r="O1578" s="1"/>
      <c r="P1578" s="1"/>
      <c r="Q1578" s="1"/>
      <c r="R1578" s="1"/>
      <c r="S1578" s="1"/>
    </row>
    <row r="1579" ht="10.5" customHeight="1">
      <c r="A1579" s="1"/>
      <c r="B1579" s="1"/>
      <c r="C1579" s="1"/>
      <c r="D1579" s="1"/>
      <c r="E1579" s="1"/>
      <c r="F1579" s="1"/>
      <c r="G1579" s="1"/>
      <c r="H1579" s="1"/>
      <c r="I1579" s="1"/>
      <c r="J1579" s="1"/>
      <c r="K1579" s="1"/>
      <c r="L1579" s="1"/>
      <c r="M1579" s="1"/>
      <c r="N1579" s="1"/>
      <c r="O1579" s="1"/>
      <c r="P1579" s="1"/>
      <c r="Q1579" s="1"/>
      <c r="R1579" s="1"/>
      <c r="S1579" s="1"/>
    </row>
    <row r="1580" ht="10.5" customHeight="1">
      <c r="A1580" s="1"/>
      <c r="B1580" s="1"/>
      <c r="C1580" s="1"/>
      <c r="D1580" s="1"/>
      <c r="E1580" s="1"/>
      <c r="F1580" s="1"/>
      <c r="G1580" s="1"/>
      <c r="H1580" s="1"/>
      <c r="I1580" s="1"/>
      <c r="J1580" s="1"/>
      <c r="K1580" s="1"/>
      <c r="L1580" s="1"/>
      <c r="M1580" s="1"/>
      <c r="N1580" s="1"/>
      <c r="O1580" s="1"/>
      <c r="P1580" s="1"/>
      <c r="Q1580" s="1"/>
      <c r="R1580" s="1"/>
      <c r="S1580" s="1"/>
    </row>
    <row r="1581" ht="10.5" customHeight="1">
      <c r="A1581" s="1"/>
      <c r="B1581" s="1" t="s">
        <v>1098</v>
      </c>
      <c r="C1581" s="1"/>
      <c r="D1581" s="1"/>
      <c r="E1581" s="1"/>
      <c r="F1581" s="1"/>
      <c r="G1581" s="1"/>
      <c r="H1581" s="1"/>
      <c r="I1581" s="1"/>
      <c r="J1581" s="1"/>
      <c r="K1581" s="1"/>
      <c r="L1581" s="1"/>
      <c r="M1581" s="1"/>
      <c r="N1581" s="1"/>
      <c r="O1581" s="1"/>
      <c r="P1581" s="1"/>
      <c r="Q1581" s="1"/>
      <c r="R1581" s="1"/>
      <c r="S1581" s="1"/>
    </row>
    <row r="1582" ht="22.5" customHeight="1">
      <c r="A1582" s="1"/>
      <c r="B1582" s="29" t="s">
        <v>31</v>
      </c>
      <c r="C1582" s="273" t="s">
        <v>512</v>
      </c>
      <c r="D1582" s="273" t="s">
        <v>1099</v>
      </c>
      <c r="E1582" s="273" t="s">
        <v>1100</v>
      </c>
      <c r="F1582" s="273" t="s">
        <v>1101</v>
      </c>
      <c r="G1582" s="273" t="s">
        <v>1102</v>
      </c>
      <c r="H1582" s="273" t="s">
        <v>243</v>
      </c>
      <c r="I1582" s="29" t="s">
        <v>1103</v>
      </c>
      <c r="J1582" s="1"/>
      <c r="K1582" s="1"/>
      <c r="L1582" s="1"/>
      <c r="M1582" s="1"/>
      <c r="N1582" s="1"/>
      <c r="O1582" s="1"/>
      <c r="P1582" s="1"/>
      <c r="Q1582" s="1"/>
      <c r="R1582" s="1"/>
      <c r="S1582" s="1"/>
    </row>
    <row r="1583" ht="10.5" customHeight="1">
      <c r="A1583" s="1"/>
      <c r="B1583" s="6"/>
      <c r="C1583" s="134" t="s">
        <v>50</v>
      </c>
      <c r="D1583" s="134" t="s">
        <v>54</v>
      </c>
      <c r="E1583" s="8" t="s">
        <v>520</v>
      </c>
      <c r="F1583" s="9"/>
      <c r="G1583" s="9"/>
      <c r="H1583" s="10"/>
      <c r="I1583" s="6"/>
      <c r="J1583" s="1"/>
      <c r="K1583" s="1"/>
      <c r="L1583" s="1"/>
      <c r="M1583" s="1"/>
      <c r="N1583" s="1"/>
      <c r="O1583" s="1"/>
      <c r="P1583" s="1"/>
      <c r="Q1583" s="1"/>
      <c r="R1583" s="1"/>
      <c r="S1583" s="1"/>
    </row>
    <row r="1584" ht="10.5" customHeight="1">
      <c r="A1584" s="1"/>
      <c r="B1584" s="48" t="s">
        <v>56</v>
      </c>
      <c r="C1584" s="560">
        <v>68523.0</v>
      </c>
      <c r="D1584" s="294">
        <v>11.8</v>
      </c>
      <c r="E1584" s="169">
        <v>76363.0</v>
      </c>
      <c r="F1584" s="136">
        <v>64601.0</v>
      </c>
      <c r="G1584" s="136">
        <v>4411.0</v>
      </c>
      <c r="H1584" s="136">
        <v>9895.0</v>
      </c>
      <c r="I1584" s="55">
        <v>1981.0</v>
      </c>
      <c r="J1584" s="1"/>
      <c r="K1584" s="1"/>
      <c r="L1584" s="1"/>
      <c r="M1584" s="1"/>
      <c r="N1584" s="1"/>
      <c r="O1584" s="1"/>
      <c r="P1584" s="1"/>
      <c r="Q1584" s="1"/>
      <c r="R1584" s="1"/>
      <c r="S1584" s="1"/>
    </row>
    <row r="1585" ht="10.5" customHeight="1">
      <c r="A1585" s="1"/>
      <c r="B1585" s="48" t="s">
        <v>81</v>
      </c>
      <c r="C1585" s="560">
        <v>50126.0</v>
      </c>
      <c r="D1585" s="294">
        <v>9.6</v>
      </c>
      <c r="E1585" s="169">
        <v>64647.0</v>
      </c>
      <c r="F1585" s="136">
        <v>64985.0</v>
      </c>
      <c r="G1585" s="136">
        <v>901.0</v>
      </c>
      <c r="H1585" s="136">
        <v>5118.0</v>
      </c>
      <c r="I1585" s="55">
        <v>1982.0</v>
      </c>
      <c r="J1585" s="1"/>
      <c r="K1585" s="1"/>
      <c r="L1585" s="1"/>
      <c r="M1585" s="1"/>
      <c r="N1585" s="1"/>
      <c r="O1585" s="1"/>
      <c r="P1585" s="1"/>
      <c r="Q1585" s="1"/>
      <c r="R1585" s="1"/>
      <c r="S1585" s="1"/>
    </row>
    <row r="1586" ht="10.5" customHeight="1">
      <c r="A1586" s="1"/>
      <c r="B1586" s="48" t="s">
        <v>86</v>
      </c>
      <c r="C1586" s="560">
        <v>53097.0</v>
      </c>
      <c r="D1586" s="294">
        <v>15.8</v>
      </c>
      <c r="E1586" s="169">
        <v>26879.0</v>
      </c>
      <c r="F1586" s="136">
        <v>58855.0</v>
      </c>
      <c r="G1586" s="136">
        <v>23768.0</v>
      </c>
      <c r="H1586" s="136">
        <v>3023.0</v>
      </c>
      <c r="I1586" s="55">
        <v>1983.0</v>
      </c>
      <c r="J1586" s="1"/>
      <c r="K1586" s="1"/>
      <c r="L1586" s="1"/>
      <c r="M1586" s="1"/>
      <c r="N1586" s="1"/>
      <c r="O1586" s="1"/>
      <c r="P1586" s="1"/>
      <c r="Q1586" s="1"/>
      <c r="R1586" s="1"/>
      <c r="S1586" s="1"/>
    </row>
    <row r="1587" ht="10.5" customHeight="1">
      <c r="A1587" s="1"/>
      <c r="B1587" s="48" t="s">
        <v>87</v>
      </c>
      <c r="C1587" s="560">
        <v>67816.0</v>
      </c>
      <c r="D1587" s="294">
        <v>15.1</v>
      </c>
      <c r="E1587" s="169">
        <v>47332.0</v>
      </c>
      <c r="F1587" s="136">
        <v>57845.0</v>
      </c>
      <c r="G1587" s="136">
        <v>13034.0</v>
      </c>
      <c r="H1587" s="136">
        <v>2388.0</v>
      </c>
      <c r="I1587" s="55">
        <v>1984.0</v>
      </c>
      <c r="J1587" s="1"/>
      <c r="K1587" s="1"/>
      <c r="L1587" s="1"/>
      <c r="M1587" s="1"/>
      <c r="N1587" s="1"/>
      <c r="O1587" s="1"/>
      <c r="P1587" s="1"/>
      <c r="Q1587" s="1"/>
      <c r="R1587" s="1"/>
      <c r="S1587" s="1"/>
    </row>
    <row r="1588" ht="10.5" customHeight="1">
      <c r="A1588" s="1"/>
      <c r="B1588" s="48" t="s">
        <v>90</v>
      </c>
      <c r="C1588" s="560">
        <v>73190.0</v>
      </c>
      <c r="D1588" s="294">
        <v>13.0</v>
      </c>
      <c r="E1588" s="169">
        <v>68695.0</v>
      </c>
      <c r="F1588" s="136">
        <v>60435.0</v>
      </c>
      <c r="G1588" s="136">
        <v>3442.0</v>
      </c>
      <c r="H1588" s="136">
        <v>7338.0</v>
      </c>
      <c r="I1588" s="55">
        <v>1985.0</v>
      </c>
      <c r="J1588" s="1"/>
      <c r="K1588" s="1"/>
      <c r="L1588" s="1"/>
      <c r="M1588" s="1"/>
      <c r="N1588" s="1"/>
      <c r="O1588" s="1"/>
      <c r="P1588" s="1"/>
      <c r="Q1588" s="1"/>
      <c r="R1588" s="1"/>
      <c r="S1588" s="1"/>
    </row>
    <row r="1589" ht="10.5" customHeight="1">
      <c r="A1589" s="1"/>
      <c r="B1589" s="48"/>
      <c r="C1589" s="560"/>
      <c r="D1589" s="294"/>
      <c r="E1589" s="169"/>
      <c r="F1589" s="136"/>
      <c r="G1589" s="136"/>
      <c r="H1589" s="136"/>
      <c r="I1589" s="55"/>
      <c r="J1589" s="1"/>
      <c r="K1589" s="1"/>
      <c r="L1589" s="1"/>
      <c r="M1589" s="1"/>
      <c r="N1589" s="1"/>
      <c r="O1589" s="1"/>
      <c r="P1589" s="1"/>
      <c r="Q1589" s="1"/>
      <c r="R1589" s="1"/>
      <c r="S1589" s="1"/>
    </row>
    <row r="1590" ht="10.5" customHeight="1">
      <c r="A1590" s="1"/>
      <c r="B1590" s="48" t="s">
        <v>93</v>
      </c>
      <c r="C1590" s="560">
        <v>76484.0</v>
      </c>
      <c r="D1590" s="294">
        <v>13.2</v>
      </c>
      <c r="E1590" s="169">
        <v>76521.0</v>
      </c>
      <c r="F1590" s="136">
        <v>71924.0</v>
      </c>
      <c r="G1590" s="136">
        <v>681.0</v>
      </c>
      <c r="H1590" s="136">
        <v>10581.0</v>
      </c>
      <c r="I1590" s="55">
        <v>1986.0</v>
      </c>
      <c r="J1590" s="1"/>
      <c r="K1590" s="1"/>
      <c r="L1590" s="1"/>
      <c r="M1590" s="1"/>
      <c r="N1590" s="1"/>
      <c r="O1590" s="1"/>
      <c r="P1590" s="1"/>
      <c r="Q1590" s="1"/>
      <c r="R1590" s="1"/>
      <c r="S1590" s="1"/>
    </row>
    <row r="1591" ht="10.5" customHeight="1">
      <c r="A1591" s="1"/>
      <c r="B1591" s="48" t="s">
        <v>97</v>
      </c>
      <c r="C1591" s="560">
        <v>107152.0</v>
      </c>
      <c r="D1591" s="294">
        <v>15.0</v>
      </c>
      <c r="E1591" s="169">
        <v>58259.0</v>
      </c>
      <c r="F1591" s="136">
        <v>62893.0</v>
      </c>
      <c r="G1591" s="136">
        <v>13866.0</v>
      </c>
      <c r="H1591" s="136">
        <v>13907.0</v>
      </c>
      <c r="I1591" s="55">
        <v>1987.0</v>
      </c>
      <c r="J1591" s="1"/>
      <c r="K1591" s="1"/>
      <c r="L1591" s="1"/>
      <c r="M1591" s="1"/>
      <c r="N1591" s="1"/>
      <c r="O1591" s="1"/>
      <c r="P1591" s="1"/>
      <c r="Q1591" s="1"/>
      <c r="R1591" s="1"/>
      <c r="S1591" s="1"/>
    </row>
    <row r="1592" ht="10.5" customHeight="1">
      <c r="A1592" s="1"/>
      <c r="B1592" s="48" t="s">
        <v>101</v>
      </c>
      <c r="C1592" s="560">
        <v>116610.0</v>
      </c>
      <c r="D1592" s="294">
        <v>19.1</v>
      </c>
      <c r="E1592" s="169">
        <v>72748.0</v>
      </c>
      <c r="F1592" s="136">
        <v>76244.0</v>
      </c>
      <c r="G1592" s="136">
        <v>18641.0</v>
      </c>
      <c r="H1592" s="136">
        <v>7394.0</v>
      </c>
      <c r="I1592" s="55">
        <v>1988.0</v>
      </c>
      <c r="J1592" s="1"/>
      <c r="K1592" s="1"/>
      <c r="L1592" s="1"/>
      <c r="M1592" s="1"/>
      <c r="N1592" s="1"/>
      <c r="O1592" s="1"/>
      <c r="P1592" s="1"/>
      <c r="Q1592" s="1"/>
      <c r="R1592" s="1"/>
      <c r="S1592" s="1"/>
    </row>
    <row r="1593" ht="10.5" customHeight="1">
      <c r="A1593" s="1"/>
      <c r="B1593" s="48" t="s">
        <v>103</v>
      </c>
      <c r="C1593" s="560">
        <v>142366.0</v>
      </c>
      <c r="D1593" s="294">
        <v>18.5</v>
      </c>
      <c r="E1593" s="169">
        <v>85122.0</v>
      </c>
      <c r="F1593" s="136">
        <v>72934.0</v>
      </c>
      <c r="G1593" s="136">
        <v>4259.0</v>
      </c>
      <c r="H1593" s="136">
        <v>21247.0</v>
      </c>
      <c r="I1593" s="55">
        <v>1989.0</v>
      </c>
      <c r="J1593" s="1"/>
      <c r="K1593" s="1"/>
      <c r="L1593" s="1"/>
      <c r="M1593" s="1"/>
      <c r="N1593" s="1"/>
      <c r="O1593" s="1"/>
      <c r="P1593" s="1"/>
      <c r="Q1593" s="1"/>
      <c r="R1593" s="1"/>
      <c r="S1593" s="1"/>
    </row>
    <row r="1594" ht="10.5" customHeight="1">
      <c r="A1594" s="1"/>
      <c r="B1594" s="48" t="s">
        <v>104</v>
      </c>
      <c r="C1594" s="560">
        <v>162116.0</v>
      </c>
      <c r="D1594" s="294">
        <v>18.0</v>
      </c>
      <c r="E1594" s="169">
        <v>108355.0</v>
      </c>
      <c r="F1594" s="136">
        <v>80366.0</v>
      </c>
      <c r="G1594" s="136">
        <v>4205.0</v>
      </c>
      <c r="H1594" s="136">
        <v>30139.0</v>
      </c>
      <c r="I1594" s="55">
        <v>1990.0</v>
      </c>
      <c r="J1594" s="1"/>
      <c r="K1594" s="1"/>
      <c r="L1594" s="1"/>
      <c r="M1594" s="1"/>
      <c r="N1594" s="1"/>
      <c r="O1594" s="1"/>
      <c r="P1594" s="1"/>
      <c r="Q1594" s="1"/>
      <c r="R1594" s="1"/>
      <c r="S1594" s="1"/>
    </row>
    <row r="1595" ht="10.5" customHeight="1">
      <c r="A1595" s="1"/>
      <c r="B1595" s="48"/>
      <c r="C1595" s="560"/>
      <c r="D1595" s="294"/>
      <c r="E1595" s="169"/>
      <c r="F1595" s="136"/>
      <c r="G1595" s="136"/>
      <c r="H1595" s="136"/>
      <c r="I1595" s="55"/>
      <c r="J1595" s="1"/>
      <c r="K1595" s="1"/>
      <c r="L1595" s="1"/>
      <c r="M1595" s="1"/>
      <c r="N1595" s="1"/>
      <c r="O1595" s="1"/>
      <c r="P1595" s="1"/>
      <c r="Q1595" s="1"/>
      <c r="R1595" s="1"/>
      <c r="S1595" s="1"/>
    </row>
    <row r="1596" ht="10.5" customHeight="1">
      <c r="A1596" s="1"/>
      <c r="B1596" s="48" t="s">
        <v>108</v>
      </c>
      <c r="C1596" s="560">
        <v>150986.0</v>
      </c>
      <c r="D1596" s="294">
        <v>18.2</v>
      </c>
      <c r="E1596" s="169">
        <v>100120.0</v>
      </c>
      <c r="F1596" s="136">
        <v>85421.0</v>
      </c>
      <c r="G1596" s="136">
        <v>428.0</v>
      </c>
      <c r="H1596" s="136">
        <v>13896.0</v>
      </c>
      <c r="I1596" s="55">
        <v>1991.0</v>
      </c>
      <c r="J1596" s="1"/>
      <c r="K1596" s="1"/>
      <c r="L1596" s="1"/>
      <c r="M1596" s="1"/>
      <c r="N1596" s="1"/>
      <c r="O1596" s="1"/>
      <c r="P1596" s="1"/>
      <c r="Q1596" s="1"/>
      <c r="R1596" s="1"/>
      <c r="S1596" s="1"/>
    </row>
    <row r="1597" ht="10.5" customHeight="1">
      <c r="A1597" s="1"/>
      <c r="B1597" s="48" t="s">
        <v>111</v>
      </c>
      <c r="C1597" s="560">
        <v>63367.0</v>
      </c>
      <c r="D1597" s="294">
        <v>27.3</v>
      </c>
      <c r="E1597" s="169">
        <v>27310.0</v>
      </c>
      <c r="F1597" s="136">
        <v>98509.0</v>
      </c>
      <c r="G1597" s="136">
        <v>86238.0</v>
      </c>
      <c r="H1597" s="136">
        <v>8371.0</v>
      </c>
      <c r="I1597" s="55">
        <v>1992.0</v>
      </c>
      <c r="J1597" s="1"/>
      <c r="K1597" s="1"/>
      <c r="L1597" s="1"/>
      <c r="M1597" s="1"/>
      <c r="N1597" s="1"/>
      <c r="O1597" s="1"/>
      <c r="P1597" s="1"/>
      <c r="Q1597" s="1"/>
      <c r="R1597" s="1"/>
      <c r="S1597" s="1"/>
    </row>
    <row r="1598" ht="10.5" customHeight="1">
      <c r="A1598" s="1"/>
      <c r="B1598" s="48" t="s">
        <v>112</v>
      </c>
      <c r="C1598" s="560">
        <v>131547.0</v>
      </c>
      <c r="D1598" s="294">
        <v>26.3</v>
      </c>
      <c r="E1598" s="169">
        <v>61366.0</v>
      </c>
      <c r="F1598" s="136">
        <v>105000.0</v>
      </c>
      <c r="G1598" s="136">
        <v>53727.0</v>
      </c>
      <c r="H1598" s="136">
        <v>26727.0</v>
      </c>
      <c r="I1598" s="55">
        <v>1993.0</v>
      </c>
      <c r="J1598" s="1"/>
      <c r="K1598" s="1"/>
      <c r="L1598" s="1"/>
      <c r="M1598" s="1"/>
      <c r="N1598" s="1"/>
      <c r="O1598" s="1"/>
      <c r="P1598" s="1"/>
      <c r="Q1598" s="1"/>
      <c r="R1598" s="1"/>
      <c r="S1598" s="1"/>
    </row>
    <row r="1599" ht="10.5" customHeight="1">
      <c r="A1599" s="1"/>
      <c r="B1599" s="48" t="s">
        <v>113</v>
      </c>
      <c r="C1599" s="560">
        <v>114549.0</v>
      </c>
      <c r="D1599" s="294">
        <v>27.7</v>
      </c>
      <c r="E1599" s="169">
        <v>50838.0</v>
      </c>
      <c r="F1599" s="136">
        <v>108000.0</v>
      </c>
      <c r="G1599" s="136">
        <v>58000.0</v>
      </c>
      <c r="H1599" s="136">
        <v>7000.0</v>
      </c>
      <c r="I1599" s="55">
        <v>1994.0</v>
      </c>
      <c r="J1599" s="1"/>
      <c r="K1599" s="1"/>
      <c r="L1599" s="1"/>
      <c r="M1599" s="1"/>
      <c r="N1599" s="1"/>
      <c r="O1599" s="1"/>
      <c r="P1599" s="1"/>
      <c r="Q1599" s="1"/>
      <c r="R1599" s="1"/>
      <c r="S1599" s="1"/>
    </row>
    <row r="1600" ht="10.5" customHeight="1">
      <c r="A1600" s="1"/>
      <c r="B1600" s="48" t="s">
        <v>114</v>
      </c>
      <c r="C1600" s="560">
        <v>152507.0</v>
      </c>
      <c r="D1600" s="294">
        <v>39.5</v>
      </c>
      <c r="E1600" s="169">
        <v>46000.0</v>
      </c>
      <c r="F1600" s="136">
        <v>113000.0</v>
      </c>
      <c r="G1600" s="136">
        <v>95000.0</v>
      </c>
      <c r="H1600" s="136">
        <v>9000.0</v>
      </c>
      <c r="I1600" s="55">
        <v>1995.0</v>
      </c>
      <c r="J1600" s="1"/>
      <c r="K1600" s="1"/>
      <c r="L1600" s="1"/>
      <c r="M1600" s="1"/>
      <c r="N1600" s="1"/>
      <c r="O1600" s="1"/>
      <c r="P1600" s="1"/>
      <c r="Q1600" s="1"/>
      <c r="R1600" s="1"/>
      <c r="S1600" s="1"/>
    </row>
    <row r="1601" ht="10.5" customHeight="1">
      <c r="A1601" s="1"/>
      <c r="B1601" s="48"/>
      <c r="C1601" s="560"/>
      <c r="D1601" s="294"/>
      <c r="E1601" s="169"/>
      <c r="F1601" s="136"/>
      <c r="G1601" s="136"/>
      <c r="H1601" s="136"/>
      <c r="I1601" s="55"/>
      <c r="J1601" s="1"/>
      <c r="K1601" s="1"/>
      <c r="L1601" s="1"/>
      <c r="M1601" s="1"/>
      <c r="N1601" s="1"/>
      <c r="O1601" s="1"/>
      <c r="P1601" s="1"/>
      <c r="Q1601" s="1"/>
      <c r="R1601" s="1"/>
      <c r="S1601" s="1"/>
    </row>
    <row r="1602" ht="10.5" customHeight="1">
      <c r="A1602" s="1"/>
      <c r="B1602" s="48" t="s">
        <v>115</v>
      </c>
      <c r="C1602" s="560">
        <v>150588.0</v>
      </c>
      <c r="D1602" s="294">
        <v>37.3</v>
      </c>
      <c r="E1602" s="169">
        <v>50000.0</v>
      </c>
      <c r="F1602" s="136">
        <v>101000.0</v>
      </c>
      <c r="G1602" s="136">
        <v>35000.0</v>
      </c>
      <c r="H1602" s="136">
        <v>3000.0</v>
      </c>
      <c r="I1602" s="55">
        <v>1996.0</v>
      </c>
      <c r="J1602" s="1"/>
      <c r="K1602" s="1"/>
      <c r="L1602" s="1"/>
      <c r="M1602" s="1"/>
      <c r="N1602" s="1"/>
      <c r="O1602" s="1"/>
      <c r="P1602" s="1"/>
      <c r="Q1602" s="1"/>
      <c r="R1602" s="1"/>
      <c r="S1602" s="1"/>
    </row>
    <row r="1603" ht="10.5" customHeight="1">
      <c r="A1603" s="1"/>
      <c r="B1603" s="48" t="s">
        <v>117</v>
      </c>
      <c r="C1603" s="560">
        <v>172523.0</v>
      </c>
      <c r="D1603" s="294">
        <v>39.8</v>
      </c>
      <c r="E1603" s="169">
        <v>51915.0</v>
      </c>
      <c r="F1603" s="136">
        <v>105000.0</v>
      </c>
      <c r="G1603" s="136">
        <v>55703.0</v>
      </c>
      <c r="H1603" s="136">
        <v>7352.0</v>
      </c>
      <c r="I1603" s="55">
        <v>1997.0</v>
      </c>
      <c r="J1603" s="1"/>
      <c r="K1603" s="1"/>
      <c r="L1603" s="1"/>
      <c r="M1603" s="1"/>
      <c r="N1603" s="1"/>
      <c r="O1603" s="1"/>
      <c r="P1603" s="1"/>
      <c r="Q1603" s="1"/>
      <c r="R1603" s="1"/>
      <c r="S1603" s="1"/>
    </row>
    <row r="1604" ht="10.5" customHeight="1">
      <c r="A1604" s="1"/>
      <c r="B1604" s="48" t="s">
        <v>121</v>
      </c>
      <c r="C1604" s="560">
        <v>146227.0</v>
      </c>
      <c r="D1604" s="294">
        <v>44.6</v>
      </c>
      <c r="E1604" s="169">
        <v>41215.0</v>
      </c>
      <c r="F1604" s="136">
        <v>82000.0</v>
      </c>
      <c r="G1604" s="136">
        <v>35000.0</v>
      </c>
      <c r="H1604" s="136">
        <v>1500.0</v>
      </c>
      <c r="I1604" s="55">
        <v>1998.0</v>
      </c>
      <c r="J1604" s="1"/>
      <c r="K1604" s="1"/>
      <c r="L1604" s="1"/>
      <c r="M1604" s="1"/>
      <c r="N1604" s="1"/>
      <c r="O1604" s="1"/>
      <c r="P1604" s="1"/>
      <c r="Q1604" s="1"/>
      <c r="R1604" s="1"/>
      <c r="S1604" s="1"/>
    </row>
    <row r="1605" ht="10.5" customHeight="1">
      <c r="A1605" s="1"/>
      <c r="B1605" s="48" t="s">
        <v>122</v>
      </c>
      <c r="C1605" s="560">
        <v>283554.0</v>
      </c>
      <c r="D1605" s="294">
        <v>50.3</v>
      </c>
      <c r="E1605" s="169">
        <v>76418.0</v>
      </c>
      <c r="F1605" s="136">
        <v>108500.0</v>
      </c>
      <c r="G1605" s="136">
        <v>45000.0</v>
      </c>
      <c r="H1605" s="136">
        <v>5000.0</v>
      </c>
      <c r="I1605" s="55">
        <v>1999.0</v>
      </c>
      <c r="J1605" s="1"/>
      <c r="K1605" s="1"/>
      <c r="L1605" s="1"/>
      <c r="M1605" s="1"/>
      <c r="N1605" s="1"/>
      <c r="O1605" s="1"/>
      <c r="P1605" s="1"/>
      <c r="Q1605" s="1"/>
      <c r="R1605" s="1"/>
      <c r="S1605" s="1"/>
    </row>
    <row r="1606" ht="10.5" customHeight="1">
      <c r="A1606" s="1"/>
      <c r="B1606" s="48" t="s">
        <v>123</v>
      </c>
      <c r="C1606" s="560">
        <v>265579.0</v>
      </c>
      <c r="D1606" s="294">
        <v>51.7</v>
      </c>
      <c r="E1606" s="169">
        <v>72538.0</v>
      </c>
      <c r="F1606" s="136">
        <v>114538.0</v>
      </c>
      <c r="G1606" s="136">
        <v>41665.0</v>
      </c>
      <c r="H1606" s="136">
        <v>5400.0</v>
      </c>
      <c r="I1606" s="55">
        <v>2000.0</v>
      </c>
      <c r="J1606" s="1"/>
      <c r="K1606" s="1"/>
      <c r="L1606" s="1"/>
      <c r="M1606" s="1"/>
      <c r="N1606" s="1"/>
      <c r="O1606" s="1"/>
      <c r="P1606" s="1"/>
      <c r="Q1606" s="1"/>
      <c r="R1606" s="1"/>
      <c r="S1606" s="1"/>
    </row>
    <row r="1607" ht="10.5" customHeight="1">
      <c r="A1607" s="1"/>
      <c r="B1607" s="48"/>
      <c r="C1607" s="560"/>
      <c r="D1607" s="294"/>
      <c r="E1607" s="169"/>
      <c r="F1607" s="136"/>
      <c r="G1607" s="136"/>
      <c r="H1607" s="136"/>
      <c r="I1607" s="55"/>
      <c r="J1607" s="1"/>
      <c r="K1607" s="1"/>
      <c r="L1607" s="1"/>
      <c r="M1607" s="1"/>
      <c r="N1607" s="1"/>
      <c r="O1607" s="1"/>
      <c r="P1607" s="1"/>
      <c r="Q1607" s="1"/>
      <c r="R1607" s="1"/>
      <c r="S1607" s="1"/>
    </row>
    <row r="1608" ht="10.5" customHeight="1">
      <c r="A1608" s="1"/>
      <c r="B1608" s="48" t="s">
        <v>125</v>
      </c>
      <c r="C1608" s="38">
        <v>286735.0</v>
      </c>
      <c r="D1608" s="294">
        <v>44.0</v>
      </c>
      <c r="E1608" s="169">
        <v>91630.0</v>
      </c>
      <c r="F1608" s="169">
        <v>114083.0</v>
      </c>
      <c r="G1608" s="169">
        <v>23572.0</v>
      </c>
      <c r="H1608" s="169">
        <v>6457.0</v>
      </c>
      <c r="I1608" s="55">
        <v>2001.0</v>
      </c>
      <c r="J1608" s="1"/>
      <c r="K1608" s="1"/>
      <c r="L1608" s="1"/>
      <c r="M1608" s="1"/>
      <c r="N1608" s="1"/>
      <c r="O1608" s="1"/>
      <c r="P1608" s="1"/>
      <c r="Q1608" s="1"/>
      <c r="R1608" s="1"/>
      <c r="S1608" s="1"/>
    </row>
    <row r="1609" ht="10.5" customHeight="1">
      <c r="A1609" s="1"/>
      <c r="B1609" s="168" t="s">
        <v>127</v>
      </c>
      <c r="C1609" s="560">
        <v>281064.0</v>
      </c>
      <c r="D1609" s="294">
        <v>73.9</v>
      </c>
      <c r="E1609" s="169">
        <v>55033.0</v>
      </c>
      <c r="F1609" s="136">
        <v>98087.0</v>
      </c>
      <c r="G1609" s="136">
        <v>43604.0</v>
      </c>
      <c r="H1609" s="136">
        <v>8167.0</v>
      </c>
      <c r="I1609" s="55">
        <v>2002.0</v>
      </c>
      <c r="J1609" s="1"/>
      <c r="K1609" s="1"/>
      <c r="L1609" s="1"/>
      <c r="M1609" s="1"/>
      <c r="N1609" s="1"/>
      <c r="O1609" s="1"/>
      <c r="P1609" s="1"/>
      <c r="Q1609" s="1"/>
      <c r="R1609" s="1"/>
      <c r="S1609" s="1"/>
    </row>
    <row r="1610" ht="10.5" customHeight="1">
      <c r="A1610" s="1"/>
      <c r="B1610" s="48" t="s">
        <v>128</v>
      </c>
      <c r="C1610" s="560">
        <v>286017.0</v>
      </c>
      <c r="D1610" s="294">
        <v>68.3</v>
      </c>
      <c r="E1610" s="169">
        <v>60078.0</v>
      </c>
      <c r="F1610" s="136">
        <v>156239.0</v>
      </c>
      <c r="G1610" s="136">
        <v>96581.0</v>
      </c>
      <c r="H1610" s="136">
        <v>3295.0</v>
      </c>
      <c r="I1610" s="55">
        <v>2003.0</v>
      </c>
      <c r="J1610" s="1"/>
      <c r="K1610" s="1"/>
      <c r="L1610" s="1"/>
      <c r="M1610" s="1"/>
      <c r="N1610" s="1"/>
      <c r="O1610" s="1"/>
      <c r="P1610" s="1"/>
      <c r="Q1610" s="1"/>
      <c r="R1610" s="1"/>
      <c r="S1610" s="1"/>
    </row>
    <row r="1611" ht="10.5" customHeight="1">
      <c r="A1611" s="1"/>
      <c r="B1611" s="48" t="s">
        <v>129</v>
      </c>
      <c r="C1611" s="38">
        <v>297908.0</v>
      </c>
      <c r="D1611" s="693">
        <v>56.8</v>
      </c>
      <c r="E1611" s="169">
        <v>79750.0</v>
      </c>
      <c r="F1611" s="169">
        <v>126793.0</v>
      </c>
      <c r="G1611" s="169">
        <v>50312.0</v>
      </c>
      <c r="H1611" s="169">
        <v>1838.0</v>
      </c>
      <c r="I1611" s="238">
        <v>2004.0</v>
      </c>
      <c r="J1611" s="1"/>
      <c r="K1611" s="1"/>
      <c r="L1611" s="1"/>
      <c r="M1611" s="1"/>
      <c r="N1611" s="1"/>
      <c r="O1611" s="1"/>
      <c r="P1611" s="1"/>
      <c r="Q1611" s="1"/>
      <c r="R1611" s="1"/>
      <c r="S1611" s="1"/>
    </row>
    <row r="1612" ht="10.5" customHeight="1">
      <c r="A1612" s="1"/>
      <c r="B1612" s="48" t="s">
        <v>130</v>
      </c>
      <c r="C1612" s="38">
        <v>244412.0</v>
      </c>
      <c r="D1612" s="693">
        <v>50.3</v>
      </c>
      <c r="E1612" s="169">
        <v>70000.0</v>
      </c>
      <c r="F1612" s="169">
        <v>122226.0</v>
      </c>
      <c r="G1612" s="169">
        <v>52226.0</v>
      </c>
      <c r="H1612" s="169">
        <v>10490.0</v>
      </c>
      <c r="I1612" s="238">
        <v>2005.0</v>
      </c>
      <c r="J1612" s="1"/>
      <c r="K1612" s="1"/>
      <c r="L1612" s="1"/>
      <c r="M1612" s="1"/>
      <c r="N1612" s="1"/>
      <c r="O1612" s="1"/>
      <c r="P1612" s="1"/>
      <c r="Q1612" s="1"/>
      <c r="R1612" s="1"/>
      <c r="S1612" s="1"/>
    </row>
    <row r="1613" ht="10.5" customHeight="1">
      <c r="A1613" s="1"/>
      <c r="B1613" s="48"/>
      <c r="C1613" s="38"/>
      <c r="D1613" s="693"/>
      <c r="E1613" s="169"/>
      <c r="F1613" s="169"/>
      <c r="G1613" s="169"/>
      <c r="H1613" s="169"/>
      <c r="I1613" s="238"/>
      <c r="J1613" s="1"/>
      <c r="K1613" s="1"/>
      <c r="L1613" s="1"/>
      <c r="M1613" s="1"/>
      <c r="N1613" s="1"/>
      <c r="O1613" s="1"/>
      <c r="P1613" s="1"/>
      <c r="Q1613" s="1"/>
      <c r="R1613" s="1"/>
      <c r="S1613" s="1"/>
    </row>
    <row r="1614" ht="10.5" customHeight="1">
      <c r="A1614" s="1"/>
      <c r="B1614" s="48" t="s">
        <v>131</v>
      </c>
      <c r="C1614" s="38">
        <v>324729.0</v>
      </c>
      <c r="D1614" s="693">
        <v>71.6</v>
      </c>
      <c r="E1614" s="169">
        <v>61500.0</v>
      </c>
      <c r="F1614" s="169">
        <v>129953.0</v>
      </c>
      <c r="G1614" s="169">
        <v>68453.0</v>
      </c>
      <c r="H1614" s="169">
        <v>1865.0</v>
      </c>
      <c r="I1614" s="238">
        <v>2006.0</v>
      </c>
      <c r="J1614" s="1"/>
      <c r="K1614" s="1"/>
      <c r="L1614" s="1"/>
      <c r="M1614" s="1"/>
      <c r="N1614" s="1"/>
      <c r="O1614" s="1"/>
      <c r="P1614" s="1"/>
      <c r="Q1614" s="1"/>
      <c r="R1614" s="1"/>
      <c r="S1614" s="1"/>
    </row>
    <row r="1615" ht="10.5" customHeight="1">
      <c r="A1615" s="1"/>
      <c r="B1615" s="48" t="s">
        <v>133</v>
      </c>
      <c r="C1615" s="38">
        <v>269435.0</v>
      </c>
      <c r="D1615" s="693">
        <v>104.2</v>
      </c>
      <c r="E1615" s="169">
        <v>35290.0</v>
      </c>
      <c r="F1615" s="169">
        <v>119402.0</v>
      </c>
      <c r="G1615" s="169">
        <v>84112.0</v>
      </c>
      <c r="H1615" s="169">
        <v>1712.0</v>
      </c>
      <c r="I1615" s="238">
        <v>2007.0</v>
      </c>
      <c r="J1615" s="1"/>
      <c r="K1615" s="1"/>
      <c r="L1615" s="1"/>
      <c r="M1615" s="1"/>
      <c r="N1615" s="1"/>
      <c r="O1615" s="1"/>
      <c r="P1615" s="1"/>
      <c r="Q1615" s="1"/>
      <c r="R1615" s="1"/>
      <c r="S1615" s="1"/>
    </row>
    <row r="1616" ht="10.5" customHeight="1">
      <c r="A1616" s="1"/>
      <c r="B1616" s="48" t="s">
        <v>134</v>
      </c>
      <c r="C1616" s="38">
        <v>473947.0</v>
      </c>
      <c r="D1616" s="693">
        <v>124.1</v>
      </c>
      <c r="E1616" s="169">
        <v>52223.0</v>
      </c>
      <c r="F1616" s="169">
        <v>118043.0</v>
      </c>
      <c r="G1616" s="169">
        <v>65820.0</v>
      </c>
      <c r="H1616" s="169">
        <v>5880.0</v>
      </c>
      <c r="I1616" s="238">
        <v>2008.0</v>
      </c>
      <c r="J1616" s="1"/>
      <c r="K1616" s="1"/>
      <c r="L1616" s="1"/>
      <c r="M1616" s="1"/>
      <c r="N1616" s="1"/>
      <c r="O1616" s="1"/>
      <c r="P1616" s="1"/>
      <c r="Q1616" s="1"/>
      <c r="R1616" s="1"/>
      <c r="S1616" s="1"/>
    </row>
    <row r="1617" ht="10.5" customHeight="1">
      <c r="A1617" s="1"/>
      <c r="B1617" s="293">
        <v>39692.0</v>
      </c>
      <c r="C1617" s="38">
        <v>513019.0</v>
      </c>
      <c r="D1617" s="693">
        <v>115.2</v>
      </c>
      <c r="E1617" s="169">
        <v>62520.0</v>
      </c>
      <c r="F1617" s="169">
        <v>155309.0</v>
      </c>
      <c r="G1617" s="169">
        <v>92794.0</v>
      </c>
      <c r="H1617" s="169">
        <v>1676.0</v>
      </c>
      <c r="I1617" s="238">
        <v>2009.0</v>
      </c>
      <c r="J1617" s="1"/>
      <c r="K1617" s="1"/>
      <c r="L1617" s="1"/>
      <c r="M1617" s="1"/>
      <c r="N1617" s="1"/>
      <c r="O1617" s="1"/>
      <c r="P1617" s="1"/>
      <c r="Q1617" s="1"/>
      <c r="R1617" s="1"/>
      <c r="S1617" s="1"/>
    </row>
    <row r="1618" ht="10.5" customHeight="1">
      <c r="A1618" s="1"/>
      <c r="B1618" s="293">
        <v>40087.0</v>
      </c>
      <c r="C1618" s="38">
        <v>367439.0</v>
      </c>
      <c r="D1618" s="693">
        <v>100.0</v>
      </c>
      <c r="E1618" s="169">
        <v>47899.0</v>
      </c>
      <c r="F1618" s="169">
        <v>134457.0</v>
      </c>
      <c r="G1618" s="169">
        <v>85813.0</v>
      </c>
      <c r="H1618" s="169">
        <v>3035.0</v>
      </c>
      <c r="I1618" s="238">
        <v>2010.0</v>
      </c>
      <c r="J1618" s="1"/>
      <c r="K1618" s="1"/>
      <c r="L1618" s="1"/>
      <c r="M1618" s="1"/>
      <c r="N1618" s="1"/>
      <c r="O1618" s="1"/>
      <c r="P1618" s="1"/>
      <c r="Q1618" s="1"/>
      <c r="R1618" s="1"/>
      <c r="S1618" s="1"/>
    </row>
    <row r="1619" ht="10.5" customHeight="1">
      <c r="A1619" s="1"/>
      <c r="B1619" s="293"/>
      <c r="C1619" s="38"/>
      <c r="D1619" s="693"/>
      <c r="E1619" s="169"/>
      <c r="F1619" s="169"/>
      <c r="G1619" s="169"/>
      <c r="H1619" s="169"/>
      <c r="I1619" s="238"/>
      <c r="J1619" s="1"/>
      <c r="K1619" s="1"/>
      <c r="L1619" s="1"/>
      <c r="M1619" s="1"/>
      <c r="N1619" s="1"/>
      <c r="O1619" s="1"/>
      <c r="P1619" s="1"/>
      <c r="Q1619" s="1"/>
      <c r="R1619" s="1"/>
      <c r="S1619" s="1"/>
    </row>
    <row r="1620" ht="10.5" customHeight="1">
      <c r="A1620" s="1"/>
      <c r="B1620" s="293">
        <v>40483.0</v>
      </c>
      <c r="C1620" s="38">
        <v>300390.0</v>
      </c>
      <c r="D1620" s="693">
        <v>112.5</v>
      </c>
      <c r="E1620" s="169">
        <v>40922.0</v>
      </c>
      <c r="F1620" s="169">
        <v>150449.0</v>
      </c>
      <c r="G1620" s="169">
        <v>109527.0</v>
      </c>
      <c r="H1620" s="169">
        <v>4631.0</v>
      </c>
      <c r="I1620" s="238">
        <v>2011.0</v>
      </c>
      <c r="J1620" s="1"/>
      <c r="K1620" s="1"/>
      <c r="L1620" s="1"/>
      <c r="M1620" s="1"/>
      <c r="N1620" s="1"/>
      <c r="O1620" s="1"/>
      <c r="P1620" s="1"/>
      <c r="Q1620" s="1"/>
      <c r="R1620" s="1"/>
      <c r="S1620" s="1"/>
    </row>
    <row r="1621" ht="10.5" customHeight="1">
      <c r="A1621" s="1"/>
      <c r="B1621" s="293">
        <v>40878.0</v>
      </c>
      <c r="C1621" s="38">
        <v>536030.0</v>
      </c>
      <c r="D1621" s="693">
        <v>169.4</v>
      </c>
      <c r="E1621" s="169">
        <v>47698.0</v>
      </c>
      <c r="F1621" s="169">
        <v>153627.0</v>
      </c>
      <c r="G1621" s="169">
        <v>105929.0</v>
      </c>
      <c r="H1621" s="169">
        <v>3557.0</v>
      </c>
      <c r="I1621" s="238">
        <v>2012.0</v>
      </c>
      <c r="J1621" s="1"/>
      <c r="K1621" s="1"/>
      <c r="L1621" s="1"/>
      <c r="M1621" s="1"/>
      <c r="N1621" s="1"/>
      <c r="O1621" s="1"/>
      <c r="P1621" s="1"/>
      <c r="Q1621" s="1"/>
      <c r="R1621" s="1"/>
      <c r="S1621" s="1"/>
    </row>
    <row r="1622" ht="10.5" customHeight="1">
      <c r="A1622" s="1"/>
      <c r="B1622" s="293" t="s">
        <v>149</v>
      </c>
      <c r="C1622" s="38">
        <v>798481.0</v>
      </c>
      <c r="D1622" s="693">
        <v>199.1</v>
      </c>
      <c r="E1622" s="169">
        <v>60600.0</v>
      </c>
      <c r="F1622" s="169">
        <v>135747.0</v>
      </c>
      <c r="G1622" s="169">
        <v>75147.0</v>
      </c>
      <c r="H1622" s="169">
        <v>1810.0</v>
      </c>
      <c r="I1622" s="238">
        <v>2013.0</v>
      </c>
      <c r="J1622" s="1"/>
      <c r="K1622" s="1"/>
      <c r="L1622" s="1"/>
      <c r="M1622" s="1"/>
      <c r="N1622" s="1"/>
      <c r="O1622" s="1"/>
      <c r="P1622" s="1"/>
      <c r="Q1622" s="1"/>
      <c r="R1622" s="1"/>
      <c r="S1622" s="1"/>
    </row>
    <row r="1623" ht="10.5" customHeight="1">
      <c r="A1623" s="1"/>
      <c r="B1623" s="293" t="s">
        <v>151</v>
      </c>
      <c r="C1623" s="169">
        <v>1109141.0</v>
      </c>
      <c r="D1623" s="693">
        <v>209.6</v>
      </c>
      <c r="E1623" s="169">
        <v>82129.0</v>
      </c>
      <c r="F1623" s="169">
        <v>157111.0</v>
      </c>
      <c r="G1623" s="169">
        <v>74982.0</v>
      </c>
      <c r="H1623" s="169">
        <v>2034.0</v>
      </c>
      <c r="I1623" s="238">
        <v>2014.0</v>
      </c>
      <c r="J1623" s="1"/>
      <c r="K1623" s="1"/>
      <c r="L1623" s="1"/>
      <c r="M1623" s="1"/>
      <c r="N1623" s="1"/>
      <c r="O1623" s="1"/>
      <c r="P1623" s="1"/>
      <c r="Q1623" s="1"/>
      <c r="R1623" s="1"/>
      <c r="S1623" s="1"/>
    </row>
    <row r="1624" ht="10.5" customHeight="1">
      <c r="A1624" s="1"/>
      <c r="B1624" s="293" t="s">
        <v>153</v>
      </c>
      <c r="C1624" s="169">
        <v>874538.0</v>
      </c>
      <c r="D1624" s="693">
        <v>182.9</v>
      </c>
      <c r="E1624" s="169">
        <v>73330.0</v>
      </c>
      <c r="F1624" s="169">
        <v>138240.0</v>
      </c>
      <c r="G1624" s="169">
        <v>64910.0</v>
      </c>
      <c r="H1624" s="169">
        <v>2515.0</v>
      </c>
      <c r="I1624" s="238">
        <v>2015.0</v>
      </c>
      <c r="J1624" s="1"/>
      <c r="K1624" s="1"/>
      <c r="L1624" s="1"/>
      <c r="M1624" s="1"/>
      <c r="N1624" s="1"/>
      <c r="O1624" s="1"/>
      <c r="P1624" s="1"/>
      <c r="Q1624" s="1"/>
      <c r="R1624" s="1"/>
      <c r="S1624" s="1"/>
    </row>
    <row r="1625" ht="10.5" customHeight="1">
      <c r="A1625" s="1"/>
      <c r="B1625" s="293"/>
      <c r="C1625" s="169"/>
      <c r="D1625" s="693"/>
      <c r="E1625" s="169"/>
      <c r="F1625" s="169"/>
      <c r="G1625" s="169"/>
      <c r="H1625" s="169"/>
      <c r="I1625" s="238"/>
      <c r="J1625" s="1"/>
      <c r="K1625" s="1"/>
      <c r="L1625" s="1"/>
      <c r="M1625" s="1"/>
      <c r="N1625" s="1"/>
      <c r="O1625" s="1"/>
      <c r="P1625" s="1"/>
      <c r="Q1625" s="1"/>
      <c r="R1625" s="1"/>
      <c r="S1625" s="1"/>
    </row>
    <row r="1626" ht="10.5" customHeight="1">
      <c r="A1626" s="1"/>
      <c r="B1626" s="293" t="s">
        <v>155</v>
      </c>
      <c r="C1626" s="214">
        <v>513960.0</v>
      </c>
      <c r="D1626" s="693">
        <v>222.9</v>
      </c>
      <c r="E1626" s="169">
        <v>33745.0</v>
      </c>
      <c r="F1626" s="169">
        <v>95574.0</v>
      </c>
      <c r="G1626" s="169">
        <v>61829.0</v>
      </c>
      <c r="H1626" s="169">
        <v>6741.0</v>
      </c>
      <c r="I1626" s="238">
        <v>2016.0</v>
      </c>
      <c r="J1626" s="1"/>
      <c r="K1626" s="1"/>
      <c r="L1626" s="1"/>
      <c r="M1626" s="1"/>
      <c r="N1626" s="1"/>
      <c r="O1626" s="1"/>
      <c r="P1626" s="1"/>
      <c r="Q1626" s="1"/>
      <c r="R1626" s="1"/>
      <c r="S1626" s="1"/>
    </row>
    <row r="1627" ht="10.5" customHeight="1">
      <c r="A1627" s="1"/>
      <c r="B1627" s="685" t="s">
        <v>160</v>
      </c>
      <c r="C1627" s="239">
        <v>1036290.0</v>
      </c>
      <c r="D1627" s="694">
        <v>230.6</v>
      </c>
      <c r="E1627" s="260">
        <v>68217.0</v>
      </c>
      <c r="F1627" s="260">
        <v>127217.0</v>
      </c>
      <c r="G1627" s="260">
        <v>59000.0</v>
      </c>
      <c r="H1627" s="260">
        <v>11901.0</v>
      </c>
      <c r="I1627" s="279">
        <v>2017.0</v>
      </c>
      <c r="J1627" s="1"/>
      <c r="K1627" s="1"/>
      <c r="L1627" s="1"/>
      <c r="M1627" s="1"/>
      <c r="N1627" s="1"/>
      <c r="O1627" s="1"/>
      <c r="P1627" s="1"/>
      <c r="Q1627" s="1"/>
      <c r="R1627" s="1"/>
      <c r="S1627" s="1"/>
    </row>
    <row r="1628" ht="12.0" customHeight="1">
      <c r="A1628" s="1"/>
      <c r="B1628" s="60" t="s">
        <v>1104</v>
      </c>
      <c r="C1628" s="1"/>
      <c r="D1628" s="1"/>
      <c r="E1628" s="1"/>
      <c r="F1628" s="1"/>
      <c r="G1628" s="1"/>
      <c r="H1628" s="1"/>
      <c r="I1628" s="1"/>
      <c r="J1628" s="1"/>
      <c r="K1628" s="1"/>
      <c r="L1628" s="1"/>
      <c r="M1628" s="1"/>
      <c r="N1628" s="1"/>
      <c r="O1628" s="1"/>
      <c r="P1628" s="1"/>
      <c r="Q1628" s="1"/>
      <c r="R1628" s="1"/>
      <c r="S1628" s="1"/>
    </row>
    <row r="1629" ht="6.0" customHeight="1">
      <c r="A1629" s="1"/>
      <c r="B1629" s="60"/>
      <c r="C1629" s="1"/>
      <c r="D1629" s="1"/>
      <c r="E1629" s="1"/>
      <c r="F1629" s="1"/>
      <c r="G1629" s="1"/>
      <c r="H1629" s="1"/>
      <c r="I1629" s="1"/>
      <c r="J1629" s="1"/>
      <c r="K1629" s="1"/>
      <c r="L1629" s="1"/>
      <c r="M1629" s="1"/>
      <c r="N1629" s="1"/>
      <c r="O1629" s="1"/>
      <c r="P1629" s="1"/>
      <c r="Q1629" s="1"/>
      <c r="R1629" s="1"/>
      <c r="S1629" s="1"/>
    </row>
    <row r="1630" ht="10.5" customHeight="1">
      <c r="A1630" s="1"/>
      <c r="B1630" s="185" t="s">
        <v>1106</v>
      </c>
      <c r="C1630" s="1"/>
      <c r="D1630" s="1"/>
      <c r="E1630" s="1"/>
      <c r="F1630" s="1"/>
      <c r="G1630" s="1"/>
      <c r="H1630" s="1"/>
      <c r="I1630" s="1"/>
      <c r="J1630" s="1"/>
      <c r="K1630" s="1"/>
      <c r="L1630" s="1"/>
      <c r="M1630" s="1"/>
      <c r="N1630" s="1"/>
      <c r="O1630" s="1"/>
      <c r="P1630" s="1"/>
      <c r="Q1630" s="1"/>
      <c r="R1630" s="1"/>
      <c r="S1630" s="1"/>
    </row>
    <row r="1631" ht="10.5" customHeight="1">
      <c r="A1631" s="1"/>
      <c r="B1631" s="185" t="s">
        <v>1108</v>
      </c>
      <c r="C1631" s="1"/>
      <c r="D1631" s="1"/>
      <c r="E1631" s="1"/>
      <c r="F1631" s="1"/>
      <c r="G1631" s="1"/>
      <c r="H1631" s="1"/>
      <c r="I1631" s="1"/>
      <c r="J1631" s="1"/>
      <c r="K1631" s="1"/>
      <c r="L1631" s="1"/>
      <c r="M1631" s="1"/>
      <c r="N1631" s="1"/>
      <c r="O1631" s="1"/>
      <c r="P1631" s="1"/>
      <c r="Q1631" s="1"/>
      <c r="R1631" s="1"/>
      <c r="S1631" s="1"/>
    </row>
    <row r="1632" ht="10.5" customHeight="1">
      <c r="A1632" s="1"/>
      <c r="B1632" s="1"/>
      <c r="C1632" s="113"/>
      <c r="D1632" s="113"/>
      <c r="E1632" s="113"/>
      <c r="F1632" s="113"/>
      <c r="G1632" s="113"/>
      <c r="H1632" s="1"/>
      <c r="I1632" s="1"/>
      <c r="J1632" s="1"/>
      <c r="K1632" s="1"/>
      <c r="L1632" s="1"/>
      <c r="M1632" s="1"/>
      <c r="N1632" s="1"/>
      <c r="O1632" s="1"/>
      <c r="P1632" s="1"/>
      <c r="Q1632" s="1"/>
      <c r="R1632" s="1"/>
      <c r="S1632" s="1"/>
    </row>
    <row r="1633" ht="10.5" customHeight="1">
      <c r="A1633" s="1"/>
      <c r="B1633" s="1"/>
      <c r="C1633" s="1"/>
      <c r="D1633" s="1"/>
      <c r="E1633" s="1"/>
      <c r="F1633" s="1"/>
      <c r="G1633" s="1"/>
      <c r="H1633" s="1"/>
      <c r="I1633" s="1"/>
      <c r="J1633" s="1"/>
      <c r="K1633" s="1"/>
      <c r="L1633" s="1"/>
      <c r="M1633" s="1"/>
      <c r="N1633" s="1"/>
      <c r="O1633" s="1"/>
      <c r="P1633" s="1"/>
      <c r="Q1633" s="1"/>
      <c r="R1633" s="1"/>
      <c r="S1633" s="1"/>
    </row>
    <row r="1634" ht="10.5" customHeight="1">
      <c r="A1634" s="1"/>
      <c r="B1634" s="1"/>
      <c r="C1634" s="1"/>
      <c r="D1634" s="1"/>
      <c r="E1634" s="1"/>
      <c r="F1634" s="1"/>
      <c r="G1634" s="1"/>
      <c r="H1634" s="1"/>
      <c r="I1634" s="1"/>
      <c r="J1634" s="1"/>
      <c r="K1634" s="1"/>
      <c r="L1634" s="1"/>
      <c r="M1634" s="1"/>
      <c r="N1634" s="1"/>
      <c r="O1634" s="1"/>
      <c r="P1634" s="1"/>
      <c r="Q1634" s="1"/>
      <c r="R1634" s="1"/>
      <c r="S1634" s="1"/>
    </row>
    <row r="1635" ht="10.5" customHeight="1">
      <c r="A1635" s="1"/>
      <c r="B1635" s="1"/>
      <c r="C1635" s="1"/>
      <c r="D1635" s="1"/>
      <c r="E1635" s="1"/>
      <c r="F1635" s="1"/>
      <c r="G1635" s="1"/>
      <c r="H1635" s="1"/>
      <c r="I1635" s="1"/>
      <c r="J1635" s="1"/>
      <c r="K1635" s="1"/>
      <c r="L1635" s="1"/>
      <c r="M1635" s="1"/>
      <c r="N1635" s="1"/>
      <c r="O1635" s="1"/>
      <c r="P1635" s="1"/>
      <c r="Q1635" s="1"/>
      <c r="R1635" s="1"/>
      <c r="S1635" s="1"/>
    </row>
    <row r="1636" ht="10.5" customHeight="1">
      <c r="A1636" s="1"/>
      <c r="B1636" s="1"/>
      <c r="C1636" s="1"/>
      <c r="D1636" s="1"/>
      <c r="E1636" s="1"/>
      <c r="F1636" s="1"/>
      <c r="G1636" s="1"/>
      <c r="H1636" s="1"/>
      <c r="I1636" s="1"/>
      <c r="J1636" s="1"/>
      <c r="K1636" s="1"/>
      <c r="L1636" s="1"/>
      <c r="M1636" s="1"/>
      <c r="N1636" s="1"/>
      <c r="O1636" s="1"/>
      <c r="P1636" s="1"/>
      <c r="Q1636" s="1"/>
      <c r="R1636" s="1"/>
      <c r="S1636" s="1"/>
    </row>
    <row r="1637" ht="10.5" customHeight="1">
      <c r="A1637" s="1"/>
      <c r="B1637" s="1"/>
      <c r="C1637" s="1"/>
      <c r="D1637" s="1"/>
      <c r="E1637" s="1"/>
      <c r="F1637" s="1"/>
      <c r="G1637" s="1"/>
      <c r="H1637" s="1"/>
      <c r="I1637" s="1"/>
      <c r="J1637" s="1"/>
      <c r="K1637" s="1"/>
      <c r="L1637" s="1"/>
      <c r="M1637" s="1"/>
      <c r="N1637" s="1"/>
      <c r="O1637" s="1"/>
      <c r="P1637" s="1"/>
      <c r="Q1637" s="1"/>
      <c r="R1637" s="1"/>
      <c r="S1637" s="1"/>
    </row>
    <row r="1638" ht="10.5" customHeight="1">
      <c r="A1638" s="1"/>
      <c r="B1638" s="1"/>
      <c r="C1638" s="1"/>
      <c r="D1638" s="1"/>
      <c r="E1638" s="1"/>
      <c r="F1638" s="1"/>
      <c r="G1638" s="1"/>
      <c r="H1638" s="1"/>
      <c r="I1638" s="1"/>
      <c r="J1638" s="1"/>
      <c r="K1638" s="1"/>
      <c r="L1638" s="1"/>
      <c r="M1638" s="1"/>
      <c r="N1638" s="1"/>
      <c r="O1638" s="1"/>
      <c r="P1638" s="1"/>
      <c r="Q1638" s="1"/>
      <c r="R1638" s="1"/>
      <c r="S1638" s="1"/>
    </row>
    <row r="1639" ht="10.5" customHeight="1">
      <c r="A1639" s="1"/>
      <c r="B1639" s="1"/>
      <c r="C1639" s="1"/>
      <c r="D1639" s="1"/>
      <c r="E1639" s="1"/>
      <c r="F1639" s="1"/>
      <c r="G1639" s="1"/>
      <c r="H1639" s="1"/>
      <c r="I1639" s="1"/>
      <c r="J1639" s="1"/>
      <c r="K1639" s="1"/>
      <c r="L1639" s="1"/>
      <c r="M1639" s="1"/>
      <c r="N1639" s="1"/>
      <c r="O1639" s="1"/>
      <c r="P1639" s="1"/>
      <c r="Q1639" s="1"/>
      <c r="R1639" s="1"/>
      <c r="S1639" s="1"/>
    </row>
    <row r="1640" ht="10.5" customHeight="1">
      <c r="A1640" s="1"/>
      <c r="B1640" s="1"/>
      <c r="C1640" s="1"/>
      <c r="D1640" s="1"/>
      <c r="E1640" s="1"/>
      <c r="F1640" s="1"/>
      <c r="G1640" s="1"/>
      <c r="H1640" s="1"/>
      <c r="I1640" s="1"/>
      <c r="J1640" s="1"/>
      <c r="K1640" s="1"/>
      <c r="L1640" s="1"/>
      <c r="M1640" s="1"/>
      <c r="N1640" s="1"/>
      <c r="O1640" s="1"/>
      <c r="P1640" s="1"/>
      <c r="Q1640" s="1"/>
      <c r="R1640" s="1"/>
      <c r="S1640" s="1"/>
    </row>
    <row r="1641" ht="10.5" customHeight="1">
      <c r="A1641" s="1"/>
      <c r="B1641" s="1"/>
      <c r="C1641" s="1"/>
      <c r="D1641" s="1"/>
      <c r="E1641" s="1"/>
      <c r="F1641" s="1"/>
      <c r="G1641" s="1"/>
      <c r="H1641" s="1"/>
      <c r="I1641" s="1"/>
      <c r="J1641" s="1"/>
      <c r="K1641" s="1"/>
      <c r="L1641" s="1"/>
      <c r="M1641" s="1"/>
      <c r="N1641" s="1"/>
      <c r="O1641" s="1"/>
      <c r="P1641" s="1"/>
      <c r="Q1641" s="1"/>
      <c r="R1641" s="1"/>
      <c r="S1641" s="1"/>
    </row>
    <row r="1642" ht="10.5" customHeight="1">
      <c r="A1642" s="1"/>
      <c r="B1642" s="1"/>
      <c r="C1642" s="1"/>
      <c r="D1642" s="1"/>
      <c r="E1642" s="1"/>
      <c r="F1642" s="1"/>
      <c r="G1642" s="1"/>
      <c r="H1642" s="1"/>
      <c r="I1642" s="1"/>
      <c r="J1642" s="1"/>
      <c r="K1642" s="1"/>
      <c r="L1642" s="1"/>
      <c r="M1642" s="1"/>
      <c r="N1642" s="1"/>
      <c r="O1642" s="1"/>
      <c r="P1642" s="1"/>
      <c r="Q1642" s="1"/>
      <c r="R1642" s="1"/>
      <c r="S1642" s="1"/>
    </row>
    <row r="1643" ht="10.5" customHeight="1">
      <c r="A1643" s="1"/>
      <c r="B1643" s="1"/>
      <c r="C1643" s="1"/>
      <c r="D1643" s="1"/>
      <c r="E1643" s="1"/>
      <c r="F1643" s="1"/>
      <c r="G1643" s="1"/>
      <c r="H1643" s="1"/>
      <c r="I1643" s="1"/>
      <c r="J1643" s="1"/>
      <c r="K1643" s="1"/>
      <c r="L1643" s="1"/>
      <c r="M1643" s="1"/>
      <c r="N1643" s="1"/>
      <c r="O1643" s="1"/>
      <c r="P1643" s="1"/>
      <c r="Q1643" s="1"/>
      <c r="R1643" s="1"/>
      <c r="S1643" s="1"/>
    </row>
    <row r="1644" ht="10.5" customHeight="1">
      <c r="A1644" s="1"/>
      <c r="B1644" s="1"/>
      <c r="C1644" s="1"/>
      <c r="D1644" s="1"/>
      <c r="E1644" s="1"/>
      <c r="F1644" s="1"/>
      <c r="G1644" s="1"/>
      <c r="H1644" s="1"/>
      <c r="I1644" s="1"/>
      <c r="J1644" s="1"/>
      <c r="K1644" s="1"/>
      <c r="L1644" s="1"/>
      <c r="M1644" s="1"/>
      <c r="N1644" s="1"/>
      <c r="O1644" s="1"/>
      <c r="P1644" s="1"/>
      <c r="Q1644" s="1"/>
      <c r="R1644" s="1"/>
      <c r="S1644" s="1"/>
    </row>
    <row r="1645" ht="10.5" customHeight="1">
      <c r="A1645" s="1"/>
      <c r="B1645" s="1"/>
      <c r="C1645" s="1"/>
      <c r="D1645" s="1"/>
      <c r="E1645" s="1"/>
      <c r="F1645" s="1"/>
      <c r="G1645" s="1"/>
      <c r="H1645" s="1"/>
      <c r="I1645" s="1"/>
      <c r="J1645" s="1"/>
      <c r="K1645" s="1"/>
      <c r="L1645" s="1"/>
      <c r="M1645" s="1"/>
      <c r="N1645" s="1"/>
      <c r="O1645" s="1"/>
      <c r="P1645" s="1"/>
      <c r="Q1645" s="1"/>
      <c r="R1645" s="1"/>
      <c r="S1645" s="1"/>
    </row>
    <row r="1646" ht="10.5" customHeight="1">
      <c r="A1646" s="1"/>
      <c r="B1646" s="1"/>
      <c r="C1646" s="1"/>
      <c r="D1646" s="1"/>
      <c r="E1646" s="1"/>
      <c r="F1646" s="1"/>
      <c r="G1646" s="1"/>
      <c r="H1646" s="1"/>
      <c r="I1646" s="1"/>
      <c r="J1646" s="1"/>
      <c r="K1646" s="1"/>
      <c r="L1646" s="1"/>
      <c r="M1646" s="1"/>
      <c r="N1646" s="1"/>
      <c r="O1646" s="1"/>
      <c r="P1646" s="1"/>
      <c r="Q1646" s="1"/>
      <c r="R1646" s="1"/>
      <c r="S1646" s="1"/>
    </row>
    <row r="1647" ht="10.5" customHeight="1">
      <c r="A1647" s="1"/>
      <c r="B1647" s="1"/>
      <c r="C1647" s="1"/>
      <c r="D1647" s="1"/>
      <c r="E1647" s="1"/>
      <c r="F1647" s="1"/>
      <c r="G1647" s="1"/>
      <c r="H1647" s="1"/>
      <c r="I1647" s="1"/>
      <c r="J1647" s="1"/>
      <c r="K1647" s="1"/>
      <c r="L1647" s="1"/>
      <c r="M1647" s="1"/>
      <c r="N1647" s="1"/>
      <c r="O1647" s="1"/>
      <c r="P1647" s="1"/>
      <c r="Q1647" s="1"/>
      <c r="R1647" s="1"/>
      <c r="S1647" s="1"/>
    </row>
    <row r="1648" ht="10.5" customHeight="1">
      <c r="A1648" s="1"/>
      <c r="B1648" s="1"/>
      <c r="C1648" s="1"/>
      <c r="D1648" s="1"/>
      <c r="E1648" s="1"/>
      <c r="F1648" s="1"/>
      <c r="G1648" s="1"/>
      <c r="H1648" s="1"/>
      <c r="I1648" s="1"/>
      <c r="J1648" s="1"/>
      <c r="K1648" s="1"/>
      <c r="L1648" s="1"/>
      <c r="M1648" s="1"/>
      <c r="N1648" s="1"/>
      <c r="O1648" s="1"/>
      <c r="P1648" s="1"/>
      <c r="Q1648" s="1"/>
      <c r="R1648" s="1"/>
      <c r="S1648" s="1"/>
    </row>
    <row r="1649" ht="10.5" customHeight="1">
      <c r="A1649" s="1"/>
      <c r="B1649" s="1"/>
      <c r="C1649" s="1"/>
      <c r="D1649" s="1"/>
      <c r="E1649" s="1"/>
      <c r="F1649" s="1"/>
      <c r="G1649" s="1"/>
      <c r="H1649" s="1"/>
      <c r="I1649" s="1"/>
      <c r="J1649" s="1"/>
      <c r="K1649" s="1"/>
      <c r="L1649" s="1"/>
      <c r="M1649" s="1"/>
      <c r="N1649" s="1"/>
      <c r="O1649" s="1"/>
      <c r="P1649" s="1"/>
      <c r="Q1649" s="1"/>
      <c r="R1649" s="1"/>
      <c r="S1649" s="1"/>
    </row>
    <row r="1650" ht="10.5" customHeight="1">
      <c r="A1650" s="1"/>
      <c r="B1650" s="1"/>
      <c r="C1650" s="1"/>
      <c r="D1650" s="1"/>
      <c r="E1650" s="1"/>
      <c r="F1650" s="1"/>
      <c r="G1650" s="1"/>
      <c r="H1650" s="1"/>
      <c r="I1650" s="1"/>
      <c r="J1650" s="1"/>
      <c r="K1650" s="1"/>
      <c r="L1650" s="1"/>
      <c r="M1650" s="1"/>
      <c r="N1650" s="1"/>
      <c r="O1650" s="1"/>
      <c r="P1650" s="1"/>
      <c r="Q1650" s="1"/>
      <c r="R1650" s="1"/>
      <c r="S1650" s="1"/>
    </row>
    <row r="1651" ht="10.5" customHeight="1">
      <c r="A1651" s="1"/>
      <c r="B1651" s="1"/>
      <c r="C1651" s="1"/>
      <c r="D1651" s="1"/>
      <c r="E1651" s="1"/>
      <c r="F1651" s="1"/>
      <c r="G1651" s="1"/>
      <c r="H1651" s="1"/>
      <c r="I1651" s="1"/>
      <c r="J1651" s="1"/>
      <c r="K1651" s="1"/>
      <c r="L1651" s="1"/>
      <c r="M1651" s="1"/>
      <c r="N1651" s="1"/>
      <c r="O1651" s="1"/>
      <c r="P1651" s="1"/>
      <c r="Q1651" s="1"/>
      <c r="R1651" s="1"/>
      <c r="S1651" s="1"/>
    </row>
    <row r="1652" ht="10.5" customHeight="1">
      <c r="A1652" s="1"/>
      <c r="B1652" s="1"/>
      <c r="C1652" s="1"/>
      <c r="D1652" s="1"/>
      <c r="E1652" s="1"/>
      <c r="F1652" s="1"/>
      <c r="G1652" s="1"/>
      <c r="H1652" s="1"/>
      <c r="I1652" s="1"/>
      <c r="J1652" s="1"/>
      <c r="K1652" s="1"/>
      <c r="L1652" s="1"/>
      <c r="M1652" s="1"/>
      <c r="N1652" s="1"/>
      <c r="O1652" s="1"/>
      <c r="P1652" s="1"/>
      <c r="Q1652" s="1"/>
      <c r="R1652" s="1"/>
      <c r="S1652" s="1"/>
    </row>
    <row r="1653" ht="10.5" customHeight="1">
      <c r="A1653" s="1"/>
      <c r="B1653" s="1"/>
      <c r="C1653" s="1"/>
      <c r="D1653" s="1"/>
      <c r="E1653" s="1"/>
      <c r="F1653" s="1"/>
      <c r="G1653" s="1"/>
      <c r="H1653" s="1"/>
      <c r="I1653" s="1"/>
      <c r="J1653" s="1"/>
      <c r="K1653" s="1"/>
      <c r="L1653" s="1"/>
      <c r="M1653" s="1"/>
      <c r="N1653" s="1"/>
      <c r="O1653" s="1"/>
      <c r="P1653" s="1"/>
      <c r="Q1653" s="1"/>
      <c r="R1653" s="1"/>
      <c r="S1653" s="1"/>
    </row>
    <row r="1654" ht="10.5" customHeight="1">
      <c r="A1654" s="1"/>
      <c r="B1654" s="1"/>
      <c r="C1654" s="1"/>
      <c r="D1654" s="1"/>
      <c r="E1654" s="1"/>
      <c r="F1654" s="1"/>
      <c r="G1654" s="1"/>
      <c r="H1654" s="1"/>
      <c r="I1654" s="1"/>
      <c r="J1654" s="1"/>
      <c r="K1654" s="1"/>
      <c r="L1654" s="1"/>
      <c r="M1654" s="1"/>
      <c r="N1654" s="1"/>
      <c r="O1654" s="1"/>
      <c r="P1654" s="1"/>
      <c r="Q1654" s="1"/>
      <c r="R1654" s="1"/>
      <c r="S1654" s="1"/>
    </row>
    <row r="1655" ht="10.5" customHeight="1">
      <c r="A1655" s="1"/>
      <c r="B1655" s="1"/>
      <c r="C1655" s="1"/>
      <c r="D1655" s="1"/>
      <c r="E1655" s="1"/>
      <c r="F1655" s="1"/>
      <c r="G1655" s="1"/>
      <c r="H1655" s="1"/>
      <c r="I1655" s="1"/>
      <c r="J1655" s="1"/>
      <c r="K1655" s="1"/>
      <c r="L1655" s="1"/>
      <c r="M1655" s="1"/>
      <c r="N1655" s="1"/>
      <c r="O1655" s="1"/>
      <c r="P1655" s="1"/>
      <c r="Q1655" s="1"/>
      <c r="R1655" s="1"/>
      <c r="S1655" s="1"/>
    </row>
    <row r="1656" ht="10.5" customHeight="1">
      <c r="A1656" s="1"/>
      <c r="B1656" s="1"/>
      <c r="C1656" s="1"/>
      <c r="D1656" s="1"/>
      <c r="E1656" s="1"/>
      <c r="F1656" s="1"/>
      <c r="G1656" s="1"/>
      <c r="H1656" s="1"/>
      <c r="I1656" s="1"/>
      <c r="J1656" s="1"/>
      <c r="K1656" s="1"/>
      <c r="L1656" s="1"/>
      <c r="M1656" s="1"/>
      <c r="N1656" s="1"/>
      <c r="O1656" s="1"/>
      <c r="P1656" s="1"/>
      <c r="Q1656" s="1"/>
      <c r="R1656" s="1"/>
      <c r="S1656" s="1"/>
    </row>
    <row r="1657" ht="10.5" customHeight="1">
      <c r="A1657" s="1"/>
      <c r="B1657" s="1"/>
      <c r="C1657" s="1"/>
      <c r="D1657" s="1"/>
      <c r="E1657" s="1"/>
      <c r="F1657" s="1"/>
      <c r="G1657" s="1"/>
      <c r="H1657" s="1"/>
      <c r="I1657" s="1"/>
      <c r="J1657" s="1"/>
      <c r="K1657" s="1"/>
      <c r="L1657" s="1"/>
      <c r="M1657" s="1"/>
      <c r="N1657" s="1"/>
      <c r="O1657" s="1"/>
      <c r="P1657" s="1"/>
      <c r="Q1657" s="1"/>
      <c r="R1657" s="1"/>
      <c r="S1657" s="1"/>
    </row>
    <row r="1658" ht="10.5" customHeight="1">
      <c r="A1658" s="1"/>
      <c r="B1658" s="1"/>
      <c r="C1658" s="1"/>
      <c r="D1658" s="1"/>
      <c r="E1658" s="1"/>
      <c r="F1658" s="1"/>
      <c r="G1658" s="1"/>
      <c r="H1658" s="1"/>
      <c r="I1658" s="1"/>
      <c r="J1658" s="1"/>
      <c r="K1658" s="1"/>
      <c r="L1658" s="1"/>
      <c r="M1658" s="1"/>
      <c r="N1658" s="1"/>
      <c r="O1658" s="1"/>
      <c r="P1658" s="1"/>
      <c r="Q1658" s="1"/>
      <c r="R1658" s="1"/>
      <c r="S1658" s="1"/>
    </row>
    <row r="1659" ht="10.5" customHeight="1">
      <c r="A1659" s="1"/>
      <c r="B1659" s="1"/>
      <c r="C1659" s="1"/>
      <c r="D1659" s="1"/>
      <c r="E1659" s="1"/>
      <c r="F1659" s="1"/>
      <c r="G1659" s="1"/>
      <c r="H1659" s="1"/>
      <c r="I1659" s="1"/>
      <c r="J1659" s="1"/>
      <c r="K1659" s="1"/>
      <c r="L1659" s="1"/>
      <c r="M1659" s="1"/>
      <c r="N1659" s="1"/>
      <c r="O1659" s="1"/>
      <c r="P1659" s="1"/>
      <c r="Q1659" s="1"/>
      <c r="R1659" s="1"/>
      <c r="S1659" s="1"/>
    </row>
    <row r="1660" ht="10.5" customHeight="1">
      <c r="A1660" s="1"/>
      <c r="B1660" s="1"/>
      <c r="C1660" s="1"/>
      <c r="D1660" s="1"/>
      <c r="E1660" s="1"/>
      <c r="F1660" s="1"/>
      <c r="G1660" s="1"/>
      <c r="H1660" s="1"/>
      <c r="I1660" s="1"/>
      <c r="J1660" s="1"/>
      <c r="K1660" s="1"/>
      <c r="L1660" s="1"/>
      <c r="M1660" s="1"/>
      <c r="N1660" s="1"/>
      <c r="O1660" s="1"/>
      <c r="P1660" s="1"/>
      <c r="Q1660" s="1"/>
      <c r="R1660" s="1"/>
      <c r="S1660" s="1"/>
    </row>
    <row r="1661" ht="10.5" customHeight="1">
      <c r="A1661" s="1"/>
      <c r="B1661" s="1"/>
      <c r="C1661" s="1"/>
      <c r="D1661" s="1"/>
      <c r="E1661" s="1"/>
      <c r="F1661" s="1"/>
      <c r="G1661" s="1"/>
      <c r="H1661" s="1"/>
      <c r="I1661" s="1"/>
      <c r="J1661" s="1"/>
      <c r="K1661" s="1"/>
      <c r="L1661" s="1"/>
      <c r="M1661" s="1"/>
      <c r="N1661" s="1"/>
      <c r="O1661" s="1"/>
      <c r="P1661" s="1"/>
      <c r="Q1661" s="1"/>
      <c r="R1661" s="1"/>
      <c r="S1661" s="1"/>
    </row>
    <row r="1662" ht="10.5" customHeight="1">
      <c r="A1662" s="1"/>
      <c r="B1662" s="1"/>
      <c r="C1662" s="1"/>
      <c r="D1662" s="1"/>
      <c r="E1662" s="1"/>
      <c r="F1662" s="1"/>
      <c r="G1662" s="1"/>
      <c r="H1662" s="1"/>
      <c r="I1662" s="1"/>
      <c r="J1662" s="1"/>
      <c r="K1662" s="1"/>
      <c r="L1662" s="1"/>
      <c r="M1662" s="1"/>
      <c r="N1662" s="1"/>
      <c r="O1662" s="1"/>
      <c r="P1662" s="1"/>
      <c r="Q1662" s="1"/>
      <c r="R1662" s="1"/>
      <c r="S1662" s="1"/>
    </row>
    <row r="1663" ht="10.5" customHeight="1">
      <c r="A1663" s="1"/>
      <c r="B1663" s="1"/>
      <c r="C1663" s="1"/>
      <c r="D1663" s="1"/>
      <c r="E1663" s="1"/>
      <c r="F1663" s="1"/>
      <c r="G1663" s="1"/>
      <c r="H1663" s="1"/>
      <c r="I1663" s="1"/>
      <c r="J1663" s="1"/>
      <c r="K1663" s="1"/>
      <c r="L1663" s="1"/>
      <c r="M1663" s="1"/>
      <c r="N1663" s="1"/>
      <c r="O1663" s="1"/>
      <c r="P1663" s="1"/>
      <c r="Q1663" s="1"/>
      <c r="R1663" s="1"/>
      <c r="S1663" s="1"/>
    </row>
    <row r="1664" ht="10.5" customHeight="1">
      <c r="A1664" s="1"/>
      <c r="B1664" s="1"/>
      <c r="C1664" s="1"/>
      <c r="D1664" s="1"/>
      <c r="E1664" s="1"/>
      <c r="F1664" s="1"/>
      <c r="G1664" s="1"/>
      <c r="H1664" s="1"/>
      <c r="I1664" s="1"/>
      <c r="J1664" s="1"/>
      <c r="K1664" s="1"/>
      <c r="L1664" s="1"/>
      <c r="M1664" s="1"/>
      <c r="N1664" s="1"/>
      <c r="O1664" s="1"/>
      <c r="P1664" s="1"/>
      <c r="Q1664" s="1"/>
      <c r="R1664" s="1"/>
      <c r="S1664" s="1"/>
    </row>
    <row r="1665" ht="10.5" customHeight="1">
      <c r="A1665" s="1"/>
      <c r="B1665" s="1"/>
      <c r="C1665" s="1"/>
      <c r="D1665" s="1"/>
      <c r="E1665" s="1"/>
      <c r="F1665" s="1"/>
      <c r="G1665" s="1"/>
      <c r="H1665" s="1"/>
      <c r="I1665" s="1"/>
      <c r="J1665" s="1"/>
      <c r="K1665" s="1"/>
      <c r="L1665" s="1"/>
      <c r="M1665" s="1"/>
      <c r="N1665" s="1"/>
      <c r="O1665" s="1"/>
      <c r="P1665" s="1"/>
      <c r="Q1665" s="1"/>
      <c r="R1665" s="1"/>
      <c r="S1665" s="1"/>
    </row>
    <row r="1666" ht="10.5" customHeight="1">
      <c r="A1666" s="1"/>
      <c r="B1666" s="1"/>
      <c r="C1666" s="1"/>
      <c r="D1666" s="1"/>
      <c r="E1666" s="1"/>
      <c r="F1666" s="1"/>
      <c r="G1666" s="1"/>
      <c r="H1666" s="1"/>
      <c r="I1666" s="1"/>
      <c r="J1666" s="1"/>
      <c r="K1666" s="1"/>
      <c r="L1666" s="1"/>
      <c r="M1666" s="1"/>
      <c r="N1666" s="1"/>
      <c r="O1666" s="1"/>
      <c r="P1666" s="1"/>
      <c r="Q1666" s="1"/>
      <c r="R1666" s="1"/>
      <c r="S1666" s="1"/>
    </row>
    <row r="1667" ht="10.5" customHeight="1">
      <c r="A1667" s="1"/>
      <c r="B1667" s="1"/>
      <c r="C1667" s="1"/>
      <c r="D1667" s="1"/>
      <c r="E1667" s="1"/>
      <c r="F1667" s="1"/>
      <c r="G1667" s="1"/>
      <c r="H1667" s="1"/>
      <c r="I1667" s="1"/>
      <c r="J1667" s="1"/>
      <c r="K1667" s="1"/>
      <c r="L1667" s="1"/>
      <c r="M1667" s="1"/>
      <c r="N1667" s="1"/>
      <c r="O1667" s="1"/>
      <c r="P1667" s="1"/>
      <c r="Q1667" s="1"/>
      <c r="R1667" s="1"/>
      <c r="S1667" s="1"/>
    </row>
    <row r="1668" ht="10.5" customHeight="1">
      <c r="A1668" s="1"/>
      <c r="B1668" s="1"/>
      <c r="C1668" s="1"/>
      <c r="D1668" s="1"/>
      <c r="E1668" s="1"/>
      <c r="F1668" s="1"/>
      <c r="G1668" s="1"/>
      <c r="H1668" s="1"/>
      <c r="I1668" s="1"/>
      <c r="J1668" s="1"/>
      <c r="K1668" s="1"/>
      <c r="L1668" s="1"/>
      <c r="M1668" s="1"/>
      <c r="N1668" s="1"/>
      <c r="O1668" s="1"/>
      <c r="P1668" s="1"/>
      <c r="Q1668" s="1"/>
      <c r="R1668" s="1"/>
      <c r="S1668" s="1"/>
    </row>
    <row r="1669" ht="10.5" customHeight="1">
      <c r="A1669" s="1"/>
      <c r="B1669" s="1"/>
      <c r="C1669" s="1"/>
      <c r="D1669" s="1"/>
      <c r="E1669" s="1"/>
      <c r="F1669" s="1"/>
      <c r="G1669" s="1"/>
      <c r="H1669" s="1"/>
      <c r="I1669" s="1"/>
      <c r="J1669" s="1"/>
      <c r="K1669" s="1"/>
      <c r="L1669" s="1"/>
      <c r="M1669" s="1"/>
      <c r="N1669" s="1"/>
      <c r="O1669" s="1"/>
      <c r="P1669" s="1"/>
      <c r="Q1669" s="1"/>
      <c r="R1669" s="1"/>
      <c r="S1669" s="1"/>
    </row>
    <row r="1670" ht="10.5" customHeight="1">
      <c r="A1670" s="1"/>
      <c r="B1670" s="1"/>
      <c r="C1670" s="1"/>
      <c r="D1670" s="1"/>
      <c r="E1670" s="1"/>
      <c r="F1670" s="1"/>
      <c r="G1670" s="110">
        <v>25.0</v>
      </c>
      <c r="H1670" s="1"/>
      <c r="I1670" s="1"/>
      <c r="J1670" s="1"/>
      <c r="K1670" s="1"/>
      <c r="L1670" s="1"/>
      <c r="M1670" s="1"/>
      <c r="N1670" s="1"/>
      <c r="O1670" s="1"/>
      <c r="P1670" s="1"/>
      <c r="Q1670" s="1"/>
      <c r="R1670" s="1"/>
      <c r="S1670" s="1"/>
    </row>
    <row r="1671" ht="10.5" customHeight="1">
      <c r="A1671" s="1"/>
      <c r="B1671" s="1"/>
      <c r="C1671" s="1"/>
      <c r="D1671" s="1"/>
      <c r="E1671" s="1"/>
      <c r="F1671" s="1"/>
      <c r="G1671" s="1"/>
      <c r="H1671" s="1"/>
      <c r="I1671" s="1"/>
      <c r="J1671" s="1"/>
      <c r="K1671" s="1"/>
      <c r="L1671" s="1"/>
      <c r="M1671" s="1"/>
      <c r="N1671" s="1"/>
      <c r="O1671" s="1"/>
      <c r="P1671" s="1"/>
      <c r="Q1671" s="1"/>
      <c r="R1671" s="1"/>
      <c r="S1671" s="1"/>
    </row>
    <row r="1672" ht="10.5" customHeight="1">
      <c r="A1672" s="1"/>
      <c r="B1672" s="1"/>
      <c r="C1672" s="1"/>
      <c r="D1672" s="1"/>
      <c r="E1672" s="1"/>
      <c r="F1672" s="1"/>
      <c r="G1672" s="1"/>
      <c r="H1672" s="1"/>
      <c r="I1672" s="1"/>
      <c r="J1672" s="1"/>
      <c r="K1672" s="1"/>
      <c r="L1672" s="1"/>
      <c r="M1672" s="1"/>
      <c r="N1672" s="1"/>
      <c r="O1672" s="1"/>
      <c r="P1672" s="1"/>
      <c r="Q1672" s="1"/>
      <c r="R1672" s="1"/>
      <c r="S1672" s="1"/>
    </row>
    <row r="1673" ht="11.25" customHeight="1">
      <c r="A1673" s="1"/>
      <c r="B1673" s="1" t="s">
        <v>1127</v>
      </c>
      <c r="C1673" s="1"/>
      <c r="D1673" s="1"/>
      <c r="E1673" s="1"/>
      <c r="F1673" s="1"/>
      <c r="G1673" s="1"/>
      <c r="H1673" s="1"/>
      <c r="I1673" s="1"/>
      <c r="J1673" s="1"/>
      <c r="K1673" s="1"/>
      <c r="L1673" s="1"/>
      <c r="M1673" s="1"/>
      <c r="N1673" s="1"/>
      <c r="O1673" s="1"/>
      <c r="P1673" s="1"/>
      <c r="Q1673" s="1"/>
      <c r="R1673" s="1"/>
      <c r="S1673" s="1"/>
    </row>
    <row r="1674" ht="10.5" customHeight="1">
      <c r="A1674" s="1"/>
      <c r="B1674" s="29" t="s">
        <v>31</v>
      </c>
      <c r="C1674" s="128" t="s">
        <v>1129</v>
      </c>
      <c r="D1674" s="9"/>
      <c r="E1674" s="9"/>
      <c r="F1674" s="10"/>
      <c r="G1674" s="128" t="s">
        <v>1130</v>
      </c>
      <c r="H1674" s="10"/>
      <c r="I1674" s="128" t="s">
        <v>1131</v>
      </c>
      <c r="J1674" s="10"/>
      <c r="K1674" s="561" t="s">
        <v>1103</v>
      </c>
      <c r="L1674" s="1"/>
      <c r="M1674" s="1"/>
      <c r="N1674" s="1"/>
      <c r="O1674" s="1"/>
      <c r="P1674" s="1"/>
      <c r="Q1674" s="1"/>
      <c r="R1674" s="1"/>
      <c r="S1674" s="1"/>
    </row>
    <row r="1675" ht="12.0" customHeight="1">
      <c r="A1675" s="1"/>
      <c r="B1675" s="5"/>
      <c r="C1675" s="7" t="s">
        <v>35</v>
      </c>
      <c r="D1675" s="7" t="s">
        <v>926</v>
      </c>
      <c r="E1675" s="7" t="s">
        <v>1133</v>
      </c>
      <c r="F1675" s="7" t="s">
        <v>512</v>
      </c>
      <c r="G1675" s="7" t="s">
        <v>1134</v>
      </c>
      <c r="H1675" s="7" t="s">
        <v>1135</v>
      </c>
      <c r="I1675" s="7" t="s">
        <v>1136</v>
      </c>
      <c r="J1675" s="7" t="s">
        <v>1137</v>
      </c>
      <c r="K1675" s="5"/>
      <c r="L1675" s="1"/>
      <c r="M1675" s="1"/>
      <c r="N1675" s="1"/>
      <c r="O1675" s="1"/>
      <c r="P1675" s="1"/>
      <c r="Q1675" s="1"/>
      <c r="R1675" s="1"/>
      <c r="S1675" s="1"/>
    </row>
    <row r="1676" ht="10.5" customHeight="1">
      <c r="A1676" s="1"/>
      <c r="B1676" s="6"/>
      <c r="C1676" s="134" t="s">
        <v>48</v>
      </c>
      <c r="D1676" s="134" t="s">
        <v>49</v>
      </c>
      <c r="E1676" s="134" t="s">
        <v>52</v>
      </c>
      <c r="F1676" s="134" t="s">
        <v>50</v>
      </c>
      <c r="G1676" s="134" t="s">
        <v>49</v>
      </c>
      <c r="H1676" s="134" t="s">
        <v>50</v>
      </c>
      <c r="I1676" s="134" t="s">
        <v>520</v>
      </c>
      <c r="J1676" s="134" t="s">
        <v>50</v>
      </c>
      <c r="K1676" s="6"/>
      <c r="L1676" s="1"/>
      <c r="M1676" s="1"/>
      <c r="N1676" s="1"/>
      <c r="O1676" s="1"/>
      <c r="P1676" s="1"/>
      <c r="Q1676" s="1"/>
      <c r="R1676" s="1"/>
      <c r="S1676" s="1"/>
    </row>
    <row r="1677" ht="10.5" customHeight="1">
      <c r="A1677" s="1"/>
      <c r="B1677" s="48" t="s">
        <v>264</v>
      </c>
      <c r="C1677" s="130">
        <v>49.0</v>
      </c>
      <c r="D1677" s="250">
        <v>14.4</v>
      </c>
      <c r="E1677" s="51">
        <v>134.15</v>
      </c>
      <c r="F1677" s="228">
        <v>1936.0</v>
      </c>
      <c r="G1677" s="250">
        <v>3.2</v>
      </c>
      <c r="H1677" s="136">
        <v>391.0</v>
      </c>
      <c r="I1677" s="136">
        <v>826.0</v>
      </c>
      <c r="J1677" s="136">
        <v>133.0</v>
      </c>
      <c r="K1677" s="55">
        <v>1971.0</v>
      </c>
      <c r="L1677" s="1"/>
      <c r="M1677" s="1"/>
      <c r="N1677" s="1"/>
      <c r="O1677" s="1"/>
      <c r="P1677" s="1"/>
      <c r="Q1677" s="1"/>
      <c r="R1677" s="1"/>
      <c r="S1677" s="1"/>
    </row>
    <row r="1678" ht="10.5" customHeight="1">
      <c r="A1678" s="1"/>
      <c r="B1678" s="48" t="s">
        <v>267</v>
      </c>
      <c r="C1678" s="130">
        <v>62.0</v>
      </c>
      <c r="D1678" s="250">
        <v>18.9</v>
      </c>
      <c r="E1678" s="51">
        <v>90.17</v>
      </c>
      <c r="F1678" s="228">
        <v>1702.0</v>
      </c>
      <c r="G1678" s="250">
        <v>5.8</v>
      </c>
      <c r="H1678" s="136">
        <v>698.0</v>
      </c>
      <c r="I1678" s="136">
        <v>1851.0</v>
      </c>
      <c r="J1678" s="136">
        <v>289.0</v>
      </c>
      <c r="K1678" s="55">
        <v>1972.0</v>
      </c>
      <c r="L1678" s="1"/>
      <c r="M1678" s="1"/>
      <c r="N1678" s="1"/>
      <c r="O1678" s="1"/>
      <c r="P1678" s="1"/>
      <c r="Q1678" s="1"/>
      <c r="R1678" s="1"/>
      <c r="S1678" s="1"/>
    </row>
    <row r="1679" ht="10.5" customHeight="1">
      <c r="A1679" s="1"/>
      <c r="B1679" s="48" t="s">
        <v>268</v>
      </c>
      <c r="C1679" s="130">
        <v>68.0</v>
      </c>
      <c r="D1679" s="250">
        <v>9.5</v>
      </c>
      <c r="E1679" s="51">
        <v>119.38</v>
      </c>
      <c r="F1679" s="228">
        <v>1129.0</v>
      </c>
      <c r="G1679" s="250">
        <v>6.9</v>
      </c>
      <c r="H1679" s="136">
        <v>969.0</v>
      </c>
      <c r="I1679" s="136">
        <v>1361.0</v>
      </c>
      <c r="J1679" s="136">
        <v>240.0</v>
      </c>
      <c r="K1679" s="55">
        <v>1973.0</v>
      </c>
      <c r="L1679" s="1"/>
      <c r="M1679" s="1"/>
      <c r="N1679" s="1"/>
      <c r="O1679" s="1"/>
      <c r="P1679" s="1"/>
      <c r="Q1679" s="1"/>
      <c r="R1679" s="1"/>
      <c r="S1679" s="1"/>
    </row>
    <row r="1680" ht="10.5" customHeight="1">
      <c r="A1680" s="1"/>
      <c r="B1680" s="48" t="s">
        <v>269</v>
      </c>
      <c r="C1680" s="130">
        <v>81.0</v>
      </c>
      <c r="D1680" s="250">
        <v>21.0</v>
      </c>
      <c r="E1680" s="51">
        <v>110.12</v>
      </c>
      <c r="F1680" s="228">
        <v>2307.0</v>
      </c>
      <c r="G1680" s="250">
        <v>6.7</v>
      </c>
      <c r="H1680" s="136">
        <v>1493.0</v>
      </c>
      <c r="I1680" s="136">
        <v>1365.0</v>
      </c>
      <c r="J1680" s="136">
        <v>374.0</v>
      </c>
      <c r="K1680" s="55">
        <v>1974.0</v>
      </c>
      <c r="L1680" s="1"/>
      <c r="M1680" s="1"/>
      <c r="N1680" s="1"/>
      <c r="O1680" s="1"/>
      <c r="P1680" s="1"/>
      <c r="Q1680" s="1"/>
      <c r="R1680" s="1"/>
      <c r="S1680" s="1"/>
    </row>
    <row r="1681" ht="10.5" customHeight="1">
      <c r="A1681" s="1"/>
      <c r="B1681" s="48" t="s">
        <v>270</v>
      </c>
      <c r="C1681" s="130">
        <v>71.0</v>
      </c>
      <c r="D1681" s="250">
        <v>10.2</v>
      </c>
      <c r="E1681" s="51">
        <v>118.39</v>
      </c>
      <c r="F1681" s="228">
        <v>1211.0</v>
      </c>
      <c r="G1681" s="250">
        <v>5.5</v>
      </c>
      <c r="H1681" s="136">
        <v>1592.0</v>
      </c>
      <c r="I1681" s="136">
        <v>777.0</v>
      </c>
      <c r="J1681" s="136">
        <v>287.0</v>
      </c>
      <c r="K1681" s="55">
        <v>1975.0</v>
      </c>
      <c r="L1681" s="1"/>
      <c r="M1681" s="1"/>
      <c r="N1681" s="1"/>
      <c r="O1681" s="1"/>
      <c r="P1681" s="1"/>
      <c r="Q1681" s="1"/>
      <c r="R1681" s="1"/>
      <c r="S1681" s="1"/>
    </row>
    <row r="1682" ht="10.5" customHeight="1">
      <c r="A1682" s="1"/>
      <c r="B1682" s="48"/>
      <c r="C1682" s="130"/>
      <c r="D1682" s="250"/>
      <c r="E1682" s="51"/>
      <c r="F1682" s="228"/>
      <c r="G1682" s="250"/>
      <c r="H1682" s="136"/>
      <c r="I1682" s="136"/>
      <c r="J1682" s="136"/>
      <c r="K1682" s="55"/>
      <c r="L1682" s="1"/>
      <c r="M1682" s="1"/>
      <c r="N1682" s="1"/>
      <c r="O1682" s="1"/>
      <c r="P1682" s="1"/>
      <c r="Q1682" s="1"/>
      <c r="R1682" s="1"/>
      <c r="S1682" s="1"/>
    </row>
    <row r="1683" ht="10.5" customHeight="1">
      <c r="A1683" s="1"/>
      <c r="B1683" s="48" t="s">
        <v>271</v>
      </c>
      <c r="C1683" s="130">
        <v>24.0</v>
      </c>
      <c r="D1683" s="250">
        <v>8.8</v>
      </c>
      <c r="E1683" s="51">
        <v>153.55</v>
      </c>
      <c r="F1683" s="228">
        <v>1349.0</v>
      </c>
      <c r="G1683" s="250">
        <v>7.3</v>
      </c>
      <c r="H1683" s="136">
        <v>1895.0</v>
      </c>
      <c r="I1683" s="136">
        <v>1785.0</v>
      </c>
      <c r="J1683" s="136">
        <v>694.0</v>
      </c>
      <c r="K1683" s="55">
        <v>1976.0</v>
      </c>
      <c r="L1683" s="1"/>
      <c r="M1683" s="1"/>
      <c r="N1683" s="1"/>
      <c r="O1683" s="1"/>
      <c r="P1683" s="1"/>
      <c r="Q1683" s="1"/>
      <c r="R1683" s="1"/>
      <c r="S1683" s="1"/>
    </row>
    <row r="1684" ht="10.5" customHeight="1">
      <c r="A1684" s="1"/>
      <c r="B1684" s="48" t="s">
        <v>272</v>
      </c>
      <c r="C1684" s="130">
        <v>21.0</v>
      </c>
      <c r="D1684" s="250">
        <v>10.4</v>
      </c>
      <c r="E1684" s="51">
        <v>221.56</v>
      </c>
      <c r="F1684" s="228">
        <v>2309.0</v>
      </c>
      <c r="G1684" s="250">
        <v>8.2</v>
      </c>
      <c r="H1684" s="136">
        <v>2169.0</v>
      </c>
      <c r="I1684" s="136">
        <v>2553.0</v>
      </c>
      <c r="J1684" s="136">
        <v>989.0</v>
      </c>
      <c r="K1684" s="55">
        <v>1977.0</v>
      </c>
      <c r="L1684" s="1"/>
      <c r="M1684" s="1"/>
      <c r="N1684" s="1"/>
      <c r="O1684" s="1"/>
      <c r="P1684" s="1"/>
      <c r="Q1684" s="1"/>
      <c r="R1684" s="1"/>
      <c r="S1684" s="1"/>
    </row>
    <row r="1685" ht="10.5" customHeight="1">
      <c r="A1685" s="1"/>
      <c r="B1685" s="48" t="s">
        <v>274</v>
      </c>
      <c r="C1685" s="130">
        <v>21.0</v>
      </c>
      <c r="D1685" s="250">
        <v>10.8</v>
      </c>
      <c r="E1685" s="51">
        <v>183.53</v>
      </c>
      <c r="F1685" s="228">
        <v>1973.0</v>
      </c>
      <c r="G1685" s="250">
        <v>5.8</v>
      </c>
      <c r="H1685" s="136">
        <v>2027.0</v>
      </c>
      <c r="I1685" s="136">
        <v>2707.0</v>
      </c>
      <c r="J1685" s="136">
        <v>933.0</v>
      </c>
      <c r="K1685" s="55">
        <v>1978.0</v>
      </c>
      <c r="L1685" s="1"/>
      <c r="M1685" s="1"/>
      <c r="N1685" s="1"/>
      <c r="O1685" s="1"/>
      <c r="P1685" s="1"/>
      <c r="Q1685" s="1"/>
      <c r="R1685" s="1"/>
      <c r="S1685" s="1"/>
    </row>
    <row r="1686" ht="10.5" customHeight="1">
      <c r="A1686" s="1"/>
      <c r="B1686" s="48" t="s">
        <v>275</v>
      </c>
      <c r="C1686" s="130">
        <v>9.0</v>
      </c>
      <c r="D1686" s="250">
        <v>9.4</v>
      </c>
      <c r="E1686" s="51">
        <v>227.52</v>
      </c>
      <c r="F1686" s="228">
        <v>2060.0</v>
      </c>
      <c r="G1686" s="250">
        <v>7.0</v>
      </c>
      <c r="H1686" s="136">
        <v>2691.0</v>
      </c>
      <c r="I1686" s="136">
        <v>2711.0</v>
      </c>
      <c r="J1686" s="136">
        <v>1206.0</v>
      </c>
      <c r="K1686" s="55">
        <v>1979.0</v>
      </c>
      <c r="L1686" s="1"/>
      <c r="M1686" s="1"/>
      <c r="N1686" s="1"/>
      <c r="O1686" s="1"/>
      <c r="P1686" s="1"/>
      <c r="Q1686" s="1"/>
      <c r="R1686" s="1"/>
      <c r="S1686" s="1"/>
    </row>
    <row r="1687" ht="10.5" customHeight="1">
      <c r="A1687" s="1"/>
      <c r="B1687" s="48" t="s">
        <v>276</v>
      </c>
      <c r="C1687" s="130">
        <v>12.0</v>
      </c>
      <c r="D1687" s="250">
        <v>11.6</v>
      </c>
      <c r="E1687" s="51">
        <v>322.86</v>
      </c>
      <c r="F1687" s="228">
        <v>3651.0</v>
      </c>
      <c r="G1687" s="250">
        <v>6.5</v>
      </c>
      <c r="H1687" s="136">
        <v>2876.0</v>
      </c>
      <c r="I1687" s="136">
        <v>1843.0</v>
      </c>
      <c r="J1687" s="136">
        <v>993.0</v>
      </c>
      <c r="K1687" s="55">
        <v>1980.0</v>
      </c>
      <c r="L1687" s="1"/>
      <c r="M1687" s="1"/>
      <c r="N1687" s="1"/>
      <c r="O1687" s="1"/>
      <c r="P1687" s="1"/>
      <c r="Q1687" s="1"/>
      <c r="R1687" s="1"/>
      <c r="S1687" s="1"/>
    </row>
    <row r="1688" ht="10.5" customHeight="1">
      <c r="A1688" s="1"/>
      <c r="B1688" s="48"/>
      <c r="C1688" s="130"/>
      <c r="D1688" s="250"/>
      <c r="E1688" s="51"/>
      <c r="F1688" s="228"/>
      <c r="G1688" s="250"/>
      <c r="H1688" s="136"/>
      <c r="I1688" s="136"/>
      <c r="J1688" s="136"/>
      <c r="K1688" s="55"/>
      <c r="L1688" s="1"/>
      <c r="M1688" s="1"/>
      <c r="N1688" s="1"/>
      <c r="O1688" s="1"/>
      <c r="P1688" s="1"/>
      <c r="Q1688" s="1"/>
      <c r="R1688" s="1"/>
      <c r="S1688" s="1"/>
    </row>
    <row r="1689" ht="10.5" customHeight="1">
      <c r="A1689" s="1"/>
      <c r="B1689" s="48" t="s">
        <v>56</v>
      </c>
      <c r="C1689" s="130">
        <v>11.0</v>
      </c>
      <c r="D1689" s="250">
        <v>17.8</v>
      </c>
      <c r="E1689" s="51">
        <v>316.95</v>
      </c>
      <c r="F1689" s="228">
        <v>5580.0</v>
      </c>
      <c r="G1689" s="250">
        <v>8.5</v>
      </c>
      <c r="H1689" s="136">
        <v>5150.0</v>
      </c>
      <c r="I1689" s="136">
        <v>1244.0</v>
      </c>
      <c r="J1689" s="136">
        <v>940.0</v>
      </c>
      <c r="K1689" s="55">
        <v>1981.0</v>
      </c>
      <c r="L1689" s="1"/>
      <c r="M1689" s="1"/>
      <c r="N1689" s="1"/>
      <c r="O1689" s="1"/>
      <c r="P1689" s="1"/>
      <c r="Q1689" s="1"/>
      <c r="R1689" s="1"/>
      <c r="S1689" s="1"/>
    </row>
    <row r="1690" ht="10.5" customHeight="1">
      <c r="A1690" s="1"/>
      <c r="B1690" s="48" t="s">
        <v>81</v>
      </c>
      <c r="C1690" s="130">
        <v>11.0</v>
      </c>
      <c r="D1690" s="250">
        <v>11.2</v>
      </c>
      <c r="E1690" s="51">
        <v>359.38</v>
      </c>
      <c r="F1690" s="228">
        <v>1675.0</v>
      </c>
      <c r="G1690" s="250">
        <v>7.4</v>
      </c>
      <c r="H1690" s="136">
        <v>4033.0</v>
      </c>
      <c r="I1690" s="136">
        <v>1394.0</v>
      </c>
      <c r="J1690" s="136">
        <v>980.0</v>
      </c>
      <c r="K1690" s="55">
        <v>1982.0</v>
      </c>
      <c r="L1690" s="1"/>
      <c r="M1690" s="1"/>
      <c r="N1690" s="1"/>
      <c r="O1690" s="1"/>
      <c r="P1690" s="1"/>
      <c r="Q1690" s="1"/>
      <c r="R1690" s="1"/>
      <c r="S1690" s="1"/>
    </row>
    <row r="1691" ht="10.5" customHeight="1">
      <c r="A1691" s="1"/>
      <c r="B1691" s="48" t="s">
        <v>86</v>
      </c>
      <c r="C1691" s="130">
        <v>11.0</v>
      </c>
      <c r="D1691" s="250">
        <v>6.5</v>
      </c>
      <c r="E1691" s="51">
        <v>571.44</v>
      </c>
      <c r="F1691" s="228">
        <v>1151.0</v>
      </c>
      <c r="G1691" s="250">
        <v>5.5</v>
      </c>
      <c r="H1691" s="136">
        <v>2569.0</v>
      </c>
      <c r="I1691" s="136">
        <v>1109.0</v>
      </c>
      <c r="J1691" s="136">
        <v>866.0</v>
      </c>
      <c r="K1691" s="55">
        <v>1983.0</v>
      </c>
      <c r="L1691" s="1"/>
      <c r="M1691" s="1"/>
      <c r="N1691" s="1"/>
      <c r="O1691" s="1"/>
      <c r="P1691" s="1"/>
      <c r="Q1691" s="1"/>
      <c r="R1691" s="1"/>
      <c r="S1691" s="1"/>
    </row>
    <row r="1692" ht="10.5" customHeight="1">
      <c r="A1692" s="1"/>
      <c r="B1692" s="48" t="s">
        <v>87</v>
      </c>
      <c r="C1692" s="130">
        <v>13.0</v>
      </c>
      <c r="D1692" s="250">
        <v>8.0</v>
      </c>
      <c r="E1692" s="51">
        <v>771.44</v>
      </c>
      <c r="F1692" s="228">
        <v>4249.0</v>
      </c>
      <c r="G1692" s="250">
        <v>3.1</v>
      </c>
      <c r="H1692" s="136">
        <v>1768.0</v>
      </c>
      <c r="I1692" s="136">
        <v>732.0</v>
      </c>
      <c r="J1692" s="136">
        <v>637.0</v>
      </c>
      <c r="K1692" s="55">
        <v>1984.0</v>
      </c>
      <c r="L1692" s="1"/>
      <c r="M1692" s="1"/>
      <c r="N1692" s="1"/>
      <c r="O1692" s="1"/>
      <c r="P1692" s="1"/>
      <c r="Q1692" s="1"/>
      <c r="R1692" s="1"/>
      <c r="S1692" s="1"/>
    </row>
    <row r="1693" ht="10.5" customHeight="1">
      <c r="A1693" s="1"/>
      <c r="B1693" s="48" t="s">
        <v>90</v>
      </c>
      <c r="C1693" s="130">
        <v>11.0</v>
      </c>
      <c r="D1693" s="250">
        <v>6.7</v>
      </c>
      <c r="E1693" s="51">
        <v>671.13</v>
      </c>
      <c r="F1693" s="228">
        <v>4146.0</v>
      </c>
      <c r="G1693" s="250">
        <v>5.6</v>
      </c>
      <c r="H1693" s="136">
        <v>3568.0</v>
      </c>
      <c r="I1693" s="136">
        <v>1121.0</v>
      </c>
      <c r="J1693" s="136">
        <v>1216.0</v>
      </c>
      <c r="K1693" s="55">
        <v>1985.0</v>
      </c>
      <c r="L1693" s="1"/>
      <c r="M1693" s="1"/>
      <c r="N1693" s="1"/>
      <c r="O1693" s="1"/>
      <c r="P1693" s="1"/>
      <c r="Q1693" s="1"/>
      <c r="R1693" s="1"/>
      <c r="S1693" s="1"/>
    </row>
    <row r="1694" ht="10.5" customHeight="1">
      <c r="A1694" s="1"/>
      <c r="B1694" s="48"/>
      <c r="C1694" s="130"/>
      <c r="D1694" s="250"/>
      <c r="E1694" s="51"/>
      <c r="F1694" s="228"/>
      <c r="G1694" s="250"/>
      <c r="H1694" s="136"/>
      <c r="I1694" s="136"/>
      <c r="J1694" s="136"/>
      <c r="K1694" s="55"/>
      <c r="L1694" s="1"/>
      <c r="M1694" s="1"/>
      <c r="N1694" s="1"/>
      <c r="O1694" s="1"/>
      <c r="P1694" s="1"/>
      <c r="Q1694" s="1"/>
      <c r="R1694" s="1"/>
      <c r="S1694" s="1"/>
    </row>
    <row r="1695" ht="10.5" customHeight="1">
      <c r="A1695" s="1"/>
      <c r="B1695" s="48" t="s">
        <v>93</v>
      </c>
      <c r="C1695" s="130">
        <v>12.0</v>
      </c>
      <c r="D1695" s="250">
        <v>4.9</v>
      </c>
      <c r="E1695" s="51">
        <v>757.52</v>
      </c>
      <c r="F1695" s="228">
        <v>3081.0</v>
      </c>
      <c r="G1695" s="250">
        <v>5.9</v>
      </c>
      <c r="H1695" s="136">
        <v>4174.0</v>
      </c>
      <c r="I1695" s="136">
        <v>1323.0</v>
      </c>
      <c r="J1695" s="136">
        <v>1677.0</v>
      </c>
      <c r="K1695" s="55">
        <v>1986.0</v>
      </c>
      <c r="L1695" s="1"/>
      <c r="M1695" s="1"/>
      <c r="N1695" s="1"/>
      <c r="O1695" s="1"/>
      <c r="P1695" s="1"/>
      <c r="Q1695" s="1"/>
      <c r="R1695" s="1"/>
      <c r="S1695" s="1"/>
    </row>
    <row r="1696" ht="10.5" customHeight="1">
      <c r="A1696" s="1"/>
      <c r="B1696" s="48" t="s">
        <v>97</v>
      </c>
      <c r="C1696" s="130">
        <v>13.0</v>
      </c>
      <c r="D1696" s="250">
        <v>4.8</v>
      </c>
      <c r="E1696" s="51">
        <v>743.44</v>
      </c>
      <c r="F1696" s="228">
        <v>3360.0</v>
      </c>
      <c r="G1696" s="250">
        <v>10.0</v>
      </c>
      <c r="H1696" s="136">
        <v>6577.0</v>
      </c>
      <c r="I1696" s="136">
        <v>1645.0</v>
      </c>
      <c r="J1696" s="136">
        <v>2002.0</v>
      </c>
      <c r="K1696" s="55">
        <v>1987.0</v>
      </c>
      <c r="L1696" s="1"/>
      <c r="M1696" s="1"/>
      <c r="N1696" s="1"/>
      <c r="O1696" s="1"/>
      <c r="P1696" s="1"/>
      <c r="Q1696" s="1"/>
      <c r="R1696" s="1"/>
      <c r="S1696" s="1"/>
    </row>
    <row r="1697" ht="10.5" customHeight="1">
      <c r="A1697" s="1"/>
      <c r="B1697" s="48" t="s">
        <v>101</v>
      </c>
      <c r="C1697" s="130">
        <v>13.0</v>
      </c>
      <c r="D1697" s="250">
        <v>5.6</v>
      </c>
      <c r="E1697" s="51">
        <v>796.28</v>
      </c>
      <c r="F1697" s="228">
        <v>4152.0</v>
      </c>
      <c r="G1697" s="250">
        <v>9.9</v>
      </c>
      <c r="H1697" s="136">
        <v>8030.0</v>
      </c>
      <c r="I1697" s="136">
        <v>1641.0</v>
      </c>
      <c r="J1697" s="136">
        <v>2024.0</v>
      </c>
      <c r="K1697" s="55">
        <v>1988.0</v>
      </c>
      <c r="L1697" s="1"/>
      <c r="M1697" s="1"/>
      <c r="N1697" s="1"/>
      <c r="O1697" s="1"/>
      <c r="P1697" s="1"/>
      <c r="Q1697" s="1"/>
      <c r="R1697" s="1"/>
      <c r="S1697" s="1"/>
    </row>
    <row r="1698" ht="10.5" customHeight="1">
      <c r="A1698" s="1"/>
      <c r="B1698" s="48" t="s">
        <v>103</v>
      </c>
      <c r="C1698" s="130" t="s">
        <v>40</v>
      </c>
      <c r="D1698" s="250">
        <v>1.4</v>
      </c>
      <c r="E1698" s="51">
        <v>714.64</v>
      </c>
      <c r="F1698" s="228">
        <v>1007.0</v>
      </c>
      <c r="G1698" s="250">
        <v>15.2</v>
      </c>
      <c r="H1698" s="136">
        <v>11779.0</v>
      </c>
      <c r="I1698" s="136">
        <v>728.0</v>
      </c>
      <c r="J1698" s="136">
        <v>917.0</v>
      </c>
      <c r="K1698" s="55">
        <v>1989.0</v>
      </c>
      <c r="L1698" s="1"/>
      <c r="M1698" s="1"/>
      <c r="N1698" s="1"/>
      <c r="O1698" s="1"/>
      <c r="P1698" s="1"/>
      <c r="Q1698" s="1"/>
      <c r="R1698" s="1"/>
      <c r="S1698" s="1"/>
    </row>
    <row r="1699" ht="10.5" customHeight="1">
      <c r="A1699" s="1"/>
      <c r="B1699" s="48" t="s">
        <v>104</v>
      </c>
      <c r="C1699" s="695" t="s">
        <v>40</v>
      </c>
      <c r="D1699" s="250">
        <v>1.3</v>
      </c>
      <c r="E1699" s="51">
        <v>755.0</v>
      </c>
      <c r="F1699" s="228">
        <v>966.0</v>
      </c>
      <c r="G1699" s="250">
        <v>6.5</v>
      </c>
      <c r="H1699" s="136">
        <v>4570.0</v>
      </c>
      <c r="I1699" s="136">
        <v>1089.0</v>
      </c>
      <c r="J1699" s="136">
        <v>1414.0</v>
      </c>
      <c r="K1699" s="55">
        <v>1990.0</v>
      </c>
      <c r="L1699" s="1"/>
      <c r="M1699" s="1"/>
      <c r="N1699" s="1"/>
      <c r="O1699" s="1"/>
      <c r="P1699" s="1"/>
      <c r="Q1699" s="1"/>
      <c r="R1699" s="1"/>
      <c r="S1699" s="1"/>
    </row>
    <row r="1700" ht="10.5" customHeight="1">
      <c r="A1700" s="1"/>
      <c r="B1700" s="48"/>
      <c r="C1700" s="695"/>
      <c r="D1700" s="250"/>
      <c r="E1700" s="51"/>
      <c r="F1700" s="228"/>
      <c r="G1700" s="250"/>
      <c r="H1700" s="136"/>
      <c r="I1700" s="136"/>
      <c r="J1700" s="136"/>
      <c r="K1700" s="55"/>
      <c r="L1700" s="1"/>
      <c r="M1700" s="1"/>
      <c r="N1700" s="1"/>
      <c r="O1700" s="1"/>
      <c r="P1700" s="1"/>
      <c r="Q1700" s="1"/>
      <c r="R1700" s="1"/>
      <c r="S1700" s="1"/>
    </row>
    <row r="1701" ht="10.5" customHeight="1">
      <c r="A1701" s="1"/>
      <c r="B1701" s="48" t="s">
        <v>108</v>
      </c>
      <c r="C1701" s="695" t="s">
        <v>40</v>
      </c>
      <c r="D1701" s="250">
        <v>2.5</v>
      </c>
      <c r="E1701" s="51">
        <v>900.0</v>
      </c>
      <c r="F1701" s="228">
        <v>2296.0</v>
      </c>
      <c r="G1701" s="250">
        <v>3.7</v>
      </c>
      <c r="H1701" s="136">
        <v>3189.0</v>
      </c>
      <c r="I1701" s="136">
        <v>1304.0</v>
      </c>
      <c r="J1701" s="136">
        <v>1735.0</v>
      </c>
      <c r="K1701" s="55">
        <v>1991.0</v>
      </c>
      <c r="L1701" s="1"/>
      <c r="M1701" s="1"/>
      <c r="N1701" s="1"/>
      <c r="O1701" s="1"/>
      <c r="P1701" s="1"/>
      <c r="Q1701" s="1"/>
      <c r="R1701" s="1"/>
      <c r="S1701" s="1"/>
    </row>
    <row r="1702" ht="10.5" customHeight="1">
      <c r="A1702" s="1"/>
      <c r="B1702" s="48" t="s">
        <v>111</v>
      </c>
      <c r="C1702" s="695" t="s">
        <v>40</v>
      </c>
      <c r="D1702" s="250">
        <v>0.2</v>
      </c>
      <c r="E1702" s="51">
        <v>1178.6</v>
      </c>
      <c r="F1702" s="228">
        <v>177.0</v>
      </c>
      <c r="G1702" s="250">
        <v>8.0</v>
      </c>
      <c r="H1702" s="136">
        <v>8023.0</v>
      </c>
      <c r="I1702" s="136">
        <v>811.0</v>
      </c>
      <c r="J1702" s="136">
        <v>1216.0</v>
      </c>
      <c r="K1702" s="55">
        <v>1992.0</v>
      </c>
      <c r="L1702" s="1"/>
      <c r="M1702" s="1"/>
      <c r="N1702" s="1"/>
      <c r="O1702" s="1"/>
      <c r="P1702" s="1"/>
      <c r="Q1702" s="1"/>
      <c r="R1702" s="1"/>
      <c r="S1702" s="1"/>
    </row>
    <row r="1703" ht="10.5" customHeight="1">
      <c r="A1703" s="1"/>
      <c r="B1703" s="48" t="s">
        <v>112</v>
      </c>
      <c r="C1703" s="695" t="s">
        <v>40</v>
      </c>
      <c r="D1703" s="250">
        <v>0.3</v>
      </c>
      <c r="E1703" s="51">
        <v>804.53</v>
      </c>
      <c r="F1703" s="228">
        <v>219.0</v>
      </c>
      <c r="G1703" s="250">
        <v>7.8</v>
      </c>
      <c r="H1703" s="136">
        <v>8307.0</v>
      </c>
      <c r="I1703" s="136">
        <v>469.0</v>
      </c>
      <c r="J1703" s="136">
        <v>810.0</v>
      </c>
      <c r="K1703" s="55">
        <v>1993.0</v>
      </c>
      <c r="L1703" s="1"/>
      <c r="M1703" s="1"/>
      <c r="N1703" s="1"/>
      <c r="O1703" s="1"/>
      <c r="P1703" s="1"/>
      <c r="Q1703" s="1"/>
      <c r="R1703" s="1"/>
      <c r="S1703" s="1"/>
    </row>
    <row r="1704" ht="10.5" customHeight="1">
      <c r="A1704" s="1"/>
      <c r="B1704" s="48" t="s">
        <v>113</v>
      </c>
      <c r="C1704" s="695" t="s">
        <v>40</v>
      </c>
      <c r="D1704" s="250">
        <v>0.9</v>
      </c>
      <c r="E1704" s="51">
        <v>1118.29</v>
      </c>
      <c r="F1704" s="228">
        <v>1019.0</v>
      </c>
      <c r="G1704" s="250">
        <v>4.9</v>
      </c>
      <c r="H1704" s="136">
        <v>4858.0</v>
      </c>
      <c r="I1704" s="136">
        <v>64.0</v>
      </c>
      <c r="J1704" s="136">
        <v>103.0</v>
      </c>
      <c r="K1704" s="55">
        <v>1994.0</v>
      </c>
      <c r="L1704" s="1"/>
      <c r="M1704" s="1"/>
      <c r="N1704" s="1"/>
      <c r="O1704" s="1"/>
      <c r="P1704" s="1"/>
      <c r="Q1704" s="1"/>
      <c r="R1704" s="1"/>
      <c r="S1704" s="1"/>
    </row>
    <row r="1705" ht="10.5" customHeight="1">
      <c r="A1705" s="1"/>
      <c r="B1705" s="48" t="s">
        <v>114</v>
      </c>
      <c r="C1705" s="695" t="s">
        <v>40</v>
      </c>
      <c r="D1705" s="250">
        <v>0.6</v>
      </c>
      <c r="E1705" s="51">
        <v>1504.88</v>
      </c>
      <c r="F1705" s="228">
        <v>976.0</v>
      </c>
      <c r="G1705" s="250">
        <v>3.8</v>
      </c>
      <c r="H1705" s="136">
        <v>4067.0</v>
      </c>
      <c r="I1705" s="136">
        <v>133.0</v>
      </c>
      <c r="J1705" s="136">
        <v>199.0</v>
      </c>
      <c r="K1705" s="55">
        <v>1995.0</v>
      </c>
      <c r="L1705" s="1"/>
      <c r="M1705" s="1"/>
      <c r="N1705" s="1"/>
      <c r="O1705" s="1"/>
      <c r="P1705" s="1"/>
      <c r="Q1705" s="1"/>
      <c r="R1705" s="1"/>
      <c r="S1705" s="1"/>
    </row>
    <row r="1706" ht="10.5" customHeight="1">
      <c r="A1706" s="1"/>
      <c r="B1706" s="48"/>
      <c r="C1706" s="695"/>
      <c r="D1706" s="250"/>
      <c r="E1706" s="51"/>
      <c r="F1706" s="228"/>
      <c r="G1706" s="250"/>
      <c r="H1706" s="136"/>
      <c r="I1706" s="136"/>
      <c r="J1706" s="136"/>
      <c r="K1706" s="55"/>
      <c r="L1706" s="1"/>
      <c r="M1706" s="1"/>
      <c r="N1706" s="1"/>
      <c r="O1706" s="1"/>
      <c r="P1706" s="1"/>
      <c r="Q1706" s="1"/>
      <c r="R1706" s="1"/>
      <c r="S1706" s="1"/>
    </row>
    <row r="1707" ht="10.5" customHeight="1">
      <c r="A1707" s="1"/>
      <c r="B1707" s="48" t="s">
        <v>115</v>
      </c>
      <c r="C1707" s="695" t="s">
        <v>40</v>
      </c>
      <c r="D1707" s="250">
        <v>0.5</v>
      </c>
      <c r="E1707" s="51">
        <v>1310.11</v>
      </c>
      <c r="F1707" s="228">
        <v>684.0</v>
      </c>
      <c r="G1707" s="250">
        <v>3.6</v>
      </c>
      <c r="H1707" s="136">
        <v>3980.0</v>
      </c>
      <c r="I1707" s="136">
        <v>25.0</v>
      </c>
      <c r="J1707" s="136">
        <v>38.0</v>
      </c>
      <c r="K1707" s="55">
        <v>1996.0</v>
      </c>
      <c r="L1707" s="1"/>
      <c r="M1707" s="1"/>
      <c r="N1707" s="1"/>
      <c r="O1707" s="1"/>
      <c r="P1707" s="1"/>
      <c r="Q1707" s="1"/>
      <c r="R1707" s="1"/>
      <c r="S1707" s="1"/>
    </row>
    <row r="1708" ht="10.5" customHeight="1">
      <c r="A1708" s="1"/>
      <c r="B1708" s="48" t="s">
        <v>117</v>
      </c>
      <c r="C1708" s="695" t="s">
        <v>40</v>
      </c>
      <c r="D1708" s="250">
        <v>0.6</v>
      </c>
      <c r="E1708" s="51">
        <v>1065.12</v>
      </c>
      <c r="F1708" s="228">
        <v>602.0</v>
      </c>
      <c r="G1708" s="250">
        <v>2.3</v>
      </c>
      <c r="H1708" s="136">
        <v>3400.0</v>
      </c>
      <c r="I1708" s="136">
        <v>63.0</v>
      </c>
      <c r="J1708" s="136">
        <v>113.0</v>
      </c>
      <c r="K1708" s="55">
        <v>1997.0</v>
      </c>
      <c r="L1708" s="1"/>
      <c r="M1708" s="1"/>
      <c r="N1708" s="1"/>
      <c r="O1708" s="1"/>
      <c r="P1708" s="1"/>
      <c r="Q1708" s="1"/>
      <c r="R1708" s="1"/>
      <c r="S1708" s="1"/>
    </row>
    <row r="1709" ht="10.5" customHeight="1">
      <c r="A1709" s="1"/>
      <c r="B1709" s="48" t="s">
        <v>121</v>
      </c>
      <c r="C1709" s="695" t="s">
        <v>40</v>
      </c>
      <c r="D1709" s="250">
        <v>0.7</v>
      </c>
      <c r="E1709" s="51">
        <v>1463.25</v>
      </c>
      <c r="F1709" s="228">
        <v>1036.0</v>
      </c>
      <c r="G1709" s="250">
        <v>3.2</v>
      </c>
      <c r="H1709" s="136">
        <v>4825.0</v>
      </c>
      <c r="I1709" s="136">
        <v>7.0</v>
      </c>
      <c r="J1709" s="136">
        <v>11.0</v>
      </c>
      <c r="K1709" s="55">
        <v>1998.0</v>
      </c>
      <c r="L1709" s="1"/>
      <c r="M1709" s="1"/>
      <c r="N1709" s="1"/>
      <c r="O1709" s="1"/>
      <c r="P1709" s="1"/>
      <c r="Q1709" s="1"/>
      <c r="R1709" s="1"/>
      <c r="S1709" s="1"/>
    </row>
    <row r="1710" ht="10.5" customHeight="1">
      <c r="A1710" s="1"/>
      <c r="B1710" s="48" t="s">
        <v>122</v>
      </c>
      <c r="C1710" s="695" t="s">
        <v>40</v>
      </c>
      <c r="D1710" s="250">
        <v>0.7</v>
      </c>
      <c r="E1710" s="51">
        <v>1464.29</v>
      </c>
      <c r="F1710" s="228">
        <v>1000.0</v>
      </c>
      <c r="G1710" s="250">
        <v>1.6</v>
      </c>
      <c r="H1710" s="136">
        <v>2376.0</v>
      </c>
      <c r="I1710" s="136">
        <v>4.0</v>
      </c>
      <c r="J1710" s="136">
        <v>7.0</v>
      </c>
      <c r="K1710" s="55">
        <v>1999.0</v>
      </c>
      <c r="L1710" s="1"/>
      <c r="M1710" s="1"/>
      <c r="N1710" s="1"/>
      <c r="O1710" s="1"/>
      <c r="P1710" s="1"/>
      <c r="Q1710" s="1"/>
      <c r="R1710" s="1"/>
      <c r="S1710" s="1"/>
    </row>
    <row r="1711" ht="10.5" customHeight="1">
      <c r="A1711" s="1"/>
      <c r="B1711" s="48" t="s">
        <v>123</v>
      </c>
      <c r="C1711" s="489" t="s">
        <v>10</v>
      </c>
      <c r="D1711" s="250" t="s">
        <v>10</v>
      </c>
      <c r="E1711" s="66" t="s">
        <v>10</v>
      </c>
      <c r="F1711" s="373" t="s">
        <v>10</v>
      </c>
      <c r="G1711" s="250">
        <v>0.6</v>
      </c>
      <c r="H1711" s="136">
        <v>1179.0</v>
      </c>
      <c r="I1711" s="136">
        <v>8.0</v>
      </c>
      <c r="J1711" s="136">
        <v>15.0</v>
      </c>
      <c r="K1711" s="55">
        <v>2000.0</v>
      </c>
      <c r="L1711" s="1"/>
      <c r="M1711" s="1"/>
      <c r="N1711" s="1"/>
      <c r="O1711" s="1"/>
      <c r="P1711" s="1"/>
      <c r="Q1711" s="1"/>
      <c r="R1711" s="1"/>
      <c r="S1711" s="1"/>
    </row>
    <row r="1712" ht="10.5" customHeight="1">
      <c r="A1712" s="1"/>
      <c r="B1712" s="48"/>
      <c r="C1712" s="489"/>
      <c r="D1712" s="250"/>
      <c r="E1712" s="66"/>
      <c r="F1712" s="373"/>
      <c r="G1712" s="250"/>
      <c r="H1712" s="267"/>
      <c r="I1712" s="169"/>
      <c r="J1712" s="136"/>
      <c r="K1712" s="55"/>
      <c r="L1712" s="1"/>
      <c r="M1712" s="1"/>
      <c r="N1712" s="1"/>
      <c r="O1712" s="1"/>
      <c r="P1712" s="1"/>
      <c r="Q1712" s="1"/>
      <c r="R1712" s="1"/>
      <c r="S1712" s="1"/>
    </row>
    <row r="1713" ht="10.5" customHeight="1">
      <c r="A1713" s="1"/>
      <c r="B1713" s="168" t="s">
        <v>125</v>
      </c>
      <c r="C1713" s="489" t="s">
        <v>10</v>
      </c>
      <c r="D1713" s="250" t="s">
        <v>10</v>
      </c>
      <c r="E1713" s="66" t="s">
        <v>10</v>
      </c>
      <c r="F1713" s="420" t="s">
        <v>10</v>
      </c>
      <c r="G1713" s="54">
        <v>0.8</v>
      </c>
      <c r="H1713" s="267">
        <v>1754.0</v>
      </c>
      <c r="I1713" s="169">
        <v>10.0</v>
      </c>
      <c r="J1713" s="136">
        <v>23.0</v>
      </c>
      <c r="K1713" s="55">
        <v>2001.0</v>
      </c>
      <c r="L1713" s="1"/>
      <c r="M1713" s="1"/>
      <c r="N1713" s="1"/>
      <c r="O1713" s="1"/>
      <c r="P1713" s="1"/>
      <c r="Q1713" s="1"/>
      <c r="R1713" s="1"/>
      <c r="S1713" s="1"/>
    </row>
    <row r="1714" ht="10.5" customHeight="1">
      <c r="A1714" s="1"/>
      <c r="B1714" s="237" t="s">
        <v>127</v>
      </c>
      <c r="C1714" s="493" t="s">
        <v>10</v>
      </c>
      <c r="D1714" s="284" t="s">
        <v>10</v>
      </c>
      <c r="E1714" s="71" t="s">
        <v>10</v>
      </c>
      <c r="F1714" s="485" t="s">
        <v>10</v>
      </c>
      <c r="G1714" s="284">
        <v>0.9</v>
      </c>
      <c r="H1714" s="278">
        <v>1936.0</v>
      </c>
      <c r="I1714" s="278">
        <v>32.0</v>
      </c>
      <c r="J1714" s="278">
        <v>80.0</v>
      </c>
      <c r="K1714" s="238">
        <v>2002.0</v>
      </c>
      <c r="L1714" s="1"/>
      <c r="M1714" s="1"/>
      <c r="N1714" s="1"/>
      <c r="O1714" s="1"/>
      <c r="P1714" s="1"/>
      <c r="Q1714" s="1"/>
      <c r="R1714" s="1"/>
      <c r="S1714" s="1"/>
    </row>
    <row r="1715" ht="10.5" customHeight="1">
      <c r="A1715" s="1"/>
      <c r="B1715" s="696" t="s">
        <v>128</v>
      </c>
      <c r="C1715" s="493" t="s">
        <v>10</v>
      </c>
      <c r="D1715" s="284" t="s">
        <v>10</v>
      </c>
      <c r="E1715" s="71" t="s">
        <v>10</v>
      </c>
      <c r="F1715" s="408" t="s">
        <v>10</v>
      </c>
      <c r="G1715" s="284">
        <v>1.0</v>
      </c>
      <c r="H1715" s="278">
        <v>4186.0</v>
      </c>
      <c r="I1715" s="278">
        <v>9.0</v>
      </c>
      <c r="J1715" s="278">
        <v>28.0</v>
      </c>
      <c r="K1715" s="238">
        <v>2003.0</v>
      </c>
      <c r="L1715" s="1"/>
      <c r="M1715" s="1"/>
      <c r="N1715" s="1"/>
      <c r="O1715" s="1"/>
      <c r="P1715" s="1"/>
      <c r="Q1715" s="1"/>
      <c r="R1715" s="1"/>
      <c r="S1715" s="1"/>
    </row>
    <row r="1716" ht="10.5" customHeight="1">
      <c r="A1716" s="180"/>
      <c r="B1716" s="168" t="s">
        <v>129</v>
      </c>
      <c r="C1716" s="495" t="s">
        <v>10</v>
      </c>
      <c r="D1716" s="54" t="s">
        <v>10</v>
      </c>
      <c r="E1716" s="82" t="s">
        <v>10</v>
      </c>
      <c r="F1716" s="408" t="s">
        <v>10</v>
      </c>
      <c r="G1716" s="54">
        <v>0.7</v>
      </c>
      <c r="H1716" s="169">
        <v>1630.0</v>
      </c>
      <c r="I1716" s="169">
        <v>2.0</v>
      </c>
      <c r="J1716" s="169">
        <v>30.0</v>
      </c>
      <c r="K1716" s="238">
        <v>2004.0</v>
      </c>
      <c r="L1716" s="1"/>
      <c r="M1716" s="1"/>
      <c r="N1716" s="1"/>
      <c r="O1716" s="1"/>
      <c r="P1716" s="1"/>
      <c r="Q1716" s="1"/>
      <c r="R1716" s="1"/>
      <c r="S1716" s="1"/>
    </row>
    <row r="1717" ht="10.5" customHeight="1">
      <c r="A1717" s="180"/>
      <c r="B1717" s="48" t="s">
        <v>130</v>
      </c>
      <c r="C1717" s="495" t="s">
        <v>10</v>
      </c>
      <c r="D1717" s="54" t="s">
        <v>10</v>
      </c>
      <c r="E1717" s="82" t="s">
        <v>10</v>
      </c>
      <c r="F1717" s="408" t="s">
        <v>10</v>
      </c>
      <c r="G1717" s="54">
        <v>0.7</v>
      </c>
      <c r="H1717" s="169">
        <v>1406.0</v>
      </c>
      <c r="I1717" s="169">
        <v>8.0</v>
      </c>
      <c r="J1717" s="169">
        <v>33.0</v>
      </c>
      <c r="K1717" s="238">
        <v>2005.0</v>
      </c>
      <c r="L1717" s="1"/>
      <c r="M1717" s="1"/>
      <c r="N1717" s="1"/>
      <c r="O1717" s="1"/>
      <c r="P1717" s="1"/>
      <c r="Q1717" s="1"/>
      <c r="R1717" s="1"/>
      <c r="S1717" s="1"/>
    </row>
    <row r="1718" ht="10.5" customHeight="1">
      <c r="A1718" s="180"/>
      <c r="B1718" s="48"/>
      <c r="C1718" s="495"/>
      <c r="D1718" s="54"/>
      <c r="E1718" s="82"/>
      <c r="F1718" s="408"/>
      <c r="G1718" s="54"/>
      <c r="H1718" s="169"/>
      <c r="I1718" s="169"/>
      <c r="J1718" s="169"/>
      <c r="K1718" s="238"/>
      <c r="L1718" s="1"/>
      <c r="M1718" s="1"/>
      <c r="N1718" s="1"/>
      <c r="O1718" s="1"/>
      <c r="P1718" s="1"/>
      <c r="Q1718" s="1"/>
      <c r="R1718" s="1"/>
      <c r="S1718" s="1"/>
    </row>
    <row r="1719" ht="10.5" customHeight="1">
      <c r="A1719" s="180"/>
      <c r="B1719" s="85" t="s">
        <v>131</v>
      </c>
      <c r="C1719" s="495" t="s">
        <v>10</v>
      </c>
      <c r="D1719" s="54" t="s">
        <v>10</v>
      </c>
      <c r="E1719" s="82" t="s">
        <v>10</v>
      </c>
      <c r="F1719" s="408" t="s">
        <v>10</v>
      </c>
      <c r="G1719" s="54">
        <v>0.4</v>
      </c>
      <c r="H1719" s="169">
        <v>995.0</v>
      </c>
      <c r="I1719" s="169">
        <v>7.0</v>
      </c>
      <c r="J1719" s="169">
        <v>28.0</v>
      </c>
      <c r="K1719" s="238">
        <v>2006.0</v>
      </c>
      <c r="L1719" s="1"/>
      <c r="M1719" s="1"/>
      <c r="N1719" s="1"/>
      <c r="O1719" s="1"/>
      <c r="P1719" s="1"/>
      <c r="Q1719" s="1"/>
      <c r="R1719" s="1"/>
      <c r="S1719" s="1"/>
    </row>
    <row r="1720" ht="10.5" customHeight="1">
      <c r="A1720" s="180"/>
      <c r="B1720" s="85" t="s">
        <v>133</v>
      </c>
      <c r="C1720" s="495" t="s">
        <v>10</v>
      </c>
      <c r="D1720" s="54" t="s">
        <v>10</v>
      </c>
      <c r="E1720" s="82" t="s">
        <v>10</v>
      </c>
      <c r="F1720" s="408" t="s">
        <v>10</v>
      </c>
      <c r="G1720" s="54">
        <v>0.4</v>
      </c>
      <c r="H1720" s="169">
        <v>1020.0</v>
      </c>
      <c r="I1720" s="169" t="s">
        <v>10</v>
      </c>
      <c r="J1720" s="169">
        <v>27.0</v>
      </c>
      <c r="K1720" s="238">
        <v>2007.0</v>
      </c>
      <c r="L1720" s="1"/>
      <c r="M1720" s="1"/>
      <c r="N1720" s="1"/>
      <c r="O1720" s="1"/>
      <c r="P1720" s="1"/>
      <c r="Q1720" s="1"/>
      <c r="R1720" s="1"/>
      <c r="S1720" s="1"/>
    </row>
    <row r="1721" ht="10.5" customHeight="1">
      <c r="A1721" s="180"/>
      <c r="B1721" s="85" t="s">
        <v>134</v>
      </c>
      <c r="C1721" s="495" t="s">
        <v>10</v>
      </c>
      <c r="D1721" s="54" t="s">
        <v>10</v>
      </c>
      <c r="E1721" s="82" t="s">
        <v>10</v>
      </c>
      <c r="F1721" s="408" t="s">
        <v>10</v>
      </c>
      <c r="G1721" s="54" t="s">
        <v>10</v>
      </c>
      <c r="H1721" s="169">
        <v>1283.0</v>
      </c>
      <c r="I1721" s="169" t="s">
        <v>10</v>
      </c>
      <c r="J1721" s="169">
        <v>34.0</v>
      </c>
      <c r="K1721" s="238">
        <v>2008.0</v>
      </c>
      <c r="L1721" s="1"/>
      <c r="M1721" s="1"/>
      <c r="N1721" s="1"/>
      <c r="O1721" s="1"/>
      <c r="P1721" s="1"/>
      <c r="Q1721" s="1"/>
      <c r="R1721" s="1"/>
      <c r="S1721" s="1"/>
    </row>
    <row r="1722" ht="10.5" customHeight="1">
      <c r="A1722" s="180"/>
      <c r="B1722" s="85" t="s">
        <v>135</v>
      </c>
      <c r="C1722" s="495" t="s">
        <v>10</v>
      </c>
      <c r="D1722" s="54" t="s">
        <v>10</v>
      </c>
      <c r="E1722" s="82" t="s">
        <v>10</v>
      </c>
      <c r="F1722" s="408" t="s">
        <v>10</v>
      </c>
      <c r="G1722" s="54" t="s">
        <v>10</v>
      </c>
      <c r="H1722" s="169">
        <v>1359.0</v>
      </c>
      <c r="I1722" s="169" t="s">
        <v>10</v>
      </c>
      <c r="J1722" s="169">
        <v>29.0</v>
      </c>
      <c r="K1722" s="238">
        <v>2009.0</v>
      </c>
      <c r="L1722" s="1"/>
      <c r="M1722" s="1"/>
      <c r="N1722" s="1"/>
      <c r="O1722" s="1"/>
      <c r="P1722" s="1"/>
      <c r="Q1722" s="1"/>
      <c r="R1722" s="1"/>
      <c r="S1722" s="1"/>
    </row>
    <row r="1723" ht="10.5" customHeight="1">
      <c r="A1723" s="180"/>
      <c r="B1723" s="697" t="s">
        <v>138</v>
      </c>
      <c r="C1723" s="495" t="s">
        <v>10</v>
      </c>
      <c r="D1723" s="54" t="s">
        <v>10</v>
      </c>
      <c r="E1723" s="82" t="s">
        <v>10</v>
      </c>
      <c r="F1723" s="408" t="s">
        <v>10</v>
      </c>
      <c r="G1723" s="54" t="s">
        <v>10</v>
      </c>
      <c r="H1723" s="169">
        <v>1154.0</v>
      </c>
      <c r="I1723" s="169" t="s">
        <v>10</v>
      </c>
      <c r="J1723" s="169">
        <v>25.0</v>
      </c>
      <c r="K1723" s="238">
        <v>2010.0</v>
      </c>
      <c r="L1723" s="1"/>
      <c r="M1723" s="1"/>
      <c r="N1723" s="1"/>
      <c r="O1723" s="1"/>
      <c r="P1723" s="1"/>
      <c r="Q1723" s="1"/>
      <c r="R1723" s="1"/>
      <c r="S1723" s="1"/>
    </row>
    <row r="1724" ht="10.5" customHeight="1">
      <c r="A1724" s="180"/>
      <c r="B1724" s="1"/>
      <c r="C1724" s="495"/>
      <c r="D1724" s="54"/>
      <c r="E1724" s="82"/>
      <c r="F1724" s="408"/>
      <c r="G1724" s="54"/>
      <c r="H1724" s="169"/>
      <c r="I1724" s="169"/>
      <c r="J1724" s="169"/>
      <c r="K1724" s="238"/>
      <c r="L1724" s="1"/>
      <c r="M1724" s="1"/>
      <c r="N1724" s="1"/>
      <c r="O1724" s="1"/>
      <c r="P1724" s="1"/>
      <c r="Q1724" s="1"/>
      <c r="R1724" s="1"/>
      <c r="S1724" s="1"/>
    </row>
    <row r="1725" ht="10.5" customHeight="1">
      <c r="A1725" s="180"/>
      <c r="B1725" s="85" t="s">
        <v>139</v>
      </c>
      <c r="C1725" s="495" t="s">
        <v>10</v>
      </c>
      <c r="D1725" s="54" t="s">
        <v>10</v>
      </c>
      <c r="E1725" s="82" t="s">
        <v>10</v>
      </c>
      <c r="F1725" s="408" t="s">
        <v>10</v>
      </c>
      <c r="G1725" s="54" t="s">
        <v>10</v>
      </c>
      <c r="H1725" s="169">
        <v>1267.0</v>
      </c>
      <c r="I1725" s="169" t="s">
        <v>10</v>
      </c>
      <c r="J1725" s="169">
        <v>27.0</v>
      </c>
      <c r="K1725" s="238">
        <v>2011.0</v>
      </c>
      <c r="L1725" s="1"/>
      <c r="M1725" s="1"/>
      <c r="N1725" s="1"/>
      <c r="O1725" s="1"/>
      <c r="P1725" s="1"/>
      <c r="Q1725" s="1"/>
      <c r="R1725" s="1"/>
      <c r="S1725" s="1"/>
    </row>
    <row r="1726" ht="10.5" customHeight="1">
      <c r="A1726" s="1"/>
      <c r="B1726" s="85" t="s">
        <v>143</v>
      </c>
      <c r="C1726" s="495" t="s">
        <v>10</v>
      </c>
      <c r="D1726" s="54" t="s">
        <v>10</v>
      </c>
      <c r="E1726" s="82" t="s">
        <v>10</v>
      </c>
      <c r="F1726" s="408" t="s">
        <v>10</v>
      </c>
      <c r="G1726" s="54" t="s">
        <v>10</v>
      </c>
      <c r="H1726" s="169" t="s">
        <v>10</v>
      </c>
      <c r="I1726" s="169" t="s">
        <v>10</v>
      </c>
      <c r="J1726" s="169" t="s">
        <v>10</v>
      </c>
      <c r="K1726" s="238">
        <v>2012.0</v>
      </c>
      <c r="L1726" s="1"/>
      <c r="M1726" s="1"/>
      <c r="N1726" s="1"/>
      <c r="O1726" s="1"/>
      <c r="P1726" s="1"/>
      <c r="Q1726" s="1"/>
      <c r="R1726" s="1"/>
      <c r="S1726" s="1"/>
    </row>
    <row r="1727" ht="10.5" customHeight="1">
      <c r="A1727" s="1"/>
      <c r="B1727" s="85" t="s">
        <v>149</v>
      </c>
      <c r="C1727" s="495" t="s">
        <v>10</v>
      </c>
      <c r="D1727" s="54" t="s">
        <v>10</v>
      </c>
      <c r="E1727" s="82" t="s">
        <v>10</v>
      </c>
      <c r="F1727" s="408" t="s">
        <v>10</v>
      </c>
      <c r="G1727" s="54" t="s">
        <v>10</v>
      </c>
      <c r="H1727" s="169" t="s">
        <v>10</v>
      </c>
      <c r="I1727" s="169" t="s">
        <v>10</v>
      </c>
      <c r="J1727" s="169" t="s">
        <v>10</v>
      </c>
      <c r="K1727" s="238">
        <v>2013.0</v>
      </c>
      <c r="L1727" s="1"/>
      <c r="M1727" s="1"/>
      <c r="N1727" s="1"/>
      <c r="O1727" s="1"/>
      <c r="P1727" s="1"/>
      <c r="Q1727" s="1"/>
      <c r="R1727" s="1"/>
      <c r="S1727" s="1"/>
    </row>
    <row r="1728" ht="10.5" customHeight="1">
      <c r="A1728" s="1"/>
      <c r="B1728" s="85" t="s">
        <v>151</v>
      </c>
      <c r="C1728" s="495" t="s">
        <v>10</v>
      </c>
      <c r="D1728" s="54" t="s">
        <v>10</v>
      </c>
      <c r="E1728" s="82" t="s">
        <v>10</v>
      </c>
      <c r="F1728" s="408" t="s">
        <v>10</v>
      </c>
      <c r="G1728" s="54" t="s">
        <v>10</v>
      </c>
      <c r="H1728" s="169" t="s">
        <v>10</v>
      </c>
      <c r="I1728" s="169" t="s">
        <v>10</v>
      </c>
      <c r="J1728" s="169" t="s">
        <v>10</v>
      </c>
      <c r="K1728" s="238">
        <v>2014.0</v>
      </c>
      <c r="L1728" s="1"/>
      <c r="M1728" s="1"/>
      <c r="N1728" s="1"/>
      <c r="O1728" s="1"/>
      <c r="P1728" s="1"/>
      <c r="Q1728" s="1"/>
      <c r="R1728" s="1"/>
      <c r="S1728" s="1"/>
    </row>
    <row r="1729" ht="10.5" customHeight="1">
      <c r="A1729" s="1"/>
      <c r="B1729" s="85" t="s">
        <v>153</v>
      </c>
      <c r="C1729" s="495" t="s">
        <v>10</v>
      </c>
      <c r="D1729" s="54" t="s">
        <v>10</v>
      </c>
      <c r="E1729" s="82" t="s">
        <v>10</v>
      </c>
      <c r="F1729" s="408" t="s">
        <v>10</v>
      </c>
      <c r="G1729" s="54" t="s">
        <v>10</v>
      </c>
      <c r="H1729" s="169" t="s">
        <v>10</v>
      </c>
      <c r="I1729" s="169" t="s">
        <v>10</v>
      </c>
      <c r="J1729" s="169" t="s">
        <v>10</v>
      </c>
      <c r="K1729" s="238">
        <v>2015.0</v>
      </c>
      <c r="L1729" s="1"/>
      <c r="M1729" s="1"/>
      <c r="N1729" s="1"/>
      <c r="O1729" s="1"/>
      <c r="P1729" s="1"/>
      <c r="Q1729" s="1"/>
      <c r="R1729" s="1"/>
      <c r="S1729" s="1"/>
    </row>
    <row r="1730" ht="10.5" customHeight="1">
      <c r="A1730" s="1"/>
      <c r="B1730" s="85"/>
      <c r="C1730" s="495"/>
      <c r="D1730" s="54"/>
      <c r="E1730" s="82"/>
      <c r="F1730" s="408"/>
      <c r="G1730" s="54"/>
      <c r="H1730" s="169"/>
      <c r="I1730" s="169"/>
      <c r="J1730" s="169"/>
      <c r="K1730" s="238"/>
      <c r="L1730" s="1"/>
      <c r="M1730" s="1"/>
      <c r="N1730" s="1"/>
      <c r="O1730" s="1"/>
      <c r="P1730" s="1"/>
      <c r="Q1730" s="1"/>
      <c r="R1730" s="1"/>
      <c r="S1730" s="1"/>
    </row>
    <row r="1731" ht="10.5" customHeight="1">
      <c r="A1731" s="1"/>
      <c r="B1731" s="96" t="s">
        <v>155</v>
      </c>
      <c r="C1731" s="499" t="s">
        <v>10</v>
      </c>
      <c r="D1731" s="107" t="s">
        <v>10</v>
      </c>
      <c r="E1731" s="106" t="s">
        <v>10</v>
      </c>
      <c r="F1731" s="418" t="s">
        <v>10</v>
      </c>
      <c r="G1731" s="107" t="s">
        <v>10</v>
      </c>
      <c r="H1731" s="260" t="s">
        <v>10</v>
      </c>
      <c r="I1731" s="260" t="s">
        <v>10</v>
      </c>
      <c r="J1731" s="260" t="s">
        <v>10</v>
      </c>
      <c r="K1731" s="279">
        <v>2015.0</v>
      </c>
      <c r="L1731" s="1"/>
      <c r="M1731" s="1"/>
      <c r="N1731" s="1"/>
      <c r="O1731" s="1"/>
      <c r="P1731" s="1"/>
      <c r="Q1731" s="1"/>
      <c r="R1731" s="1"/>
      <c r="S1731" s="1"/>
    </row>
    <row r="1732" ht="6.0" customHeight="1">
      <c r="A1732" s="1"/>
      <c r="B1732" s="291"/>
      <c r="C1732" s="497"/>
      <c r="D1732" s="285"/>
      <c r="E1732" s="421"/>
      <c r="F1732" s="420"/>
      <c r="G1732" s="285"/>
      <c r="H1732" s="267"/>
      <c r="I1732" s="267"/>
      <c r="J1732" s="267"/>
      <c r="K1732" s="90"/>
      <c r="L1732" s="1"/>
      <c r="M1732" s="1"/>
      <c r="N1732" s="1"/>
      <c r="O1732" s="1"/>
      <c r="P1732" s="1"/>
      <c r="Q1732" s="1"/>
      <c r="R1732" s="1"/>
      <c r="S1732" s="1"/>
    </row>
    <row r="1733" ht="10.5" customHeight="1">
      <c r="A1733" s="1"/>
      <c r="B1733" s="185" t="s">
        <v>1144</v>
      </c>
      <c r="C1733" s="668"/>
      <c r="D1733" s="503"/>
      <c r="E1733" s="635"/>
      <c r="F1733" s="698"/>
      <c r="G1733" s="503"/>
      <c r="H1733" s="698"/>
      <c r="I1733" s="698"/>
      <c r="J1733" s="698"/>
      <c r="K1733" s="1"/>
      <c r="L1733" s="1"/>
      <c r="M1733" s="1"/>
      <c r="N1733" s="1"/>
      <c r="O1733" s="1"/>
      <c r="P1733" s="1"/>
      <c r="Q1733" s="1"/>
      <c r="R1733" s="1"/>
      <c r="S1733" s="1"/>
    </row>
    <row r="1734" ht="10.5" customHeight="1">
      <c r="A1734" s="1"/>
      <c r="B1734" s="185" t="s">
        <v>1146</v>
      </c>
      <c r="C1734" s="1"/>
      <c r="D1734" s="1"/>
      <c r="E1734" s="1"/>
      <c r="F1734" s="1"/>
      <c r="G1734" s="481"/>
      <c r="H1734" s="1"/>
      <c r="I1734" s="1"/>
      <c r="J1734" s="1"/>
      <c r="K1734" s="1"/>
      <c r="L1734" s="1"/>
      <c r="M1734" s="1"/>
      <c r="N1734" s="1"/>
      <c r="O1734" s="1"/>
      <c r="P1734" s="1"/>
      <c r="Q1734" s="1"/>
      <c r="R1734" s="1"/>
      <c r="S1734" s="1"/>
    </row>
    <row r="1735" ht="10.5" customHeight="1">
      <c r="A1735" s="1"/>
      <c r="B1735" s="185" t="s">
        <v>1147</v>
      </c>
      <c r="C1735" s="1"/>
      <c r="D1735" s="1"/>
      <c r="E1735" s="1"/>
      <c r="F1735" s="1"/>
      <c r="G1735" s="1"/>
      <c r="H1735" s="1"/>
      <c r="I1735" s="1"/>
      <c r="J1735" s="1"/>
      <c r="K1735" s="1"/>
      <c r="L1735" s="1"/>
      <c r="M1735" s="1"/>
      <c r="N1735" s="1"/>
      <c r="O1735" s="1"/>
      <c r="P1735" s="1"/>
      <c r="Q1735" s="1"/>
      <c r="R1735" s="1"/>
      <c r="S1735" s="1"/>
    </row>
    <row r="1736" ht="10.5" customHeight="1">
      <c r="A1736" s="1"/>
      <c r="B1736" s="185" t="s">
        <v>1148</v>
      </c>
      <c r="C1736" s="1"/>
      <c r="D1736" s="1"/>
      <c r="E1736" s="1"/>
      <c r="F1736" s="1"/>
      <c r="G1736" s="481"/>
      <c r="H1736" s="1"/>
      <c r="I1736" s="1"/>
      <c r="J1736" s="1"/>
      <c r="K1736" s="1"/>
      <c r="L1736" s="1"/>
      <c r="M1736" s="1"/>
      <c r="N1736" s="1"/>
      <c r="O1736" s="1"/>
      <c r="P1736" s="1"/>
      <c r="Q1736" s="1"/>
      <c r="R1736" s="1"/>
      <c r="S1736" s="1"/>
    </row>
    <row r="1737" ht="10.5" customHeight="1">
      <c r="A1737" s="1"/>
      <c r="B1737" s="1"/>
      <c r="C1737" s="1"/>
      <c r="D1737" s="1"/>
      <c r="E1737" s="1"/>
      <c r="F1737" s="1"/>
      <c r="G1737" s="481"/>
      <c r="H1737" s="1"/>
      <c r="I1737" s="1"/>
      <c r="J1737" s="1"/>
      <c r="K1737" s="1"/>
      <c r="L1737" s="1"/>
      <c r="M1737" s="1"/>
      <c r="N1737" s="1"/>
      <c r="O1737" s="1"/>
      <c r="P1737" s="1"/>
      <c r="Q1737" s="1"/>
      <c r="R1737" s="1"/>
      <c r="S1737" s="1"/>
    </row>
    <row r="1738" ht="10.5" customHeight="1">
      <c r="A1738" s="1"/>
      <c r="B1738" s="1"/>
      <c r="C1738" s="1"/>
      <c r="D1738" s="1"/>
      <c r="E1738" s="1"/>
      <c r="F1738" s="1"/>
      <c r="G1738" s="481"/>
      <c r="H1738" s="1"/>
      <c r="I1738" s="1"/>
      <c r="J1738" s="1"/>
      <c r="K1738" s="1"/>
      <c r="L1738" s="1"/>
      <c r="M1738" s="1"/>
      <c r="N1738" s="1"/>
      <c r="O1738" s="1"/>
      <c r="P1738" s="1"/>
      <c r="Q1738" s="1"/>
      <c r="R1738" s="1"/>
      <c r="S1738" s="1"/>
    </row>
    <row r="1739" ht="10.5" customHeight="1">
      <c r="A1739" s="1"/>
      <c r="B1739" s="1"/>
      <c r="C1739" s="1"/>
      <c r="D1739" s="1"/>
      <c r="E1739" s="1"/>
      <c r="F1739" s="1"/>
      <c r="G1739" s="481"/>
      <c r="H1739" s="1"/>
      <c r="I1739" s="1"/>
      <c r="J1739" s="1"/>
      <c r="K1739" s="1"/>
      <c r="L1739" s="1"/>
      <c r="M1739" s="1"/>
      <c r="N1739" s="1"/>
      <c r="O1739" s="1"/>
      <c r="P1739" s="1"/>
      <c r="Q1739" s="1"/>
      <c r="R1739" s="1"/>
      <c r="S1739" s="1"/>
    </row>
    <row r="1740" ht="10.5" customHeight="1">
      <c r="A1740" s="1"/>
      <c r="B1740" s="1"/>
      <c r="C1740" s="1"/>
      <c r="D1740" s="1"/>
      <c r="E1740" s="1"/>
      <c r="F1740" s="1"/>
      <c r="G1740" s="481"/>
      <c r="H1740" s="1"/>
      <c r="I1740" s="1"/>
      <c r="J1740" s="1"/>
      <c r="K1740" s="1"/>
      <c r="L1740" s="1"/>
      <c r="M1740" s="1"/>
      <c r="N1740" s="1"/>
      <c r="O1740" s="1"/>
      <c r="P1740" s="1"/>
      <c r="Q1740" s="1"/>
      <c r="R1740" s="1"/>
      <c r="S1740" s="1"/>
    </row>
    <row r="1741" ht="10.5" customHeight="1">
      <c r="A1741" s="1"/>
      <c r="B1741" s="1"/>
      <c r="C1741" s="1"/>
      <c r="D1741" s="1"/>
      <c r="E1741" s="1"/>
      <c r="F1741" s="1"/>
      <c r="G1741" s="481"/>
      <c r="H1741" s="1"/>
      <c r="I1741" s="1"/>
      <c r="J1741" s="1"/>
      <c r="K1741" s="1"/>
      <c r="L1741" s="1"/>
      <c r="M1741" s="1"/>
      <c r="N1741" s="1"/>
      <c r="O1741" s="1"/>
      <c r="P1741" s="1"/>
      <c r="Q1741" s="1"/>
      <c r="R1741" s="1"/>
      <c r="S1741" s="1"/>
    </row>
    <row r="1742" ht="10.5" customHeight="1">
      <c r="A1742" s="1"/>
      <c r="B1742" s="1"/>
      <c r="C1742" s="1"/>
      <c r="D1742" s="1"/>
      <c r="E1742" s="1"/>
      <c r="F1742" s="1"/>
      <c r="G1742" s="481"/>
      <c r="H1742" s="1"/>
      <c r="I1742" s="1"/>
      <c r="J1742" s="1"/>
      <c r="K1742" s="1"/>
      <c r="L1742" s="1"/>
      <c r="M1742" s="1"/>
      <c r="N1742" s="1"/>
      <c r="O1742" s="1"/>
      <c r="P1742" s="1"/>
      <c r="Q1742" s="1"/>
      <c r="R1742" s="1"/>
      <c r="S1742" s="1"/>
    </row>
    <row r="1743" ht="10.5" customHeight="1">
      <c r="A1743" s="1"/>
      <c r="B1743" s="1"/>
      <c r="C1743" s="1"/>
      <c r="D1743" s="1"/>
      <c r="E1743" s="1"/>
      <c r="F1743" s="1"/>
      <c r="G1743" s="481"/>
      <c r="H1743" s="1"/>
      <c r="I1743" s="1"/>
      <c r="J1743" s="1"/>
      <c r="K1743" s="1"/>
      <c r="L1743" s="1"/>
      <c r="M1743" s="1"/>
      <c r="N1743" s="1"/>
      <c r="O1743" s="1"/>
      <c r="P1743" s="1"/>
      <c r="Q1743" s="1"/>
      <c r="R1743" s="1"/>
      <c r="S1743" s="1"/>
    </row>
    <row r="1744" ht="10.5" customHeight="1">
      <c r="A1744" s="1"/>
      <c r="B1744" s="1"/>
      <c r="C1744" s="1"/>
      <c r="D1744" s="1"/>
      <c r="E1744" s="1"/>
      <c r="F1744" s="1"/>
      <c r="G1744" s="481"/>
      <c r="H1744" s="1"/>
      <c r="I1744" s="1"/>
      <c r="J1744" s="1"/>
      <c r="K1744" s="1"/>
      <c r="L1744" s="1"/>
      <c r="M1744" s="1"/>
      <c r="N1744" s="1"/>
      <c r="O1744" s="1"/>
      <c r="P1744" s="1"/>
      <c r="Q1744" s="1"/>
      <c r="R1744" s="1"/>
      <c r="S1744" s="1"/>
    </row>
    <row r="1745" ht="10.5" customHeight="1">
      <c r="A1745" s="1"/>
      <c r="B1745" s="1"/>
      <c r="C1745" s="1"/>
      <c r="D1745" s="1"/>
      <c r="E1745" s="1"/>
      <c r="F1745" s="1"/>
      <c r="G1745" s="481"/>
      <c r="H1745" s="1"/>
      <c r="I1745" s="1"/>
      <c r="J1745" s="1"/>
      <c r="K1745" s="1"/>
      <c r="L1745" s="1"/>
      <c r="M1745" s="1"/>
      <c r="N1745" s="1"/>
      <c r="O1745" s="1"/>
      <c r="P1745" s="1"/>
      <c r="Q1745" s="1"/>
      <c r="R1745" s="1"/>
      <c r="S1745" s="1"/>
    </row>
    <row r="1746" ht="10.5" customHeight="1">
      <c r="A1746" s="1"/>
      <c r="B1746" s="1"/>
      <c r="C1746" s="1"/>
      <c r="D1746" s="1"/>
      <c r="E1746" s="1"/>
      <c r="F1746" s="1"/>
      <c r="G1746" s="481"/>
      <c r="H1746" s="1"/>
      <c r="I1746" s="1"/>
      <c r="J1746" s="1"/>
      <c r="K1746" s="1"/>
      <c r="L1746" s="1"/>
      <c r="M1746" s="1"/>
      <c r="N1746" s="1"/>
      <c r="O1746" s="1"/>
      <c r="P1746" s="1"/>
      <c r="Q1746" s="1"/>
      <c r="R1746" s="1"/>
      <c r="S1746" s="1"/>
    </row>
    <row r="1747" ht="10.5" customHeight="1">
      <c r="A1747" s="1"/>
      <c r="B1747" s="1"/>
      <c r="C1747" s="1"/>
      <c r="D1747" s="1"/>
      <c r="E1747" s="1"/>
      <c r="F1747" s="1"/>
      <c r="G1747" s="481"/>
      <c r="H1747" s="1"/>
      <c r="I1747" s="1"/>
      <c r="J1747" s="1"/>
      <c r="K1747" s="1"/>
      <c r="L1747" s="1"/>
      <c r="M1747" s="1"/>
      <c r="N1747" s="1"/>
      <c r="O1747" s="1"/>
      <c r="P1747" s="1"/>
      <c r="Q1747" s="1"/>
      <c r="R1747" s="1"/>
      <c r="S1747" s="1"/>
    </row>
    <row r="1748" ht="10.5" customHeight="1">
      <c r="A1748" s="1"/>
      <c r="B1748" s="1"/>
      <c r="C1748" s="1"/>
      <c r="D1748" s="1"/>
      <c r="E1748" s="1"/>
      <c r="F1748" s="1"/>
      <c r="G1748" s="481"/>
      <c r="H1748" s="1"/>
      <c r="I1748" s="1"/>
      <c r="J1748" s="1"/>
      <c r="K1748" s="1"/>
      <c r="L1748" s="1"/>
      <c r="M1748" s="1"/>
      <c r="N1748" s="1"/>
      <c r="O1748" s="1"/>
      <c r="P1748" s="1"/>
      <c r="Q1748" s="1"/>
      <c r="R1748" s="1"/>
      <c r="S1748" s="1"/>
    </row>
    <row r="1749" ht="10.5" customHeight="1">
      <c r="A1749" s="1"/>
      <c r="B1749" s="1"/>
      <c r="C1749" s="1"/>
      <c r="D1749" s="1"/>
      <c r="E1749" s="1"/>
      <c r="F1749" s="1"/>
      <c r="G1749" s="481"/>
      <c r="H1749" s="1"/>
      <c r="I1749" s="1"/>
      <c r="J1749" s="1"/>
      <c r="K1749" s="1"/>
      <c r="L1749" s="1"/>
      <c r="M1749" s="1"/>
      <c r="N1749" s="1"/>
      <c r="O1749" s="1"/>
      <c r="P1749" s="1"/>
      <c r="Q1749" s="1"/>
      <c r="R1749" s="1"/>
      <c r="S1749" s="1"/>
    </row>
    <row r="1750" ht="10.5" customHeight="1">
      <c r="A1750" s="1"/>
      <c r="B1750" s="1"/>
      <c r="C1750" s="1"/>
      <c r="D1750" s="1"/>
      <c r="E1750" s="1"/>
      <c r="F1750" s="1"/>
      <c r="G1750" s="481"/>
      <c r="H1750" s="1"/>
      <c r="I1750" s="1"/>
      <c r="J1750" s="1"/>
      <c r="K1750" s="1"/>
      <c r="L1750" s="1"/>
      <c r="M1750" s="1"/>
      <c r="N1750" s="1"/>
      <c r="O1750" s="1"/>
      <c r="P1750" s="1"/>
      <c r="Q1750" s="1"/>
      <c r="R1750" s="1"/>
      <c r="S1750" s="1"/>
    </row>
    <row r="1751" ht="10.5" customHeight="1">
      <c r="A1751" s="1"/>
      <c r="B1751" s="1"/>
      <c r="C1751" s="1"/>
      <c r="D1751" s="1"/>
      <c r="E1751" s="1"/>
      <c r="F1751" s="1"/>
      <c r="G1751" s="481"/>
      <c r="H1751" s="1"/>
      <c r="I1751" s="1"/>
      <c r="J1751" s="1"/>
      <c r="K1751" s="1"/>
      <c r="L1751" s="1"/>
      <c r="M1751" s="1"/>
      <c r="N1751" s="1"/>
      <c r="O1751" s="1"/>
      <c r="P1751" s="1"/>
      <c r="Q1751" s="1"/>
      <c r="R1751" s="1"/>
      <c r="S1751" s="1"/>
    </row>
    <row r="1752" ht="10.5" customHeight="1">
      <c r="A1752" s="1"/>
      <c r="B1752" s="1"/>
      <c r="C1752" s="1"/>
      <c r="D1752" s="1"/>
      <c r="E1752" s="1"/>
      <c r="F1752" s="1"/>
      <c r="G1752" s="481"/>
      <c r="H1752" s="1"/>
      <c r="I1752" s="1"/>
      <c r="J1752" s="1"/>
      <c r="K1752" s="1"/>
      <c r="L1752" s="1"/>
      <c r="M1752" s="1"/>
      <c r="N1752" s="1"/>
      <c r="O1752" s="1"/>
      <c r="P1752" s="1"/>
      <c r="Q1752" s="1"/>
      <c r="R1752" s="1"/>
      <c r="S1752" s="1"/>
    </row>
    <row r="1753" ht="10.5" customHeight="1">
      <c r="A1753" s="1"/>
      <c r="B1753" s="1"/>
      <c r="C1753" s="1"/>
      <c r="D1753" s="1"/>
      <c r="E1753" s="1"/>
      <c r="F1753" s="1"/>
      <c r="G1753" s="481"/>
      <c r="H1753" s="1"/>
      <c r="I1753" s="1"/>
      <c r="J1753" s="1"/>
      <c r="K1753" s="1"/>
      <c r="L1753" s="1"/>
      <c r="M1753" s="1"/>
      <c r="N1753" s="1"/>
      <c r="O1753" s="1"/>
      <c r="P1753" s="1"/>
      <c r="Q1753" s="1"/>
      <c r="R1753" s="1"/>
      <c r="S1753" s="1"/>
    </row>
    <row r="1754" ht="10.5" customHeight="1">
      <c r="A1754" s="1"/>
      <c r="B1754" s="1"/>
      <c r="C1754" s="1"/>
      <c r="D1754" s="1"/>
      <c r="E1754" s="1"/>
      <c r="F1754" s="1"/>
      <c r="G1754" s="481"/>
      <c r="H1754" s="1"/>
      <c r="I1754" s="1"/>
      <c r="J1754" s="1"/>
      <c r="K1754" s="1"/>
      <c r="L1754" s="1"/>
      <c r="M1754" s="1"/>
      <c r="N1754" s="1"/>
      <c r="O1754" s="1"/>
      <c r="P1754" s="1"/>
      <c r="Q1754" s="1"/>
      <c r="R1754" s="1"/>
      <c r="S1754" s="1"/>
    </row>
    <row r="1755" ht="10.5" customHeight="1">
      <c r="A1755" s="1"/>
      <c r="B1755" s="1"/>
      <c r="C1755" s="1"/>
      <c r="D1755" s="1"/>
      <c r="E1755" s="1"/>
      <c r="F1755" s="1"/>
      <c r="G1755" s="481"/>
      <c r="H1755" s="1"/>
      <c r="I1755" s="1"/>
      <c r="J1755" s="1"/>
      <c r="K1755" s="1"/>
      <c r="L1755" s="1"/>
      <c r="M1755" s="1"/>
      <c r="N1755" s="1"/>
      <c r="O1755" s="1"/>
      <c r="P1755" s="1"/>
      <c r="Q1755" s="1"/>
      <c r="R1755" s="1"/>
      <c r="S1755" s="1"/>
    </row>
    <row r="1756" ht="10.5" customHeight="1">
      <c r="A1756" s="1"/>
      <c r="B1756" s="1"/>
      <c r="C1756" s="1"/>
      <c r="D1756" s="1"/>
      <c r="E1756" s="1"/>
      <c r="F1756" s="1"/>
      <c r="G1756" s="481"/>
      <c r="H1756" s="1"/>
      <c r="I1756" s="1"/>
      <c r="J1756" s="1"/>
      <c r="K1756" s="1"/>
      <c r="L1756" s="1"/>
      <c r="M1756" s="1"/>
      <c r="N1756" s="1"/>
      <c r="O1756" s="1"/>
      <c r="P1756" s="1"/>
      <c r="Q1756" s="1"/>
      <c r="R1756" s="1"/>
      <c r="S1756" s="1"/>
    </row>
    <row r="1757" ht="10.5" customHeight="1">
      <c r="A1757" s="1"/>
      <c r="B1757" s="1"/>
      <c r="C1757" s="1"/>
      <c r="D1757" s="1"/>
      <c r="E1757" s="1"/>
      <c r="F1757" s="1"/>
      <c r="G1757" s="481"/>
      <c r="H1757" s="1"/>
      <c r="I1757" s="1"/>
      <c r="J1757" s="1"/>
      <c r="K1757" s="1"/>
      <c r="L1757" s="1"/>
      <c r="M1757" s="1"/>
      <c r="N1757" s="1"/>
      <c r="O1757" s="1"/>
      <c r="P1757" s="1"/>
      <c r="Q1757" s="1"/>
      <c r="R1757" s="1"/>
      <c r="S1757" s="1"/>
    </row>
    <row r="1758" ht="10.5" customHeight="1">
      <c r="A1758" s="1"/>
      <c r="B1758" s="1"/>
      <c r="C1758" s="1"/>
      <c r="D1758" s="1"/>
      <c r="E1758" s="1"/>
      <c r="F1758" s="1"/>
      <c r="G1758" s="481"/>
      <c r="H1758" s="1"/>
      <c r="I1758" s="1"/>
      <c r="J1758" s="1"/>
      <c r="K1758" s="1"/>
      <c r="L1758" s="1"/>
      <c r="M1758" s="1"/>
      <c r="N1758" s="1"/>
      <c r="O1758" s="1"/>
      <c r="P1758" s="1"/>
      <c r="Q1758" s="1"/>
      <c r="R1758" s="1"/>
      <c r="S1758" s="1"/>
    </row>
    <row r="1759" ht="10.5" customHeight="1">
      <c r="A1759" s="1"/>
      <c r="B1759" s="1"/>
      <c r="C1759" s="1"/>
      <c r="D1759" s="1"/>
      <c r="E1759" s="1"/>
      <c r="F1759" s="1"/>
      <c r="G1759" s="481"/>
      <c r="H1759" s="1"/>
      <c r="I1759" s="1"/>
      <c r="J1759" s="1"/>
      <c r="K1759" s="1"/>
      <c r="L1759" s="1"/>
      <c r="M1759" s="1"/>
      <c r="N1759" s="1"/>
      <c r="O1759" s="1"/>
      <c r="P1759" s="1"/>
      <c r="Q1759" s="1"/>
      <c r="R1759" s="1"/>
      <c r="S1759" s="1"/>
    </row>
    <row r="1760" ht="10.5" customHeight="1">
      <c r="A1760" s="1"/>
      <c r="B1760" s="1"/>
      <c r="C1760" s="1"/>
      <c r="D1760" s="1"/>
      <c r="E1760" s="1"/>
      <c r="F1760" s="1"/>
      <c r="G1760" s="481"/>
      <c r="H1760" s="1"/>
      <c r="I1760" s="1"/>
      <c r="J1760" s="1"/>
      <c r="K1760" s="1"/>
      <c r="L1760" s="1"/>
      <c r="M1760" s="1"/>
      <c r="N1760" s="1"/>
      <c r="O1760" s="1"/>
      <c r="P1760" s="1"/>
      <c r="Q1760" s="1"/>
      <c r="R1760" s="1"/>
      <c r="S1760" s="1"/>
    </row>
    <row r="1761" ht="10.5" customHeight="1">
      <c r="A1761" s="1"/>
      <c r="B1761" s="1"/>
      <c r="C1761" s="1"/>
      <c r="D1761" s="1"/>
      <c r="E1761" s="1"/>
      <c r="F1761" s="1"/>
      <c r="G1761" s="481"/>
      <c r="H1761" s="1"/>
      <c r="I1761" s="1"/>
      <c r="J1761" s="1"/>
      <c r="K1761" s="1"/>
      <c r="L1761" s="1"/>
      <c r="M1761" s="1"/>
      <c r="N1761" s="1"/>
      <c r="O1761" s="1"/>
      <c r="P1761" s="1"/>
      <c r="Q1761" s="1"/>
      <c r="R1761" s="1"/>
      <c r="S1761" s="1"/>
    </row>
    <row r="1762" ht="10.5" customHeight="1">
      <c r="A1762" s="1"/>
      <c r="B1762" s="1"/>
      <c r="C1762" s="1"/>
      <c r="D1762" s="1"/>
      <c r="E1762" s="1"/>
      <c r="F1762" s="1"/>
      <c r="G1762" s="110">
        <v>26.0</v>
      </c>
      <c r="H1762" s="1"/>
      <c r="I1762" s="1"/>
      <c r="J1762" s="1"/>
      <c r="K1762" s="1"/>
      <c r="L1762" s="1"/>
      <c r="M1762" s="1"/>
      <c r="N1762" s="1"/>
      <c r="O1762" s="1"/>
      <c r="P1762" s="1"/>
      <c r="Q1762" s="1"/>
      <c r="R1762" s="1"/>
      <c r="S1762" s="1"/>
    </row>
    <row r="1763" ht="10.5" customHeight="1">
      <c r="A1763" s="1"/>
      <c r="B1763" s="1"/>
      <c r="C1763" s="1"/>
      <c r="D1763" s="1"/>
      <c r="E1763" s="1"/>
      <c r="F1763" s="1"/>
      <c r="G1763" s="481"/>
      <c r="H1763" s="1"/>
      <c r="I1763" s="1"/>
      <c r="J1763" s="1"/>
      <c r="K1763" s="1"/>
      <c r="L1763" s="1"/>
      <c r="M1763" s="1"/>
      <c r="N1763" s="1"/>
      <c r="O1763" s="1"/>
      <c r="P1763" s="1"/>
      <c r="Q1763" s="1"/>
      <c r="R1763" s="1"/>
      <c r="S1763" s="1"/>
    </row>
    <row r="1764" ht="10.5" customHeight="1">
      <c r="A1764" s="1"/>
      <c r="B1764" s="1"/>
      <c r="C1764" s="1"/>
      <c r="D1764" s="1"/>
      <c r="E1764" s="1"/>
      <c r="F1764" s="1"/>
      <c r="G1764" s="481"/>
      <c r="H1764" s="1"/>
      <c r="I1764" s="1"/>
      <c r="J1764" s="1"/>
      <c r="K1764" s="1"/>
      <c r="L1764" s="1"/>
      <c r="M1764" s="1"/>
      <c r="N1764" s="1"/>
      <c r="O1764" s="1"/>
      <c r="P1764" s="1"/>
      <c r="Q1764" s="1"/>
      <c r="R1764" s="1"/>
      <c r="S1764" s="1"/>
    </row>
    <row r="1765" ht="11.25" customHeight="1">
      <c r="A1765" s="1"/>
      <c r="B1765" s="1" t="s">
        <v>1153</v>
      </c>
      <c r="C1765" s="1"/>
      <c r="D1765" s="1"/>
      <c r="E1765" s="1"/>
      <c r="F1765" s="1"/>
      <c r="G1765" s="1"/>
      <c r="H1765" s="1"/>
      <c r="I1765" s="1"/>
      <c r="J1765" s="1"/>
      <c r="K1765" s="1"/>
      <c r="L1765" s="1"/>
      <c r="M1765" s="1"/>
      <c r="N1765" s="1"/>
      <c r="O1765" s="1"/>
      <c r="P1765" s="1"/>
      <c r="Q1765" s="1"/>
      <c r="R1765" s="1"/>
      <c r="S1765" s="1"/>
    </row>
    <row r="1766" ht="11.25" customHeight="1">
      <c r="A1766" s="1"/>
      <c r="B1766" s="29" t="s">
        <v>1154</v>
      </c>
      <c r="C1766" s="31" t="s">
        <v>1155</v>
      </c>
      <c r="D1766" s="31" t="s">
        <v>926</v>
      </c>
      <c r="E1766" s="31" t="s">
        <v>1157</v>
      </c>
      <c r="F1766" s="31" t="s">
        <v>1158</v>
      </c>
      <c r="G1766" s="31" t="s">
        <v>512</v>
      </c>
      <c r="H1766" s="31" t="s">
        <v>1161</v>
      </c>
      <c r="I1766" s="128" t="s">
        <v>1163</v>
      </c>
      <c r="J1766" s="273"/>
      <c r="K1766" s="273"/>
      <c r="L1766" s="1"/>
      <c r="M1766" s="1"/>
      <c r="N1766" s="1"/>
      <c r="O1766" s="1"/>
      <c r="P1766" s="1"/>
      <c r="Q1766" s="1"/>
      <c r="R1766" s="1"/>
      <c r="S1766" s="1"/>
    </row>
    <row r="1767" ht="12.0" customHeight="1">
      <c r="A1767" s="1"/>
      <c r="B1767" s="5"/>
      <c r="C1767" s="6"/>
      <c r="D1767" s="6"/>
      <c r="E1767" s="6"/>
      <c r="F1767" s="6"/>
      <c r="G1767" s="6"/>
      <c r="H1767" s="6"/>
      <c r="I1767" s="31" t="s">
        <v>1165</v>
      </c>
      <c r="J1767" s="7" t="s">
        <v>1166</v>
      </c>
      <c r="K1767" s="7" t="s">
        <v>1167</v>
      </c>
      <c r="L1767" s="1"/>
      <c r="M1767" s="1"/>
      <c r="N1767" s="1"/>
      <c r="O1767" s="1"/>
      <c r="P1767" s="1"/>
      <c r="Q1767" s="1"/>
      <c r="R1767" s="1"/>
      <c r="S1767" s="1"/>
    </row>
    <row r="1768" ht="10.5" customHeight="1">
      <c r="A1768" s="1"/>
      <c r="B1768" s="6"/>
      <c r="C1768" s="134" t="s">
        <v>48</v>
      </c>
      <c r="D1768" s="134" t="s">
        <v>49</v>
      </c>
      <c r="E1768" s="134" t="s">
        <v>52</v>
      </c>
      <c r="F1768" s="134" t="s">
        <v>54</v>
      </c>
      <c r="G1768" s="134" t="s">
        <v>50</v>
      </c>
      <c r="H1768" s="134" t="s">
        <v>49</v>
      </c>
      <c r="I1768" s="6"/>
      <c r="J1768" s="134" t="s">
        <v>49</v>
      </c>
      <c r="K1768" s="134" t="s">
        <v>1170</v>
      </c>
      <c r="L1768" s="1"/>
      <c r="M1768" s="1"/>
      <c r="N1768" s="1"/>
      <c r="O1768" s="1"/>
      <c r="P1768" s="1"/>
      <c r="Q1768" s="1"/>
      <c r="R1768" s="1"/>
      <c r="S1768" s="1"/>
    </row>
    <row r="1769" ht="10.5" customHeight="1">
      <c r="A1769" s="1"/>
      <c r="B1769" s="48" t="s">
        <v>56</v>
      </c>
      <c r="C1769" s="136">
        <v>384.0</v>
      </c>
      <c r="D1769" s="136">
        <v>14062.0</v>
      </c>
      <c r="E1769" s="276">
        <v>24.72</v>
      </c>
      <c r="F1769" s="489">
        <v>7.6</v>
      </c>
      <c r="G1769" s="30">
        <v>347618.0</v>
      </c>
      <c r="H1769" s="30">
        <v>1611.0</v>
      </c>
      <c r="I1769" s="55">
        <v>1981.0</v>
      </c>
      <c r="J1769" s="250">
        <v>904.9</v>
      </c>
      <c r="K1769" s="250">
        <v>255.8</v>
      </c>
      <c r="L1769" s="1"/>
      <c r="M1769" s="1"/>
      <c r="N1769" s="1"/>
      <c r="O1769" s="1"/>
      <c r="P1769" s="1"/>
      <c r="Q1769" s="1"/>
      <c r="R1769" s="1"/>
      <c r="S1769" s="1"/>
    </row>
    <row r="1770" ht="10.5" customHeight="1">
      <c r="A1770" s="1"/>
      <c r="B1770" s="48" t="s">
        <v>81</v>
      </c>
      <c r="C1770" s="136">
        <v>393.0</v>
      </c>
      <c r="D1770" s="136">
        <v>19532.0</v>
      </c>
      <c r="E1770" s="276">
        <v>22.78</v>
      </c>
      <c r="F1770" s="489">
        <v>7.3</v>
      </c>
      <c r="G1770" s="30">
        <v>444942.0</v>
      </c>
      <c r="H1770" s="30">
        <v>2055.0</v>
      </c>
      <c r="I1770" s="55">
        <v>1982.0</v>
      </c>
      <c r="J1770" s="250">
        <v>999.5</v>
      </c>
      <c r="K1770" s="250">
        <v>196.8</v>
      </c>
      <c r="L1770" s="1"/>
      <c r="M1770" s="1"/>
      <c r="N1770" s="1"/>
      <c r="O1770" s="1"/>
      <c r="P1770" s="1"/>
      <c r="Q1770" s="1"/>
      <c r="R1770" s="1"/>
      <c r="S1770" s="1"/>
    </row>
    <row r="1771" ht="10.5" customHeight="1">
      <c r="A1771" s="1"/>
      <c r="B1771" s="48" t="s">
        <v>86</v>
      </c>
      <c r="C1771" s="136">
        <v>406.0</v>
      </c>
      <c r="D1771" s="136">
        <v>19339.0</v>
      </c>
      <c r="E1771" s="276">
        <v>25.29</v>
      </c>
      <c r="F1771" s="489">
        <v>8.0</v>
      </c>
      <c r="G1771" s="30">
        <v>489095.0</v>
      </c>
      <c r="H1771" s="30">
        <v>2126.0</v>
      </c>
      <c r="I1771" s="55">
        <v>1983.0</v>
      </c>
      <c r="J1771" s="250">
        <v>805.9</v>
      </c>
      <c r="K1771" s="250">
        <v>153.6</v>
      </c>
      <c r="L1771" s="1"/>
      <c r="M1771" s="1"/>
      <c r="N1771" s="1"/>
      <c r="O1771" s="1"/>
      <c r="P1771" s="1"/>
      <c r="Q1771" s="1"/>
      <c r="R1771" s="1"/>
      <c r="S1771" s="1"/>
    </row>
    <row r="1772" ht="10.5" customHeight="1">
      <c r="A1772" s="1"/>
      <c r="B1772" s="48" t="s">
        <v>87</v>
      </c>
      <c r="C1772" s="136">
        <v>412.0</v>
      </c>
      <c r="D1772" s="136">
        <v>13423.0</v>
      </c>
      <c r="E1772" s="276">
        <v>33.56</v>
      </c>
      <c r="F1772" s="489">
        <v>10.6</v>
      </c>
      <c r="G1772" s="30">
        <v>450472.0</v>
      </c>
      <c r="H1772" s="30">
        <v>1378.0</v>
      </c>
      <c r="I1772" s="55">
        <v>1984.0</v>
      </c>
      <c r="J1772" s="250">
        <v>829.8</v>
      </c>
      <c r="K1772" s="250">
        <v>190.3</v>
      </c>
      <c r="L1772" s="1"/>
      <c r="M1772" s="1"/>
      <c r="N1772" s="1"/>
      <c r="O1772" s="1"/>
      <c r="P1772" s="1"/>
      <c r="Q1772" s="1"/>
      <c r="R1772" s="1"/>
      <c r="S1772" s="1"/>
    </row>
    <row r="1773" ht="10.5" customHeight="1">
      <c r="A1773" s="1"/>
      <c r="B1773" s="48" t="s">
        <v>90</v>
      </c>
      <c r="C1773" s="136">
        <v>407.0</v>
      </c>
      <c r="D1773" s="136">
        <v>22356.0</v>
      </c>
      <c r="E1773" s="276">
        <v>27.33</v>
      </c>
      <c r="F1773" s="489">
        <v>8.8</v>
      </c>
      <c r="G1773" s="30">
        <v>610978.0</v>
      </c>
      <c r="H1773" s="30">
        <v>2370.0</v>
      </c>
      <c r="I1773" s="55">
        <v>1985.0</v>
      </c>
      <c r="J1773" s="250">
        <v>1212.6</v>
      </c>
      <c r="K1773" s="250">
        <v>287.1</v>
      </c>
      <c r="L1773" s="1"/>
      <c r="M1773" s="1"/>
      <c r="N1773" s="1"/>
      <c r="O1773" s="1"/>
      <c r="P1773" s="1"/>
      <c r="Q1773" s="1"/>
      <c r="R1773" s="1"/>
      <c r="S1773" s="1"/>
    </row>
    <row r="1774" ht="10.5" customHeight="1">
      <c r="A1774" s="1"/>
      <c r="B1774" s="48"/>
      <c r="C1774" s="136"/>
      <c r="D1774" s="136"/>
      <c r="E1774" s="276"/>
      <c r="F1774" s="489"/>
      <c r="G1774" s="30"/>
      <c r="H1774" s="30"/>
      <c r="I1774" s="55"/>
      <c r="J1774" s="250"/>
      <c r="K1774" s="250"/>
      <c r="L1774" s="1"/>
      <c r="M1774" s="1"/>
      <c r="N1774" s="1"/>
      <c r="O1774" s="1"/>
      <c r="P1774" s="1"/>
      <c r="Q1774" s="1"/>
      <c r="R1774" s="1"/>
      <c r="S1774" s="1"/>
    </row>
    <row r="1775" ht="10.5" customHeight="1">
      <c r="A1775" s="1"/>
      <c r="B1775" s="48" t="s">
        <v>93</v>
      </c>
      <c r="C1775" s="136">
        <v>411.0</v>
      </c>
      <c r="D1775" s="136">
        <v>18803.0</v>
      </c>
      <c r="E1775" s="276">
        <v>30.76</v>
      </c>
      <c r="F1775" s="489">
        <v>9.8</v>
      </c>
      <c r="G1775" s="30">
        <v>578386.0</v>
      </c>
      <c r="H1775" s="30">
        <v>2117.0</v>
      </c>
      <c r="I1775" s="55">
        <v>1986.0</v>
      </c>
      <c r="J1775" s="250">
        <v>1201.8</v>
      </c>
      <c r="K1775" s="250">
        <v>358.0</v>
      </c>
      <c r="L1775" s="1"/>
      <c r="M1775" s="1"/>
      <c r="N1775" s="1"/>
      <c r="O1775" s="1"/>
      <c r="P1775" s="1"/>
      <c r="Q1775" s="1"/>
      <c r="R1775" s="1"/>
      <c r="S1775" s="1"/>
    </row>
    <row r="1776" ht="10.5" customHeight="1">
      <c r="A1776" s="1"/>
      <c r="B1776" s="48" t="s">
        <v>97</v>
      </c>
      <c r="C1776" s="136">
        <v>401.0</v>
      </c>
      <c r="D1776" s="136">
        <v>18252.0</v>
      </c>
      <c r="E1776" s="276">
        <v>35.99</v>
      </c>
      <c r="F1776" s="489">
        <v>11.4</v>
      </c>
      <c r="G1776" s="30">
        <v>658142.0</v>
      </c>
      <c r="H1776" s="30">
        <v>2014.0</v>
      </c>
      <c r="I1776" s="55">
        <v>1987.0</v>
      </c>
      <c r="J1776" s="250">
        <v>1309.2</v>
      </c>
      <c r="K1776" s="250">
        <v>383.7</v>
      </c>
      <c r="L1776" s="1"/>
      <c r="M1776" s="1"/>
      <c r="N1776" s="1"/>
      <c r="O1776" s="1"/>
      <c r="P1776" s="1"/>
      <c r="Q1776" s="1"/>
      <c r="R1776" s="1"/>
      <c r="S1776" s="1"/>
    </row>
    <row r="1777" ht="10.5" customHeight="1">
      <c r="A1777" s="1"/>
      <c r="B1777" s="48" t="s">
        <v>101</v>
      </c>
      <c r="C1777" s="136">
        <v>388.0</v>
      </c>
      <c r="D1777" s="136">
        <v>21021.0</v>
      </c>
      <c r="E1777" s="276">
        <v>32.62</v>
      </c>
      <c r="F1777" s="489">
        <v>10.5</v>
      </c>
      <c r="G1777" s="30">
        <v>687189.0</v>
      </c>
      <c r="H1777" s="30">
        <v>2179.0</v>
      </c>
      <c r="I1777" s="55">
        <v>1988.0</v>
      </c>
      <c r="J1777" s="250">
        <v>1152.7</v>
      </c>
      <c r="K1777" s="250">
        <v>499.4</v>
      </c>
      <c r="L1777" s="1"/>
      <c r="M1777" s="1"/>
      <c r="N1777" s="1"/>
      <c r="O1777" s="1"/>
      <c r="P1777" s="1"/>
      <c r="Q1777" s="1"/>
      <c r="R1777" s="1"/>
      <c r="S1777" s="1"/>
    </row>
    <row r="1778" ht="10.5" customHeight="1">
      <c r="A1778" s="1"/>
      <c r="B1778" s="48" t="s">
        <v>103</v>
      </c>
      <c r="C1778" s="136">
        <v>382.0</v>
      </c>
      <c r="D1778" s="136">
        <v>19811.0</v>
      </c>
      <c r="E1778" s="276">
        <v>41.11</v>
      </c>
      <c r="F1778" s="489">
        <v>13.0</v>
      </c>
      <c r="G1778" s="30">
        <v>816625.0</v>
      </c>
      <c r="H1778" s="30">
        <v>2168.0</v>
      </c>
      <c r="I1778" s="55">
        <v>1989.0</v>
      </c>
      <c r="J1778" s="250">
        <v>1218.1</v>
      </c>
      <c r="K1778" s="250">
        <v>722.1</v>
      </c>
      <c r="L1778" s="1"/>
      <c r="M1778" s="1"/>
      <c r="N1778" s="1"/>
      <c r="O1778" s="1"/>
      <c r="P1778" s="1"/>
      <c r="Q1778" s="1"/>
      <c r="R1778" s="1"/>
      <c r="S1778" s="1"/>
    </row>
    <row r="1779" ht="10.5" customHeight="1">
      <c r="A1779" s="1"/>
      <c r="B1779" s="48" t="s">
        <v>104</v>
      </c>
      <c r="C1779" s="136">
        <v>377.0</v>
      </c>
      <c r="D1779" s="136">
        <v>18587.0</v>
      </c>
      <c r="E1779" s="276">
        <v>50.58</v>
      </c>
      <c r="F1779" s="489">
        <v>16.2</v>
      </c>
      <c r="G1779" s="30">
        <v>942624.0</v>
      </c>
      <c r="H1779" s="30">
        <v>2137.0</v>
      </c>
      <c r="I1779" s="55">
        <v>1990.0</v>
      </c>
      <c r="J1779" s="250">
        <v>1013.6</v>
      </c>
      <c r="K1779" s="250">
        <v>729.3</v>
      </c>
      <c r="L1779" s="1"/>
      <c r="M1779" s="1"/>
      <c r="N1779" s="1"/>
      <c r="O1779" s="1"/>
      <c r="P1779" s="1"/>
      <c r="Q1779" s="1"/>
      <c r="R1779" s="1"/>
      <c r="S1779" s="1"/>
    </row>
    <row r="1780" ht="10.5" customHeight="1">
      <c r="A1780" s="1"/>
      <c r="B1780" s="48"/>
      <c r="C1780" s="136"/>
      <c r="D1780" s="136"/>
      <c r="E1780" s="276"/>
      <c r="F1780" s="489"/>
      <c r="G1780" s="30"/>
      <c r="H1780" s="30"/>
      <c r="I1780" s="55"/>
      <c r="J1780" s="250"/>
      <c r="K1780" s="250"/>
      <c r="L1780" s="1"/>
      <c r="M1780" s="1"/>
      <c r="N1780" s="1"/>
      <c r="O1780" s="1"/>
      <c r="P1780" s="1"/>
      <c r="Q1780" s="1"/>
      <c r="R1780" s="1"/>
      <c r="S1780" s="1"/>
    </row>
    <row r="1781" ht="10.5" customHeight="1">
      <c r="A1781" s="1"/>
      <c r="B1781" s="48" t="s">
        <v>108</v>
      </c>
      <c r="C1781" s="136">
        <v>375.0</v>
      </c>
      <c r="D1781" s="136">
        <v>18083.0</v>
      </c>
      <c r="E1781" s="276">
        <v>55.39</v>
      </c>
      <c r="F1781" s="489">
        <v>17.5</v>
      </c>
      <c r="G1781" s="30">
        <v>1001644.0</v>
      </c>
      <c r="H1781" s="30">
        <v>2028.0</v>
      </c>
      <c r="I1781" s="55">
        <v>1991.0</v>
      </c>
      <c r="J1781" s="250">
        <v>1097.1</v>
      </c>
      <c r="K1781" s="250">
        <v>616.7</v>
      </c>
      <c r="L1781" s="1"/>
      <c r="M1781" s="1"/>
      <c r="N1781" s="1"/>
      <c r="O1781" s="1"/>
      <c r="P1781" s="1"/>
      <c r="Q1781" s="1"/>
      <c r="R1781" s="1"/>
      <c r="S1781" s="1"/>
    </row>
    <row r="1782" ht="10.5" customHeight="1">
      <c r="A1782" s="1"/>
      <c r="B1782" s="48" t="s">
        <v>111</v>
      </c>
      <c r="C1782" s="136">
        <v>378.0</v>
      </c>
      <c r="D1782" s="136">
        <v>20078.0</v>
      </c>
      <c r="E1782" s="276">
        <v>56.8</v>
      </c>
      <c r="F1782" s="489">
        <v>18.0</v>
      </c>
      <c r="G1782" s="30">
        <v>1140428.0</v>
      </c>
      <c r="H1782" s="30">
        <v>2289.0</v>
      </c>
      <c r="I1782" s="55">
        <v>1992.0</v>
      </c>
      <c r="J1782" s="250">
        <v>508.4</v>
      </c>
      <c r="K1782" s="250">
        <v>278.6</v>
      </c>
      <c r="L1782" s="1"/>
      <c r="M1782" s="1"/>
      <c r="N1782" s="1"/>
      <c r="O1782" s="1"/>
      <c r="P1782" s="1"/>
      <c r="Q1782" s="1"/>
      <c r="R1782" s="1"/>
      <c r="S1782" s="1"/>
    </row>
    <row r="1783" ht="10.5" customHeight="1">
      <c r="A1783" s="1"/>
      <c r="B1783" s="48" t="s">
        <v>112</v>
      </c>
      <c r="C1783" s="136">
        <v>386.0</v>
      </c>
      <c r="D1783" s="136">
        <v>12955.0</v>
      </c>
      <c r="E1783" s="276">
        <v>94.66</v>
      </c>
      <c r="F1783" s="489">
        <v>28.5</v>
      </c>
      <c r="G1783" s="30">
        <v>1226359.0</v>
      </c>
      <c r="H1783" s="30">
        <v>1508.0</v>
      </c>
      <c r="I1783" s="55">
        <v>1993.0</v>
      </c>
      <c r="J1783" s="250">
        <v>268.1</v>
      </c>
      <c r="K1783" s="250">
        <v>162.1</v>
      </c>
      <c r="L1783" s="1"/>
      <c r="M1783" s="1"/>
      <c r="N1783" s="1"/>
      <c r="O1783" s="1"/>
      <c r="P1783" s="1"/>
      <c r="Q1783" s="1"/>
      <c r="R1783" s="1"/>
      <c r="S1783" s="1"/>
    </row>
    <row r="1784" ht="10.5" customHeight="1">
      <c r="A1784" s="1"/>
      <c r="B1784" s="48" t="s">
        <v>113</v>
      </c>
      <c r="C1784" s="136">
        <v>384.0</v>
      </c>
      <c r="D1784" s="136">
        <v>11244.0</v>
      </c>
      <c r="E1784" s="276">
        <v>99.89</v>
      </c>
      <c r="F1784" s="489">
        <v>31.6</v>
      </c>
      <c r="G1784" s="30">
        <v>1123207.0</v>
      </c>
      <c r="H1784" s="30">
        <v>1172.0</v>
      </c>
      <c r="I1784" s="55">
        <v>1994.0</v>
      </c>
      <c r="J1784" s="250">
        <v>760.1</v>
      </c>
      <c r="K1784" s="250">
        <v>434.0</v>
      </c>
      <c r="L1784" s="1"/>
      <c r="M1784" s="1"/>
      <c r="N1784" s="1"/>
      <c r="O1784" s="1"/>
      <c r="P1784" s="1"/>
      <c r="Q1784" s="1"/>
      <c r="R1784" s="1"/>
      <c r="S1784" s="1"/>
    </row>
    <row r="1785" ht="10.5" customHeight="1">
      <c r="A1785" s="1"/>
      <c r="B1785" s="48" t="s">
        <v>114</v>
      </c>
      <c r="C1785" s="136">
        <v>394.0</v>
      </c>
      <c r="D1785" s="136">
        <v>15683.0</v>
      </c>
      <c r="E1785" s="276">
        <v>103.69</v>
      </c>
      <c r="F1785" s="489">
        <v>32.9</v>
      </c>
      <c r="G1785" s="30">
        <v>1626199.0</v>
      </c>
      <c r="H1785" s="30">
        <v>1668.0</v>
      </c>
      <c r="I1785" s="55">
        <v>1995.0</v>
      </c>
      <c r="J1785" s="250">
        <v>570.0</v>
      </c>
      <c r="K1785" s="250">
        <v>545.7</v>
      </c>
      <c r="L1785" s="1"/>
      <c r="M1785" s="1"/>
      <c r="N1785" s="1"/>
      <c r="O1785" s="1"/>
      <c r="P1785" s="1"/>
      <c r="Q1785" s="1"/>
      <c r="R1785" s="1"/>
      <c r="S1785" s="1"/>
    </row>
    <row r="1786" ht="10.5" customHeight="1">
      <c r="A1786" s="1"/>
      <c r="B1786" s="48"/>
      <c r="C1786" s="136"/>
      <c r="D1786" s="136"/>
      <c r="E1786" s="276"/>
      <c r="F1786" s="489"/>
      <c r="G1786" s="30"/>
      <c r="H1786" s="30"/>
      <c r="I1786" s="55"/>
      <c r="J1786" s="250"/>
      <c r="K1786" s="250"/>
      <c r="L1786" s="1"/>
      <c r="M1786" s="1"/>
      <c r="N1786" s="1"/>
      <c r="O1786" s="1"/>
      <c r="P1786" s="1"/>
      <c r="Q1786" s="1"/>
      <c r="R1786" s="1"/>
      <c r="S1786" s="1"/>
    </row>
    <row r="1787" ht="10.5" customHeight="1">
      <c r="A1787" s="1"/>
      <c r="B1787" s="48" t="s">
        <v>115</v>
      </c>
      <c r="C1787" s="136">
        <v>404.0</v>
      </c>
      <c r="D1787" s="136">
        <v>16714.0</v>
      </c>
      <c r="E1787" s="276">
        <v>104.79</v>
      </c>
      <c r="F1787" s="489">
        <v>32.5</v>
      </c>
      <c r="G1787" s="30">
        <v>1751424.0</v>
      </c>
      <c r="H1787" s="30">
        <v>1667.0</v>
      </c>
      <c r="I1787" s="55">
        <v>1996.0</v>
      </c>
      <c r="J1787" s="250">
        <v>1057.1</v>
      </c>
      <c r="K1787" s="250">
        <v>1320.1</v>
      </c>
      <c r="L1787" s="1"/>
      <c r="M1787" s="1"/>
      <c r="N1787" s="1"/>
      <c r="O1787" s="1"/>
      <c r="P1787" s="1"/>
      <c r="Q1787" s="1"/>
      <c r="R1787" s="1"/>
      <c r="S1787" s="1"/>
    </row>
    <row r="1788" ht="10.5" customHeight="1">
      <c r="A1788" s="1"/>
      <c r="B1788" s="48" t="s">
        <v>117</v>
      </c>
      <c r="C1788" s="136">
        <v>412.0</v>
      </c>
      <c r="D1788" s="136">
        <v>20951.0</v>
      </c>
      <c r="E1788" s="276">
        <v>108.91</v>
      </c>
      <c r="F1788" s="489">
        <v>34.4</v>
      </c>
      <c r="G1788" s="30">
        <v>2281762.0</v>
      </c>
      <c r="H1788" s="30">
        <v>2269.0</v>
      </c>
      <c r="I1788" s="55">
        <v>1997.0</v>
      </c>
      <c r="J1788" s="250">
        <v>1078.3</v>
      </c>
      <c r="K1788" s="250">
        <v>1187.7</v>
      </c>
      <c r="L1788" s="1"/>
      <c r="M1788" s="1"/>
      <c r="N1788" s="1"/>
      <c r="O1788" s="1"/>
      <c r="P1788" s="1"/>
      <c r="Q1788" s="1"/>
      <c r="R1788" s="1"/>
      <c r="S1788" s="1"/>
    </row>
    <row r="1789" ht="10.5" customHeight="1">
      <c r="A1789" s="1"/>
      <c r="B1789" s="48" t="s">
        <v>121</v>
      </c>
      <c r="C1789" s="136">
        <v>421.0</v>
      </c>
      <c r="D1789" s="136">
        <v>22155.0</v>
      </c>
      <c r="E1789" s="276">
        <v>119.11</v>
      </c>
      <c r="F1789" s="489">
        <v>37.5</v>
      </c>
      <c r="G1789" s="30">
        <v>2638855.0</v>
      </c>
      <c r="H1789" s="30">
        <v>2412.0</v>
      </c>
      <c r="I1789" s="55">
        <v>1998.0</v>
      </c>
      <c r="J1789" s="250">
        <v>1472.0</v>
      </c>
      <c r="K1789" s="250">
        <v>1776.9</v>
      </c>
      <c r="L1789" s="154"/>
      <c r="M1789" s="154"/>
      <c r="N1789" s="1"/>
      <c r="O1789" s="1"/>
      <c r="P1789" s="1"/>
      <c r="Q1789" s="1"/>
      <c r="R1789" s="1"/>
      <c r="S1789" s="1"/>
    </row>
    <row r="1790" ht="10.5" customHeight="1">
      <c r="A1790" s="1"/>
      <c r="B1790" s="48" t="s">
        <v>122</v>
      </c>
      <c r="C1790" s="136">
        <v>417.0</v>
      </c>
      <c r="D1790" s="136">
        <v>22930.0</v>
      </c>
      <c r="E1790" s="276">
        <v>125.85</v>
      </c>
      <c r="F1790" s="489">
        <v>39.8</v>
      </c>
      <c r="G1790" s="30">
        <v>2885781.0</v>
      </c>
      <c r="H1790" s="30">
        <v>2646.0</v>
      </c>
      <c r="I1790" s="55">
        <v>1999.0</v>
      </c>
      <c r="J1790" s="250">
        <v>1440.5</v>
      </c>
      <c r="K1790" s="250">
        <v>1440.3</v>
      </c>
      <c r="L1790" s="641"/>
      <c r="M1790" s="1"/>
      <c r="N1790" s="1"/>
      <c r="O1790" s="1"/>
      <c r="P1790" s="1"/>
      <c r="Q1790" s="1"/>
      <c r="R1790" s="1"/>
      <c r="S1790" s="1"/>
    </row>
    <row r="1791" ht="10.5" customHeight="1">
      <c r="A1791" s="1"/>
      <c r="B1791" s="168" t="s">
        <v>123</v>
      </c>
      <c r="C1791" s="136">
        <v>422.0</v>
      </c>
      <c r="D1791" s="136">
        <v>21223.0</v>
      </c>
      <c r="E1791" s="276">
        <v>121.36</v>
      </c>
      <c r="F1791" s="489">
        <v>39.0</v>
      </c>
      <c r="G1791" s="30">
        <v>2575635.0</v>
      </c>
      <c r="H1791" s="30">
        <v>2532.0</v>
      </c>
      <c r="I1791" s="55">
        <v>2000.0</v>
      </c>
      <c r="J1791" s="250">
        <v>1707.5</v>
      </c>
      <c r="K1791" s="250">
        <v>1856.4</v>
      </c>
      <c r="L1791" s="641"/>
      <c r="M1791" s="1"/>
      <c r="N1791" s="1"/>
      <c r="O1791" s="1"/>
      <c r="P1791" s="1"/>
      <c r="Q1791" s="1"/>
      <c r="R1791" s="1"/>
      <c r="S1791" s="1"/>
    </row>
    <row r="1792" ht="10.5" customHeight="1">
      <c r="A1792" s="1"/>
      <c r="B1792" s="48"/>
      <c r="C1792" s="136"/>
      <c r="D1792" s="136"/>
      <c r="E1792" s="276"/>
      <c r="F1792" s="489"/>
      <c r="G1792" s="30"/>
      <c r="H1792" s="30"/>
      <c r="I1792" s="55"/>
      <c r="J1792" s="250"/>
      <c r="K1792" s="250"/>
      <c r="L1792" s="700"/>
      <c r="M1792" s="701"/>
      <c r="N1792" s="1"/>
      <c r="O1792" s="1"/>
      <c r="P1792" s="1"/>
      <c r="Q1792" s="1"/>
      <c r="R1792" s="1"/>
      <c r="S1792" s="1"/>
    </row>
    <row r="1793" ht="10.5" customHeight="1">
      <c r="A1793" s="1"/>
      <c r="B1793" s="48" t="s">
        <v>125</v>
      </c>
      <c r="C1793" s="136">
        <v>429.0</v>
      </c>
      <c r="D1793" s="136">
        <v>23876.0</v>
      </c>
      <c r="E1793" s="276">
        <v>130.5</v>
      </c>
      <c r="F1793" s="489">
        <v>40.9</v>
      </c>
      <c r="G1793" s="30">
        <v>3115839.0</v>
      </c>
      <c r="H1793" s="30">
        <v>2729.0</v>
      </c>
      <c r="I1793" s="55">
        <v>2001.0</v>
      </c>
      <c r="J1793" s="250">
        <v>1725.5</v>
      </c>
      <c r="K1793" s="250">
        <v>2702.8</v>
      </c>
      <c r="L1793" s="641"/>
      <c r="M1793" s="1"/>
      <c r="N1793" s="1"/>
      <c r="O1793" s="1"/>
      <c r="P1793" s="1"/>
      <c r="Q1793" s="1"/>
      <c r="R1793" s="1"/>
      <c r="S1793" s="1"/>
    </row>
    <row r="1794" ht="10.5" customHeight="1">
      <c r="A1794" s="1"/>
      <c r="B1794" s="48" t="s">
        <v>127</v>
      </c>
      <c r="C1794" s="136">
        <v>432.0</v>
      </c>
      <c r="D1794" s="136">
        <v>21157.0</v>
      </c>
      <c r="E1794" s="276">
        <v>160.23</v>
      </c>
      <c r="F1794" s="489">
        <v>48.7</v>
      </c>
      <c r="G1794" s="30">
        <v>3389987.0</v>
      </c>
      <c r="H1794" s="30">
        <v>2396.0</v>
      </c>
      <c r="I1794" s="55">
        <v>2002.0</v>
      </c>
      <c r="J1794" s="294">
        <v>1321.3</v>
      </c>
      <c r="K1794" s="693">
        <v>2280.8</v>
      </c>
      <c r="L1794" s="641"/>
      <c r="M1794" s="1"/>
      <c r="N1794" s="1"/>
      <c r="O1794" s="1"/>
      <c r="P1794" s="1"/>
      <c r="Q1794" s="1"/>
      <c r="R1794" s="1"/>
      <c r="S1794" s="1"/>
    </row>
    <row r="1795" ht="10.5" customHeight="1">
      <c r="A1795" s="1"/>
      <c r="B1795" s="48" t="s">
        <v>128</v>
      </c>
      <c r="C1795" s="278">
        <v>430.0</v>
      </c>
      <c r="D1795" s="278">
        <v>23013.0</v>
      </c>
      <c r="E1795" s="484">
        <v>171.78</v>
      </c>
      <c r="F1795" s="493">
        <v>53.8</v>
      </c>
      <c r="G1795" s="191">
        <v>3953173.0</v>
      </c>
      <c r="H1795" s="33">
        <v>2763.0</v>
      </c>
      <c r="I1795" s="55">
        <v>2003.0</v>
      </c>
      <c r="J1795" s="294">
        <v>1166.5</v>
      </c>
      <c r="K1795" s="693">
        <v>1786.9</v>
      </c>
      <c r="L1795" s="641"/>
      <c r="M1795" s="1"/>
      <c r="N1795" s="1"/>
      <c r="O1795" s="1"/>
      <c r="P1795" s="1"/>
      <c r="Q1795" s="1"/>
      <c r="R1795" s="1"/>
      <c r="S1795" s="1"/>
    </row>
    <row r="1796" ht="10.5" customHeight="1">
      <c r="A1796" s="1"/>
      <c r="B1796" s="85" t="s">
        <v>129</v>
      </c>
      <c r="C1796" s="169">
        <v>427.0</v>
      </c>
      <c r="D1796" s="169">
        <v>20419.0</v>
      </c>
      <c r="E1796" s="289">
        <v>169.08</v>
      </c>
      <c r="F1796" s="495">
        <v>54.1</v>
      </c>
      <c r="G1796" s="33">
        <v>3452433.0</v>
      </c>
      <c r="H1796" s="33">
        <v>2419.0</v>
      </c>
      <c r="I1796" s="238">
        <v>2004.0</v>
      </c>
      <c r="J1796" s="294">
        <v>1285.8</v>
      </c>
      <c r="K1796" s="693">
        <v>1590.7</v>
      </c>
      <c r="L1796" s="1"/>
      <c r="M1796" s="1"/>
      <c r="N1796" s="1"/>
      <c r="O1796" s="1"/>
      <c r="P1796" s="1"/>
      <c r="Q1796" s="1"/>
      <c r="R1796" s="1"/>
      <c r="S1796" s="1"/>
    </row>
    <row r="1797" ht="10.5" customHeight="1">
      <c r="A1797" s="1"/>
      <c r="B1797" s="85" t="s">
        <v>130</v>
      </c>
      <c r="C1797" s="169">
        <v>425.0</v>
      </c>
      <c r="D1797" s="169">
        <v>19095.0</v>
      </c>
      <c r="E1797" s="289">
        <v>159.55</v>
      </c>
      <c r="F1797" s="495">
        <v>51.6</v>
      </c>
      <c r="G1797" s="33">
        <v>3046569.0</v>
      </c>
      <c r="H1797" s="33">
        <v>2218.0</v>
      </c>
      <c r="I1797" s="238">
        <v>2005.0</v>
      </c>
      <c r="J1797" s="693">
        <v>1596.6</v>
      </c>
      <c r="K1797" s="693">
        <v>1991.8</v>
      </c>
      <c r="L1797" s="1"/>
      <c r="M1797" s="1"/>
      <c r="N1797" s="1"/>
      <c r="O1797" s="1"/>
      <c r="P1797" s="1"/>
      <c r="Q1797" s="1"/>
      <c r="R1797" s="1"/>
      <c r="S1797" s="1"/>
    </row>
    <row r="1798" ht="10.5" customHeight="1">
      <c r="A1798" s="1"/>
      <c r="B1798" s="85"/>
      <c r="C1798" s="169"/>
      <c r="D1798" s="169"/>
      <c r="E1798" s="289"/>
      <c r="F1798" s="495"/>
      <c r="G1798" s="33"/>
      <c r="H1798" s="33"/>
      <c r="I1798" s="238"/>
      <c r="J1798" s="693"/>
      <c r="K1798" s="693"/>
      <c r="L1798" s="1"/>
      <c r="M1798" s="1"/>
      <c r="N1798" s="1"/>
      <c r="O1798" s="1"/>
      <c r="P1798" s="1"/>
      <c r="Q1798" s="1"/>
      <c r="R1798" s="1"/>
      <c r="S1798" s="1"/>
    </row>
    <row r="1799" ht="10.5" customHeight="1">
      <c r="A1799" s="1"/>
      <c r="B1799" s="48" t="s">
        <v>131</v>
      </c>
      <c r="C1799" s="169">
        <v>424.0</v>
      </c>
      <c r="D1799" s="169">
        <v>21052.0</v>
      </c>
      <c r="E1799" s="289">
        <v>173.59</v>
      </c>
      <c r="F1799" s="495">
        <v>54.2</v>
      </c>
      <c r="G1799" s="33">
        <v>3654463.0</v>
      </c>
      <c r="H1799" s="33">
        <v>2507.0</v>
      </c>
      <c r="I1799" s="238">
        <v>2006.0</v>
      </c>
      <c r="J1799" s="693">
        <v>2959.9</v>
      </c>
      <c r="K1799" s="693">
        <v>3385.0</v>
      </c>
      <c r="L1799" s="1"/>
      <c r="M1799" s="1"/>
      <c r="N1799" s="1"/>
      <c r="O1799" s="1"/>
      <c r="P1799" s="1"/>
      <c r="Q1799" s="1"/>
      <c r="R1799" s="1"/>
      <c r="S1799" s="1"/>
    </row>
    <row r="1800" ht="10.5" customHeight="1">
      <c r="A1800" s="1"/>
      <c r="B1800" s="48" t="s">
        <v>133</v>
      </c>
      <c r="C1800" s="169">
        <v>420.0</v>
      </c>
      <c r="D1800" s="169">
        <v>20278.0</v>
      </c>
      <c r="E1800" s="289">
        <v>179.89</v>
      </c>
      <c r="F1800" s="495">
        <v>61.4</v>
      </c>
      <c r="G1800" s="33">
        <v>3647917.0</v>
      </c>
      <c r="H1800" s="408">
        <v>2235.0</v>
      </c>
      <c r="I1800" s="238">
        <v>2007.0</v>
      </c>
      <c r="J1800" s="54">
        <v>1168.6</v>
      </c>
      <c r="K1800" s="54">
        <v>2703.7</v>
      </c>
      <c r="L1800" s="1"/>
      <c r="M1800" s="1"/>
      <c r="N1800" s="1"/>
      <c r="O1800" s="1"/>
      <c r="P1800" s="1"/>
      <c r="Q1800" s="1"/>
      <c r="R1800" s="1"/>
      <c r="S1800" s="1"/>
    </row>
    <row r="1801" ht="10.5" customHeight="1">
      <c r="A1801" s="1"/>
      <c r="B1801" s="48" t="s">
        <v>134</v>
      </c>
      <c r="C1801" s="169">
        <v>413.0</v>
      </c>
      <c r="D1801" s="169">
        <v>19724.0</v>
      </c>
      <c r="E1801" s="289">
        <v>196.77</v>
      </c>
      <c r="F1801" s="495">
        <v>63.5</v>
      </c>
      <c r="G1801" s="33">
        <v>3881075.0</v>
      </c>
      <c r="H1801" s="408">
        <v>2281.0</v>
      </c>
      <c r="I1801" s="238">
        <v>2008.0</v>
      </c>
      <c r="J1801" s="54">
        <v>974.2</v>
      </c>
      <c r="K1801" s="54">
        <v>3229.6</v>
      </c>
      <c r="L1801" s="1"/>
      <c r="M1801" s="1"/>
      <c r="N1801" s="1"/>
      <c r="O1801" s="1"/>
      <c r="P1801" s="1"/>
      <c r="Q1801" s="1"/>
      <c r="R1801" s="1"/>
      <c r="S1801" s="1"/>
    </row>
    <row r="1802" ht="10.5" customHeight="1">
      <c r="A1802" s="1"/>
      <c r="B1802" s="293">
        <v>39692.0</v>
      </c>
      <c r="C1802" s="169">
        <v>389.0</v>
      </c>
      <c r="D1802" s="169">
        <v>19255.0</v>
      </c>
      <c r="E1802" s="289">
        <v>210.61</v>
      </c>
      <c r="F1802" s="495">
        <v>73.2</v>
      </c>
      <c r="G1802" s="33">
        <v>4055381.0</v>
      </c>
      <c r="H1802" s="33">
        <v>2269.0</v>
      </c>
      <c r="I1802" s="238">
        <v>2009.0</v>
      </c>
      <c r="J1802" s="693">
        <v>905.5</v>
      </c>
      <c r="K1802" s="693">
        <v>3152.8</v>
      </c>
      <c r="L1802" s="1"/>
      <c r="M1802" s="1"/>
      <c r="N1802" s="1"/>
      <c r="O1802" s="1"/>
      <c r="P1802" s="1"/>
      <c r="Q1802" s="1"/>
      <c r="R1802" s="1"/>
      <c r="S1802" s="1"/>
    </row>
    <row r="1803" ht="10.5" customHeight="1">
      <c r="A1803" s="1"/>
      <c r="B1803" s="293">
        <v>40087.0</v>
      </c>
      <c r="C1803" s="169">
        <v>382.0</v>
      </c>
      <c r="D1803" s="169">
        <v>18655.0</v>
      </c>
      <c r="E1803" s="289">
        <v>284.26</v>
      </c>
      <c r="F1803" s="495">
        <v>86.9</v>
      </c>
      <c r="G1803" s="33">
        <v>5302896.0</v>
      </c>
      <c r="H1803" s="33">
        <v>2187.0</v>
      </c>
      <c r="I1803" s="238">
        <v>2010.0</v>
      </c>
      <c r="J1803" s="693">
        <v>766.2</v>
      </c>
      <c r="K1803" s="693">
        <v>2352.0</v>
      </c>
      <c r="L1803" s="1"/>
      <c r="M1803" s="1"/>
      <c r="N1803" s="1"/>
      <c r="O1803" s="1"/>
      <c r="P1803" s="1"/>
      <c r="Q1803" s="1"/>
      <c r="R1803" s="1"/>
      <c r="S1803" s="1"/>
    </row>
    <row r="1804" ht="10.5" customHeight="1">
      <c r="A1804" s="1"/>
      <c r="B1804" s="293"/>
      <c r="C1804" s="169"/>
      <c r="D1804" s="169"/>
      <c r="E1804" s="289"/>
      <c r="F1804" s="495"/>
      <c r="G1804" s="33"/>
      <c r="H1804" s="33"/>
      <c r="I1804" s="238"/>
      <c r="J1804" s="693"/>
      <c r="K1804" s="693"/>
      <c r="L1804" s="1"/>
      <c r="M1804" s="1"/>
      <c r="N1804" s="1"/>
      <c r="O1804" s="1"/>
      <c r="P1804" s="1"/>
      <c r="Q1804" s="1"/>
      <c r="R1804" s="1"/>
      <c r="S1804" s="1"/>
    </row>
    <row r="1805" ht="10.5" customHeight="1">
      <c r="A1805" s="1"/>
      <c r="B1805" s="293">
        <v>40483.0</v>
      </c>
      <c r="C1805" s="169">
        <v>376.0</v>
      </c>
      <c r="D1805" s="169">
        <v>16016.0</v>
      </c>
      <c r="E1805" s="289">
        <v>311.54</v>
      </c>
      <c r="F1805" s="495">
        <v>100.0</v>
      </c>
      <c r="G1805" s="33">
        <v>4989675.0</v>
      </c>
      <c r="H1805" s="33">
        <v>1961.0</v>
      </c>
      <c r="I1805" s="238">
        <v>2011.0</v>
      </c>
      <c r="J1805" s="693">
        <v>378.0</v>
      </c>
      <c r="K1805" s="693">
        <v>1066.0</v>
      </c>
      <c r="L1805" s="1"/>
      <c r="M1805" s="1"/>
      <c r="N1805" s="1"/>
      <c r="O1805" s="1"/>
      <c r="P1805" s="1"/>
      <c r="Q1805" s="1"/>
      <c r="R1805" s="1"/>
      <c r="S1805" s="1"/>
    </row>
    <row r="1806" ht="10.5" customHeight="1">
      <c r="A1806" s="1"/>
      <c r="B1806" s="85" t="s">
        <v>143</v>
      </c>
      <c r="C1806" s="376">
        <v>367.0</v>
      </c>
      <c r="D1806" s="376">
        <v>16800.0</v>
      </c>
      <c r="E1806" s="463">
        <v>352.38</v>
      </c>
      <c r="F1806" s="498">
        <v>110.1</v>
      </c>
      <c r="G1806" s="415">
        <v>5920082.0</v>
      </c>
      <c r="H1806" s="415">
        <v>1822.0</v>
      </c>
      <c r="I1806" s="702">
        <v>2012.0</v>
      </c>
      <c r="J1806" s="693">
        <v>137.2</v>
      </c>
      <c r="K1806" s="693">
        <v>566.0</v>
      </c>
      <c r="L1806" s="1"/>
      <c r="M1806" s="1"/>
      <c r="N1806" s="1"/>
      <c r="O1806" s="1"/>
      <c r="P1806" s="1"/>
      <c r="Q1806" s="1"/>
      <c r="R1806" s="1"/>
      <c r="S1806" s="1"/>
    </row>
    <row r="1807" ht="10.5" customHeight="1">
      <c r="A1807" s="1"/>
      <c r="B1807" s="85" t="s">
        <v>149</v>
      </c>
      <c r="C1807" s="376">
        <v>380.0</v>
      </c>
      <c r="D1807" s="376">
        <v>17278.0</v>
      </c>
      <c r="E1807" s="463">
        <v>389.08</v>
      </c>
      <c r="F1807" s="498">
        <v>121.7</v>
      </c>
      <c r="G1807" s="415">
        <v>6702532.0</v>
      </c>
      <c r="H1807" s="415">
        <v>1952.0</v>
      </c>
      <c r="I1807" s="702">
        <v>2013.0</v>
      </c>
      <c r="J1807" s="693">
        <v>249.8</v>
      </c>
      <c r="K1807" s="693">
        <v>1173.0</v>
      </c>
      <c r="L1807" s="1"/>
      <c r="M1807" s="1"/>
      <c r="N1807" s="1"/>
      <c r="O1807" s="1"/>
      <c r="P1807" s="1"/>
      <c r="Q1807" s="1"/>
      <c r="R1807" s="1"/>
      <c r="S1807" s="1"/>
    </row>
    <row r="1808" ht="10.5" customHeight="1">
      <c r="A1808" s="1"/>
      <c r="B1808" s="85" t="s">
        <v>151</v>
      </c>
      <c r="C1808" s="376">
        <v>379.0</v>
      </c>
      <c r="D1808" s="376">
        <v>20033.0</v>
      </c>
      <c r="E1808" s="463">
        <v>394.63</v>
      </c>
      <c r="F1808" s="498">
        <v>121.1</v>
      </c>
      <c r="G1808" s="415">
        <v>7905610.0</v>
      </c>
      <c r="H1808" s="415">
        <v>2343.0</v>
      </c>
      <c r="I1808" s="702">
        <v>2014.0</v>
      </c>
      <c r="J1808" s="693">
        <v>800.4</v>
      </c>
      <c r="K1808" s="693">
        <v>3418.8</v>
      </c>
      <c r="L1808" s="1"/>
      <c r="M1808" s="1"/>
      <c r="N1808" s="1"/>
      <c r="O1808" s="1"/>
      <c r="P1808" s="1"/>
      <c r="Q1808" s="1"/>
      <c r="R1808" s="1"/>
      <c r="S1808" s="1"/>
    </row>
    <row r="1809" ht="10.5" customHeight="1">
      <c r="A1809" s="1"/>
      <c r="B1809" s="85" t="s">
        <v>153</v>
      </c>
      <c r="C1809" s="376">
        <v>382.0</v>
      </c>
      <c r="D1809" s="376">
        <v>17756.0</v>
      </c>
      <c r="E1809" s="463">
        <v>433.9</v>
      </c>
      <c r="F1809" s="498">
        <v>132.0</v>
      </c>
      <c r="G1809" s="415">
        <v>7704128.0</v>
      </c>
      <c r="H1809" s="415">
        <v>2108.0</v>
      </c>
      <c r="I1809" s="702">
        <v>2015.0</v>
      </c>
      <c r="J1809" s="693">
        <v>458.6</v>
      </c>
      <c r="K1809" s="693">
        <v>2015.0</v>
      </c>
      <c r="L1809" s="1"/>
      <c r="M1809" s="1"/>
      <c r="N1809" s="1"/>
      <c r="O1809" s="1"/>
      <c r="P1809" s="1"/>
      <c r="Q1809" s="1"/>
      <c r="R1809" s="1"/>
      <c r="S1809" s="1"/>
    </row>
    <row r="1810" ht="10.5" customHeight="1">
      <c r="A1810" s="1"/>
      <c r="B1810" s="85"/>
      <c r="C1810" s="376"/>
      <c r="D1810" s="376"/>
      <c r="E1810" s="463"/>
      <c r="F1810" s="498"/>
      <c r="G1810" s="415"/>
      <c r="H1810" s="415"/>
      <c r="I1810" s="702"/>
      <c r="J1810" s="693"/>
      <c r="K1810" s="693"/>
      <c r="L1810" s="1"/>
      <c r="M1810" s="1"/>
      <c r="N1810" s="1"/>
      <c r="O1810" s="1"/>
      <c r="P1810" s="1"/>
      <c r="Q1810" s="1"/>
      <c r="R1810" s="1"/>
      <c r="S1810" s="1"/>
    </row>
    <row r="1811" ht="10.5" customHeight="1">
      <c r="A1811" s="1"/>
      <c r="B1811" s="85" t="s">
        <v>155</v>
      </c>
      <c r="C1811" s="376">
        <v>362.0</v>
      </c>
      <c r="D1811" s="376">
        <v>14861.0</v>
      </c>
      <c r="E1811" s="463">
        <v>457.02</v>
      </c>
      <c r="F1811" s="498">
        <v>145.6</v>
      </c>
      <c r="G1811" s="415">
        <v>6791958.0</v>
      </c>
      <c r="H1811" s="415">
        <v>1620.0</v>
      </c>
      <c r="I1811" s="702">
        <v>2016.0</v>
      </c>
      <c r="J1811" s="693">
        <v>46.8</v>
      </c>
      <c r="K1811" s="693">
        <v>379.7</v>
      </c>
      <c r="L1811" s="1"/>
      <c r="M1811" s="1"/>
      <c r="N1811" s="1"/>
      <c r="O1811" s="1"/>
      <c r="P1811" s="1"/>
      <c r="Q1811" s="1"/>
      <c r="R1811" s="1"/>
      <c r="S1811" s="1"/>
    </row>
    <row r="1812" ht="10.5" customHeight="1">
      <c r="A1812" s="1"/>
      <c r="B1812" s="85" t="s">
        <v>160</v>
      </c>
      <c r="C1812" s="376">
        <v>362.0</v>
      </c>
      <c r="D1812" s="376">
        <v>15074.0</v>
      </c>
      <c r="E1812" s="463">
        <v>564.39</v>
      </c>
      <c r="F1812" s="498">
        <v>170.7</v>
      </c>
      <c r="G1812" s="415">
        <v>8507959.0</v>
      </c>
      <c r="H1812" s="415">
        <v>1539.0</v>
      </c>
      <c r="I1812" s="702">
        <v>2017.0</v>
      </c>
      <c r="J1812" s="258">
        <v>4.9</v>
      </c>
      <c r="K1812" s="704">
        <v>17.5</v>
      </c>
      <c r="L1812" s="1"/>
      <c r="M1812" s="1"/>
      <c r="N1812" s="1"/>
      <c r="O1812" s="1"/>
      <c r="P1812" s="1"/>
      <c r="Q1812" s="1"/>
      <c r="R1812" s="1"/>
      <c r="S1812" s="1"/>
    </row>
    <row r="1813" ht="10.5" customHeight="1">
      <c r="A1813" s="1"/>
      <c r="B1813" s="96" t="s">
        <v>1175</v>
      </c>
      <c r="C1813" s="378">
        <v>361.0</v>
      </c>
      <c r="D1813" s="378">
        <v>17388.0</v>
      </c>
      <c r="E1813" s="488">
        <v>559.3</v>
      </c>
      <c r="F1813" s="501">
        <v>173.4</v>
      </c>
      <c r="G1813" s="470">
        <v>9388779.0</v>
      </c>
      <c r="H1813" s="470">
        <v>1983.0</v>
      </c>
      <c r="I1813" s="705">
        <v>2018.0</v>
      </c>
      <c r="J1813" s="706">
        <v>763.4</v>
      </c>
      <c r="K1813" s="707">
        <v>3675.9</v>
      </c>
      <c r="L1813" s="1"/>
      <c r="M1813" s="1"/>
      <c r="N1813" s="1"/>
      <c r="O1813" s="1"/>
      <c r="P1813" s="1"/>
      <c r="Q1813" s="1"/>
      <c r="R1813" s="1"/>
      <c r="S1813" s="1"/>
    </row>
    <row r="1814" ht="6.0" customHeight="1">
      <c r="A1814" s="1"/>
      <c r="B1814" s="291"/>
      <c r="C1814" s="708"/>
      <c r="D1814" s="708"/>
      <c r="E1814" s="709"/>
      <c r="F1814" s="503"/>
      <c r="G1814" s="667"/>
      <c r="H1814" s="92"/>
      <c r="I1814" s="710"/>
      <c r="J1814" s="1"/>
      <c r="K1814" s="1"/>
      <c r="L1814" s="1"/>
      <c r="M1814" s="1"/>
      <c r="N1814" s="1"/>
      <c r="O1814" s="1"/>
      <c r="P1814" s="1"/>
      <c r="Q1814" s="1"/>
      <c r="R1814" s="1"/>
      <c r="S1814" s="1"/>
    </row>
    <row r="1815" ht="10.5" customHeight="1">
      <c r="A1815" s="281"/>
      <c r="B1815" s="185" t="s">
        <v>1177</v>
      </c>
      <c r="C1815" s="185"/>
      <c r="D1815" s="185"/>
      <c r="E1815" s="185"/>
      <c r="F1815" s="185"/>
      <c r="G1815" s="281"/>
      <c r="H1815" s="281"/>
      <c r="I1815" s="281"/>
      <c r="J1815" s="281"/>
      <c r="K1815" s="281"/>
      <c r="L1815" s="281"/>
      <c r="M1815" s="281"/>
      <c r="N1815" s="281"/>
      <c r="O1815" s="281"/>
      <c r="P1815" s="281"/>
      <c r="Q1815" s="281"/>
      <c r="R1815" s="281"/>
      <c r="S1815" s="281"/>
    </row>
    <row r="1816" ht="10.5" customHeight="1">
      <c r="A1816" s="281"/>
      <c r="B1816" s="185" t="s">
        <v>1178</v>
      </c>
      <c r="G1816" s="281"/>
      <c r="H1816" s="281"/>
      <c r="I1816" s="281"/>
      <c r="J1816" s="281"/>
      <c r="K1816" s="281"/>
      <c r="L1816" s="281"/>
      <c r="M1816" s="281"/>
      <c r="N1816" s="281"/>
      <c r="O1816" s="281"/>
      <c r="P1816" s="281"/>
      <c r="Q1816" s="281"/>
      <c r="R1816" s="281"/>
      <c r="S1816" s="281"/>
    </row>
    <row r="1817" ht="10.5" customHeight="1">
      <c r="A1817" s="281"/>
      <c r="B1817" s="185" t="s">
        <v>1179</v>
      </c>
      <c r="C1817" s="185"/>
      <c r="D1817" s="185"/>
      <c r="E1817" s="185"/>
      <c r="F1817" s="185"/>
      <c r="G1817" s="281"/>
      <c r="H1817" s="281"/>
      <c r="I1817" s="281"/>
      <c r="J1817" s="281"/>
      <c r="K1817" s="281"/>
      <c r="L1817" s="281"/>
      <c r="M1817" s="281"/>
      <c r="N1817" s="281"/>
      <c r="O1817" s="281"/>
      <c r="P1817" s="281"/>
      <c r="Q1817" s="281"/>
      <c r="R1817" s="281"/>
      <c r="S1817" s="281"/>
    </row>
    <row r="1818" ht="10.5" customHeight="1">
      <c r="A1818" s="281"/>
      <c r="B1818" s="185" t="s">
        <v>1182</v>
      </c>
      <c r="C1818" s="185"/>
      <c r="D1818" s="185"/>
      <c r="E1818" s="185"/>
      <c r="F1818" s="185"/>
      <c r="G1818" s="281"/>
      <c r="H1818" s="281"/>
      <c r="I1818" s="281"/>
      <c r="J1818" s="281"/>
      <c r="K1818" s="281"/>
      <c r="L1818" s="281"/>
      <c r="M1818" s="281"/>
      <c r="N1818" s="281"/>
      <c r="O1818" s="281"/>
      <c r="P1818" s="281"/>
      <c r="Q1818" s="281"/>
      <c r="R1818" s="281"/>
      <c r="S1818" s="281"/>
    </row>
    <row r="1819" ht="10.5" customHeight="1">
      <c r="A1819" s="1"/>
      <c r="B1819" s="1"/>
      <c r="C1819" s="1"/>
      <c r="D1819" s="1"/>
      <c r="E1819" s="1"/>
      <c r="F1819" s="1"/>
      <c r="G1819" s="1"/>
      <c r="H1819" s="1"/>
      <c r="I1819" s="1"/>
      <c r="J1819" s="1"/>
      <c r="K1819" s="1"/>
      <c r="L1819" s="1"/>
      <c r="M1819" s="1"/>
      <c r="N1819" s="1"/>
      <c r="O1819" s="1"/>
      <c r="P1819" s="1"/>
      <c r="Q1819" s="1"/>
      <c r="R1819" s="1"/>
      <c r="S1819" s="1"/>
    </row>
    <row r="1820" ht="10.5" customHeight="1">
      <c r="A1820" s="1"/>
      <c r="B1820" s="1"/>
      <c r="C1820" s="1"/>
      <c r="D1820" s="1"/>
      <c r="E1820" s="1"/>
      <c r="F1820" s="1"/>
      <c r="G1820" s="1"/>
      <c r="H1820" s="1"/>
      <c r="I1820" s="1"/>
      <c r="J1820" s="1"/>
      <c r="K1820" s="1"/>
      <c r="L1820" s="1"/>
      <c r="M1820" s="1"/>
      <c r="N1820" s="1"/>
      <c r="O1820" s="1"/>
      <c r="P1820" s="1"/>
      <c r="Q1820" s="1"/>
      <c r="R1820" s="1"/>
      <c r="S1820" s="1"/>
    </row>
    <row r="1821" ht="10.5" customHeight="1">
      <c r="A1821" s="1"/>
      <c r="B1821" s="1"/>
      <c r="C1821" s="1"/>
      <c r="D1821" s="1"/>
      <c r="E1821" s="1"/>
      <c r="F1821" s="1"/>
      <c r="G1821" s="1"/>
      <c r="H1821" s="1"/>
      <c r="I1821" s="1"/>
      <c r="J1821" s="1"/>
      <c r="K1821" s="1"/>
      <c r="L1821" s="1"/>
      <c r="M1821" s="1"/>
      <c r="N1821" s="1"/>
      <c r="O1821" s="1"/>
      <c r="P1821" s="1"/>
      <c r="Q1821" s="1"/>
      <c r="R1821" s="1"/>
      <c r="S1821" s="1"/>
    </row>
    <row r="1822" ht="10.5" customHeight="1">
      <c r="A1822" s="1"/>
      <c r="B1822" s="1"/>
      <c r="C1822" s="1"/>
      <c r="D1822" s="1"/>
      <c r="E1822" s="1"/>
      <c r="F1822" s="1"/>
      <c r="G1822" s="1"/>
      <c r="H1822" s="1"/>
      <c r="I1822" s="1"/>
      <c r="J1822" s="1"/>
      <c r="K1822" s="1"/>
      <c r="L1822" s="1"/>
      <c r="M1822" s="1"/>
      <c r="N1822" s="1"/>
      <c r="O1822" s="1"/>
      <c r="P1822" s="1"/>
      <c r="Q1822" s="1"/>
      <c r="R1822" s="1"/>
      <c r="S1822" s="1"/>
    </row>
    <row r="1823" ht="10.5" customHeight="1">
      <c r="A1823" s="1"/>
      <c r="B1823" s="1"/>
      <c r="C1823" s="1"/>
      <c r="D1823" s="1"/>
      <c r="E1823" s="1"/>
      <c r="F1823" s="1"/>
      <c r="G1823" s="1"/>
      <c r="H1823" s="1"/>
      <c r="I1823" s="1"/>
      <c r="J1823" s="1"/>
      <c r="K1823" s="1"/>
      <c r="L1823" s="1"/>
      <c r="M1823" s="1"/>
      <c r="N1823" s="1"/>
      <c r="O1823" s="1"/>
      <c r="P1823" s="1"/>
      <c r="Q1823" s="1"/>
      <c r="R1823" s="1"/>
      <c r="S1823" s="1"/>
    </row>
    <row r="1824" ht="10.5" customHeight="1">
      <c r="A1824" s="1"/>
      <c r="B1824" s="1"/>
      <c r="C1824" s="1"/>
      <c r="D1824" s="1"/>
      <c r="E1824" s="1"/>
      <c r="F1824" s="1"/>
      <c r="G1824" s="1"/>
      <c r="H1824" s="1"/>
      <c r="I1824" s="1"/>
      <c r="J1824" s="1"/>
      <c r="K1824" s="1"/>
      <c r="L1824" s="1"/>
      <c r="M1824" s="1"/>
      <c r="N1824" s="1"/>
      <c r="O1824" s="1"/>
      <c r="P1824" s="1"/>
      <c r="Q1824" s="1"/>
      <c r="R1824" s="1"/>
      <c r="S1824" s="1"/>
    </row>
    <row r="1825" ht="10.5" customHeight="1">
      <c r="A1825" s="1"/>
      <c r="B1825" s="1"/>
      <c r="C1825" s="1"/>
      <c r="D1825" s="1"/>
      <c r="E1825" s="1"/>
      <c r="F1825" s="1"/>
      <c r="G1825" s="1"/>
      <c r="H1825" s="1"/>
      <c r="I1825" s="1"/>
      <c r="J1825" s="1"/>
      <c r="K1825" s="1"/>
      <c r="L1825" s="1"/>
      <c r="M1825" s="1"/>
      <c r="N1825" s="1"/>
      <c r="O1825" s="1"/>
      <c r="P1825" s="1"/>
      <c r="Q1825" s="1"/>
      <c r="R1825" s="1"/>
      <c r="S1825" s="1"/>
    </row>
    <row r="1826" ht="10.5" customHeight="1">
      <c r="A1826" s="1"/>
      <c r="B1826" s="1"/>
      <c r="C1826" s="1"/>
      <c r="D1826" s="1"/>
      <c r="E1826" s="1"/>
      <c r="F1826" s="1"/>
      <c r="G1826" s="1"/>
      <c r="H1826" s="1"/>
      <c r="I1826" s="1"/>
      <c r="J1826" s="1"/>
      <c r="K1826" s="1"/>
      <c r="L1826" s="1"/>
      <c r="M1826" s="1"/>
      <c r="N1826" s="1"/>
      <c r="O1826" s="1"/>
      <c r="P1826" s="1"/>
      <c r="Q1826" s="1"/>
      <c r="R1826" s="1"/>
      <c r="S1826" s="1"/>
    </row>
    <row r="1827" ht="10.5" customHeight="1">
      <c r="A1827" s="1"/>
      <c r="B1827" s="1"/>
      <c r="C1827" s="1"/>
      <c r="D1827" s="1"/>
      <c r="E1827" s="1"/>
      <c r="F1827" s="1"/>
      <c r="G1827" s="1"/>
      <c r="H1827" s="1"/>
      <c r="I1827" s="1"/>
      <c r="J1827" s="1"/>
      <c r="K1827" s="1"/>
      <c r="L1827" s="1"/>
      <c r="M1827" s="1"/>
      <c r="N1827" s="1"/>
      <c r="O1827" s="1"/>
      <c r="P1827" s="1"/>
      <c r="Q1827" s="1"/>
      <c r="R1827" s="1"/>
      <c r="S1827" s="1"/>
    </row>
    <row r="1828" ht="10.5" customHeight="1">
      <c r="A1828" s="1"/>
      <c r="B1828" s="1"/>
      <c r="C1828" s="1"/>
      <c r="D1828" s="1"/>
      <c r="E1828" s="1"/>
      <c r="F1828" s="1"/>
      <c r="G1828" s="1"/>
      <c r="H1828" s="1"/>
      <c r="I1828" s="1"/>
      <c r="J1828" s="1"/>
      <c r="K1828" s="1"/>
      <c r="L1828" s="1"/>
      <c r="M1828" s="1"/>
      <c r="N1828" s="1"/>
      <c r="O1828" s="1"/>
      <c r="P1828" s="1"/>
      <c r="Q1828" s="1"/>
      <c r="R1828" s="1"/>
      <c r="S1828" s="1"/>
    </row>
    <row r="1829" ht="10.5" customHeight="1">
      <c r="A1829" s="1"/>
      <c r="B1829" s="1"/>
      <c r="C1829" s="1"/>
      <c r="D1829" s="1"/>
      <c r="E1829" s="1"/>
      <c r="F1829" s="1"/>
      <c r="G1829" s="1"/>
      <c r="H1829" s="1"/>
      <c r="I1829" s="1"/>
      <c r="J1829" s="1"/>
      <c r="K1829" s="1"/>
      <c r="L1829" s="1"/>
      <c r="M1829" s="1"/>
      <c r="N1829" s="1"/>
      <c r="O1829" s="1"/>
      <c r="P1829" s="1"/>
      <c r="Q1829" s="1"/>
      <c r="R1829" s="1"/>
      <c r="S1829" s="1"/>
    </row>
    <row r="1830" ht="10.5" customHeight="1">
      <c r="A1830" s="1"/>
      <c r="B1830" s="1"/>
      <c r="C1830" s="1"/>
      <c r="D1830" s="1"/>
      <c r="E1830" s="1"/>
      <c r="F1830" s="1"/>
      <c r="G1830" s="1"/>
      <c r="H1830" s="1"/>
      <c r="I1830" s="1"/>
      <c r="J1830" s="1"/>
      <c r="K1830" s="1"/>
      <c r="L1830" s="1"/>
      <c r="M1830" s="1"/>
      <c r="N1830" s="1"/>
      <c r="O1830" s="1"/>
      <c r="P1830" s="1"/>
      <c r="Q1830" s="1"/>
      <c r="R1830" s="1"/>
      <c r="S1830" s="1"/>
    </row>
    <row r="1831" ht="10.5" customHeight="1">
      <c r="A1831" s="1"/>
      <c r="B1831" s="1"/>
      <c r="C1831" s="1"/>
      <c r="D1831" s="1"/>
      <c r="E1831" s="1"/>
      <c r="F1831" s="1"/>
      <c r="G1831" s="1"/>
      <c r="H1831" s="1"/>
      <c r="I1831" s="1"/>
      <c r="J1831" s="1"/>
      <c r="K1831" s="1"/>
      <c r="L1831" s="1"/>
      <c r="M1831" s="1"/>
      <c r="N1831" s="1"/>
      <c r="O1831" s="1"/>
      <c r="P1831" s="1"/>
      <c r="Q1831" s="1"/>
      <c r="R1831" s="1"/>
      <c r="S1831" s="1"/>
    </row>
    <row r="1832" ht="10.5" customHeight="1">
      <c r="A1832" s="1"/>
      <c r="B1832" s="1"/>
      <c r="C1832" s="1"/>
      <c r="D1832" s="1"/>
      <c r="E1832" s="1"/>
      <c r="F1832" s="1"/>
      <c r="G1832" s="1"/>
      <c r="H1832" s="1"/>
      <c r="I1832" s="1"/>
      <c r="J1832" s="1"/>
      <c r="K1832" s="1"/>
      <c r="L1832" s="1"/>
      <c r="M1832" s="1"/>
      <c r="N1832" s="1"/>
      <c r="O1832" s="1"/>
      <c r="P1832" s="1"/>
      <c r="Q1832" s="1"/>
      <c r="R1832" s="1"/>
      <c r="S1832" s="1"/>
    </row>
    <row r="1833" ht="10.5" customHeight="1">
      <c r="A1833" s="1"/>
      <c r="B1833" s="1"/>
      <c r="C1833" s="1"/>
      <c r="D1833" s="1"/>
      <c r="E1833" s="1"/>
      <c r="F1833" s="1"/>
      <c r="G1833" s="1"/>
      <c r="H1833" s="1"/>
      <c r="I1833" s="1"/>
      <c r="J1833" s="1"/>
      <c r="K1833" s="1"/>
      <c r="L1833" s="1"/>
      <c r="M1833" s="1"/>
      <c r="N1833" s="1"/>
      <c r="O1833" s="1"/>
      <c r="P1833" s="1"/>
      <c r="Q1833" s="1"/>
      <c r="R1833" s="1"/>
      <c r="S1833" s="1"/>
    </row>
    <row r="1834" ht="10.5" customHeight="1">
      <c r="A1834" s="1"/>
      <c r="B1834" s="1"/>
      <c r="C1834" s="1"/>
      <c r="D1834" s="1"/>
      <c r="E1834" s="1"/>
      <c r="F1834" s="1"/>
      <c r="G1834" s="1"/>
      <c r="H1834" s="1"/>
      <c r="I1834" s="1"/>
      <c r="J1834" s="1"/>
      <c r="K1834" s="1"/>
      <c r="L1834" s="1"/>
      <c r="M1834" s="1"/>
      <c r="N1834" s="1"/>
      <c r="O1834" s="1"/>
      <c r="P1834" s="1"/>
      <c r="Q1834" s="1"/>
      <c r="R1834" s="1"/>
      <c r="S1834" s="1"/>
    </row>
    <row r="1835" ht="10.5" customHeight="1">
      <c r="A1835" s="1"/>
      <c r="B1835" s="1"/>
      <c r="C1835" s="1"/>
      <c r="D1835" s="1"/>
      <c r="E1835" s="1"/>
      <c r="F1835" s="1"/>
      <c r="G1835" s="1"/>
      <c r="H1835" s="1"/>
      <c r="I1835" s="1"/>
      <c r="J1835" s="1"/>
      <c r="K1835" s="1"/>
      <c r="L1835" s="1"/>
      <c r="M1835" s="1"/>
      <c r="N1835" s="1"/>
      <c r="O1835" s="1"/>
      <c r="P1835" s="1"/>
      <c r="Q1835" s="1"/>
      <c r="R1835" s="1"/>
      <c r="S1835" s="1"/>
    </row>
    <row r="1836" ht="10.5" customHeight="1">
      <c r="A1836" s="1"/>
      <c r="B1836" s="1"/>
      <c r="C1836" s="1"/>
      <c r="D1836" s="1"/>
      <c r="E1836" s="1"/>
      <c r="F1836" s="1"/>
      <c r="G1836" s="1"/>
      <c r="H1836" s="1"/>
      <c r="I1836" s="1"/>
      <c r="J1836" s="1"/>
      <c r="K1836" s="1"/>
      <c r="L1836" s="1"/>
      <c r="M1836" s="1"/>
      <c r="N1836" s="1"/>
      <c r="O1836" s="1"/>
      <c r="P1836" s="1"/>
      <c r="Q1836" s="1"/>
      <c r="R1836" s="1"/>
      <c r="S1836" s="1"/>
    </row>
    <row r="1837" ht="10.5" customHeight="1">
      <c r="A1837" s="1"/>
      <c r="B1837" s="1"/>
      <c r="C1837" s="1"/>
      <c r="D1837" s="1"/>
      <c r="E1837" s="1"/>
      <c r="F1837" s="1"/>
      <c r="G1837" s="1"/>
      <c r="H1837" s="1"/>
      <c r="I1837" s="1"/>
      <c r="J1837" s="1"/>
      <c r="K1837" s="1"/>
      <c r="L1837" s="1"/>
      <c r="M1837" s="1"/>
      <c r="N1837" s="1"/>
      <c r="O1837" s="1"/>
      <c r="P1837" s="1"/>
      <c r="Q1837" s="1"/>
      <c r="R1837" s="1"/>
      <c r="S1837" s="1"/>
    </row>
    <row r="1838" ht="10.5" customHeight="1">
      <c r="A1838" s="1"/>
      <c r="B1838" s="1"/>
      <c r="C1838" s="1"/>
      <c r="D1838" s="1"/>
      <c r="E1838" s="1"/>
      <c r="F1838" s="1"/>
      <c r="G1838" s="1"/>
      <c r="H1838" s="1"/>
      <c r="I1838" s="1"/>
      <c r="J1838" s="1"/>
      <c r="K1838" s="1"/>
      <c r="L1838" s="1"/>
      <c r="M1838" s="1"/>
      <c r="N1838" s="1"/>
      <c r="O1838" s="1"/>
      <c r="P1838" s="1"/>
      <c r="Q1838" s="1"/>
      <c r="R1838" s="1"/>
      <c r="S1838" s="1"/>
    </row>
    <row r="1839" ht="10.5" customHeight="1">
      <c r="A1839" s="1"/>
      <c r="B1839" s="1"/>
      <c r="C1839" s="1"/>
      <c r="D1839" s="1"/>
      <c r="E1839" s="1"/>
      <c r="F1839" s="1"/>
      <c r="G1839" s="1"/>
      <c r="H1839" s="1"/>
      <c r="I1839" s="1"/>
      <c r="J1839" s="1"/>
      <c r="K1839" s="1"/>
      <c r="L1839" s="1"/>
      <c r="M1839" s="1"/>
      <c r="N1839" s="1"/>
      <c r="O1839" s="1"/>
      <c r="P1839" s="1"/>
      <c r="Q1839" s="1"/>
      <c r="R1839" s="1"/>
      <c r="S1839" s="1"/>
    </row>
    <row r="1840" ht="10.5" customHeight="1">
      <c r="A1840" s="1"/>
      <c r="B1840" s="1"/>
      <c r="C1840" s="1"/>
      <c r="D1840" s="1"/>
      <c r="E1840" s="1"/>
      <c r="F1840" s="1"/>
      <c r="G1840" s="1"/>
      <c r="H1840" s="1"/>
      <c r="I1840" s="1"/>
      <c r="J1840" s="1"/>
      <c r="K1840" s="1"/>
      <c r="L1840" s="1"/>
      <c r="M1840" s="1"/>
      <c r="N1840" s="1"/>
      <c r="O1840" s="1"/>
      <c r="P1840" s="1"/>
      <c r="Q1840" s="1"/>
      <c r="R1840" s="1"/>
      <c r="S1840" s="1"/>
    </row>
    <row r="1841" ht="10.5" customHeight="1">
      <c r="A1841" s="1"/>
      <c r="B1841" s="1"/>
      <c r="C1841" s="1"/>
      <c r="D1841" s="1"/>
      <c r="E1841" s="1"/>
      <c r="F1841" s="1"/>
      <c r="G1841" s="1"/>
      <c r="H1841" s="1"/>
      <c r="I1841" s="1"/>
      <c r="J1841" s="1"/>
      <c r="K1841" s="1"/>
      <c r="L1841" s="1"/>
      <c r="M1841" s="1"/>
      <c r="N1841" s="1"/>
      <c r="O1841" s="1"/>
      <c r="P1841" s="1"/>
      <c r="Q1841" s="1"/>
      <c r="R1841" s="1"/>
      <c r="S1841" s="1"/>
    </row>
    <row r="1842" ht="10.5" customHeight="1">
      <c r="A1842" s="1"/>
      <c r="B1842" s="1"/>
      <c r="C1842" s="1"/>
      <c r="D1842" s="1"/>
      <c r="E1842" s="1"/>
      <c r="F1842" s="1"/>
      <c r="G1842" s="1"/>
      <c r="H1842" s="1"/>
      <c r="I1842" s="1"/>
      <c r="J1842" s="1"/>
      <c r="K1842" s="1"/>
      <c r="L1842" s="1"/>
      <c r="M1842" s="1"/>
      <c r="N1842" s="1"/>
      <c r="O1842" s="1"/>
      <c r="P1842" s="1"/>
      <c r="Q1842" s="1"/>
      <c r="R1842" s="1"/>
      <c r="S1842" s="1"/>
    </row>
    <row r="1843" ht="10.5" customHeight="1">
      <c r="A1843" s="1"/>
      <c r="B1843" s="1"/>
      <c r="C1843" s="1"/>
      <c r="D1843" s="1"/>
      <c r="E1843" s="1"/>
      <c r="F1843" s="1"/>
      <c r="G1843" s="1"/>
      <c r="H1843" s="1"/>
      <c r="I1843" s="1"/>
      <c r="J1843" s="1"/>
      <c r="K1843" s="1"/>
      <c r="L1843" s="1"/>
      <c r="M1843" s="1"/>
      <c r="N1843" s="1"/>
      <c r="O1843" s="1"/>
      <c r="P1843" s="1"/>
      <c r="Q1843" s="1"/>
      <c r="R1843" s="1"/>
      <c r="S1843" s="1"/>
    </row>
    <row r="1844" ht="10.5" customHeight="1">
      <c r="A1844" s="1"/>
      <c r="B1844" s="1"/>
      <c r="C1844" s="1"/>
      <c r="D1844" s="1"/>
      <c r="E1844" s="1"/>
      <c r="F1844" s="1"/>
      <c r="G1844" s="1"/>
      <c r="H1844" s="1"/>
      <c r="I1844" s="1"/>
      <c r="J1844" s="1"/>
      <c r="K1844" s="1"/>
      <c r="L1844" s="1"/>
      <c r="M1844" s="1"/>
      <c r="N1844" s="1"/>
      <c r="O1844" s="1"/>
      <c r="P1844" s="1"/>
      <c r="Q1844" s="1"/>
      <c r="R1844" s="1"/>
      <c r="S1844" s="1"/>
    </row>
    <row r="1845" ht="10.5" customHeight="1">
      <c r="A1845" s="1"/>
      <c r="B1845" s="1"/>
      <c r="C1845" s="1"/>
      <c r="D1845" s="1"/>
      <c r="E1845" s="1"/>
      <c r="F1845" s="1"/>
      <c r="G1845" s="1"/>
      <c r="H1845" s="1"/>
      <c r="I1845" s="1"/>
      <c r="J1845" s="1"/>
      <c r="K1845" s="1"/>
      <c r="L1845" s="1"/>
      <c r="M1845" s="1"/>
      <c r="N1845" s="1"/>
      <c r="O1845" s="1"/>
      <c r="P1845" s="1"/>
      <c r="Q1845" s="1"/>
      <c r="R1845" s="1"/>
      <c r="S1845" s="1"/>
    </row>
    <row r="1846" ht="10.5" customHeight="1">
      <c r="A1846" s="1"/>
      <c r="B1846" s="1"/>
      <c r="C1846" s="1"/>
      <c r="D1846" s="1"/>
      <c r="E1846" s="1"/>
      <c r="F1846" s="1"/>
      <c r="G1846" s="1"/>
      <c r="H1846" s="1"/>
      <c r="I1846" s="1"/>
      <c r="J1846" s="1"/>
      <c r="K1846" s="1"/>
      <c r="L1846" s="1"/>
      <c r="M1846" s="1"/>
      <c r="N1846" s="1"/>
      <c r="O1846" s="1"/>
      <c r="P1846" s="1"/>
      <c r="Q1846" s="1"/>
      <c r="R1846" s="1"/>
      <c r="S1846" s="1"/>
    </row>
    <row r="1847" ht="10.5" customHeight="1">
      <c r="A1847" s="1"/>
      <c r="B1847" s="1"/>
      <c r="C1847" s="1"/>
      <c r="D1847" s="1"/>
      <c r="E1847" s="1"/>
      <c r="F1847" s="1"/>
      <c r="G1847" s="1"/>
      <c r="H1847" s="1"/>
      <c r="I1847" s="1"/>
      <c r="J1847" s="1"/>
      <c r="K1847" s="1"/>
      <c r="L1847" s="1"/>
      <c r="M1847" s="1"/>
      <c r="N1847" s="1"/>
      <c r="O1847" s="1"/>
      <c r="P1847" s="1"/>
      <c r="Q1847" s="1"/>
      <c r="R1847" s="1"/>
      <c r="S1847" s="1"/>
    </row>
    <row r="1848" ht="10.5" customHeight="1">
      <c r="A1848" s="1"/>
      <c r="B1848" s="1"/>
      <c r="C1848" s="1"/>
      <c r="D1848" s="1"/>
      <c r="E1848" s="1"/>
      <c r="F1848" s="1"/>
      <c r="G1848" s="1"/>
      <c r="H1848" s="1"/>
      <c r="I1848" s="1"/>
      <c r="J1848" s="1"/>
      <c r="K1848" s="1"/>
      <c r="L1848" s="1"/>
      <c r="M1848" s="1"/>
      <c r="N1848" s="1"/>
      <c r="O1848" s="1"/>
      <c r="P1848" s="1"/>
      <c r="Q1848" s="1"/>
      <c r="R1848" s="1"/>
      <c r="S1848" s="1"/>
    </row>
    <row r="1849" ht="10.5" customHeight="1">
      <c r="A1849" s="1"/>
      <c r="B1849" s="1"/>
      <c r="C1849" s="1"/>
      <c r="D1849" s="1"/>
      <c r="E1849" s="1"/>
      <c r="F1849" s="1"/>
      <c r="G1849" s="1"/>
      <c r="H1849" s="1"/>
      <c r="I1849" s="1"/>
      <c r="J1849" s="1"/>
      <c r="K1849" s="1"/>
      <c r="L1849" s="1"/>
      <c r="M1849" s="1"/>
      <c r="N1849" s="1"/>
      <c r="O1849" s="1"/>
      <c r="P1849" s="1"/>
      <c r="Q1849" s="1"/>
      <c r="R1849" s="1"/>
      <c r="S1849" s="1"/>
    </row>
    <row r="1850" ht="10.5" customHeight="1">
      <c r="A1850" s="1"/>
      <c r="B1850" s="1"/>
      <c r="C1850" s="1"/>
      <c r="D1850" s="1"/>
      <c r="E1850" s="1"/>
      <c r="F1850" s="1"/>
      <c r="G1850" s="1"/>
      <c r="H1850" s="1"/>
      <c r="I1850" s="1"/>
      <c r="J1850" s="1"/>
      <c r="K1850" s="1"/>
      <c r="L1850" s="1"/>
      <c r="M1850" s="1"/>
      <c r="N1850" s="1"/>
      <c r="O1850" s="1"/>
      <c r="P1850" s="1"/>
      <c r="Q1850" s="1"/>
      <c r="R1850" s="1"/>
      <c r="S1850" s="1"/>
    </row>
    <row r="1851" ht="10.5" customHeight="1">
      <c r="A1851" s="1"/>
      <c r="B1851" s="1"/>
      <c r="C1851" s="1"/>
      <c r="D1851" s="1"/>
      <c r="E1851" s="1"/>
      <c r="F1851" s="1"/>
      <c r="G1851" s="1"/>
      <c r="H1851" s="1"/>
      <c r="I1851" s="1"/>
      <c r="J1851" s="1"/>
      <c r="K1851" s="1"/>
      <c r="L1851" s="1"/>
      <c r="M1851" s="1"/>
      <c r="N1851" s="1"/>
      <c r="O1851" s="1"/>
      <c r="P1851" s="1"/>
      <c r="Q1851" s="1"/>
      <c r="R1851" s="1"/>
      <c r="S1851" s="1"/>
    </row>
    <row r="1852" ht="10.5" customHeight="1">
      <c r="A1852" s="1"/>
      <c r="B1852" s="1"/>
      <c r="C1852" s="1"/>
      <c r="D1852" s="1"/>
      <c r="E1852" s="1"/>
      <c r="F1852" s="1"/>
      <c r="G1852" s="1"/>
      <c r="H1852" s="1"/>
      <c r="I1852" s="1"/>
      <c r="J1852" s="1"/>
      <c r="K1852" s="1"/>
      <c r="L1852" s="1"/>
      <c r="M1852" s="1"/>
      <c r="N1852" s="1"/>
      <c r="O1852" s="1"/>
      <c r="P1852" s="1"/>
      <c r="Q1852" s="1"/>
      <c r="R1852" s="1"/>
      <c r="S1852" s="1"/>
    </row>
    <row r="1853" ht="10.5" customHeight="1">
      <c r="A1853" s="1"/>
      <c r="B1853" s="1"/>
      <c r="C1853" s="1"/>
      <c r="D1853" s="1"/>
      <c r="E1853" s="1"/>
      <c r="F1853" s="1"/>
      <c r="G1853" s="1"/>
      <c r="H1853" s="1"/>
      <c r="I1853" s="1"/>
      <c r="J1853" s="1"/>
      <c r="K1853" s="1"/>
      <c r="L1853" s="1"/>
      <c r="M1853" s="1"/>
      <c r="N1853" s="1"/>
      <c r="O1853" s="1"/>
      <c r="P1853" s="1"/>
      <c r="Q1853" s="1"/>
      <c r="R1853" s="1"/>
      <c r="S1853" s="1"/>
    </row>
    <row r="1854" ht="10.5" customHeight="1">
      <c r="A1854" s="1"/>
      <c r="B1854" s="1"/>
      <c r="C1854" s="1"/>
      <c r="D1854" s="1"/>
      <c r="E1854" s="1"/>
      <c r="F1854" s="1"/>
      <c r="G1854" s="110">
        <v>27.0</v>
      </c>
      <c r="H1854" s="1"/>
      <c r="I1854" s="1"/>
      <c r="J1854" s="1"/>
      <c r="K1854" s="1"/>
      <c r="L1854" s="1"/>
      <c r="M1854" s="1"/>
      <c r="N1854" s="1"/>
      <c r="O1854" s="1"/>
      <c r="P1854" s="1"/>
      <c r="Q1854" s="1"/>
      <c r="R1854" s="1"/>
      <c r="S1854" s="1"/>
    </row>
    <row r="1855" ht="10.5" customHeight="1">
      <c r="A1855" s="1"/>
      <c r="B1855" s="1"/>
      <c r="C1855" s="1"/>
      <c r="D1855" s="1"/>
      <c r="E1855" s="1"/>
      <c r="F1855" s="1"/>
      <c r="G1855" s="1"/>
      <c r="H1855" s="1"/>
      <c r="I1855" s="1"/>
      <c r="J1855" s="1"/>
      <c r="K1855" s="1"/>
      <c r="L1855" s="1"/>
      <c r="M1855" s="1"/>
      <c r="N1855" s="1"/>
      <c r="O1855" s="1"/>
      <c r="P1855" s="1"/>
      <c r="Q1855" s="1"/>
      <c r="R1855" s="1"/>
      <c r="S1855" s="1"/>
    </row>
    <row r="1856" ht="10.5" customHeight="1">
      <c r="A1856" s="1"/>
      <c r="B1856" s="1"/>
      <c r="C1856" s="1"/>
      <c r="D1856" s="1"/>
      <c r="E1856" s="1"/>
      <c r="F1856" s="1"/>
      <c r="G1856" s="1"/>
      <c r="H1856" s="1"/>
      <c r="I1856" s="1"/>
      <c r="J1856" s="1"/>
      <c r="K1856" s="1"/>
      <c r="L1856" s="1"/>
      <c r="M1856" s="1"/>
      <c r="N1856" s="1"/>
      <c r="O1856" s="1"/>
      <c r="P1856" s="1"/>
      <c r="Q1856" s="1"/>
      <c r="R1856" s="1"/>
      <c r="S1856" s="1"/>
    </row>
    <row r="1857" ht="11.25" customHeight="1">
      <c r="A1857" s="1"/>
      <c r="B1857" s="1" t="s">
        <v>1190</v>
      </c>
      <c r="C1857" s="65"/>
      <c r="D1857" s="1"/>
      <c r="E1857" s="1"/>
      <c r="F1857" s="1"/>
      <c r="G1857" s="1"/>
      <c r="H1857" s="1"/>
      <c r="I1857" s="1"/>
      <c r="J1857" s="1"/>
      <c r="K1857" s="1"/>
      <c r="L1857" s="1"/>
      <c r="M1857" s="1"/>
      <c r="N1857" s="1"/>
      <c r="O1857" s="1"/>
      <c r="P1857" s="1"/>
      <c r="Q1857" s="1"/>
      <c r="R1857" s="1"/>
      <c r="S1857" s="1"/>
    </row>
    <row r="1858" ht="11.25" customHeight="1">
      <c r="A1858" s="1"/>
      <c r="B1858" s="29" t="s">
        <v>1191</v>
      </c>
      <c r="C1858" s="31" t="s">
        <v>35</v>
      </c>
      <c r="D1858" s="31" t="s">
        <v>1192</v>
      </c>
      <c r="E1858" s="31" t="s">
        <v>1193</v>
      </c>
      <c r="F1858" s="31" t="s">
        <v>1194</v>
      </c>
      <c r="G1858" s="128" t="s">
        <v>1195</v>
      </c>
      <c r="H1858" s="9"/>
      <c r="I1858" s="10"/>
      <c r="J1858" s="29" t="s">
        <v>1196</v>
      </c>
      <c r="K1858" s="1"/>
      <c r="L1858" s="1"/>
      <c r="M1858" s="1"/>
      <c r="N1858" s="1"/>
      <c r="O1858" s="1"/>
      <c r="P1858" s="1"/>
      <c r="Q1858" s="1"/>
      <c r="R1858" s="1"/>
      <c r="S1858" s="1"/>
    </row>
    <row r="1859" ht="11.25" customHeight="1">
      <c r="A1859" s="1"/>
      <c r="B1859" s="5"/>
      <c r="C1859" s="5"/>
      <c r="D1859" s="5"/>
      <c r="E1859" s="5"/>
      <c r="F1859" s="5"/>
      <c r="G1859" s="128" t="s">
        <v>523</v>
      </c>
      <c r="H1859" s="10"/>
      <c r="I1859" s="31" t="s">
        <v>524</v>
      </c>
      <c r="J1859" s="5"/>
      <c r="K1859" s="1"/>
      <c r="L1859" s="1"/>
      <c r="M1859" s="1"/>
      <c r="N1859" s="1"/>
      <c r="O1859" s="1"/>
      <c r="P1859" s="1"/>
      <c r="Q1859" s="1"/>
      <c r="R1859" s="1"/>
      <c r="S1859" s="1"/>
    </row>
    <row r="1860" ht="11.25" customHeight="1">
      <c r="A1860" s="1"/>
      <c r="B1860" s="5"/>
      <c r="C1860" s="6"/>
      <c r="D1860" s="6"/>
      <c r="E1860" s="6"/>
      <c r="F1860" s="6"/>
      <c r="G1860" s="7" t="s">
        <v>1199</v>
      </c>
      <c r="H1860" s="7" t="s">
        <v>1200</v>
      </c>
      <c r="I1860" s="6"/>
      <c r="J1860" s="5"/>
      <c r="K1860" s="1"/>
      <c r="L1860" s="1"/>
      <c r="M1860" s="1"/>
      <c r="N1860" s="1"/>
      <c r="O1860" s="1"/>
      <c r="P1860" s="1"/>
      <c r="Q1860" s="1"/>
      <c r="R1860" s="1"/>
      <c r="S1860" s="1"/>
    </row>
    <row r="1861" ht="10.5" customHeight="1">
      <c r="A1861" s="1"/>
      <c r="B1861" s="6"/>
      <c r="C1861" s="134" t="s">
        <v>67</v>
      </c>
      <c r="D1861" s="134" t="s">
        <v>520</v>
      </c>
      <c r="E1861" s="134" t="s">
        <v>1202</v>
      </c>
      <c r="F1861" s="134" t="s">
        <v>50</v>
      </c>
      <c r="G1861" s="8" t="s">
        <v>933</v>
      </c>
      <c r="H1861" s="10"/>
      <c r="I1861" s="134" t="s">
        <v>49</v>
      </c>
      <c r="J1861" s="6"/>
      <c r="K1861" s="1"/>
      <c r="L1861" s="1"/>
      <c r="M1861" s="1"/>
      <c r="N1861" s="1"/>
      <c r="O1861" s="1"/>
      <c r="P1861" s="1"/>
      <c r="Q1861" s="1"/>
      <c r="R1861" s="1"/>
      <c r="S1861" s="1"/>
    </row>
    <row r="1862" ht="10.5" customHeight="1">
      <c r="A1862" s="1"/>
      <c r="B1862" s="48" t="s">
        <v>264</v>
      </c>
      <c r="C1862" s="228">
        <v>5778.0</v>
      </c>
      <c r="D1862" s="228">
        <v>21519.0</v>
      </c>
      <c r="E1862" s="228">
        <v>110.0</v>
      </c>
      <c r="F1862" s="560">
        <v>1786.0</v>
      </c>
      <c r="G1862" s="249">
        <v>12.4</v>
      </c>
      <c r="H1862" s="249">
        <v>10.2</v>
      </c>
      <c r="I1862" s="130">
        <v>15.0</v>
      </c>
      <c r="J1862" s="55" t="s">
        <v>267</v>
      </c>
      <c r="K1862" s="1"/>
      <c r="L1862" s="1"/>
      <c r="M1862" s="1"/>
      <c r="N1862" s="1"/>
      <c r="O1862" s="1"/>
      <c r="P1862" s="1"/>
      <c r="Q1862" s="1"/>
      <c r="R1862" s="1"/>
      <c r="S1862" s="1"/>
    </row>
    <row r="1863" ht="10.5" customHeight="1">
      <c r="A1863" s="1"/>
      <c r="B1863" s="48" t="s">
        <v>267</v>
      </c>
      <c r="C1863" s="228">
        <v>3468.0</v>
      </c>
      <c r="D1863" s="228">
        <v>8893.0</v>
      </c>
      <c r="E1863" s="228">
        <v>98.25</v>
      </c>
      <c r="F1863" s="560">
        <v>595.0</v>
      </c>
      <c r="G1863" s="249">
        <v>12.4</v>
      </c>
      <c r="H1863" s="249">
        <v>10.2</v>
      </c>
      <c r="I1863" s="130">
        <v>12.0</v>
      </c>
      <c r="J1863" s="55" t="s">
        <v>268</v>
      </c>
      <c r="K1863" s="1"/>
      <c r="L1863" s="1"/>
      <c r="M1863" s="1"/>
      <c r="N1863" s="1"/>
      <c r="O1863" s="1"/>
      <c r="P1863" s="1"/>
      <c r="Q1863" s="1"/>
      <c r="R1863" s="1"/>
      <c r="S1863" s="1"/>
    </row>
    <row r="1864" ht="10.5" customHeight="1">
      <c r="A1864" s="1"/>
      <c r="B1864" s="48" t="s">
        <v>268</v>
      </c>
      <c r="C1864" s="228">
        <v>3380.0</v>
      </c>
      <c r="D1864" s="228">
        <v>3756.0</v>
      </c>
      <c r="E1864" s="228">
        <v>118.2</v>
      </c>
      <c r="F1864" s="560">
        <v>258.0</v>
      </c>
      <c r="G1864" s="249">
        <v>12.6</v>
      </c>
      <c r="H1864" s="249">
        <v>10.4</v>
      </c>
      <c r="I1864" s="130">
        <v>14.0</v>
      </c>
      <c r="J1864" s="55" t="s">
        <v>269</v>
      </c>
      <c r="K1864" s="1"/>
      <c r="L1864" s="1"/>
      <c r="M1864" s="1"/>
      <c r="N1864" s="1"/>
      <c r="O1864" s="1"/>
      <c r="P1864" s="1"/>
      <c r="Q1864" s="1"/>
      <c r="R1864" s="1"/>
      <c r="S1864" s="1"/>
    </row>
    <row r="1865" ht="10.5" customHeight="1">
      <c r="A1865" s="1"/>
      <c r="B1865" s="48" t="s">
        <v>269</v>
      </c>
      <c r="C1865" s="228">
        <v>5410.0</v>
      </c>
      <c r="D1865" s="228">
        <v>11959.0</v>
      </c>
      <c r="E1865" s="228">
        <v>150.0</v>
      </c>
      <c r="F1865" s="560">
        <v>1451.0</v>
      </c>
      <c r="G1865" s="249">
        <v>16.0</v>
      </c>
      <c r="H1865" s="249">
        <v>13.8</v>
      </c>
      <c r="I1865" s="130">
        <v>14.0</v>
      </c>
      <c r="J1865" s="55" t="s">
        <v>270</v>
      </c>
      <c r="K1865" s="1"/>
      <c r="L1865" s="1"/>
      <c r="M1865" s="1"/>
      <c r="N1865" s="1"/>
      <c r="O1865" s="1"/>
      <c r="P1865" s="1"/>
      <c r="Q1865" s="1"/>
      <c r="R1865" s="1"/>
      <c r="S1865" s="1"/>
    </row>
    <row r="1866" ht="10.5" customHeight="1">
      <c r="A1866" s="1"/>
      <c r="B1866" s="48" t="s">
        <v>270</v>
      </c>
      <c r="C1866" s="228">
        <v>6790.0</v>
      </c>
      <c r="D1866" s="228">
        <v>11934.0</v>
      </c>
      <c r="E1866" s="228">
        <v>248.9</v>
      </c>
      <c r="F1866" s="560">
        <v>2046.0</v>
      </c>
      <c r="G1866" s="249">
        <v>28.0</v>
      </c>
      <c r="H1866" s="249">
        <v>24.4</v>
      </c>
      <c r="I1866" s="130">
        <v>14.0</v>
      </c>
      <c r="J1866" s="55" t="s">
        <v>271</v>
      </c>
      <c r="K1866" s="1"/>
      <c r="L1866" s="1"/>
      <c r="M1866" s="1"/>
      <c r="N1866" s="1"/>
      <c r="O1866" s="1"/>
      <c r="P1866" s="1"/>
      <c r="Q1866" s="1"/>
      <c r="R1866" s="1"/>
      <c r="S1866" s="1"/>
    </row>
    <row r="1867" ht="10.5" customHeight="1">
      <c r="A1867" s="1"/>
      <c r="B1867" s="48"/>
      <c r="C1867" s="228"/>
      <c r="D1867" s="228"/>
      <c r="E1867" s="228"/>
      <c r="F1867" s="560"/>
      <c r="G1867" s="249"/>
      <c r="H1867" s="249"/>
      <c r="I1867" s="130"/>
      <c r="J1867" s="55"/>
      <c r="K1867" s="1"/>
      <c r="L1867" s="1"/>
      <c r="M1867" s="1"/>
      <c r="N1867" s="1"/>
      <c r="O1867" s="1"/>
      <c r="P1867" s="1"/>
      <c r="Q1867" s="1"/>
      <c r="R1867" s="1"/>
      <c r="S1867" s="1"/>
    </row>
    <row r="1868" ht="10.5" customHeight="1">
      <c r="A1868" s="1"/>
      <c r="B1868" s="48" t="s">
        <v>271</v>
      </c>
      <c r="C1868" s="228">
        <v>7100.0</v>
      </c>
      <c r="D1868" s="228">
        <v>17752.0</v>
      </c>
      <c r="E1868" s="228">
        <v>275.7</v>
      </c>
      <c r="F1868" s="560">
        <v>3708.0</v>
      </c>
      <c r="G1868" s="249">
        <v>33.0</v>
      </c>
      <c r="H1868" s="249">
        <v>29.4</v>
      </c>
      <c r="I1868" s="130">
        <v>17.0</v>
      </c>
      <c r="J1868" s="55" t="s">
        <v>272</v>
      </c>
      <c r="K1868" s="1"/>
      <c r="L1868" s="1"/>
      <c r="M1868" s="1"/>
      <c r="N1868" s="1"/>
      <c r="O1868" s="1"/>
      <c r="P1868" s="1"/>
      <c r="Q1868" s="1"/>
      <c r="R1868" s="1"/>
      <c r="S1868" s="1"/>
    </row>
    <row r="1869" ht="10.5" customHeight="1">
      <c r="A1869" s="1"/>
      <c r="B1869" s="48" t="s">
        <v>272</v>
      </c>
      <c r="C1869" s="228">
        <v>8100.0</v>
      </c>
      <c r="D1869" s="228">
        <v>15625.0</v>
      </c>
      <c r="E1869" s="228">
        <v>278.5</v>
      </c>
      <c r="F1869" s="560">
        <v>3181.0</v>
      </c>
      <c r="G1869" s="249">
        <v>33.0</v>
      </c>
      <c r="H1869" s="249">
        <v>29.4</v>
      </c>
      <c r="I1869" s="130">
        <v>14.0</v>
      </c>
      <c r="J1869" s="55" t="s">
        <v>274</v>
      </c>
      <c r="K1869" s="1"/>
      <c r="L1869" s="1"/>
      <c r="M1869" s="1"/>
      <c r="N1869" s="1"/>
      <c r="O1869" s="1"/>
      <c r="P1869" s="1"/>
      <c r="Q1869" s="1"/>
      <c r="R1869" s="1"/>
      <c r="S1869" s="1"/>
    </row>
    <row r="1870" ht="10.5" customHeight="1">
      <c r="A1870" s="1"/>
      <c r="B1870" s="48" t="s">
        <v>274</v>
      </c>
      <c r="C1870" s="228">
        <v>6400.0</v>
      </c>
      <c r="D1870" s="228">
        <v>15416.0</v>
      </c>
      <c r="E1870" s="228">
        <v>283.35</v>
      </c>
      <c r="F1870" s="560">
        <v>3177.0</v>
      </c>
      <c r="G1870" s="249">
        <v>33.0</v>
      </c>
      <c r="H1870" s="249">
        <v>29.4</v>
      </c>
      <c r="I1870" s="130">
        <v>12.0</v>
      </c>
      <c r="J1870" s="55" t="s">
        <v>275</v>
      </c>
      <c r="K1870" s="1"/>
      <c r="L1870" s="1"/>
      <c r="M1870" s="1"/>
      <c r="N1870" s="1"/>
      <c r="O1870" s="1"/>
      <c r="P1870" s="1"/>
      <c r="Q1870" s="1"/>
      <c r="R1870" s="1"/>
      <c r="S1870" s="1"/>
    </row>
    <row r="1871" ht="10.5" customHeight="1">
      <c r="A1871" s="1"/>
      <c r="B1871" s="48" t="s">
        <v>275</v>
      </c>
      <c r="C1871" s="228">
        <v>8255.0</v>
      </c>
      <c r="D1871" s="228">
        <v>16940.0</v>
      </c>
      <c r="E1871" s="228">
        <v>310.35</v>
      </c>
      <c r="F1871" s="560">
        <v>3721.0</v>
      </c>
      <c r="G1871" s="249">
        <v>36.0</v>
      </c>
      <c r="H1871" s="249">
        <v>32.4</v>
      </c>
      <c r="I1871" s="130">
        <v>10.0</v>
      </c>
      <c r="J1871" s="55" t="s">
        <v>276</v>
      </c>
      <c r="K1871" s="1"/>
      <c r="L1871" s="1"/>
      <c r="M1871" s="1"/>
      <c r="N1871" s="1"/>
      <c r="O1871" s="1"/>
      <c r="P1871" s="1"/>
      <c r="Q1871" s="1"/>
      <c r="R1871" s="1"/>
      <c r="S1871" s="1"/>
    </row>
    <row r="1872" ht="10.5" customHeight="1">
      <c r="A1872" s="1"/>
      <c r="B1872" s="48" t="s">
        <v>276</v>
      </c>
      <c r="C1872" s="228" t="s">
        <v>10</v>
      </c>
      <c r="D1872" s="228">
        <v>6106.0</v>
      </c>
      <c r="E1872" s="228">
        <v>366.3</v>
      </c>
      <c r="F1872" s="560">
        <v>1482.0</v>
      </c>
      <c r="G1872" s="249">
        <v>42.5</v>
      </c>
      <c r="H1872" s="249">
        <v>37.9</v>
      </c>
      <c r="I1872" s="130">
        <v>16.0</v>
      </c>
      <c r="J1872" s="55" t="s">
        <v>56</v>
      </c>
      <c r="K1872" s="1"/>
      <c r="L1872" s="1"/>
      <c r="M1872" s="1"/>
      <c r="N1872" s="1"/>
      <c r="O1872" s="1"/>
      <c r="P1872" s="1"/>
      <c r="Q1872" s="1"/>
      <c r="R1872" s="1"/>
      <c r="S1872" s="1"/>
    </row>
    <row r="1873" ht="10.5" customHeight="1">
      <c r="A1873" s="1"/>
      <c r="B1873" s="48"/>
      <c r="C1873" s="228"/>
      <c r="D1873" s="228"/>
      <c r="E1873" s="228"/>
      <c r="F1873" s="560"/>
      <c r="G1873" s="249"/>
      <c r="H1873" s="249"/>
      <c r="I1873" s="130"/>
      <c r="J1873" s="55"/>
      <c r="K1873" s="1"/>
      <c r="L1873" s="1"/>
      <c r="M1873" s="1"/>
      <c r="N1873" s="1"/>
      <c r="O1873" s="1"/>
      <c r="P1873" s="1"/>
      <c r="Q1873" s="1"/>
      <c r="R1873" s="1"/>
      <c r="S1873" s="1"/>
    </row>
    <row r="1874" ht="10.5" customHeight="1">
      <c r="A1874" s="1"/>
      <c r="B1874" s="48" t="s">
        <v>56</v>
      </c>
      <c r="C1874" s="228">
        <v>7100.0</v>
      </c>
      <c r="D1874" s="228">
        <v>15754.0</v>
      </c>
      <c r="E1874" s="228">
        <v>413.3</v>
      </c>
      <c r="F1874" s="560">
        <v>5023.0</v>
      </c>
      <c r="G1874" s="249">
        <v>48.9</v>
      </c>
      <c r="H1874" s="249">
        <v>43.6</v>
      </c>
      <c r="I1874" s="130">
        <v>16.0</v>
      </c>
      <c r="J1874" s="55" t="s">
        <v>81</v>
      </c>
      <c r="K1874" s="1"/>
      <c r="L1874" s="1"/>
      <c r="M1874" s="1"/>
      <c r="N1874" s="1"/>
      <c r="O1874" s="1"/>
      <c r="P1874" s="1"/>
      <c r="Q1874" s="1"/>
      <c r="R1874" s="1"/>
      <c r="S1874" s="1"/>
    </row>
    <row r="1875" ht="10.5" customHeight="1">
      <c r="A1875" s="1"/>
      <c r="B1875" s="48" t="s">
        <v>81</v>
      </c>
      <c r="C1875" s="228">
        <v>7800.0</v>
      </c>
      <c r="D1875" s="228">
        <v>19956.0</v>
      </c>
      <c r="E1875" s="228">
        <v>577.75</v>
      </c>
      <c r="F1875" s="560">
        <v>7804.0</v>
      </c>
      <c r="G1875" s="249">
        <v>56.6</v>
      </c>
      <c r="H1875" s="249">
        <v>50.4</v>
      </c>
      <c r="I1875" s="130">
        <v>14.0</v>
      </c>
      <c r="J1875" s="55" t="s">
        <v>86</v>
      </c>
      <c r="K1875" s="1"/>
      <c r="L1875" s="1"/>
      <c r="M1875" s="1"/>
      <c r="N1875" s="1"/>
      <c r="O1875" s="1"/>
      <c r="P1875" s="1"/>
      <c r="Q1875" s="1"/>
      <c r="R1875" s="1"/>
      <c r="S1875" s="1"/>
    </row>
    <row r="1876" ht="10.5" customHeight="1">
      <c r="A1876" s="1"/>
      <c r="B1876" s="48" t="s">
        <v>86</v>
      </c>
      <c r="C1876" s="228">
        <v>5400.0</v>
      </c>
      <c r="D1876" s="228">
        <v>8678.0</v>
      </c>
      <c r="E1876" s="228">
        <v>604.5</v>
      </c>
      <c r="F1876" s="560">
        <v>3487.0</v>
      </c>
      <c r="G1876" s="249">
        <v>64.7</v>
      </c>
      <c r="H1876" s="249">
        <v>57.6</v>
      </c>
      <c r="I1876" s="130">
        <v>14.0</v>
      </c>
      <c r="J1876" s="55" t="s">
        <v>87</v>
      </c>
      <c r="K1876" s="1"/>
      <c r="L1876" s="1"/>
      <c r="M1876" s="1"/>
      <c r="N1876" s="1"/>
      <c r="O1876" s="1"/>
      <c r="P1876" s="1"/>
      <c r="Q1876" s="1"/>
      <c r="R1876" s="1"/>
      <c r="S1876" s="1"/>
    </row>
    <row r="1877" ht="10.5" customHeight="1">
      <c r="A1877" s="1"/>
      <c r="B1877" s="48" t="s">
        <v>87</v>
      </c>
      <c r="C1877" s="228">
        <v>6200.0</v>
      </c>
      <c r="D1877" s="228">
        <v>17739.0</v>
      </c>
      <c r="E1877" s="228">
        <v>701.0</v>
      </c>
      <c r="F1877" s="560">
        <v>8783.0</v>
      </c>
      <c r="G1877" s="249">
        <v>71.0</v>
      </c>
      <c r="H1877" s="249">
        <v>63.2</v>
      </c>
      <c r="I1877" s="130">
        <v>16.0</v>
      </c>
      <c r="J1877" s="55" t="s">
        <v>90</v>
      </c>
      <c r="K1877" s="1"/>
      <c r="L1877" s="1"/>
      <c r="M1877" s="1"/>
      <c r="N1877" s="1"/>
      <c r="O1877" s="1"/>
      <c r="P1877" s="1"/>
      <c r="Q1877" s="1"/>
      <c r="R1877" s="1"/>
      <c r="S1877" s="1"/>
    </row>
    <row r="1878" ht="10.5" customHeight="1">
      <c r="A1878" s="1"/>
      <c r="B1878" s="48" t="s">
        <v>90</v>
      </c>
      <c r="C1878" s="228">
        <v>7400.0</v>
      </c>
      <c r="D1878" s="228">
        <v>13107.0</v>
      </c>
      <c r="E1878" s="228">
        <v>656.8</v>
      </c>
      <c r="F1878" s="560">
        <v>6305.0</v>
      </c>
      <c r="G1878" s="249">
        <v>77.7</v>
      </c>
      <c r="H1878" s="249">
        <v>69.2</v>
      </c>
      <c r="I1878" s="130">
        <v>12.0</v>
      </c>
      <c r="J1878" s="55" t="s">
        <v>93</v>
      </c>
      <c r="K1878" s="1"/>
      <c r="L1878" s="1"/>
      <c r="M1878" s="1"/>
      <c r="N1878" s="1"/>
      <c r="O1878" s="1"/>
      <c r="P1878" s="1"/>
      <c r="Q1878" s="1"/>
      <c r="R1878" s="1"/>
      <c r="S1878" s="1"/>
    </row>
    <row r="1879" ht="10.5" customHeight="1">
      <c r="A1879" s="1"/>
      <c r="B1879" s="48"/>
      <c r="C1879" s="228"/>
      <c r="D1879" s="228"/>
      <c r="E1879" s="228"/>
      <c r="F1879" s="560"/>
      <c r="G1879" s="249"/>
      <c r="H1879" s="249"/>
      <c r="I1879" s="130"/>
      <c r="J1879" s="55"/>
      <c r="K1879" s="1"/>
      <c r="L1879" s="1"/>
      <c r="M1879" s="1"/>
      <c r="N1879" s="1"/>
      <c r="O1879" s="1"/>
      <c r="P1879" s="1"/>
      <c r="Q1879" s="1"/>
      <c r="R1879" s="1"/>
      <c r="S1879" s="1"/>
    </row>
    <row r="1880" ht="10.5" customHeight="1">
      <c r="A1880" s="1"/>
      <c r="B1880" s="48" t="s">
        <v>93</v>
      </c>
      <c r="C1880" s="228">
        <v>6700.0</v>
      </c>
      <c r="D1880" s="228">
        <v>19108.0</v>
      </c>
      <c r="E1880" s="228">
        <v>791.9</v>
      </c>
      <c r="F1880" s="560">
        <v>11267.0</v>
      </c>
      <c r="G1880" s="249">
        <v>88.7</v>
      </c>
      <c r="H1880" s="249">
        <v>79.0</v>
      </c>
      <c r="I1880" s="130">
        <v>17.0</v>
      </c>
      <c r="J1880" s="55" t="s">
        <v>97</v>
      </c>
      <c r="K1880" s="1"/>
      <c r="L1880" s="1"/>
      <c r="M1880" s="1"/>
      <c r="N1880" s="1"/>
      <c r="O1880" s="1"/>
      <c r="P1880" s="1"/>
      <c r="Q1880" s="1"/>
      <c r="R1880" s="1"/>
      <c r="S1880" s="1"/>
    </row>
    <row r="1881" ht="10.5" customHeight="1">
      <c r="A1881" s="1"/>
      <c r="B1881" s="48" t="s">
        <v>97</v>
      </c>
      <c r="C1881" s="228">
        <v>8100.0</v>
      </c>
      <c r="D1881" s="228">
        <v>19466.0</v>
      </c>
      <c r="E1881" s="228">
        <v>939.55</v>
      </c>
      <c r="F1881" s="560">
        <v>13429.0</v>
      </c>
      <c r="G1881" s="249">
        <v>102.6</v>
      </c>
      <c r="H1881" s="249">
        <v>91.4</v>
      </c>
      <c r="I1881" s="130">
        <v>13.0</v>
      </c>
      <c r="J1881" s="55" t="s">
        <v>101</v>
      </c>
      <c r="K1881" s="1"/>
      <c r="L1881" s="1"/>
      <c r="M1881" s="1"/>
      <c r="N1881" s="1"/>
      <c r="O1881" s="1"/>
      <c r="P1881" s="1"/>
      <c r="Q1881" s="1"/>
      <c r="R1881" s="1"/>
      <c r="S1881" s="1"/>
    </row>
    <row r="1882" ht="10.5" customHeight="1">
      <c r="A1882" s="1"/>
      <c r="B1882" s="48" t="s">
        <v>101</v>
      </c>
      <c r="C1882" s="228">
        <v>6300.0</v>
      </c>
      <c r="D1882" s="228">
        <v>10713.0</v>
      </c>
      <c r="E1882" s="228">
        <v>925.4</v>
      </c>
      <c r="F1882" s="560">
        <v>7160.0</v>
      </c>
      <c r="G1882" s="249">
        <v>115.0</v>
      </c>
      <c r="H1882" s="249">
        <v>103.8</v>
      </c>
      <c r="I1882" s="130">
        <v>14.0</v>
      </c>
      <c r="J1882" s="55" t="s">
        <v>103</v>
      </c>
      <c r="K1882" s="1"/>
      <c r="L1882" s="1"/>
      <c r="M1882" s="1"/>
      <c r="N1882" s="1"/>
      <c r="O1882" s="1"/>
      <c r="P1882" s="1"/>
      <c r="Q1882" s="1"/>
      <c r="R1882" s="1"/>
      <c r="S1882" s="1"/>
    </row>
    <row r="1883" ht="10.5" customHeight="1">
      <c r="A1883" s="1"/>
      <c r="B1883" s="48" t="s">
        <v>103</v>
      </c>
      <c r="C1883" s="228">
        <v>4600.0</v>
      </c>
      <c r="D1883" s="228">
        <v>11374.0</v>
      </c>
      <c r="E1883" s="228">
        <v>1143.65</v>
      </c>
      <c r="F1883" s="560">
        <v>9257.0</v>
      </c>
      <c r="G1883" s="249">
        <v>132.0</v>
      </c>
      <c r="H1883" s="249">
        <v>120.8</v>
      </c>
      <c r="I1883" s="130">
        <v>12.0</v>
      </c>
      <c r="J1883" s="55" t="s">
        <v>104</v>
      </c>
      <c r="K1883" s="1"/>
      <c r="L1883" s="1"/>
      <c r="M1883" s="1"/>
      <c r="N1883" s="1"/>
      <c r="O1883" s="1"/>
      <c r="P1883" s="1"/>
      <c r="Q1883" s="1"/>
      <c r="R1883" s="1"/>
      <c r="S1883" s="1"/>
    </row>
    <row r="1884" ht="10.5" customHeight="1">
      <c r="A1884" s="1"/>
      <c r="B1884" s="48" t="s">
        <v>104</v>
      </c>
      <c r="C1884" s="228">
        <v>4200.0</v>
      </c>
      <c r="D1884" s="228">
        <v>14880.0</v>
      </c>
      <c r="E1884" s="228">
        <v>1382.0</v>
      </c>
      <c r="F1884" s="560">
        <v>15315.0</v>
      </c>
      <c r="G1884" s="249">
        <v>153.0</v>
      </c>
      <c r="H1884" s="249">
        <v>141.8</v>
      </c>
      <c r="I1884" s="130">
        <v>14.0</v>
      </c>
      <c r="J1884" s="55" t="s">
        <v>108</v>
      </c>
      <c r="K1884" s="1"/>
      <c r="L1884" s="1"/>
      <c r="M1884" s="1"/>
      <c r="N1884" s="1"/>
      <c r="O1884" s="1"/>
      <c r="P1884" s="1"/>
      <c r="Q1884" s="1"/>
      <c r="R1884" s="1"/>
      <c r="S1884" s="1"/>
    </row>
    <row r="1885" ht="10.5" customHeight="1">
      <c r="A1885" s="1"/>
      <c r="B1885" s="48"/>
      <c r="C1885" s="228"/>
      <c r="D1885" s="228"/>
      <c r="E1885" s="228"/>
      <c r="F1885" s="560"/>
      <c r="G1885" s="249"/>
      <c r="H1885" s="249"/>
      <c r="I1885" s="130"/>
      <c r="J1885" s="55"/>
      <c r="K1885" s="1"/>
      <c r="L1885" s="1"/>
      <c r="M1885" s="1"/>
      <c r="N1885" s="1"/>
      <c r="O1885" s="1"/>
      <c r="P1885" s="1"/>
      <c r="Q1885" s="1"/>
      <c r="R1885" s="1"/>
      <c r="S1885" s="1"/>
    </row>
    <row r="1886" ht="10.5" customHeight="1">
      <c r="A1886" s="1"/>
      <c r="B1886" s="48" t="s">
        <v>108</v>
      </c>
      <c r="C1886" s="228">
        <v>4400.0</v>
      </c>
      <c r="D1886" s="228">
        <v>9473.0</v>
      </c>
      <c r="E1886" s="228">
        <v>1500.6</v>
      </c>
      <c r="F1886" s="560">
        <v>9892.0</v>
      </c>
      <c r="G1886" s="249">
        <v>172.8</v>
      </c>
      <c r="H1886" s="249">
        <v>161.6</v>
      </c>
      <c r="I1886" s="130">
        <v>11.0</v>
      </c>
      <c r="J1886" s="55" t="s">
        <v>111</v>
      </c>
      <c r="K1886" s="1"/>
      <c r="L1886" s="1"/>
      <c r="M1886" s="1"/>
      <c r="N1886" s="1"/>
      <c r="O1886" s="1"/>
      <c r="P1886" s="1"/>
      <c r="Q1886" s="1"/>
      <c r="R1886" s="1"/>
      <c r="S1886" s="1"/>
    </row>
    <row r="1887" ht="10.5" customHeight="1">
      <c r="A1887" s="1"/>
      <c r="B1887" s="48" t="s">
        <v>111</v>
      </c>
      <c r="C1887" s="228">
        <v>4200.0</v>
      </c>
      <c r="D1887" s="228">
        <v>10085.0</v>
      </c>
      <c r="E1887" s="228">
        <v>1775.9</v>
      </c>
      <c r="F1887" s="560">
        <v>12185.0</v>
      </c>
      <c r="G1887" s="249">
        <v>189.5</v>
      </c>
      <c r="H1887" s="249">
        <v>178.3</v>
      </c>
      <c r="I1887" s="130">
        <v>13.0</v>
      </c>
      <c r="J1887" s="55" t="s">
        <v>112</v>
      </c>
      <c r="K1887" s="1"/>
      <c r="L1887" s="1"/>
      <c r="M1887" s="1"/>
      <c r="N1887" s="1"/>
      <c r="O1887" s="1"/>
      <c r="P1887" s="1"/>
      <c r="Q1887" s="1"/>
      <c r="R1887" s="1"/>
      <c r="S1887" s="1"/>
    </row>
    <row r="1888" ht="10.5" customHeight="1">
      <c r="A1888" s="1"/>
      <c r="B1888" s="48" t="s">
        <v>112</v>
      </c>
      <c r="C1888" s="228">
        <v>4250.0</v>
      </c>
      <c r="D1888" s="228">
        <v>11685.0</v>
      </c>
      <c r="E1888" s="228">
        <v>1977.1</v>
      </c>
      <c r="F1888" s="560">
        <v>15998.0</v>
      </c>
      <c r="G1888" s="249">
        <v>205.5</v>
      </c>
      <c r="H1888" s="249">
        <v>194.3</v>
      </c>
      <c r="I1888" s="130">
        <v>13.0</v>
      </c>
      <c r="J1888" s="55" t="s">
        <v>113</v>
      </c>
      <c r="K1888" s="1"/>
      <c r="L1888" s="1"/>
      <c r="M1888" s="1"/>
      <c r="N1888" s="1"/>
      <c r="O1888" s="1"/>
      <c r="P1888" s="1"/>
      <c r="Q1888" s="1"/>
      <c r="R1888" s="1"/>
      <c r="S1888" s="1"/>
    </row>
    <row r="1889" ht="10.5" customHeight="1">
      <c r="A1889" s="1"/>
      <c r="B1889" s="48" t="s">
        <v>113</v>
      </c>
      <c r="C1889" s="228" t="s">
        <v>10</v>
      </c>
      <c r="D1889" s="228">
        <v>19214.0</v>
      </c>
      <c r="E1889" s="66" t="s">
        <v>10</v>
      </c>
      <c r="F1889" s="560">
        <v>31580.0</v>
      </c>
      <c r="G1889" s="249" t="s">
        <v>10</v>
      </c>
      <c r="H1889" s="249" t="s">
        <v>10</v>
      </c>
      <c r="I1889" s="130" t="s">
        <v>10</v>
      </c>
      <c r="J1889" s="55" t="s">
        <v>114</v>
      </c>
      <c r="K1889" s="1"/>
      <c r="L1889" s="1"/>
      <c r="M1889" s="1"/>
      <c r="N1889" s="1"/>
      <c r="O1889" s="1"/>
      <c r="P1889" s="1"/>
      <c r="Q1889" s="1"/>
      <c r="R1889" s="1"/>
      <c r="S1889" s="1"/>
    </row>
    <row r="1890" ht="10.5" customHeight="1">
      <c r="A1890" s="1"/>
      <c r="B1890" s="48" t="s">
        <v>114</v>
      </c>
      <c r="C1890" s="373" t="s">
        <v>10</v>
      </c>
      <c r="D1890" s="373" t="s">
        <v>10</v>
      </c>
      <c r="E1890" s="66" t="s">
        <v>10</v>
      </c>
      <c r="F1890" s="560">
        <v>25400.0</v>
      </c>
      <c r="G1890" s="249" t="s">
        <v>10</v>
      </c>
      <c r="H1890" s="249" t="s">
        <v>10</v>
      </c>
      <c r="I1890" s="130" t="s">
        <v>10</v>
      </c>
      <c r="J1890" s="55" t="s">
        <v>115</v>
      </c>
      <c r="K1890" s="1"/>
      <c r="L1890" s="1"/>
      <c r="M1890" s="1"/>
      <c r="N1890" s="1"/>
      <c r="O1890" s="1"/>
      <c r="P1890" s="1"/>
      <c r="Q1890" s="1"/>
      <c r="R1890" s="1"/>
      <c r="S1890" s="1"/>
    </row>
    <row r="1891" ht="10.5" customHeight="1">
      <c r="A1891" s="1"/>
      <c r="B1891" s="48"/>
      <c r="C1891" s="373"/>
      <c r="D1891" s="373"/>
      <c r="E1891" s="66"/>
      <c r="F1891" s="560"/>
      <c r="G1891" s="249"/>
      <c r="H1891" s="249"/>
      <c r="I1891" s="130"/>
      <c r="J1891" s="55"/>
      <c r="K1891" s="1"/>
      <c r="L1891" s="1"/>
      <c r="M1891" s="1"/>
      <c r="N1891" s="1"/>
      <c r="O1891" s="1"/>
      <c r="P1891" s="1"/>
      <c r="Q1891" s="1"/>
      <c r="R1891" s="1"/>
      <c r="S1891" s="1"/>
    </row>
    <row r="1892" ht="10.5" customHeight="1">
      <c r="A1892" s="1"/>
      <c r="B1892" s="48" t="s">
        <v>115</v>
      </c>
      <c r="C1892" s="373" t="s">
        <v>10</v>
      </c>
      <c r="D1892" s="373" t="s">
        <v>10</v>
      </c>
      <c r="E1892" s="66" t="s">
        <v>10</v>
      </c>
      <c r="F1892" s="560">
        <v>22826.0</v>
      </c>
      <c r="G1892" s="249" t="s">
        <v>10</v>
      </c>
      <c r="H1892" s="249" t="s">
        <v>10</v>
      </c>
      <c r="I1892" s="130" t="s">
        <v>10</v>
      </c>
      <c r="J1892" s="55" t="s">
        <v>117</v>
      </c>
      <c r="K1892" s="1"/>
      <c r="L1892" s="1"/>
      <c r="M1892" s="1"/>
      <c r="N1892" s="1"/>
      <c r="O1892" s="1"/>
      <c r="P1892" s="1"/>
      <c r="Q1892" s="1"/>
      <c r="R1892" s="1"/>
      <c r="S1892" s="1"/>
    </row>
    <row r="1893" ht="10.5" customHeight="1">
      <c r="A1893" s="1"/>
      <c r="B1893" s="48" t="s">
        <v>117</v>
      </c>
      <c r="C1893" s="373" t="s">
        <v>10</v>
      </c>
      <c r="D1893" s="373" t="s">
        <v>10</v>
      </c>
      <c r="E1893" s="66" t="s">
        <v>10</v>
      </c>
      <c r="F1893" s="560">
        <v>16571.0</v>
      </c>
      <c r="G1893" s="249" t="s">
        <v>10</v>
      </c>
      <c r="H1893" s="249" t="s">
        <v>10</v>
      </c>
      <c r="I1893" s="130" t="s">
        <v>10</v>
      </c>
      <c r="J1893" s="55" t="s">
        <v>121</v>
      </c>
      <c r="K1893" s="1"/>
      <c r="L1893" s="1"/>
      <c r="M1893" s="1"/>
      <c r="N1893" s="1"/>
      <c r="O1893" s="1"/>
      <c r="P1893" s="1"/>
      <c r="Q1893" s="1"/>
      <c r="R1893" s="1"/>
      <c r="S1893" s="1"/>
    </row>
    <row r="1894" ht="10.5" customHeight="1">
      <c r="A1894" s="1"/>
      <c r="B1894" s="48" t="s">
        <v>121</v>
      </c>
      <c r="C1894" s="373" t="s">
        <v>10</v>
      </c>
      <c r="D1894" s="373" t="s">
        <v>10</v>
      </c>
      <c r="E1894" s="66" t="s">
        <v>10</v>
      </c>
      <c r="F1894" s="560">
        <v>19576.0</v>
      </c>
      <c r="G1894" s="249" t="s">
        <v>10</v>
      </c>
      <c r="H1894" s="249" t="s">
        <v>10</v>
      </c>
      <c r="I1894" s="130" t="s">
        <v>10</v>
      </c>
      <c r="J1894" s="55" t="s">
        <v>122</v>
      </c>
      <c r="K1894" s="1"/>
      <c r="L1894" s="1"/>
      <c r="M1894" s="1"/>
      <c r="N1894" s="1"/>
      <c r="O1894" s="1"/>
      <c r="P1894" s="1"/>
      <c r="Q1894" s="1"/>
      <c r="R1894" s="1"/>
      <c r="S1894" s="1"/>
    </row>
    <row r="1895" ht="10.5" customHeight="1">
      <c r="A1895" s="1"/>
      <c r="B1895" s="48" t="s">
        <v>122</v>
      </c>
      <c r="C1895" s="373" t="s">
        <v>10</v>
      </c>
      <c r="D1895" s="373" t="s">
        <v>10</v>
      </c>
      <c r="E1895" s="66" t="s">
        <v>10</v>
      </c>
      <c r="F1895" s="560">
        <v>22563.0</v>
      </c>
      <c r="G1895" s="249" t="s">
        <v>10</v>
      </c>
      <c r="H1895" s="249" t="s">
        <v>10</v>
      </c>
      <c r="I1895" s="130" t="s">
        <v>10</v>
      </c>
      <c r="J1895" s="564" t="s">
        <v>123</v>
      </c>
      <c r="K1895" s="1"/>
      <c r="L1895" s="1"/>
      <c r="M1895" s="1"/>
      <c r="N1895" s="1"/>
      <c r="O1895" s="1"/>
      <c r="P1895" s="1"/>
      <c r="Q1895" s="1"/>
      <c r="R1895" s="1"/>
      <c r="S1895" s="1"/>
    </row>
    <row r="1896" ht="10.5" customHeight="1">
      <c r="A1896" s="1"/>
      <c r="B1896" s="48" t="s">
        <v>123</v>
      </c>
      <c r="C1896" s="373" t="s">
        <v>10</v>
      </c>
      <c r="D1896" s="373" t="s">
        <v>10</v>
      </c>
      <c r="E1896" s="66" t="s">
        <v>10</v>
      </c>
      <c r="F1896" s="560">
        <v>27567.0</v>
      </c>
      <c r="G1896" s="249" t="s">
        <v>10</v>
      </c>
      <c r="H1896" s="249" t="s">
        <v>10</v>
      </c>
      <c r="I1896" s="130" t="s">
        <v>10</v>
      </c>
      <c r="J1896" s="55" t="s">
        <v>125</v>
      </c>
      <c r="K1896" s="1"/>
      <c r="L1896" s="1"/>
      <c r="M1896" s="1"/>
      <c r="N1896" s="1"/>
      <c r="O1896" s="1"/>
      <c r="P1896" s="1"/>
      <c r="Q1896" s="1"/>
      <c r="R1896" s="1"/>
      <c r="S1896" s="1"/>
    </row>
    <row r="1897" ht="10.5" customHeight="1">
      <c r="A1897" s="1"/>
      <c r="B1897" s="48"/>
      <c r="C1897" s="373"/>
      <c r="D1897" s="373"/>
      <c r="E1897" s="66"/>
      <c r="F1897" s="560"/>
      <c r="G1897" s="249"/>
      <c r="H1897" s="249"/>
      <c r="I1897" s="130"/>
      <c r="J1897" s="55"/>
      <c r="K1897" s="1"/>
      <c r="L1897" s="1"/>
      <c r="M1897" s="1"/>
      <c r="N1897" s="1"/>
      <c r="O1897" s="1"/>
      <c r="P1897" s="1"/>
      <c r="Q1897" s="1"/>
      <c r="R1897" s="1"/>
      <c r="S1897" s="1"/>
    </row>
    <row r="1898" ht="10.5" customHeight="1">
      <c r="A1898" s="1"/>
      <c r="B1898" s="48" t="s">
        <v>125</v>
      </c>
      <c r="C1898" s="373" t="s">
        <v>10</v>
      </c>
      <c r="D1898" s="373" t="s">
        <v>10</v>
      </c>
      <c r="E1898" s="66" t="s">
        <v>10</v>
      </c>
      <c r="F1898" s="560">
        <v>22215.0</v>
      </c>
      <c r="G1898" s="249" t="s">
        <v>10</v>
      </c>
      <c r="H1898" s="249" t="s">
        <v>10</v>
      </c>
      <c r="I1898" s="130" t="s">
        <v>10</v>
      </c>
      <c r="J1898" s="55" t="s">
        <v>127</v>
      </c>
      <c r="K1898" s="1"/>
      <c r="L1898" s="1"/>
      <c r="M1898" s="1"/>
      <c r="N1898" s="1"/>
      <c r="O1898" s="1"/>
      <c r="P1898" s="1"/>
      <c r="Q1898" s="1"/>
      <c r="R1898" s="1"/>
      <c r="S1898" s="1"/>
    </row>
    <row r="1899" ht="10.5" customHeight="1">
      <c r="A1899" s="1"/>
      <c r="B1899" s="48" t="s">
        <v>127</v>
      </c>
      <c r="C1899" s="408" t="s">
        <v>10</v>
      </c>
      <c r="D1899" s="408" t="s">
        <v>10</v>
      </c>
      <c r="E1899" s="82" t="s">
        <v>10</v>
      </c>
      <c r="F1899" s="38">
        <v>39703.0</v>
      </c>
      <c r="G1899" s="252" t="s">
        <v>10</v>
      </c>
      <c r="H1899" s="252" t="s">
        <v>10</v>
      </c>
      <c r="I1899" s="216" t="s">
        <v>10</v>
      </c>
      <c r="J1899" s="55" t="s">
        <v>128</v>
      </c>
      <c r="K1899" s="1"/>
      <c r="L1899" s="1"/>
      <c r="M1899" s="1"/>
      <c r="N1899" s="1"/>
      <c r="O1899" s="1"/>
      <c r="P1899" s="1"/>
      <c r="Q1899" s="1"/>
      <c r="R1899" s="1"/>
      <c r="S1899" s="1"/>
    </row>
    <row r="1900" ht="10.5" customHeight="1">
      <c r="A1900" s="1"/>
      <c r="B1900" s="224" t="s">
        <v>128</v>
      </c>
      <c r="C1900" s="408" t="s">
        <v>10</v>
      </c>
      <c r="D1900" s="408" t="s">
        <v>10</v>
      </c>
      <c r="E1900" s="82" t="s">
        <v>10</v>
      </c>
      <c r="F1900" s="38">
        <v>31578.0</v>
      </c>
      <c r="G1900" s="252" t="s">
        <v>10</v>
      </c>
      <c r="H1900" s="252" t="s">
        <v>10</v>
      </c>
      <c r="I1900" s="216" t="s">
        <v>10</v>
      </c>
      <c r="J1900" s="721" t="s">
        <v>129</v>
      </c>
      <c r="K1900" s="1"/>
      <c r="L1900" s="1"/>
      <c r="M1900" s="1"/>
      <c r="N1900" s="1"/>
      <c r="O1900" s="1"/>
      <c r="P1900" s="1"/>
      <c r="Q1900" s="1"/>
      <c r="R1900" s="1"/>
      <c r="S1900" s="1"/>
    </row>
    <row r="1901" ht="10.5" customHeight="1">
      <c r="A1901" s="1"/>
      <c r="B1901" s="85" t="s">
        <v>129</v>
      </c>
      <c r="C1901" s="408" t="s">
        <v>10</v>
      </c>
      <c r="D1901" s="408" t="s">
        <v>10</v>
      </c>
      <c r="E1901" s="82" t="s">
        <v>10</v>
      </c>
      <c r="F1901" s="38">
        <v>35365.0</v>
      </c>
      <c r="G1901" s="252" t="s">
        <v>10</v>
      </c>
      <c r="H1901" s="252" t="s">
        <v>10</v>
      </c>
      <c r="I1901" s="216" t="s">
        <v>10</v>
      </c>
      <c r="J1901" s="721" t="s">
        <v>130</v>
      </c>
      <c r="K1901" s="1"/>
      <c r="L1901" s="1"/>
      <c r="M1901" s="1"/>
      <c r="N1901" s="1"/>
      <c r="O1901" s="1"/>
      <c r="P1901" s="1"/>
      <c r="Q1901" s="1"/>
      <c r="R1901" s="1"/>
      <c r="S1901" s="1"/>
    </row>
    <row r="1902" ht="10.5" customHeight="1">
      <c r="A1902" s="1"/>
      <c r="B1902" s="85" t="s">
        <v>130</v>
      </c>
      <c r="C1902" s="408" t="s">
        <v>10</v>
      </c>
      <c r="D1902" s="408" t="s">
        <v>10</v>
      </c>
      <c r="E1902" s="82" t="s">
        <v>10</v>
      </c>
      <c r="F1902" s="38">
        <v>31010.0</v>
      </c>
      <c r="G1902" s="252" t="s">
        <v>10</v>
      </c>
      <c r="H1902" s="252" t="s">
        <v>10</v>
      </c>
      <c r="I1902" s="216" t="s">
        <v>10</v>
      </c>
      <c r="J1902" s="721" t="s">
        <v>131</v>
      </c>
      <c r="K1902" s="1"/>
      <c r="L1902" s="1"/>
      <c r="M1902" s="1"/>
      <c r="N1902" s="1"/>
      <c r="O1902" s="1"/>
      <c r="P1902" s="1"/>
      <c r="Q1902" s="1"/>
      <c r="R1902" s="1"/>
      <c r="S1902" s="1"/>
    </row>
    <row r="1903" ht="10.5" customHeight="1">
      <c r="A1903" s="1"/>
      <c r="B1903" s="85"/>
      <c r="C1903" s="408"/>
      <c r="D1903" s="408"/>
      <c r="E1903" s="82"/>
      <c r="F1903" s="38"/>
      <c r="G1903" s="252"/>
      <c r="H1903" s="252"/>
      <c r="I1903" s="216"/>
      <c r="J1903" s="254"/>
      <c r="K1903" s="1"/>
      <c r="L1903" s="1"/>
      <c r="M1903" s="1"/>
      <c r="N1903" s="1"/>
      <c r="O1903" s="1"/>
      <c r="P1903" s="1"/>
      <c r="Q1903" s="1"/>
      <c r="R1903" s="1"/>
      <c r="S1903" s="1"/>
    </row>
    <row r="1904" ht="10.5" customHeight="1">
      <c r="A1904" s="1"/>
      <c r="B1904" s="85" t="s">
        <v>131</v>
      </c>
      <c r="C1904" s="408" t="s">
        <v>10</v>
      </c>
      <c r="D1904" s="408" t="s">
        <v>10</v>
      </c>
      <c r="E1904" s="217">
        <v>3500.0</v>
      </c>
      <c r="F1904" s="38">
        <v>36200.0</v>
      </c>
      <c r="G1904" s="252" t="s">
        <v>10</v>
      </c>
      <c r="H1904" s="252" t="s">
        <v>10</v>
      </c>
      <c r="I1904" s="216" t="s">
        <v>10</v>
      </c>
      <c r="J1904" s="721" t="s">
        <v>133</v>
      </c>
      <c r="K1904" s="1"/>
      <c r="L1904" s="1"/>
      <c r="M1904" s="1"/>
      <c r="N1904" s="1"/>
      <c r="O1904" s="1"/>
      <c r="P1904" s="1"/>
      <c r="Q1904" s="1"/>
      <c r="R1904" s="1"/>
      <c r="S1904" s="1"/>
    </row>
    <row r="1905" ht="10.5" customHeight="1">
      <c r="A1905" s="1"/>
      <c r="B1905" s="85" t="s">
        <v>133</v>
      </c>
      <c r="C1905" s="408" t="s">
        <v>10</v>
      </c>
      <c r="D1905" s="408" t="s">
        <v>10</v>
      </c>
      <c r="E1905" s="217">
        <v>3750.0</v>
      </c>
      <c r="F1905" s="38">
        <v>26873.0</v>
      </c>
      <c r="G1905" s="252" t="s">
        <v>10</v>
      </c>
      <c r="H1905" s="252" t="s">
        <v>10</v>
      </c>
      <c r="I1905" s="216" t="s">
        <v>10</v>
      </c>
      <c r="J1905" s="721" t="s">
        <v>134</v>
      </c>
      <c r="K1905" s="1"/>
      <c r="L1905" s="1"/>
      <c r="M1905" s="1"/>
      <c r="N1905" s="1"/>
      <c r="O1905" s="1"/>
      <c r="P1905" s="1"/>
      <c r="Q1905" s="1"/>
      <c r="R1905" s="1"/>
      <c r="S1905" s="1"/>
    </row>
    <row r="1906" ht="10.5" customHeight="1">
      <c r="A1906" s="1"/>
      <c r="B1906" s="85" t="s">
        <v>134</v>
      </c>
      <c r="C1906" s="408" t="s">
        <v>10</v>
      </c>
      <c r="D1906" s="408" t="s">
        <v>10</v>
      </c>
      <c r="E1906" s="217">
        <v>4100.0</v>
      </c>
      <c r="F1906" s="38">
        <v>14416.0</v>
      </c>
      <c r="G1906" s="252" t="s">
        <v>10</v>
      </c>
      <c r="H1906" s="252" t="s">
        <v>10</v>
      </c>
      <c r="I1906" s="216" t="s">
        <v>10</v>
      </c>
      <c r="J1906" s="254" t="s">
        <v>135</v>
      </c>
      <c r="K1906" s="1"/>
      <c r="L1906" s="1"/>
      <c r="M1906" s="1"/>
      <c r="N1906" s="1"/>
      <c r="O1906" s="1"/>
      <c r="P1906" s="1"/>
      <c r="Q1906" s="1"/>
      <c r="R1906" s="1"/>
      <c r="S1906" s="1"/>
    </row>
    <row r="1907" ht="10.5" customHeight="1">
      <c r="A1907" s="1"/>
      <c r="B1907" s="85" t="s">
        <v>135</v>
      </c>
      <c r="C1907" s="408" t="s">
        <v>10</v>
      </c>
      <c r="D1907" s="408" t="s">
        <v>10</v>
      </c>
      <c r="E1907" s="217">
        <v>6375.0</v>
      </c>
      <c r="F1907" s="38">
        <v>16745.0</v>
      </c>
      <c r="G1907" s="252" t="s">
        <v>10</v>
      </c>
      <c r="H1907" s="252" t="s">
        <v>10</v>
      </c>
      <c r="I1907" s="216" t="s">
        <v>10</v>
      </c>
      <c r="J1907" s="293">
        <v>40087.0</v>
      </c>
      <c r="K1907" s="1"/>
      <c r="L1907" s="1"/>
      <c r="M1907" s="1"/>
      <c r="N1907" s="1"/>
      <c r="O1907" s="1"/>
      <c r="P1907" s="1"/>
      <c r="Q1907" s="1"/>
      <c r="R1907" s="1"/>
      <c r="S1907" s="1"/>
    </row>
    <row r="1908" ht="10.5" customHeight="1">
      <c r="A1908" s="1"/>
      <c r="B1908" s="85" t="s">
        <v>138</v>
      </c>
      <c r="C1908" s="408" t="s">
        <v>10</v>
      </c>
      <c r="D1908" s="408" t="s">
        <v>10</v>
      </c>
      <c r="E1908" s="217">
        <v>6250.0</v>
      </c>
      <c r="F1908" s="38">
        <v>29625.0</v>
      </c>
      <c r="G1908" s="252" t="s">
        <v>10</v>
      </c>
      <c r="H1908" s="252" t="s">
        <v>10</v>
      </c>
      <c r="I1908" s="216" t="s">
        <v>10</v>
      </c>
      <c r="J1908" s="293">
        <v>40483.0</v>
      </c>
      <c r="K1908" s="1"/>
      <c r="L1908" s="1"/>
      <c r="M1908" s="1"/>
      <c r="N1908" s="1"/>
      <c r="O1908" s="1"/>
      <c r="P1908" s="1"/>
      <c r="Q1908" s="1"/>
      <c r="R1908" s="1"/>
      <c r="S1908" s="1"/>
    </row>
    <row r="1909" ht="10.5" customHeight="1">
      <c r="A1909" s="1"/>
      <c r="B1909" s="85"/>
      <c r="C1909" s="408"/>
      <c r="D1909" s="408"/>
      <c r="E1909" s="217"/>
      <c r="F1909" s="38"/>
      <c r="G1909" s="252"/>
      <c r="H1909" s="252"/>
      <c r="I1909" s="216"/>
      <c r="J1909" s="293"/>
      <c r="K1909" s="1"/>
      <c r="L1909" s="1"/>
      <c r="M1909" s="1"/>
      <c r="N1909" s="1"/>
      <c r="O1909" s="1"/>
      <c r="P1909" s="1"/>
      <c r="Q1909" s="1"/>
      <c r="R1909" s="1"/>
      <c r="S1909" s="1"/>
    </row>
    <row r="1910" ht="10.5" customHeight="1">
      <c r="A1910" s="1"/>
      <c r="B1910" s="85" t="s">
        <v>139</v>
      </c>
      <c r="C1910" s="507" t="s">
        <v>10</v>
      </c>
      <c r="D1910" s="408">
        <v>28300.0</v>
      </c>
      <c r="E1910" s="217">
        <v>6500.0</v>
      </c>
      <c r="F1910" s="373">
        <v>36790.0</v>
      </c>
      <c r="G1910" s="249" t="s">
        <v>10</v>
      </c>
      <c r="H1910" s="249" t="s">
        <v>10</v>
      </c>
      <c r="I1910" s="130" t="s">
        <v>10</v>
      </c>
      <c r="J1910" s="723">
        <v>40878.0</v>
      </c>
      <c r="K1910" s="1"/>
      <c r="L1910" s="1"/>
      <c r="M1910" s="1"/>
      <c r="N1910" s="1"/>
      <c r="O1910" s="1"/>
      <c r="P1910" s="1"/>
      <c r="Q1910" s="1"/>
      <c r="R1910" s="1"/>
      <c r="S1910" s="1"/>
    </row>
    <row r="1911" ht="10.5" customHeight="1">
      <c r="A1911" s="1"/>
      <c r="B1911" s="85" t="s">
        <v>143</v>
      </c>
      <c r="C1911" s="507" t="s">
        <v>10</v>
      </c>
      <c r="D1911" s="408">
        <v>26645.0</v>
      </c>
      <c r="E1911" s="217">
        <v>6100.0</v>
      </c>
      <c r="F1911" s="373">
        <v>32507.0</v>
      </c>
      <c r="G1911" s="249"/>
      <c r="H1911" s="249"/>
      <c r="I1911" s="130"/>
      <c r="J1911" s="723" t="s">
        <v>149</v>
      </c>
      <c r="K1911" s="1"/>
      <c r="L1911" s="1"/>
      <c r="M1911" s="1"/>
      <c r="N1911" s="1"/>
      <c r="O1911" s="1"/>
      <c r="P1911" s="1"/>
      <c r="Q1911" s="1"/>
      <c r="R1911" s="1"/>
      <c r="S1911" s="1"/>
    </row>
    <row r="1912" ht="10.5" customHeight="1">
      <c r="A1912" s="1"/>
      <c r="B1912" s="85" t="s">
        <v>149</v>
      </c>
      <c r="C1912" s="507" t="s">
        <v>10</v>
      </c>
      <c r="D1912" s="408">
        <v>12536.0</v>
      </c>
      <c r="E1912" s="249" t="s">
        <v>10</v>
      </c>
      <c r="F1912" s="373">
        <v>15294.0</v>
      </c>
      <c r="G1912" s="249" t="s">
        <v>10</v>
      </c>
      <c r="H1912" s="249" t="s">
        <v>10</v>
      </c>
      <c r="I1912" s="130" t="s">
        <v>10</v>
      </c>
      <c r="J1912" s="723" t="s">
        <v>151</v>
      </c>
      <c r="K1912" s="1"/>
      <c r="L1912" s="1"/>
      <c r="M1912" s="1"/>
      <c r="N1912" s="1"/>
      <c r="O1912" s="1"/>
      <c r="P1912" s="1"/>
      <c r="Q1912" s="1"/>
      <c r="R1912" s="1"/>
      <c r="S1912" s="1"/>
    </row>
    <row r="1913" ht="10.5" customHeight="1">
      <c r="A1913" s="1"/>
      <c r="B1913" s="85" t="s">
        <v>151</v>
      </c>
      <c r="C1913" s="507" t="s">
        <v>10</v>
      </c>
      <c r="D1913" s="408">
        <v>4988.0</v>
      </c>
      <c r="E1913" s="249" t="s">
        <v>10</v>
      </c>
      <c r="F1913" s="373">
        <v>6085.0</v>
      </c>
      <c r="G1913" s="249" t="s">
        <v>10</v>
      </c>
      <c r="H1913" s="249" t="s">
        <v>10</v>
      </c>
      <c r="I1913" s="130" t="s">
        <v>10</v>
      </c>
      <c r="J1913" s="723" t="s">
        <v>153</v>
      </c>
      <c r="K1913" s="1"/>
      <c r="L1913" s="1"/>
      <c r="M1913" s="1"/>
      <c r="N1913" s="1"/>
      <c r="O1913" s="1"/>
      <c r="P1913" s="1"/>
      <c r="Q1913" s="1"/>
      <c r="R1913" s="1"/>
      <c r="S1913" s="1"/>
    </row>
    <row r="1914" ht="10.5" customHeight="1">
      <c r="A1914" s="1"/>
      <c r="B1914" s="85" t="s">
        <v>153</v>
      </c>
      <c r="C1914" s="507" t="s">
        <v>10</v>
      </c>
      <c r="D1914" s="408">
        <v>7021.0</v>
      </c>
      <c r="E1914" s="249" t="s">
        <v>10</v>
      </c>
      <c r="F1914" s="373">
        <v>8425.0</v>
      </c>
      <c r="G1914" s="249" t="s">
        <v>10</v>
      </c>
      <c r="H1914" s="249" t="s">
        <v>10</v>
      </c>
      <c r="I1914" s="130" t="s">
        <v>10</v>
      </c>
      <c r="J1914" s="723" t="s">
        <v>155</v>
      </c>
      <c r="K1914" s="1"/>
      <c r="L1914" s="1"/>
      <c r="M1914" s="1"/>
      <c r="N1914" s="1"/>
      <c r="O1914" s="1"/>
      <c r="P1914" s="1"/>
      <c r="Q1914" s="1"/>
      <c r="R1914" s="1"/>
      <c r="S1914" s="1"/>
    </row>
    <row r="1915" ht="10.5" customHeight="1">
      <c r="A1915" s="1"/>
      <c r="B1915" s="85"/>
      <c r="C1915" s="507"/>
      <c r="D1915" s="408"/>
      <c r="E1915" s="249"/>
      <c r="F1915" s="373"/>
      <c r="G1915" s="249"/>
      <c r="H1915" s="249"/>
      <c r="I1915" s="130"/>
      <c r="J1915" s="723"/>
      <c r="K1915" s="1"/>
      <c r="L1915" s="1"/>
      <c r="M1915" s="1"/>
      <c r="N1915" s="1"/>
      <c r="O1915" s="1"/>
      <c r="P1915" s="1"/>
      <c r="Q1915" s="1"/>
      <c r="R1915" s="1"/>
      <c r="S1915" s="1"/>
    </row>
    <row r="1916" ht="10.5" customHeight="1">
      <c r="A1916" s="1"/>
      <c r="B1916" s="85" t="s">
        <v>155</v>
      </c>
      <c r="C1916" s="507" t="s">
        <v>10</v>
      </c>
      <c r="D1916" s="408">
        <v>8500.0</v>
      </c>
      <c r="E1916" s="507" t="s">
        <v>10</v>
      </c>
      <c r="F1916" s="373">
        <v>12580.0</v>
      </c>
      <c r="G1916" s="249" t="s">
        <v>10</v>
      </c>
      <c r="H1916" s="249" t="s">
        <v>10</v>
      </c>
      <c r="I1916" s="216" t="s">
        <v>10</v>
      </c>
      <c r="J1916" s="723" t="s">
        <v>160</v>
      </c>
      <c r="K1916" s="1"/>
      <c r="L1916" s="1"/>
      <c r="M1916" s="1"/>
      <c r="N1916" s="1"/>
      <c r="O1916" s="1"/>
      <c r="P1916" s="1"/>
      <c r="Q1916" s="1"/>
      <c r="R1916" s="1"/>
      <c r="S1916" s="1"/>
    </row>
    <row r="1917" ht="10.5" customHeight="1">
      <c r="A1917" s="1"/>
      <c r="B1917" s="96" t="s">
        <v>1218</v>
      </c>
      <c r="C1917" s="512" t="s">
        <v>10</v>
      </c>
      <c r="D1917" s="418">
        <v>6566.0</v>
      </c>
      <c r="E1917" s="512" t="s">
        <v>10</v>
      </c>
      <c r="F1917" s="418">
        <v>9980.0</v>
      </c>
      <c r="G1917" s="263" t="s">
        <v>10</v>
      </c>
      <c r="H1917" s="240" t="s">
        <v>10</v>
      </c>
      <c r="I1917" s="204" t="s">
        <v>10</v>
      </c>
      <c r="J1917" s="685" t="s">
        <v>162</v>
      </c>
      <c r="K1917" s="1"/>
      <c r="L1917" s="1"/>
      <c r="M1917" s="1"/>
      <c r="N1917" s="1"/>
      <c r="O1917" s="1"/>
      <c r="P1917" s="1"/>
      <c r="Q1917" s="1"/>
      <c r="R1917" s="1"/>
      <c r="S1917" s="1"/>
    </row>
    <row r="1918" ht="6.0" customHeight="1">
      <c r="A1918" s="1"/>
      <c r="B1918" s="291"/>
      <c r="C1918" s="513"/>
      <c r="D1918" s="420"/>
      <c r="E1918" s="513"/>
      <c r="F1918" s="420"/>
      <c r="G1918" s="270"/>
      <c r="H1918" s="243"/>
      <c r="I1918" s="1"/>
      <c r="J1918" s="1"/>
      <c r="K1918" s="1"/>
      <c r="L1918" s="1"/>
      <c r="M1918" s="1"/>
      <c r="N1918" s="1"/>
      <c r="O1918" s="1"/>
      <c r="P1918" s="1"/>
      <c r="Q1918" s="1"/>
      <c r="R1918" s="1"/>
      <c r="S1918" s="1"/>
    </row>
    <row r="1919" ht="10.5" customHeight="1">
      <c r="A1919" s="281"/>
      <c r="B1919" s="185" t="s">
        <v>1219</v>
      </c>
      <c r="C1919" s="185" t="s">
        <v>1220</v>
      </c>
      <c r="D1919" s="185"/>
      <c r="E1919" s="185"/>
      <c r="F1919" s="185"/>
      <c r="G1919" s="725"/>
      <c r="H1919" s="185"/>
      <c r="I1919" s="281"/>
      <c r="J1919" s="281"/>
      <c r="K1919" s="281"/>
      <c r="L1919" s="281"/>
      <c r="M1919" s="281"/>
      <c r="N1919" s="281"/>
      <c r="O1919" s="281"/>
      <c r="P1919" s="281"/>
      <c r="Q1919" s="281"/>
      <c r="R1919" s="281"/>
      <c r="S1919" s="281"/>
    </row>
    <row r="1920" ht="10.5" customHeight="1">
      <c r="A1920" s="281"/>
      <c r="B1920" s="185"/>
      <c r="C1920" s="185" t="s">
        <v>1221</v>
      </c>
      <c r="D1920" s="185"/>
      <c r="E1920" s="185"/>
      <c r="F1920" s="185"/>
      <c r="G1920" s="185"/>
      <c r="H1920" s="185"/>
      <c r="I1920" s="281"/>
      <c r="J1920" s="281"/>
      <c r="K1920" s="281"/>
      <c r="L1920" s="281"/>
      <c r="M1920" s="281"/>
      <c r="N1920" s="281"/>
      <c r="O1920" s="281"/>
      <c r="P1920" s="281"/>
      <c r="Q1920" s="281"/>
      <c r="R1920" s="281"/>
      <c r="S1920" s="281"/>
    </row>
    <row r="1921" ht="10.5" customHeight="1">
      <c r="A1921" s="281"/>
      <c r="B1921" s="185" t="s">
        <v>1222</v>
      </c>
      <c r="C1921" s="185"/>
      <c r="D1921" s="185"/>
      <c r="E1921" s="185"/>
      <c r="F1921" s="185"/>
      <c r="G1921" s="185"/>
      <c r="H1921" s="185"/>
      <c r="I1921" s="281"/>
      <c r="J1921" s="281"/>
      <c r="K1921" s="281"/>
      <c r="L1921" s="281"/>
      <c r="M1921" s="281"/>
      <c r="N1921" s="281"/>
      <c r="O1921" s="281"/>
      <c r="P1921" s="281"/>
      <c r="Q1921" s="281"/>
      <c r="R1921" s="281"/>
      <c r="S1921" s="281"/>
    </row>
    <row r="1922" ht="10.5" customHeight="1">
      <c r="A1922" s="1"/>
      <c r="B1922" s="1"/>
      <c r="C1922" s="15"/>
      <c r="D1922" s="15"/>
      <c r="E1922" s="15"/>
      <c r="F1922" s="15"/>
      <c r="G1922" s="15"/>
      <c r="H1922" s="15"/>
      <c r="I1922" s="1"/>
      <c r="J1922" s="1"/>
      <c r="K1922" s="1"/>
      <c r="L1922" s="1"/>
      <c r="M1922" s="1"/>
      <c r="N1922" s="1"/>
      <c r="O1922" s="1"/>
      <c r="P1922" s="1"/>
      <c r="Q1922" s="1"/>
      <c r="R1922" s="1"/>
      <c r="S1922" s="1"/>
    </row>
    <row r="1923" ht="10.5" customHeight="1">
      <c r="A1923" s="1"/>
      <c r="B1923" s="1"/>
      <c r="C1923" s="15"/>
      <c r="D1923" s="15"/>
      <c r="E1923" s="15"/>
      <c r="F1923" s="15"/>
      <c r="G1923" s="15"/>
      <c r="H1923" s="15"/>
      <c r="I1923" s="1"/>
      <c r="J1923" s="1"/>
      <c r="K1923" s="1"/>
      <c r="L1923" s="1"/>
      <c r="M1923" s="1"/>
      <c r="N1923" s="1"/>
      <c r="O1923" s="1"/>
      <c r="P1923" s="1"/>
      <c r="Q1923" s="1"/>
      <c r="R1923" s="1"/>
      <c r="S1923" s="1"/>
    </row>
    <row r="1924" ht="10.5" customHeight="1">
      <c r="A1924" s="1"/>
      <c r="B1924" s="1"/>
      <c r="C1924" s="1"/>
      <c r="D1924" s="1"/>
      <c r="E1924" s="1"/>
      <c r="F1924" s="1"/>
      <c r="G1924" s="1"/>
      <c r="H1924" s="1"/>
      <c r="I1924" s="1"/>
      <c r="J1924" s="1"/>
      <c r="K1924" s="1"/>
      <c r="L1924" s="1"/>
      <c r="M1924" s="1"/>
      <c r="N1924" s="1"/>
      <c r="O1924" s="1"/>
      <c r="P1924" s="1"/>
      <c r="Q1924" s="1"/>
      <c r="R1924" s="1"/>
      <c r="S1924" s="1"/>
    </row>
    <row r="1925" ht="10.5" customHeight="1">
      <c r="A1925" s="1"/>
      <c r="B1925" s="1"/>
      <c r="C1925" s="1"/>
      <c r="D1925" s="1"/>
      <c r="E1925" s="1"/>
      <c r="F1925" s="1"/>
      <c r="G1925" s="1"/>
      <c r="H1925" s="1"/>
      <c r="I1925" s="1"/>
      <c r="J1925" s="1"/>
      <c r="K1925" s="1"/>
      <c r="L1925" s="1"/>
      <c r="M1925" s="1"/>
      <c r="N1925" s="1"/>
      <c r="O1925" s="1"/>
      <c r="P1925" s="1"/>
      <c r="Q1925" s="1"/>
      <c r="R1925" s="1"/>
      <c r="S1925" s="1"/>
    </row>
    <row r="1926" ht="10.5" customHeight="1">
      <c r="A1926" s="1"/>
      <c r="B1926" s="1"/>
      <c r="C1926" s="1"/>
      <c r="D1926" s="1"/>
      <c r="E1926" s="1"/>
      <c r="F1926" s="1"/>
      <c r="G1926" s="1"/>
      <c r="H1926" s="1"/>
      <c r="I1926" s="1"/>
      <c r="J1926" s="1"/>
      <c r="K1926" s="1"/>
      <c r="L1926" s="1"/>
      <c r="M1926" s="1"/>
      <c r="N1926" s="1"/>
      <c r="O1926" s="1"/>
      <c r="P1926" s="1"/>
      <c r="Q1926" s="1"/>
      <c r="R1926" s="1"/>
      <c r="S1926" s="1"/>
    </row>
    <row r="1927" ht="10.5" customHeight="1">
      <c r="A1927" s="1"/>
      <c r="B1927" s="1"/>
      <c r="C1927" s="1"/>
      <c r="D1927" s="1"/>
      <c r="E1927" s="1"/>
      <c r="F1927" s="1"/>
      <c r="G1927" s="1"/>
      <c r="H1927" s="1"/>
      <c r="I1927" s="1"/>
      <c r="J1927" s="1"/>
      <c r="K1927" s="1"/>
      <c r="L1927" s="1"/>
      <c r="M1927" s="1"/>
      <c r="N1927" s="1"/>
      <c r="O1927" s="1"/>
      <c r="P1927" s="1"/>
      <c r="Q1927" s="1"/>
      <c r="R1927" s="1"/>
      <c r="S1927" s="1"/>
    </row>
    <row r="1928" ht="10.5" customHeight="1">
      <c r="A1928" s="1"/>
      <c r="B1928" s="1"/>
      <c r="C1928" s="1"/>
      <c r="D1928" s="1"/>
      <c r="E1928" s="1"/>
      <c r="F1928" s="1"/>
      <c r="G1928" s="1"/>
      <c r="H1928" s="1"/>
      <c r="I1928" s="1"/>
      <c r="J1928" s="1"/>
      <c r="K1928" s="1"/>
      <c r="L1928" s="1"/>
      <c r="M1928" s="1"/>
      <c r="N1928" s="1"/>
      <c r="O1928" s="1"/>
      <c r="P1928" s="1"/>
      <c r="Q1928" s="1"/>
      <c r="R1928" s="1"/>
      <c r="S1928" s="1"/>
    </row>
    <row r="1929" ht="10.5" customHeight="1">
      <c r="A1929" s="1"/>
      <c r="B1929" s="1"/>
      <c r="C1929" s="1"/>
      <c r="D1929" s="1"/>
      <c r="E1929" s="1"/>
      <c r="F1929" s="1"/>
      <c r="G1929" s="1"/>
      <c r="H1929" s="1"/>
      <c r="I1929" s="1"/>
      <c r="J1929" s="1"/>
      <c r="K1929" s="1"/>
      <c r="L1929" s="1"/>
      <c r="M1929" s="1"/>
      <c r="N1929" s="1"/>
      <c r="O1929" s="1"/>
      <c r="P1929" s="1"/>
      <c r="Q1929" s="1"/>
      <c r="R1929" s="1"/>
      <c r="S1929" s="1"/>
    </row>
    <row r="1930" ht="10.5" customHeight="1">
      <c r="A1930" s="1"/>
      <c r="B1930" s="1"/>
      <c r="C1930" s="1"/>
      <c r="D1930" s="1"/>
      <c r="E1930" s="1"/>
      <c r="F1930" s="1"/>
      <c r="G1930" s="1"/>
      <c r="H1930" s="1"/>
      <c r="I1930" s="1"/>
      <c r="J1930" s="1"/>
      <c r="K1930" s="1"/>
      <c r="L1930" s="1"/>
      <c r="M1930" s="1"/>
      <c r="N1930" s="1"/>
      <c r="O1930" s="1"/>
      <c r="P1930" s="1"/>
      <c r="Q1930" s="1"/>
      <c r="R1930" s="1"/>
      <c r="S1930" s="1"/>
    </row>
    <row r="1931" ht="10.5" customHeight="1">
      <c r="A1931" s="1"/>
      <c r="B1931" s="1"/>
      <c r="C1931" s="1"/>
      <c r="D1931" s="1"/>
      <c r="E1931" s="1"/>
      <c r="F1931" s="1"/>
      <c r="G1931" s="1"/>
      <c r="H1931" s="1"/>
      <c r="I1931" s="1"/>
      <c r="J1931" s="1"/>
      <c r="K1931" s="1"/>
      <c r="L1931" s="1"/>
      <c r="M1931" s="1"/>
      <c r="N1931" s="1"/>
      <c r="O1931" s="1"/>
      <c r="P1931" s="1"/>
      <c r="Q1931" s="1"/>
      <c r="R1931" s="1"/>
      <c r="S1931" s="1"/>
    </row>
    <row r="1932" ht="10.5" customHeight="1">
      <c r="A1932" s="1"/>
      <c r="B1932" s="1"/>
      <c r="C1932" s="1"/>
      <c r="D1932" s="1"/>
      <c r="E1932" s="1"/>
      <c r="F1932" s="1"/>
      <c r="G1932" s="1"/>
      <c r="H1932" s="1"/>
      <c r="I1932" s="1"/>
      <c r="J1932" s="1"/>
      <c r="K1932" s="1"/>
      <c r="L1932" s="1"/>
      <c r="M1932" s="1"/>
      <c r="N1932" s="1"/>
      <c r="O1932" s="1"/>
      <c r="P1932" s="1"/>
      <c r="Q1932" s="1"/>
      <c r="R1932" s="1"/>
      <c r="S1932" s="1"/>
    </row>
    <row r="1933" ht="10.5" customHeight="1">
      <c r="A1933" s="1"/>
      <c r="B1933" s="1"/>
      <c r="C1933" s="1"/>
      <c r="D1933" s="1"/>
      <c r="E1933" s="1"/>
      <c r="F1933" s="1"/>
      <c r="G1933" s="1"/>
      <c r="H1933" s="1"/>
      <c r="I1933" s="1"/>
      <c r="J1933" s="1"/>
      <c r="K1933" s="1"/>
      <c r="L1933" s="1"/>
      <c r="M1933" s="1"/>
      <c r="N1933" s="1"/>
      <c r="O1933" s="1"/>
      <c r="P1933" s="1"/>
      <c r="Q1933" s="1"/>
      <c r="R1933" s="1"/>
      <c r="S1933" s="1"/>
    </row>
    <row r="1934" ht="10.5" customHeight="1">
      <c r="A1934" s="1"/>
      <c r="B1934" s="1"/>
      <c r="C1934" s="1"/>
      <c r="D1934" s="1"/>
      <c r="E1934" s="1"/>
      <c r="F1934" s="1"/>
      <c r="G1934" s="1"/>
      <c r="H1934" s="1"/>
      <c r="I1934" s="1"/>
      <c r="J1934" s="1"/>
      <c r="K1934" s="1"/>
      <c r="L1934" s="1"/>
      <c r="M1934" s="1"/>
      <c r="N1934" s="1"/>
      <c r="O1934" s="1"/>
      <c r="P1934" s="1"/>
      <c r="Q1934" s="1"/>
      <c r="R1934" s="1"/>
      <c r="S1934" s="1"/>
    </row>
    <row r="1935" ht="10.5" customHeight="1">
      <c r="A1935" s="1"/>
      <c r="B1935" s="1"/>
      <c r="C1935" s="1"/>
      <c r="D1935" s="1"/>
      <c r="E1935" s="1"/>
      <c r="F1935" s="1"/>
      <c r="G1935" s="1"/>
      <c r="H1935" s="1"/>
      <c r="I1935" s="1"/>
      <c r="J1935" s="1"/>
      <c r="K1935" s="1"/>
      <c r="L1935" s="1"/>
      <c r="M1935" s="1"/>
      <c r="N1935" s="1"/>
      <c r="O1935" s="1"/>
      <c r="P1935" s="1"/>
      <c r="Q1935" s="1"/>
      <c r="R1935" s="1"/>
      <c r="S1935" s="1"/>
    </row>
    <row r="1936" ht="10.5" customHeight="1">
      <c r="A1936" s="1"/>
      <c r="B1936" s="1"/>
      <c r="C1936" s="1"/>
      <c r="D1936" s="1"/>
      <c r="E1936" s="1"/>
      <c r="F1936" s="1"/>
      <c r="G1936" s="1"/>
      <c r="H1936" s="1"/>
      <c r="I1936" s="1"/>
      <c r="J1936" s="1"/>
      <c r="K1936" s="1"/>
      <c r="L1936" s="1"/>
      <c r="M1936" s="1"/>
      <c r="N1936" s="1"/>
      <c r="O1936" s="1"/>
      <c r="P1936" s="1"/>
      <c r="Q1936" s="1"/>
      <c r="R1936" s="1"/>
      <c r="S1936" s="1"/>
    </row>
    <row r="1937" ht="10.5" customHeight="1">
      <c r="A1937" s="1"/>
      <c r="B1937" s="1"/>
      <c r="C1937" s="1"/>
      <c r="D1937" s="1"/>
      <c r="E1937" s="1"/>
      <c r="F1937" s="1"/>
      <c r="G1937" s="1"/>
      <c r="H1937" s="1"/>
      <c r="I1937" s="1"/>
      <c r="J1937" s="1"/>
      <c r="K1937" s="1"/>
      <c r="L1937" s="1"/>
      <c r="M1937" s="1"/>
      <c r="N1937" s="1"/>
      <c r="O1937" s="1"/>
      <c r="P1937" s="1"/>
      <c r="Q1937" s="1"/>
      <c r="R1937" s="1"/>
      <c r="S1937" s="1"/>
    </row>
    <row r="1938" ht="10.5" customHeight="1">
      <c r="A1938" s="1"/>
      <c r="B1938" s="1"/>
      <c r="C1938" s="1"/>
      <c r="D1938" s="1"/>
      <c r="E1938" s="1"/>
      <c r="F1938" s="1"/>
      <c r="G1938" s="1"/>
      <c r="H1938" s="1"/>
      <c r="I1938" s="1"/>
      <c r="J1938" s="1"/>
      <c r="K1938" s="1"/>
      <c r="L1938" s="1"/>
      <c r="M1938" s="1"/>
      <c r="N1938" s="1"/>
      <c r="O1938" s="1"/>
      <c r="P1938" s="1"/>
      <c r="Q1938" s="1"/>
      <c r="R1938" s="1"/>
      <c r="S1938" s="1"/>
    </row>
    <row r="1939" ht="10.5" customHeight="1">
      <c r="A1939" s="1"/>
      <c r="B1939" s="1"/>
      <c r="C1939" s="1"/>
      <c r="D1939" s="1"/>
      <c r="E1939" s="1"/>
      <c r="F1939" s="1"/>
      <c r="G1939" s="1"/>
      <c r="H1939" s="1"/>
      <c r="I1939" s="1"/>
      <c r="J1939" s="1"/>
      <c r="K1939" s="1"/>
      <c r="L1939" s="1"/>
      <c r="M1939" s="1"/>
      <c r="N1939" s="1"/>
      <c r="O1939" s="1"/>
      <c r="P1939" s="1"/>
      <c r="Q1939" s="1"/>
      <c r="R1939" s="1"/>
      <c r="S1939" s="1"/>
    </row>
    <row r="1940" ht="10.5" customHeight="1">
      <c r="A1940" s="1"/>
      <c r="B1940" s="1"/>
      <c r="C1940" s="1"/>
      <c r="D1940" s="1"/>
      <c r="E1940" s="1"/>
      <c r="F1940" s="1"/>
      <c r="G1940" s="1"/>
      <c r="H1940" s="1"/>
      <c r="I1940" s="1"/>
      <c r="J1940" s="1"/>
      <c r="K1940" s="1"/>
      <c r="L1940" s="1"/>
      <c r="M1940" s="1"/>
      <c r="N1940" s="1"/>
      <c r="O1940" s="1"/>
      <c r="P1940" s="1"/>
      <c r="Q1940" s="1"/>
      <c r="R1940" s="1"/>
      <c r="S1940" s="1"/>
    </row>
    <row r="1941" ht="10.5" customHeight="1">
      <c r="A1941" s="1"/>
      <c r="B1941" s="1"/>
      <c r="C1941" s="1"/>
      <c r="D1941" s="1"/>
      <c r="E1941" s="1"/>
      <c r="F1941" s="1"/>
      <c r="G1941" s="1"/>
      <c r="H1941" s="1"/>
      <c r="I1941" s="1"/>
      <c r="J1941" s="1"/>
      <c r="K1941" s="1"/>
      <c r="L1941" s="1"/>
      <c r="M1941" s="1"/>
      <c r="N1941" s="1"/>
      <c r="O1941" s="1"/>
      <c r="P1941" s="1"/>
      <c r="Q1941" s="1"/>
      <c r="R1941" s="1"/>
      <c r="S1941" s="1"/>
    </row>
    <row r="1942" ht="10.5" customHeight="1">
      <c r="A1942" s="1"/>
      <c r="B1942" s="1"/>
      <c r="C1942" s="1"/>
      <c r="D1942" s="1"/>
      <c r="E1942" s="1"/>
      <c r="F1942" s="1"/>
      <c r="G1942" s="1"/>
      <c r="H1942" s="1"/>
      <c r="I1942" s="1"/>
      <c r="J1942" s="1"/>
      <c r="K1942" s="1"/>
      <c r="L1942" s="1"/>
      <c r="M1942" s="1"/>
      <c r="N1942" s="1"/>
      <c r="O1942" s="1"/>
      <c r="P1942" s="1"/>
      <c r="Q1942" s="1"/>
      <c r="R1942" s="1"/>
      <c r="S1942" s="1"/>
    </row>
    <row r="1943" ht="10.5" customHeight="1">
      <c r="A1943" s="1"/>
      <c r="B1943" s="1"/>
      <c r="C1943" s="1"/>
      <c r="D1943" s="1"/>
      <c r="E1943" s="1"/>
      <c r="F1943" s="1"/>
      <c r="G1943" s="1"/>
      <c r="H1943" s="1"/>
      <c r="I1943" s="1"/>
      <c r="J1943" s="1"/>
      <c r="K1943" s="1"/>
      <c r="L1943" s="1"/>
      <c r="M1943" s="1"/>
      <c r="N1943" s="1"/>
      <c r="O1943" s="1"/>
      <c r="P1943" s="1"/>
      <c r="Q1943" s="1"/>
      <c r="R1943" s="1"/>
      <c r="S1943" s="1"/>
    </row>
    <row r="1944" ht="10.5" customHeight="1">
      <c r="A1944" s="1"/>
      <c r="B1944" s="1"/>
      <c r="C1944" s="1"/>
      <c r="D1944" s="1"/>
      <c r="E1944" s="1"/>
      <c r="F1944" s="1"/>
      <c r="G1944" s="1"/>
      <c r="H1944" s="1"/>
      <c r="I1944" s="1"/>
      <c r="J1944" s="1"/>
      <c r="K1944" s="1"/>
      <c r="L1944" s="1"/>
      <c r="M1944" s="1"/>
      <c r="N1944" s="1"/>
      <c r="O1944" s="1"/>
      <c r="P1944" s="1"/>
      <c r="Q1944" s="1"/>
      <c r="R1944" s="1"/>
      <c r="S1944" s="1"/>
    </row>
    <row r="1945" ht="10.5" customHeight="1">
      <c r="A1945" s="1"/>
      <c r="B1945" s="1"/>
      <c r="C1945" s="1"/>
      <c r="D1945" s="1"/>
      <c r="E1945" s="1"/>
      <c r="F1945" s="1"/>
      <c r="G1945" s="1"/>
      <c r="H1945" s="1"/>
      <c r="I1945" s="1"/>
      <c r="J1945" s="1"/>
      <c r="K1945" s="1"/>
      <c r="L1945" s="1"/>
      <c r="M1945" s="1"/>
      <c r="N1945" s="1"/>
      <c r="O1945" s="1"/>
      <c r="P1945" s="1"/>
      <c r="Q1945" s="1"/>
      <c r="R1945" s="1"/>
      <c r="S1945" s="1"/>
    </row>
    <row r="1946" ht="10.5" customHeight="1">
      <c r="A1946" s="1"/>
      <c r="B1946" s="1"/>
      <c r="C1946" s="1"/>
      <c r="D1946" s="1"/>
      <c r="E1946" s="1"/>
      <c r="F1946" s="1"/>
      <c r="G1946" s="1"/>
      <c r="H1946" s="1"/>
      <c r="I1946" s="1"/>
      <c r="J1946" s="1"/>
      <c r="K1946" s="1"/>
      <c r="L1946" s="1"/>
      <c r="M1946" s="1"/>
      <c r="N1946" s="1"/>
      <c r="O1946" s="1"/>
      <c r="P1946" s="1"/>
      <c r="Q1946" s="1"/>
      <c r="R1946" s="1"/>
      <c r="S1946" s="1"/>
    </row>
    <row r="1947" ht="10.5" customHeight="1">
      <c r="A1947" s="1"/>
      <c r="B1947" s="1"/>
      <c r="C1947" s="1"/>
      <c r="D1947" s="1"/>
      <c r="E1947" s="1"/>
      <c r="F1947" s="1"/>
      <c r="G1947" s="110">
        <v>28.0</v>
      </c>
      <c r="H1947" s="1"/>
      <c r="I1947" s="1"/>
      <c r="J1947" s="1"/>
      <c r="K1947" s="1"/>
      <c r="L1947" s="1"/>
      <c r="M1947" s="1"/>
      <c r="N1947" s="1"/>
      <c r="O1947" s="1"/>
      <c r="P1947" s="1"/>
      <c r="Q1947" s="1"/>
      <c r="R1947" s="1"/>
      <c r="S1947" s="1"/>
    </row>
    <row r="1948" ht="10.5" customHeight="1">
      <c r="A1948" s="1"/>
      <c r="B1948" s="1"/>
      <c r="C1948" s="1"/>
      <c r="D1948" s="1"/>
      <c r="E1948" s="1"/>
      <c r="F1948" s="1"/>
      <c r="G1948" s="1"/>
      <c r="H1948" s="1"/>
      <c r="I1948" s="1"/>
      <c r="J1948" s="1"/>
      <c r="K1948" s="1"/>
      <c r="L1948" s="1"/>
      <c r="M1948" s="1"/>
      <c r="N1948" s="1"/>
      <c r="O1948" s="1"/>
      <c r="P1948" s="1"/>
      <c r="Q1948" s="1"/>
      <c r="R1948" s="1"/>
      <c r="S1948" s="1"/>
    </row>
    <row r="1949" ht="11.25" customHeight="1">
      <c r="A1949" s="1"/>
      <c r="B1949" s="1"/>
      <c r="C1949" s="1"/>
      <c r="D1949" s="1"/>
      <c r="E1949" s="1"/>
      <c r="F1949" s="1"/>
      <c r="G1949" s="125"/>
      <c r="H1949" s="1"/>
      <c r="I1949" s="333"/>
      <c r="J1949" s="1"/>
      <c r="K1949" s="1"/>
      <c r="L1949" s="1"/>
      <c r="M1949" s="1"/>
      <c r="N1949" s="1"/>
      <c r="O1949" s="1"/>
      <c r="P1949" s="1"/>
      <c r="Q1949" s="1"/>
      <c r="R1949" s="1"/>
      <c r="S1949" s="1"/>
    </row>
    <row r="1950" ht="11.25" customHeight="1">
      <c r="A1950" s="1"/>
      <c r="B1950" s="1" t="s">
        <v>1223</v>
      </c>
      <c r="C1950" s="1"/>
      <c r="D1950" s="1"/>
      <c r="E1950" s="1"/>
      <c r="F1950" s="1"/>
      <c r="G1950" s="1"/>
      <c r="H1950" s="1"/>
      <c r="I1950" s="1"/>
      <c r="J1950" s="1"/>
      <c r="K1950" s="727"/>
      <c r="L1950" s="1"/>
      <c r="M1950" s="1"/>
      <c r="N1950" s="1"/>
      <c r="O1950" s="1"/>
      <c r="P1950" s="1"/>
      <c r="Q1950" s="1"/>
      <c r="R1950" s="1"/>
      <c r="S1950" s="1"/>
    </row>
    <row r="1951" ht="10.5" customHeight="1">
      <c r="A1951" s="1"/>
      <c r="B1951" s="29" t="s">
        <v>1224</v>
      </c>
      <c r="C1951" s="31" t="s">
        <v>1225</v>
      </c>
      <c r="D1951" s="128" t="s">
        <v>926</v>
      </c>
      <c r="E1951" s="9"/>
      <c r="F1951" s="10"/>
      <c r="G1951" s="644" t="s">
        <v>1229</v>
      </c>
      <c r="H1951" s="70"/>
      <c r="I1951" s="31" t="s">
        <v>1231</v>
      </c>
      <c r="J1951" s="31" t="s">
        <v>1234</v>
      </c>
      <c r="K1951" s="429" t="s">
        <v>1235</v>
      </c>
      <c r="L1951" s="1"/>
      <c r="M1951" s="1"/>
      <c r="N1951" s="1"/>
      <c r="O1951" s="1"/>
      <c r="P1951" s="1"/>
      <c r="Q1951" s="1"/>
      <c r="R1951" s="1"/>
      <c r="S1951" s="1"/>
    </row>
    <row r="1952" ht="13.5" customHeight="1">
      <c r="A1952" s="1"/>
      <c r="B1952" s="5"/>
      <c r="C1952" s="6"/>
      <c r="D1952" s="7" t="s">
        <v>1237</v>
      </c>
      <c r="E1952" s="7" t="s">
        <v>1238</v>
      </c>
      <c r="F1952" s="7" t="s">
        <v>1239</v>
      </c>
      <c r="G1952" s="118"/>
      <c r="H1952" s="94"/>
      <c r="I1952" s="6"/>
      <c r="J1952" s="6"/>
      <c r="K1952" s="5"/>
      <c r="L1952" s="1"/>
      <c r="M1952" s="1"/>
      <c r="N1952" s="1"/>
      <c r="O1952" s="1"/>
      <c r="P1952" s="1"/>
      <c r="Q1952" s="1"/>
      <c r="R1952" s="1"/>
      <c r="S1952" s="1"/>
    </row>
    <row r="1953" ht="10.5" customHeight="1">
      <c r="A1953" s="1"/>
      <c r="B1953" s="6"/>
      <c r="C1953" s="134" t="s">
        <v>48</v>
      </c>
      <c r="D1953" s="8" t="s">
        <v>520</v>
      </c>
      <c r="E1953" s="9"/>
      <c r="F1953" s="10"/>
      <c r="G1953" s="8" t="s">
        <v>52</v>
      </c>
      <c r="H1953" s="10"/>
      <c r="I1953" s="134" t="s">
        <v>54</v>
      </c>
      <c r="J1953" s="134" t="s">
        <v>50</v>
      </c>
      <c r="K1953" s="6"/>
      <c r="L1953" s="1"/>
      <c r="M1953" s="1"/>
      <c r="N1953" s="1"/>
      <c r="O1953" s="1"/>
      <c r="P1953" s="1"/>
      <c r="Q1953" s="1"/>
      <c r="R1953" s="1"/>
      <c r="S1953" s="1"/>
    </row>
    <row r="1954" ht="10.5" customHeight="1">
      <c r="A1954" s="1"/>
      <c r="B1954" s="48" t="s">
        <v>56</v>
      </c>
      <c r="C1954" s="136">
        <v>115.0</v>
      </c>
      <c r="D1954" s="136">
        <v>51279.0</v>
      </c>
      <c r="E1954" s="136">
        <v>89372.0</v>
      </c>
      <c r="F1954" s="136">
        <v>146511.0</v>
      </c>
      <c r="G1954" s="71"/>
      <c r="H1954" s="276">
        <v>511.68</v>
      </c>
      <c r="I1954" s="250">
        <v>12.4</v>
      </c>
      <c r="J1954" s="130">
        <v>74120.0</v>
      </c>
      <c r="K1954" s="55" t="s">
        <v>81</v>
      </c>
      <c r="L1954" s="1"/>
      <c r="M1954" s="1"/>
      <c r="N1954" s="1"/>
      <c r="O1954" s="1"/>
      <c r="P1954" s="1"/>
      <c r="Q1954" s="1"/>
      <c r="R1954" s="1"/>
      <c r="S1954" s="1"/>
    </row>
    <row r="1955" ht="10.5" customHeight="1">
      <c r="A1955" s="1"/>
      <c r="B1955" s="48" t="s">
        <v>81</v>
      </c>
      <c r="C1955" s="136">
        <v>107.0</v>
      </c>
      <c r="D1955" s="136">
        <v>32973.0</v>
      </c>
      <c r="E1955" s="136">
        <v>57467.0</v>
      </c>
      <c r="F1955" s="136">
        <v>94209.0</v>
      </c>
      <c r="G1955" s="71"/>
      <c r="H1955" s="276">
        <v>509.18</v>
      </c>
      <c r="I1955" s="250">
        <v>12.3</v>
      </c>
      <c r="J1955" s="130">
        <v>45850.0</v>
      </c>
      <c r="K1955" s="55" t="s">
        <v>86</v>
      </c>
      <c r="L1955" s="1"/>
      <c r="M1955" s="1"/>
      <c r="N1955" s="1"/>
      <c r="O1955" s="1"/>
      <c r="P1955" s="1"/>
      <c r="Q1955" s="1"/>
      <c r="R1955" s="1"/>
      <c r="S1955" s="1"/>
    </row>
    <row r="1956" ht="10.5" customHeight="1">
      <c r="A1956" s="1"/>
      <c r="B1956" s="48" t="s">
        <v>86</v>
      </c>
      <c r="C1956" s="136">
        <v>105.0</v>
      </c>
      <c r="D1956" s="136">
        <v>24294.0</v>
      </c>
      <c r="E1956" s="136">
        <v>42341.0</v>
      </c>
      <c r="F1956" s="136">
        <v>69411.0</v>
      </c>
      <c r="G1956" s="71"/>
      <c r="H1956" s="276">
        <v>627.47</v>
      </c>
      <c r="I1956" s="250">
        <v>15.2</v>
      </c>
      <c r="J1956" s="130">
        <v>41667.0</v>
      </c>
      <c r="K1956" s="55" t="s">
        <v>87</v>
      </c>
      <c r="L1956" s="1"/>
      <c r="M1956" s="1"/>
      <c r="N1956" s="1"/>
      <c r="O1956" s="1"/>
      <c r="P1956" s="1"/>
      <c r="Q1956" s="1"/>
      <c r="R1956" s="1"/>
      <c r="S1956" s="1"/>
    </row>
    <row r="1957" ht="10.5" customHeight="1">
      <c r="A1957" s="1"/>
      <c r="B1957" s="48" t="s">
        <v>87</v>
      </c>
      <c r="C1957" s="136">
        <v>99.0</v>
      </c>
      <c r="D1957" s="136">
        <v>29594.0</v>
      </c>
      <c r="E1957" s="136">
        <v>51578.0</v>
      </c>
      <c r="F1957" s="136">
        <v>84554.0</v>
      </c>
      <c r="G1957" s="71"/>
      <c r="H1957" s="276">
        <v>712.98</v>
      </c>
      <c r="I1957" s="250">
        <v>17.2</v>
      </c>
      <c r="J1957" s="130">
        <v>57509.0</v>
      </c>
      <c r="K1957" s="55" t="s">
        <v>90</v>
      </c>
      <c r="L1957" s="1"/>
      <c r="M1957" s="1"/>
      <c r="N1957" s="1"/>
      <c r="O1957" s="1"/>
      <c r="P1957" s="1"/>
      <c r="Q1957" s="1"/>
      <c r="R1957" s="1"/>
      <c r="S1957" s="1"/>
    </row>
    <row r="1958" ht="10.5" customHeight="1">
      <c r="A1958" s="1"/>
      <c r="B1958" s="48" t="s">
        <v>90</v>
      </c>
      <c r="C1958" s="136">
        <v>107.0</v>
      </c>
      <c r="D1958" s="136">
        <v>40388.0</v>
      </c>
      <c r="E1958" s="136">
        <v>70391.0</v>
      </c>
      <c r="F1958" s="136">
        <v>115394.0</v>
      </c>
      <c r="G1958" s="71"/>
      <c r="H1958" s="276">
        <v>837.8</v>
      </c>
      <c r="I1958" s="250">
        <v>20.2</v>
      </c>
      <c r="J1958" s="130">
        <v>92393.0</v>
      </c>
      <c r="K1958" s="55" t="s">
        <v>93</v>
      </c>
      <c r="L1958" s="1"/>
      <c r="M1958" s="1"/>
      <c r="N1958" s="1"/>
      <c r="O1958" s="1"/>
      <c r="P1958" s="1"/>
      <c r="Q1958" s="1"/>
      <c r="R1958" s="1"/>
      <c r="S1958" s="1"/>
    </row>
    <row r="1959" ht="10.5" customHeight="1">
      <c r="A1959" s="1"/>
      <c r="B1959" s="48"/>
      <c r="C1959" s="136"/>
      <c r="D1959" s="136"/>
      <c r="E1959" s="136"/>
      <c r="F1959" s="136"/>
      <c r="G1959" s="71"/>
      <c r="H1959" s="276"/>
      <c r="I1959" s="250"/>
      <c r="J1959" s="130"/>
      <c r="K1959" s="55"/>
      <c r="L1959" s="1"/>
      <c r="M1959" s="1"/>
      <c r="N1959" s="1"/>
      <c r="O1959" s="1"/>
      <c r="P1959" s="1"/>
      <c r="Q1959" s="1"/>
      <c r="R1959" s="1"/>
      <c r="S1959" s="1"/>
    </row>
    <row r="1960" ht="10.5" customHeight="1">
      <c r="A1960" s="1"/>
      <c r="B1960" s="48" t="s">
        <v>93</v>
      </c>
      <c r="C1960" s="136">
        <v>126.0</v>
      </c>
      <c r="D1960" s="136">
        <v>40638.0</v>
      </c>
      <c r="E1960" s="136">
        <v>70826.0</v>
      </c>
      <c r="F1960" s="136">
        <v>116109.0</v>
      </c>
      <c r="G1960" s="71"/>
      <c r="H1960" s="276">
        <v>862.04</v>
      </c>
      <c r="I1960" s="250">
        <v>20.7</v>
      </c>
      <c r="J1960" s="130">
        <v>95650.0</v>
      </c>
      <c r="K1960" s="55" t="s">
        <v>97</v>
      </c>
      <c r="L1960" s="1"/>
      <c r="M1960" s="1"/>
      <c r="N1960" s="1"/>
      <c r="O1960" s="1"/>
      <c r="P1960" s="1"/>
      <c r="Q1960" s="1"/>
      <c r="R1960" s="1"/>
      <c r="S1960" s="1"/>
    </row>
    <row r="1961" ht="10.5" customHeight="1">
      <c r="A1961" s="1"/>
      <c r="B1961" s="48" t="s">
        <v>97</v>
      </c>
      <c r="C1961" s="136">
        <v>160.0</v>
      </c>
      <c r="D1961" s="136">
        <v>51293.0</v>
      </c>
      <c r="E1961" s="136">
        <v>89396.0</v>
      </c>
      <c r="F1961" s="136">
        <v>146551.0</v>
      </c>
      <c r="G1961" s="71"/>
      <c r="H1961" s="276">
        <v>933.84</v>
      </c>
      <c r="I1961" s="250">
        <v>22.6</v>
      </c>
      <c r="J1961" s="130">
        <v>143273.0</v>
      </c>
      <c r="K1961" s="55" t="s">
        <v>101</v>
      </c>
      <c r="L1961" s="1"/>
      <c r="M1961" s="1"/>
      <c r="N1961" s="1"/>
      <c r="O1961" s="1"/>
      <c r="P1961" s="1"/>
      <c r="Q1961" s="1"/>
      <c r="R1961" s="1"/>
      <c r="S1961" s="1"/>
    </row>
    <row r="1962" ht="10.5" customHeight="1">
      <c r="A1962" s="1"/>
      <c r="B1962" s="48" t="s">
        <v>101</v>
      </c>
      <c r="C1962" s="136">
        <v>182.0</v>
      </c>
      <c r="D1962" s="136">
        <v>68618.0</v>
      </c>
      <c r="E1962" s="136">
        <v>119591.0</v>
      </c>
      <c r="F1962" s="136">
        <v>196051.0</v>
      </c>
      <c r="G1962" s="734"/>
      <c r="H1962" s="276">
        <v>1029.41</v>
      </c>
      <c r="I1962" s="250">
        <v>24.9</v>
      </c>
      <c r="J1962" s="130">
        <v>192980.0</v>
      </c>
      <c r="K1962" s="55" t="s">
        <v>103</v>
      </c>
      <c r="L1962" s="1"/>
      <c r="M1962" s="1"/>
      <c r="N1962" s="1"/>
      <c r="O1962" s="1"/>
      <c r="P1962" s="1"/>
      <c r="Q1962" s="1"/>
      <c r="R1962" s="1"/>
      <c r="S1962" s="1"/>
    </row>
    <row r="1963" ht="10.5" customHeight="1">
      <c r="A1963" s="1"/>
      <c r="B1963" s="48" t="s">
        <v>103</v>
      </c>
      <c r="C1963" s="136">
        <v>174.0</v>
      </c>
      <c r="D1963" s="136">
        <v>65731.0</v>
      </c>
      <c r="E1963" s="136">
        <v>114560.0</v>
      </c>
      <c r="F1963" s="136">
        <v>187803.0</v>
      </c>
      <c r="G1963" s="734"/>
      <c r="H1963" s="276">
        <v>1073.8</v>
      </c>
      <c r="I1963" s="250">
        <v>25.9</v>
      </c>
      <c r="J1963" s="130">
        <v>192545.0</v>
      </c>
      <c r="K1963" s="55" t="s">
        <v>104</v>
      </c>
      <c r="L1963" s="1"/>
      <c r="M1963" s="1"/>
      <c r="N1963" s="1"/>
      <c r="O1963" s="1"/>
      <c r="P1963" s="1"/>
      <c r="Q1963" s="1"/>
      <c r="R1963" s="1"/>
      <c r="S1963" s="1"/>
    </row>
    <row r="1964" ht="10.5" customHeight="1">
      <c r="A1964" s="1"/>
      <c r="B1964" s="48" t="s">
        <v>104</v>
      </c>
      <c r="C1964" s="136">
        <v>123.0</v>
      </c>
      <c r="D1964" s="136">
        <v>52318.0</v>
      </c>
      <c r="E1964" s="136">
        <v>91183.0</v>
      </c>
      <c r="F1964" s="136">
        <v>149480.0</v>
      </c>
      <c r="G1964" s="734"/>
      <c r="H1964" s="276">
        <v>1324.75</v>
      </c>
      <c r="I1964" s="250">
        <v>32.0</v>
      </c>
      <c r="J1964" s="130">
        <v>190102.0</v>
      </c>
      <c r="K1964" s="55" t="s">
        <v>108</v>
      </c>
      <c r="L1964" s="1"/>
      <c r="M1964" s="1"/>
      <c r="N1964" s="1"/>
      <c r="O1964" s="1"/>
      <c r="P1964" s="1"/>
      <c r="Q1964" s="1"/>
      <c r="R1964" s="1"/>
      <c r="S1964" s="1"/>
    </row>
    <row r="1965" ht="10.5" customHeight="1">
      <c r="A1965" s="1"/>
      <c r="B1965" s="48"/>
      <c r="C1965" s="136"/>
      <c r="D1965" s="136"/>
      <c r="E1965" s="136"/>
      <c r="F1965" s="136"/>
      <c r="G1965" s="734"/>
      <c r="H1965" s="276"/>
      <c r="I1965" s="250"/>
      <c r="J1965" s="130"/>
      <c r="K1965" s="55"/>
      <c r="L1965" s="1"/>
      <c r="M1965" s="1"/>
      <c r="N1965" s="1"/>
      <c r="O1965" s="1"/>
      <c r="P1965" s="1"/>
      <c r="Q1965" s="1"/>
      <c r="R1965" s="1"/>
      <c r="S1965" s="1"/>
    </row>
    <row r="1966" ht="10.5" customHeight="1">
      <c r="A1966" s="1"/>
      <c r="B1966" s="48" t="s">
        <v>108</v>
      </c>
      <c r="C1966" s="136">
        <v>91.0</v>
      </c>
      <c r="D1966" s="136">
        <v>40641.0</v>
      </c>
      <c r="E1966" s="136">
        <v>70831.0</v>
      </c>
      <c r="F1966" s="136">
        <v>116117.0</v>
      </c>
      <c r="G1966" s="734"/>
      <c r="H1966" s="276">
        <v>1275.21</v>
      </c>
      <c r="I1966" s="250">
        <v>30.9</v>
      </c>
      <c r="J1966" s="130">
        <v>141228.0</v>
      </c>
      <c r="K1966" s="55" t="s">
        <v>111</v>
      </c>
      <c r="L1966" s="1"/>
      <c r="M1966" s="1"/>
      <c r="N1966" s="1"/>
      <c r="O1966" s="1"/>
      <c r="P1966" s="1"/>
      <c r="Q1966" s="1"/>
      <c r="R1966" s="1"/>
      <c r="S1966" s="1"/>
    </row>
    <row r="1967" ht="10.5" customHeight="1">
      <c r="A1967" s="1"/>
      <c r="B1967" s="48" t="s">
        <v>111</v>
      </c>
      <c r="C1967" s="136">
        <v>48.0</v>
      </c>
      <c r="D1967" s="136">
        <v>18489.0</v>
      </c>
      <c r="E1967" s="136">
        <v>32224.0</v>
      </c>
      <c r="F1967" s="136">
        <v>52826.0</v>
      </c>
      <c r="G1967" s="734"/>
      <c r="H1967" s="276">
        <v>1316.17</v>
      </c>
      <c r="I1967" s="250">
        <v>31.8</v>
      </c>
      <c r="J1967" s="130">
        <v>66526.0</v>
      </c>
      <c r="K1967" s="55" t="s">
        <v>112</v>
      </c>
      <c r="L1967" s="1"/>
      <c r="M1967" s="1"/>
      <c r="N1967" s="1"/>
      <c r="O1967" s="1"/>
      <c r="P1967" s="1"/>
      <c r="Q1967" s="1"/>
      <c r="R1967" s="1"/>
      <c r="S1967" s="1"/>
    </row>
    <row r="1968" ht="10.5" customHeight="1">
      <c r="A1968" s="1"/>
      <c r="B1968" s="48" t="s">
        <v>112</v>
      </c>
      <c r="C1968" s="136">
        <v>35.0</v>
      </c>
      <c r="D1968" s="136">
        <v>11122.0</v>
      </c>
      <c r="E1968" s="136">
        <v>19384.0</v>
      </c>
      <c r="F1968" s="136">
        <v>31777.0</v>
      </c>
      <c r="G1968" s="734"/>
      <c r="H1968" s="276">
        <v>1414.64</v>
      </c>
      <c r="I1968" s="250">
        <v>34.2</v>
      </c>
      <c r="J1968" s="130">
        <v>42703.0</v>
      </c>
      <c r="K1968" s="55" t="s">
        <v>113</v>
      </c>
      <c r="L1968" s="1"/>
      <c r="M1968" s="1"/>
      <c r="N1968" s="1"/>
      <c r="O1968" s="1"/>
      <c r="P1968" s="1"/>
      <c r="Q1968" s="1"/>
      <c r="R1968" s="1"/>
      <c r="S1968" s="1"/>
    </row>
    <row r="1969" ht="10.5" customHeight="1">
      <c r="A1969" s="1"/>
      <c r="B1969" s="48" t="s">
        <v>113</v>
      </c>
      <c r="C1969" s="136">
        <v>67.0</v>
      </c>
      <c r="D1969" s="136">
        <v>23708.0</v>
      </c>
      <c r="E1969" s="136">
        <v>41320.0</v>
      </c>
      <c r="F1969" s="136">
        <v>67737.0</v>
      </c>
      <c r="G1969" s="734"/>
      <c r="H1969" s="276">
        <v>1572.56</v>
      </c>
      <c r="I1969" s="250">
        <v>37.9</v>
      </c>
      <c r="J1969" s="130">
        <v>106521.0</v>
      </c>
      <c r="K1969" s="55" t="s">
        <v>114</v>
      </c>
      <c r="L1969" s="1"/>
      <c r="M1969" s="1"/>
      <c r="N1969" s="1"/>
      <c r="O1969" s="1"/>
      <c r="P1969" s="1"/>
      <c r="Q1969" s="1"/>
      <c r="R1969" s="1"/>
      <c r="S1969" s="1"/>
    </row>
    <row r="1970" ht="10.5" customHeight="1">
      <c r="A1970" s="1"/>
      <c r="B1970" s="48" t="s">
        <v>114</v>
      </c>
      <c r="C1970" s="136">
        <v>54.0</v>
      </c>
      <c r="D1970" s="136">
        <v>22288.0</v>
      </c>
      <c r="E1970" s="136">
        <v>38845.0</v>
      </c>
      <c r="F1970" s="136">
        <v>63680.0</v>
      </c>
      <c r="G1970" s="734"/>
      <c r="H1970" s="276">
        <v>1910.46</v>
      </c>
      <c r="I1970" s="250">
        <v>45.7</v>
      </c>
      <c r="J1970" s="130">
        <v>120867.0</v>
      </c>
      <c r="K1970" s="55" t="s">
        <v>115</v>
      </c>
      <c r="L1970" s="1"/>
      <c r="M1970" s="1"/>
      <c r="N1970" s="1"/>
      <c r="O1970" s="1"/>
      <c r="P1970" s="1"/>
      <c r="Q1970" s="1"/>
      <c r="R1970" s="1"/>
      <c r="S1970" s="1"/>
    </row>
    <row r="1971" ht="10.5" customHeight="1">
      <c r="A1971" s="1"/>
      <c r="B1971" s="48"/>
      <c r="C1971" s="136"/>
      <c r="D1971" s="136"/>
      <c r="E1971" s="136"/>
      <c r="F1971" s="136"/>
      <c r="G1971" s="734"/>
      <c r="H1971" s="276"/>
      <c r="I1971" s="250"/>
      <c r="J1971" s="130"/>
      <c r="K1971" s="55"/>
      <c r="L1971" s="1"/>
      <c r="M1971" s="1"/>
      <c r="N1971" s="1"/>
      <c r="O1971" s="1"/>
      <c r="P1971" s="1"/>
      <c r="Q1971" s="1"/>
      <c r="R1971" s="1"/>
      <c r="S1971" s="1"/>
    </row>
    <row r="1972" ht="10.5" customHeight="1">
      <c r="A1972" s="1"/>
      <c r="B1972" s="48" t="s">
        <v>115</v>
      </c>
      <c r="C1972" s="136">
        <v>90.0</v>
      </c>
      <c r="D1972" s="136">
        <v>39682.0</v>
      </c>
      <c r="E1972" s="136">
        <v>69160.0</v>
      </c>
      <c r="F1972" s="136">
        <v>113377.0</v>
      </c>
      <c r="G1972" s="734"/>
      <c r="H1972" s="276">
        <v>2230.0</v>
      </c>
      <c r="I1972" s="250">
        <v>56.2</v>
      </c>
      <c r="J1972" s="130">
        <v>265884.0</v>
      </c>
      <c r="K1972" s="55" t="s">
        <v>117</v>
      </c>
      <c r="L1972" s="1"/>
      <c r="M1972" s="1"/>
      <c r="N1972" s="1"/>
      <c r="O1972" s="1"/>
      <c r="P1972" s="1"/>
      <c r="Q1972" s="1"/>
      <c r="R1972" s="1"/>
      <c r="S1972" s="1"/>
    </row>
    <row r="1973" ht="10.5" customHeight="1">
      <c r="A1973" s="1"/>
      <c r="B1973" s="48" t="s">
        <v>117</v>
      </c>
      <c r="C1973" s="136">
        <v>83.0</v>
      </c>
      <c r="D1973" s="136">
        <v>25348.0</v>
      </c>
      <c r="E1973" s="136">
        <v>44178.0</v>
      </c>
      <c r="F1973" s="136">
        <v>72423.0</v>
      </c>
      <c r="G1973" s="734"/>
      <c r="H1973" s="276">
        <v>2430.0</v>
      </c>
      <c r="I1973" s="250">
        <v>60.2</v>
      </c>
      <c r="J1973" s="130">
        <v>176417.0</v>
      </c>
      <c r="K1973" s="55" t="s">
        <v>121</v>
      </c>
      <c r="L1973" s="65"/>
      <c r="M1973" s="1"/>
      <c r="N1973" s="1"/>
      <c r="O1973" s="1"/>
      <c r="P1973" s="1"/>
      <c r="Q1973" s="1"/>
      <c r="R1973" s="1"/>
      <c r="S1973" s="1"/>
    </row>
    <row r="1974" ht="10.5" customHeight="1">
      <c r="A1974" s="1"/>
      <c r="B1974" s="48" t="s">
        <v>121</v>
      </c>
      <c r="C1974" s="136">
        <v>90.0</v>
      </c>
      <c r="D1974" s="136">
        <v>36422.0</v>
      </c>
      <c r="E1974" s="136">
        <v>67411.0</v>
      </c>
      <c r="F1974" s="136">
        <v>105952.0</v>
      </c>
      <c r="G1974" s="734"/>
      <c r="H1974" s="276">
        <v>2530.0</v>
      </c>
      <c r="I1974" s="250">
        <v>61.1</v>
      </c>
      <c r="J1974" s="130">
        <v>249436.0</v>
      </c>
      <c r="K1974" s="55" t="s">
        <v>122</v>
      </c>
      <c r="L1974" s="1"/>
      <c r="M1974" s="1"/>
      <c r="N1974" s="1"/>
      <c r="O1974" s="1"/>
      <c r="P1974" s="1"/>
      <c r="Q1974" s="1"/>
      <c r="R1974" s="1"/>
      <c r="S1974" s="1"/>
    </row>
    <row r="1975" ht="10.5" customHeight="1">
      <c r="A1975" s="1"/>
      <c r="B1975" s="48" t="s">
        <v>122</v>
      </c>
      <c r="C1975" s="136">
        <v>99.0</v>
      </c>
      <c r="D1975" s="136">
        <v>47514.0</v>
      </c>
      <c r="E1975" s="136">
        <v>77739.0</v>
      </c>
      <c r="F1975" s="136">
        <v>127809.0</v>
      </c>
      <c r="G1975" s="734"/>
      <c r="H1975" s="276">
        <v>2580.0</v>
      </c>
      <c r="I1975" s="250">
        <v>62.3</v>
      </c>
      <c r="J1975" s="130">
        <v>331169.0</v>
      </c>
      <c r="K1975" s="564" t="s">
        <v>123</v>
      </c>
      <c r="L1975" s="1"/>
      <c r="M1975" s="1"/>
      <c r="N1975" s="1"/>
      <c r="O1975" s="1"/>
      <c r="P1975" s="1"/>
      <c r="Q1975" s="1"/>
      <c r="R1975" s="1"/>
      <c r="S1975" s="1"/>
    </row>
    <row r="1976" ht="10.5" customHeight="1">
      <c r="A1976" s="1"/>
      <c r="B1976" s="48" t="s">
        <v>123</v>
      </c>
      <c r="C1976" s="136">
        <v>51.0</v>
      </c>
      <c r="D1976" s="136">
        <v>27133.0</v>
      </c>
      <c r="E1976" s="136">
        <v>41245.0</v>
      </c>
      <c r="F1976" s="136">
        <v>69773.0</v>
      </c>
      <c r="G1976" s="734"/>
      <c r="H1976" s="276">
        <v>2160.0</v>
      </c>
      <c r="I1976" s="250">
        <v>54.8</v>
      </c>
      <c r="J1976" s="130">
        <v>150365.0</v>
      </c>
      <c r="K1976" s="55" t="s">
        <v>125</v>
      </c>
      <c r="L1976" s="1"/>
      <c r="M1976" s="1"/>
      <c r="N1976" s="1"/>
      <c r="O1976" s="1"/>
      <c r="P1976" s="1"/>
      <c r="Q1976" s="1"/>
      <c r="R1976" s="1"/>
      <c r="S1976" s="1"/>
    </row>
    <row r="1977" ht="10.5" customHeight="1">
      <c r="A1977" s="1"/>
      <c r="B1977" s="48"/>
      <c r="C1977" s="136"/>
      <c r="D1977" s="136"/>
      <c r="E1977" s="136"/>
      <c r="F1977" s="136"/>
      <c r="G1977" s="734"/>
      <c r="H1977" s="276"/>
      <c r="I1977" s="250"/>
      <c r="J1977" s="130"/>
      <c r="K1977" s="55"/>
      <c r="L1977" s="1"/>
      <c r="M1977" s="1"/>
      <c r="N1977" s="1"/>
      <c r="O1977" s="1"/>
      <c r="P1977" s="1"/>
      <c r="Q1977" s="1"/>
      <c r="R1977" s="1"/>
      <c r="S1977" s="1"/>
    </row>
    <row r="1978" ht="10.5" customHeight="1">
      <c r="A1978" s="1"/>
      <c r="B1978" s="85" t="s">
        <v>125</v>
      </c>
      <c r="C1978" s="136">
        <v>57.0</v>
      </c>
      <c r="D1978" s="136">
        <v>35903.0</v>
      </c>
      <c r="E1978" s="136">
        <v>53598.0</v>
      </c>
      <c r="F1978" s="136">
        <v>91328.0</v>
      </c>
      <c r="G1978" s="734"/>
      <c r="H1978" s="276">
        <v>2540.0</v>
      </c>
      <c r="I1978" s="250">
        <v>59.1</v>
      </c>
      <c r="J1978" s="130">
        <v>232671.0</v>
      </c>
      <c r="K1978" s="55" t="s">
        <v>127</v>
      </c>
      <c r="L1978" s="1"/>
      <c r="M1978" s="1"/>
      <c r="N1978" s="1"/>
      <c r="O1978" s="1"/>
      <c r="P1978" s="1"/>
      <c r="Q1978" s="1"/>
      <c r="R1978" s="1"/>
      <c r="S1978" s="1"/>
    </row>
    <row r="1979" ht="10.5" customHeight="1">
      <c r="A1979" s="1"/>
      <c r="B1979" s="85" t="s">
        <v>127</v>
      </c>
      <c r="C1979" s="169">
        <v>39.0</v>
      </c>
      <c r="D1979" s="169">
        <v>18166.0</v>
      </c>
      <c r="E1979" s="169">
        <v>28819.0</v>
      </c>
      <c r="F1979" s="169">
        <v>47944.0</v>
      </c>
      <c r="G1979" s="734"/>
      <c r="H1979" s="276">
        <v>3510.0</v>
      </c>
      <c r="I1979" s="250">
        <v>79.0</v>
      </c>
      <c r="J1979" s="216">
        <v>164913.0</v>
      </c>
      <c r="K1979" s="238" t="s">
        <v>128</v>
      </c>
      <c r="L1979" s="1"/>
      <c r="M1979" s="1"/>
      <c r="N1979" s="1"/>
      <c r="O1979" s="1"/>
      <c r="P1979" s="1"/>
      <c r="Q1979" s="1"/>
      <c r="R1979" s="1"/>
      <c r="S1979" s="1"/>
    </row>
    <row r="1980" ht="10.5" customHeight="1">
      <c r="A1980" s="1"/>
      <c r="B1980" s="85" t="s">
        <v>128</v>
      </c>
      <c r="C1980" s="169">
        <v>23.0</v>
      </c>
      <c r="D1980" s="169">
        <v>16348.0</v>
      </c>
      <c r="E1980" s="169">
        <v>27659.0</v>
      </c>
      <c r="F1980" s="169">
        <v>44191.0</v>
      </c>
      <c r="G1980" s="734"/>
      <c r="H1980" s="276">
        <v>3690.0</v>
      </c>
      <c r="I1980" s="250">
        <v>88.1</v>
      </c>
      <c r="J1980" s="216">
        <v>151759.0</v>
      </c>
      <c r="K1980" s="721" t="s">
        <v>129</v>
      </c>
      <c r="L1980" s="1"/>
      <c r="M1980" s="1"/>
      <c r="N1980" s="1"/>
      <c r="O1980" s="1"/>
      <c r="P1980" s="1"/>
      <c r="Q1980" s="1"/>
      <c r="R1980" s="1"/>
      <c r="S1980" s="1"/>
    </row>
    <row r="1981" ht="10.5" customHeight="1">
      <c r="A1981" s="1"/>
      <c r="B1981" s="85" t="s">
        <v>129</v>
      </c>
      <c r="C1981" s="169">
        <v>36.0</v>
      </c>
      <c r="D1981" s="169">
        <v>28021.0</v>
      </c>
      <c r="E1981" s="169">
        <v>46197.0</v>
      </c>
      <c r="F1981" s="169">
        <v>75732.0</v>
      </c>
      <c r="G1981" s="734"/>
      <c r="H1981" s="276">
        <v>3180.0</v>
      </c>
      <c r="I1981" s="250">
        <v>79.9</v>
      </c>
      <c r="J1981" s="216">
        <v>228008.0</v>
      </c>
      <c r="K1981" s="721" t="s">
        <v>130</v>
      </c>
      <c r="L1981" s="1"/>
      <c r="M1981" s="1"/>
      <c r="N1981" s="1"/>
      <c r="O1981" s="1"/>
      <c r="P1981" s="1"/>
      <c r="Q1981" s="1"/>
      <c r="R1981" s="1"/>
      <c r="S1981" s="1"/>
    </row>
    <row r="1982" ht="10.5" customHeight="1">
      <c r="A1982" s="1"/>
      <c r="B1982" s="85" t="s">
        <v>130</v>
      </c>
      <c r="C1982" s="169">
        <v>22.0</v>
      </c>
      <c r="D1982" s="169">
        <v>22041.0</v>
      </c>
      <c r="E1982" s="169">
        <v>36338.0</v>
      </c>
      <c r="F1982" s="169">
        <v>59570.0</v>
      </c>
      <c r="G1982" s="734"/>
      <c r="H1982" s="276">
        <v>2200.0</v>
      </c>
      <c r="I1982" s="250">
        <v>59.1</v>
      </c>
      <c r="J1982" s="216">
        <v>119041.0</v>
      </c>
      <c r="K1982" s="254" t="s">
        <v>131</v>
      </c>
      <c r="L1982" s="1"/>
      <c r="M1982" s="1"/>
      <c r="N1982" s="1"/>
      <c r="O1982" s="1"/>
      <c r="P1982" s="1"/>
      <c r="Q1982" s="1"/>
      <c r="R1982" s="1"/>
      <c r="S1982" s="1"/>
    </row>
    <row r="1983" ht="10.5" customHeight="1">
      <c r="A1983" s="1"/>
      <c r="B1983" s="85"/>
      <c r="C1983" s="169"/>
      <c r="D1983" s="169"/>
      <c r="E1983" s="169"/>
      <c r="F1983" s="169"/>
      <c r="G1983" s="734"/>
      <c r="H1983" s="276"/>
      <c r="I1983" s="250"/>
      <c r="J1983" s="216"/>
      <c r="K1983" s="254"/>
      <c r="L1983" s="1"/>
      <c r="M1983" s="1"/>
      <c r="N1983" s="1"/>
      <c r="O1983" s="1"/>
      <c r="P1983" s="1"/>
      <c r="Q1983" s="1"/>
      <c r="R1983" s="1"/>
      <c r="S1983" s="1"/>
    </row>
    <row r="1984" ht="10.5" customHeight="1">
      <c r="A1984" s="1"/>
      <c r="B1984" s="85" t="s">
        <v>131</v>
      </c>
      <c r="C1984" s="169">
        <v>18.1</v>
      </c>
      <c r="D1984" s="169">
        <v>14483.0</v>
      </c>
      <c r="E1984" s="169">
        <v>23936.0</v>
      </c>
      <c r="F1984" s="169">
        <v>39239.0</v>
      </c>
      <c r="G1984" s="734"/>
      <c r="H1984" s="276">
        <v>2300.0</v>
      </c>
      <c r="I1984" s="250">
        <v>55.0</v>
      </c>
      <c r="J1984" s="216">
        <v>90251.0</v>
      </c>
      <c r="K1984" s="11" t="s">
        <v>133</v>
      </c>
      <c r="L1984" s="1"/>
      <c r="M1984" s="1"/>
      <c r="N1984" s="1"/>
      <c r="O1984" s="1"/>
      <c r="P1984" s="1"/>
      <c r="Q1984" s="1"/>
      <c r="R1984" s="1"/>
      <c r="S1984" s="1"/>
    </row>
    <row r="1985" ht="10.5" customHeight="1">
      <c r="A1985" s="1"/>
      <c r="B1985" s="85" t="s">
        <v>133</v>
      </c>
      <c r="C1985" s="169">
        <v>11.0</v>
      </c>
      <c r="D1985" s="169">
        <v>11173.0</v>
      </c>
      <c r="E1985" s="169">
        <v>17854.0</v>
      </c>
      <c r="F1985" s="169">
        <v>29270.0</v>
      </c>
      <c r="G1985" s="734"/>
      <c r="H1985" s="276">
        <v>3000.0</v>
      </c>
      <c r="I1985" s="250">
        <v>68.3</v>
      </c>
      <c r="J1985" s="216">
        <v>87809.0</v>
      </c>
      <c r="K1985" s="11" t="s">
        <v>134</v>
      </c>
      <c r="L1985" s="1"/>
      <c r="M1985" s="1"/>
      <c r="N1985" s="1"/>
      <c r="O1985" s="1"/>
      <c r="P1985" s="1"/>
      <c r="Q1985" s="1"/>
      <c r="R1985" s="1"/>
      <c r="S1985" s="1"/>
    </row>
    <row r="1986" ht="10.5" customHeight="1">
      <c r="A1986" s="1"/>
      <c r="B1986" s="85" t="s">
        <v>134</v>
      </c>
      <c r="C1986" s="169">
        <v>9.0</v>
      </c>
      <c r="D1986" s="169">
        <v>9820.0</v>
      </c>
      <c r="E1986" s="169">
        <v>16150.0</v>
      </c>
      <c r="F1986" s="169">
        <v>26476.0</v>
      </c>
      <c r="G1986" s="734"/>
      <c r="H1986" s="276">
        <v>4710.0</v>
      </c>
      <c r="I1986" s="250">
        <v>103.5</v>
      </c>
      <c r="J1986" s="216">
        <v>124700.0</v>
      </c>
      <c r="K1986" s="11" t="s">
        <v>135</v>
      </c>
      <c r="L1986" s="1"/>
      <c r="M1986" s="1"/>
      <c r="N1986" s="1"/>
      <c r="O1986" s="1"/>
      <c r="P1986" s="1"/>
      <c r="Q1986" s="1"/>
      <c r="R1986" s="1"/>
      <c r="S1986" s="1"/>
    </row>
    <row r="1987" ht="10.5" customHeight="1">
      <c r="A1987" s="1"/>
      <c r="B1987" s="85" t="s">
        <v>135</v>
      </c>
      <c r="C1987" s="169">
        <v>7.0</v>
      </c>
      <c r="D1987" s="169">
        <v>9077.0</v>
      </c>
      <c r="E1987" s="169">
        <v>13856.0</v>
      </c>
      <c r="F1987" s="169">
        <v>22716.0</v>
      </c>
      <c r="G1987" s="734"/>
      <c r="H1987" s="276">
        <v>3500.0</v>
      </c>
      <c r="I1987" s="250">
        <v>91.9</v>
      </c>
      <c r="J1987" s="216">
        <v>79505.0</v>
      </c>
      <c r="K1987" s="11" t="s">
        <v>138</v>
      </c>
      <c r="L1987" s="1"/>
      <c r="M1987" s="1"/>
      <c r="N1987" s="1"/>
      <c r="O1987" s="1"/>
      <c r="P1987" s="1"/>
      <c r="Q1987" s="1"/>
      <c r="R1987" s="1"/>
      <c r="S1987" s="1"/>
    </row>
    <row r="1988" ht="10.5" customHeight="1">
      <c r="A1988" s="1"/>
      <c r="B1988" s="85" t="s">
        <v>138</v>
      </c>
      <c r="C1988" s="169">
        <v>5.0</v>
      </c>
      <c r="D1988" s="169">
        <v>8682.0</v>
      </c>
      <c r="E1988" s="169">
        <v>12684.0</v>
      </c>
      <c r="F1988" s="169">
        <v>20795.0</v>
      </c>
      <c r="G1988" s="734"/>
      <c r="H1988" s="276">
        <v>4350.0</v>
      </c>
      <c r="I1988" s="250">
        <v>100.0</v>
      </c>
      <c r="J1988" s="216">
        <v>90456.0</v>
      </c>
      <c r="K1988" s="11" t="s">
        <v>139</v>
      </c>
      <c r="L1988" s="1"/>
      <c r="M1988" s="1"/>
      <c r="N1988" s="1"/>
      <c r="O1988" s="1"/>
      <c r="P1988" s="1"/>
      <c r="Q1988" s="1"/>
      <c r="R1988" s="1"/>
      <c r="S1988" s="1"/>
    </row>
    <row r="1989" ht="10.5" customHeight="1">
      <c r="A1989" s="1"/>
      <c r="B1989" s="85"/>
      <c r="C1989" s="169"/>
      <c r="D1989" s="169"/>
      <c r="E1989" s="169"/>
      <c r="F1989" s="169"/>
      <c r="G1989" s="734"/>
      <c r="H1989" s="276"/>
      <c r="I1989" s="250"/>
      <c r="J1989" s="216"/>
      <c r="K1989" s="11"/>
      <c r="L1989" s="1"/>
      <c r="M1989" s="1"/>
      <c r="N1989" s="1"/>
      <c r="O1989" s="1"/>
      <c r="P1989" s="1"/>
      <c r="Q1989" s="1"/>
      <c r="R1989" s="1"/>
      <c r="S1989" s="1"/>
    </row>
    <row r="1990" ht="10.5" customHeight="1">
      <c r="A1990" s="1"/>
      <c r="B1990" s="85" t="s">
        <v>139</v>
      </c>
      <c r="C1990" s="169">
        <v>13.0</v>
      </c>
      <c r="D1990" s="169">
        <v>17989.0</v>
      </c>
      <c r="E1990" s="169">
        <v>28273.0</v>
      </c>
      <c r="F1990" s="169">
        <v>46349.0</v>
      </c>
      <c r="G1990" s="734"/>
      <c r="H1990" s="276">
        <v>4530.0</v>
      </c>
      <c r="I1990" s="54">
        <v>108.4</v>
      </c>
      <c r="J1990" s="216">
        <v>209962.0</v>
      </c>
      <c r="K1990" s="81" t="s">
        <v>143</v>
      </c>
      <c r="L1990" s="1"/>
      <c r="M1990" s="1"/>
      <c r="N1990" s="1"/>
      <c r="O1990" s="1"/>
      <c r="P1990" s="1"/>
      <c r="Q1990" s="1"/>
      <c r="R1990" s="1"/>
      <c r="S1990" s="1"/>
    </row>
    <row r="1991" ht="10.5" customHeight="1">
      <c r="A1991" s="1"/>
      <c r="B1991" s="85" t="s">
        <v>143</v>
      </c>
      <c r="C1991" s="169">
        <v>9.0</v>
      </c>
      <c r="D1991" s="169">
        <v>12810.0</v>
      </c>
      <c r="E1991" s="169">
        <v>19889.0</v>
      </c>
      <c r="F1991" s="169">
        <v>32605.0</v>
      </c>
      <c r="G1991" s="734"/>
      <c r="H1991" s="276">
        <v>5090.0</v>
      </c>
      <c r="I1991" s="54">
        <v>119.6</v>
      </c>
      <c r="J1991" s="216">
        <v>165959.0</v>
      </c>
      <c r="K1991" s="81" t="s">
        <v>149</v>
      </c>
      <c r="L1991" s="1"/>
      <c r="M1991" s="1"/>
      <c r="N1991" s="1"/>
      <c r="O1991" s="1"/>
      <c r="P1991" s="1"/>
      <c r="Q1991" s="1"/>
      <c r="R1991" s="1"/>
      <c r="S1991" s="1"/>
    </row>
    <row r="1992" ht="10.5" customHeight="1">
      <c r="A1992" s="1"/>
      <c r="B1992" s="85" t="s">
        <v>149</v>
      </c>
      <c r="C1992" s="169">
        <v>7.0</v>
      </c>
      <c r="D1992" s="169">
        <v>6105.0</v>
      </c>
      <c r="E1992" s="169">
        <v>8582.0</v>
      </c>
      <c r="F1992" s="169">
        <v>14069.0</v>
      </c>
      <c r="G1992" s="734"/>
      <c r="H1992" s="276">
        <v>5300.0</v>
      </c>
      <c r="I1992" s="54">
        <v>126.8</v>
      </c>
      <c r="J1992" s="216">
        <v>74564.0</v>
      </c>
      <c r="K1992" s="81" t="s">
        <v>151</v>
      </c>
      <c r="L1992" s="1"/>
      <c r="M1992" s="1"/>
      <c r="N1992" s="1"/>
      <c r="O1992" s="1"/>
      <c r="P1992" s="1"/>
      <c r="Q1992" s="1"/>
      <c r="R1992" s="1"/>
      <c r="S1992" s="1"/>
    </row>
    <row r="1993" ht="10.5" customHeight="1">
      <c r="A1993" s="1"/>
      <c r="B1993" s="85" t="s">
        <v>151</v>
      </c>
      <c r="C1993" s="169">
        <v>8.0</v>
      </c>
      <c r="D1993" s="169">
        <v>9641.0</v>
      </c>
      <c r="E1993" s="169">
        <v>14410.0</v>
      </c>
      <c r="F1993" s="169">
        <v>23623.0</v>
      </c>
      <c r="G1993" s="734"/>
      <c r="H1993" s="276">
        <v>5750.0</v>
      </c>
      <c r="I1993" s="54">
        <v>136.3</v>
      </c>
      <c r="J1993" s="216">
        <v>135834.0</v>
      </c>
      <c r="K1993" s="81" t="s">
        <v>153</v>
      </c>
      <c r="L1993" s="1"/>
      <c r="M1993" s="1"/>
      <c r="N1993" s="1"/>
      <c r="O1993" s="1"/>
      <c r="P1993" s="1"/>
      <c r="Q1993" s="1"/>
      <c r="R1993" s="1"/>
      <c r="S1993" s="1"/>
    </row>
    <row r="1994" ht="10.5" customHeight="1">
      <c r="A1994" s="1"/>
      <c r="B1994" s="85" t="s">
        <v>153</v>
      </c>
      <c r="C1994" s="169">
        <v>15.0</v>
      </c>
      <c r="D1994" s="169">
        <v>19094.0</v>
      </c>
      <c r="E1994" s="169">
        <v>30968.0</v>
      </c>
      <c r="F1994" s="169">
        <v>50769.0</v>
      </c>
      <c r="G1994" s="734"/>
      <c r="H1994" s="276">
        <v>7650.0</v>
      </c>
      <c r="I1994" s="54">
        <v>171.6</v>
      </c>
      <c r="J1994" s="216">
        <v>388380.0</v>
      </c>
      <c r="K1994" s="81" t="s">
        <v>155</v>
      </c>
      <c r="L1994" s="1"/>
      <c r="M1994" s="1"/>
      <c r="N1994" s="1"/>
      <c r="O1994" s="1"/>
      <c r="P1994" s="1"/>
      <c r="Q1994" s="1"/>
      <c r="R1994" s="1"/>
      <c r="S1994" s="1"/>
    </row>
    <row r="1995" ht="10.5" customHeight="1">
      <c r="A1995" s="1"/>
      <c r="B1995" s="85"/>
      <c r="C1995" s="169"/>
      <c r="D1995" s="169"/>
      <c r="E1995" s="169"/>
      <c r="F1995" s="169"/>
      <c r="G1995" s="734"/>
      <c r="H1995" s="276"/>
      <c r="I1995" s="54"/>
      <c r="J1995" s="216"/>
      <c r="K1995" s="81"/>
      <c r="L1995" s="1"/>
      <c r="M1995" s="1"/>
      <c r="N1995" s="1"/>
      <c r="O1995" s="1"/>
      <c r="P1995" s="1"/>
      <c r="Q1995" s="1"/>
      <c r="R1995" s="1"/>
      <c r="S1995" s="1"/>
    </row>
    <row r="1996" ht="10.5" customHeight="1">
      <c r="A1996" s="1"/>
      <c r="B1996" s="85" t="s">
        <v>155</v>
      </c>
      <c r="C1996" s="169">
        <v>8.0</v>
      </c>
      <c r="D1996" s="169">
        <v>10111.0</v>
      </c>
      <c r="E1996" s="169">
        <v>16637.0</v>
      </c>
      <c r="F1996" s="169">
        <v>27274.0</v>
      </c>
      <c r="G1996" s="734"/>
      <c r="H1996" s="276">
        <v>8000.0</v>
      </c>
      <c r="I1996" s="54">
        <v>191.2</v>
      </c>
      <c r="J1996" s="216">
        <v>218192.0</v>
      </c>
      <c r="K1996" s="11" t="s">
        <v>160</v>
      </c>
      <c r="L1996" s="1"/>
      <c r="M1996" s="1"/>
      <c r="N1996" s="1"/>
      <c r="O1996" s="1"/>
      <c r="P1996" s="1"/>
      <c r="Q1996" s="1"/>
      <c r="R1996" s="1"/>
      <c r="S1996" s="1"/>
    </row>
    <row r="1997" ht="10.5" customHeight="1">
      <c r="A1997" s="1"/>
      <c r="B1997" s="96" t="s">
        <v>1267</v>
      </c>
      <c r="C1997" s="260">
        <v>18.0</v>
      </c>
      <c r="D1997" s="260">
        <v>15807.0</v>
      </c>
      <c r="E1997" s="260">
        <v>25586.0</v>
      </c>
      <c r="F1997" s="260">
        <v>41945.0</v>
      </c>
      <c r="G1997" s="741"/>
      <c r="H1997" s="686">
        <v>7449.75</v>
      </c>
      <c r="I1997" s="107">
        <v>183.4</v>
      </c>
      <c r="J1997" s="240">
        <v>312483.0</v>
      </c>
      <c r="K1997" s="742" t="s">
        <v>162</v>
      </c>
      <c r="L1997" s="1"/>
      <c r="M1997" s="1"/>
      <c r="N1997" s="1"/>
      <c r="O1997" s="1"/>
      <c r="P1997" s="1"/>
      <c r="Q1997" s="1"/>
      <c r="R1997" s="1"/>
      <c r="S1997" s="1"/>
    </row>
    <row r="1998" ht="6.0" customHeight="1">
      <c r="A1998" s="1"/>
      <c r="B1998" s="291"/>
      <c r="C1998" s="267"/>
      <c r="D1998" s="267"/>
      <c r="E1998" s="267"/>
      <c r="F1998" s="267"/>
      <c r="G1998" s="270"/>
      <c r="H1998" s="292"/>
      <c r="I1998" s="285"/>
      <c r="J1998" s="243"/>
      <c r="K1998" s="242"/>
      <c r="L1998" s="1"/>
      <c r="M1998" s="1"/>
      <c r="N1998" s="1"/>
      <c r="O1998" s="1"/>
      <c r="P1998" s="1"/>
      <c r="Q1998" s="1"/>
      <c r="R1998" s="1"/>
      <c r="S1998" s="1"/>
    </row>
    <row r="1999" ht="10.5" customHeight="1">
      <c r="A1999" s="1"/>
      <c r="B1999" s="185" t="s">
        <v>1268</v>
      </c>
      <c r="C1999" s="60"/>
      <c r="D1999" s="60"/>
      <c r="E1999" s="60"/>
      <c r="F1999" s="60"/>
      <c r="G1999" s="60"/>
      <c r="H1999" s="60"/>
      <c r="I1999" s="60"/>
      <c r="J1999" s="60"/>
      <c r="K1999" s="60"/>
      <c r="L1999" s="1"/>
      <c r="M1999" s="1"/>
      <c r="N1999" s="1"/>
      <c r="O1999" s="1"/>
      <c r="P1999" s="1"/>
      <c r="Q1999" s="1"/>
      <c r="R1999" s="1"/>
      <c r="S1999" s="1"/>
    </row>
    <row r="2000" ht="10.5" customHeight="1">
      <c r="A2000" s="1"/>
      <c r="B2000" s="185" t="s">
        <v>1269</v>
      </c>
      <c r="C2000" s="60"/>
      <c r="D2000" s="60"/>
      <c r="E2000" s="60"/>
      <c r="F2000" s="60"/>
      <c r="G2000" s="60"/>
      <c r="H2000" s="60"/>
      <c r="I2000" s="60"/>
      <c r="J2000" s="60"/>
      <c r="K2000" s="60"/>
      <c r="L2000" s="1"/>
      <c r="M2000" s="1"/>
      <c r="N2000" s="1"/>
      <c r="O2000" s="1"/>
      <c r="P2000" s="1"/>
      <c r="Q2000" s="1"/>
      <c r="R2000" s="1"/>
      <c r="S2000" s="1"/>
    </row>
    <row r="2001" ht="10.5" customHeight="1">
      <c r="A2001" s="1"/>
      <c r="B2001" s="185" t="s">
        <v>1270</v>
      </c>
      <c r="C2001" s="60"/>
      <c r="D2001" s="60"/>
      <c r="E2001" s="60"/>
      <c r="F2001" s="60"/>
      <c r="G2001" s="60"/>
      <c r="H2001" s="60"/>
      <c r="I2001" s="60"/>
      <c r="J2001" s="60"/>
      <c r="K2001" s="1"/>
      <c r="L2001" s="1"/>
      <c r="M2001" s="1"/>
      <c r="N2001" s="1"/>
      <c r="O2001" s="1"/>
      <c r="P2001" s="1"/>
      <c r="Q2001" s="1"/>
      <c r="R2001" s="1"/>
      <c r="S2001" s="1"/>
    </row>
    <row r="2002" ht="10.5" customHeight="1">
      <c r="A2002" s="1"/>
      <c r="B2002" s="185" t="s">
        <v>1271</v>
      </c>
      <c r="C2002" s="60"/>
      <c r="D2002" s="60"/>
      <c r="E2002" s="60"/>
      <c r="F2002" s="60"/>
      <c r="G2002" s="60"/>
      <c r="H2002" s="60"/>
      <c r="I2002" s="60"/>
      <c r="J2002" s="60"/>
      <c r="K2002" s="1"/>
      <c r="L2002" s="1"/>
      <c r="M2002" s="1"/>
      <c r="N2002" s="1"/>
      <c r="O2002" s="1"/>
      <c r="P2002" s="1"/>
      <c r="Q2002" s="1"/>
      <c r="R2002" s="1"/>
      <c r="S2002" s="1"/>
    </row>
    <row r="2003" ht="10.5" customHeight="1">
      <c r="A2003" s="1"/>
      <c r="B2003" s="185" t="s">
        <v>1272</v>
      </c>
      <c r="C2003" s="60"/>
      <c r="D2003" s="60"/>
      <c r="E2003" s="60"/>
      <c r="F2003" s="60"/>
      <c r="G2003" s="60"/>
      <c r="H2003" s="60"/>
      <c r="I2003" s="60"/>
      <c r="J2003" s="60"/>
      <c r="K2003" s="1"/>
      <c r="L2003" s="1"/>
      <c r="M2003" s="1"/>
      <c r="N2003" s="1"/>
      <c r="O2003" s="1"/>
      <c r="P2003" s="1"/>
      <c r="Q2003" s="1"/>
      <c r="R2003" s="1"/>
      <c r="S2003" s="1"/>
    </row>
    <row r="2004" ht="10.5" customHeight="1">
      <c r="A2004" s="1"/>
      <c r="B2004" s="1"/>
      <c r="C2004" s="15"/>
      <c r="D2004" s="15"/>
      <c r="E2004" s="15"/>
      <c r="F2004" s="15"/>
      <c r="G2004" s="15"/>
      <c r="H2004" s="15"/>
      <c r="I2004" s="1"/>
      <c r="J2004" s="1"/>
      <c r="K2004" s="1"/>
      <c r="L2004" s="1"/>
      <c r="M2004" s="1"/>
      <c r="N2004" s="1"/>
      <c r="O2004" s="1"/>
      <c r="P2004" s="1"/>
      <c r="Q2004" s="1"/>
      <c r="R2004" s="1"/>
      <c r="S2004" s="1"/>
    </row>
    <row r="2005" ht="10.5" customHeight="1">
      <c r="A2005" s="1"/>
      <c r="B2005" s="1"/>
      <c r="C2005" s="612"/>
      <c r="D2005" s="612"/>
      <c r="E2005" s="612"/>
      <c r="F2005" s="612"/>
      <c r="G2005" s="612"/>
      <c r="H2005" s="612"/>
      <c r="I2005" s="1"/>
      <c r="J2005" s="1"/>
      <c r="K2005" s="1"/>
      <c r="L2005" s="1"/>
      <c r="M2005" s="1"/>
      <c r="N2005" s="1"/>
      <c r="O2005" s="1"/>
      <c r="P2005" s="1"/>
      <c r="Q2005" s="1"/>
      <c r="R2005" s="1"/>
      <c r="S2005" s="1"/>
    </row>
    <row r="2006" ht="10.5" customHeight="1">
      <c r="A2006" s="1"/>
      <c r="B2006" s="1"/>
      <c r="C2006" s="1"/>
      <c r="D2006" s="1"/>
      <c r="E2006" s="1"/>
      <c r="F2006" s="1"/>
      <c r="G2006" s="1"/>
      <c r="H2006" s="1"/>
      <c r="I2006" s="1"/>
      <c r="J2006" s="1"/>
      <c r="K2006" s="1"/>
      <c r="L2006" s="1"/>
      <c r="M2006" s="1"/>
      <c r="N2006" s="1"/>
      <c r="O2006" s="1"/>
      <c r="P2006" s="1"/>
      <c r="Q2006" s="1"/>
      <c r="R2006" s="1"/>
      <c r="S2006" s="1"/>
    </row>
    <row r="2007" ht="10.5" customHeight="1">
      <c r="A2007" s="1"/>
      <c r="B2007" s="1"/>
      <c r="C2007" s="1"/>
      <c r="D2007" s="1"/>
      <c r="E2007" s="1"/>
      <c r="F2007" s="1"/>
      <c r="G2007" s="1"/>
      <c r="H2007" s="1"/>
      <c r="I2007" s="1"/>
      <c r="J2007" s="1"/>
      <c r="K2007" s="1"/>
      <c r="L2007" s="1"/>
      <c r="M2007" s="1"/>
      <c r="N2007" s="1"/>
      <c r="O2007" s="1"/>
      <c r="P2007" s="1"/>
      <c r="Q2007" s="1"/>
      <c r="R2007" s="1"/>
      <c r="S2007" s="1"/>
    </row>
    <row r="2008" ht="10.5" customHeight="1">
      <c r="A2008" s="1"/>
      <c r="B2008" s="1"/>
      <c r="C2008" s="1"/>
      <c r="D2008" s="1"/>
      <c r="E2008" s="1"/>
      <c r="F2008" s="1"/>
      <c r="G2008" s="1"/>
      <c r="H2008" s="1"/>
      <c r="I2008" s="1"/>
      <c r="J2008" s="1"/>
      <c r="K2008" s="1"/>
      <c r="L2008" s="1"/>
      <c r="M2008" s="1"/>
      <c r="N2008" s="1"/>
      <c r="O2008" s="1"/>
      <c r="P2008" s="1"/>
      <c r="Q2008" s="1"/>
      <c r="R2008" s="1"/>
      <c r="S2008" s="1"/>
    </row>
    <row r="2009" ht="10.5" customHeight="1">
      <c r="A2009" s="1"/>
      <c r="B2009" s="1"/>
      <c r="C2009" s="1"/>
      <c r="D2009" s="1"/>
      <c r="E2009" s="1"/>
      <c r="F2009" s="1"/>
      <c r="G2009" s="1"/>
      <c r="H2009" s="1"/>
      <c r="I2009" s="1"/>
      <c r="J2009" s="1"/>
      <c r="K2009" s="1"/>
      <c r="L2009" s="1"/>
      <c r="M2009" s="1"/>
      <c r="N2009" s="1"/>
      <c r="O2009" s="1"/>
      <c r="P2009" s="1"/>
      <c r="Q2009" s="1"/>
      <c r="R2009" s="1"/>
      <c r="S2009" s="1"/>
    </row>
    <row r="2010" ht="10.5" customHeight="1">
      <c r="A2010" s="1"/>
      <c r="B2010" s="1"/>
      <c r="C2010" s="1"/>
      <c r="D2010" s="1"/>
      <c r="E2010" s="1"/>
      <c r="F2010" s="1"/>
      <c r="G2010" s="1"/>
      <c r="H2010" s="1"/>
      <c r="I2010" s="1"/>
      <c r="J2010" s="1"/>
      <c r="K2010" s="1"/>
      <c r="L2010" s="1"/>
      <c r="M2010" s="1"/>
      <c r="N2010" s="1"/>
      <c r="O2010" s="1"/>
      <c r="P2010" s="1"/>
      <c r="Q2010" s="1"/>
      <c r="R2010" s="1"/>
      <c r="S2010" s="1"/>
    </row>
    <row r="2011" ht="10.5" customHeight="1">
      <c r="A2011" s="1"/>
      <c r="B2011" s="1"/>
      <c r="C2011" s="1"/>
      <c r="D2011" s="1"/>
      <c r="E2011" s="1"/>
      <c r="F2011" s="1"/>
      <c r="G2011" s="1"/>
      <c r="H2011" s="1"/>
      <c r="I2011" s="1"/>
      <c r="J2011" s="1"/>
      <c r="K2011" s="1"/>
      <c r="L2011" s="1"/>
      <c r="M2011" s="1"/>
      <c r="N2011" s="1"/>
      <c r="O2011" s="1"/>
      <c r="P2011" s="1"/>
      <c r="Q2011" s="1"/>
      <c r="R2011" s="1"/>
      <c r="S2011" s="1"/>
    </row>
    <row r="2012" ht="10.5" customHeight="1">
      <c r="A2012" s="1"/>
      <c r="B2012" s="1"/>
      <c r="C2012" s="1"/>
      <c r="D2012" s="1"/>
      <c r="E2012" s="1"/>
      <c r="F2012" s="1"/>
      <c r="G2012" s="1"/>
      <c r="H2012" s="1"/>
      <c r="I2012" s="1"/>
      <c r="J2012" s="1"/>
      <c r="K2012" s="1"/>
      <c r="L2012" s="1"/>
      <c r="M2012" s="1"/>
      <c r="N2012" s="1"/>
      <c r="O2012" s="1"/>
      <c r="P2012" s="1"/>
      <c r="Q2012" s="1"/>
      <c r="R2012" s="1"/>
      <c r="S2012" s="1"/>
    </row>
    <row r="2013" ht="10.5" customHeight="1">
      <c r="A2013" s="1"/>
      <c r="B2013" s="1"/>
      <c r="C2013" s="1"/>
      <c r="D2013" s="1"/>
      <c r="E2013" s="1"/>
      <c r="F2013" s="1"/>
      <c r="G2013" s="1"/>
      <c r="H2013" s="1"/>
      <c r="I2013" s="1"/>
      <c r="J2013" s="1"/>
      <c r="K2013" s="1"/>
      <c r="L2013" s="1"/>
      <c r="M2013" s="1"/>
      <c r="N2013" s="1"/>
      <c r="O2013" s="1"/>
      <c r="P2013" s="1"/>
      <c r="Q2013" s="1"/>
      <c r="R2013" s="1"/>
      <c r="S2013" s="1"/>
    </row>
    <row r="2014" ht="10.5" customHeight="1">
      <c r="A2014" s="1"/>
      <c r="B2014" s="1"/>
      <c r="C2014" s="1"/>
      <c r="D2014" s="1"/>
      <c r="E2014" s="1"/>
      <c r="F2014" s="1"/>
      <c r="G2014" s="1"/>
      <c r="H2014" s="1"/>
      <c r="I2014" s="1"/>
      <c r="J2014" s="1"/>
      <c r="K2014" s="1"/>
      <c r="L2014" s="1"/>
      <c r="M2014" s="1"/>
      <c r="N2014" s="1"/>
      <c r="O2014" s="1"/>
      <c r="P2014" s="1"/>
      <c r="Q2014" s="1"/>
      <c r="R2014" s="1"/>
      <c r="S2014" s="1"/>
    </row>
    <row r="2015" ht="10.5" customHeight="1">
      <c r="A2015" s="1"/>
      <c r="B2015" s="1"/>
      <c r="C2015" s="1"/>
      <c r="D2015" s="1"/>
      <c r="E2015" s="1"/>
      <c r="F2015" s="1"/>
      <c r="G2015" s="1"/>
      <c r="H2015" s="1"/>
      <c r="I2015" s="1"/>
      <c r="J2015" s="1"/>
      <c r="K2015" s="1"/>
      <c r="L2015" s="1"/>
      <c r="M2015" s="1"/>
      <c r="N2015" s="1"/>
      <c r="O2015" s="1"/>
      <c r="P2015" s="1"/>
      <c r="Q2015" s="1"/>
      <c r="R2015" s="1"/>
      <c r="S2015" s="1"/>
    </row>
    <row r="2016" ht="10.5" customHeight="1">
      <c r="A2016" s="1"/>
      <c r="B2016" s="1"/>
      <c r="C2016" s="1"/>
      <c r="D2016" s="1"/>
      <c r="E2016" s="1"/>
      <c r="F2016" s="1"/>
      <c r="G2016" s="1"/>
      <c r="H2016" s="1"/>
      <c r="I2016" s="1"/>
      <c r="J2016" s="1"/>
      <c r="K2016" s="1"/>
      <c r="L2016" s="1"/>
      <c r="M2016" s="1"/>
      <c r="N2016" s="1"/>
      <c r="O2016" s="1"/>
      <c r="P2016" s="1"/>
      <c r="Q2016" s="1"/>
      <c r="R2016" s="1"/>
      <c r="S2016" s="1"/>
    </row>
    <row r="2017" ht="10.5" customHeight="1">
      <c r="A2017" s="1"/>
      <c r="B2017" s="1"/>
      <c r="C2017" s="1"/>
      <c r="D2017" s="1"/>
      <c r="E2017" s="1"/>
      <c r="F2017" s="1"/>
      <c r="G2017" s="1"/>
      <c r="H2017" s="1"/>
      <c r="I2017" s="1"/>
      <c r="J2017" s="1"/>
      <c r="K2017" s="1"/>
      <c r="L2017" s="1"/>
      <c r="M2017" s="1"/>
      <c r="N2017" s="1"/>
      <c r="O2017" s="1"/>
      <c r="P2017" s="1"/>
      <c r="Q2017" s="1"/>
      <c r="R2017" s="1"/>
      <c r="S2017" s="1"/>
    </row>
    <row r="2018" ht="10.5" customHeight="1">
      <c r="A2018" s="1"/>
      <c r="B2018" s="1"/>
      <c r="C2018" s="1"/>
      <c r="D2018" s="1"/>
      <c r="E2018" s="1"/>
      <c r="F2018" s="1"/>
      <c r="G2018" s="1"/>
      <c r="H2018" s="1"/>
      <c r="I2018" s="1"/>
      <c r="J2018" s="1"/>
      <c r="K2018" s="1"/>
      <c r="L2018" s="1"/>
      <c r="M2018" s="1"/>
      <c r="N2018" s="1"/>
      <c r="O2018" s="1"/>
      <c r="P2018" s="1"/>
      <c r="Q2018" s="1"/>
      <c r="R2018" s="1"/>
      <c r="S2018" s="1"/>
    </row>
    <row r="2019" ht="10.5" customHeight="1">
      <c r="A2019" s="1"/>
      <c r="B2019" s="1"/>
      <c r="C2019" s="1"/>
      <c r="D2019" s="1"/>
      <c r="E2019" s="1"/>
      <c r="F2019" s="1"/>
      <c r="G2019" s="1"/>
      <c r="H2019" s="1"/>
      <c r="I2019" s="1"/>
      <c r="J2019" s="1"/>
      <c r="K2019" s="1"/>
      <c r="L2019" s="1"/>
      <c r="M2019" s="1"/>
      <c r="N2019" s="1"/>
      <c r="O2019" s="1"/>
      <c r="P2019" s="1"/>
      <c r="Q2019" s="1"/>
      <c r="R2019" s="1"/>
      <c r="S2019" s="1"/>
    </row>
    <row r="2020" ht="10.5" customHeight="1">
      <c r="A2020" s="1"/>
      <c r="B2020" s="1"/>
      <c r="C2020" s="1"/>
      <c r="D2020" s="1"/>
      <c r="E2020" s="1"/>
      <c r="F2020" s="1"/>
      <c r="G2020" s="1"/>
      <c r="H2020" s="1"/>
      <c r="I2020" s="1"/>
      <c r="J2020" s="1"/>
      <c r="K2020" s="1"/>
      <c r="L2020" s="1"/>
      <c r="M2020" s="1"/>
      <c r="N2020" s="1"/>
      <c r="O2020" s="1"/>
      <c r="P2020" s="1"/>
      <c r="Q2020" s="1"/>
      <c r="R2020" s="1"/>
      <c r="S2020" s="1"/>
    </row>
    <row r="2021" ht="10.5" customHeight="1">
      <c r="A2021" s="1"/>
      <c r="B2021" s="1"/>
      <c r="C2021" s="1"/>
      <c r="D2021" s="1"/>
      <c r="E2021" s="1"/>
      <c r="F2021" s="1"/>
      <c r="G2021" s="1"/>
      <c r="H2021" s="1"/>
      <c r="I2021" s="1"/>
      <c r="J2021" s="1"/>
      <c r="K2021" s="1"/>
      <c r="L2021" s="1"/>
      <c r="M2021" s="1"/>
      <c r="N2021" s="1"/>
      <c r="O2021" s="1"/>
      <c r="P2021" s="1"/>
      <c r="Q2021" s="1"/>
      <c r="R2021" s="1"/>
      <c r="S2021" s="1"/>
    </row>
    <row r="2022" ht="10.5" customHeight="1">
      <c r="A2022" s="1"/>
      <c r="B2022" s="1"/>
      <c r="C2022" s="1"/>
      <c r="D2022" s="1"/>
      <c r="E2022" s="1"/>
      <c r="F2022" s="1"/>
      <c r="G2022" s="1"/>
      <c r="H2022" s="1"/>
      <c r="I2022" s="1"/>
      <c r="J2022" s="1"/>
      <c r="K2022" s="1"/>
      <c r="L2022" s="1"/>
      <c r="M2022" s="1"/>
      <c r="N2022" s="1"/>
      <c r="O2022" s="1"/>
      <c r="P2022" s="1"/>
      <c r="Q2022" s="1"/>
      <c r="R2022" s="1"/>
      <c r="S2022" s="1"/>
    </row>
    <row r="2023" ht="10.5" customHeight="1">
      <c r="A2023" s="1"/>
      <c r="B2023" s="1"/>
      <c r="C2023" s="1"/>
      <c r="D2023" s="1"/>
      <c r="E2023" s="1"/>
      <c r="F2023" s="1"/>
      <c r="G2023" s="1"/>
      <c r="H2023" s="1"/>
      <c r="I2023" s="1"/>
      <c r="J2023" s="1"/>
      <c r="K2023" s="1"/>
      <c r="L2023" s="1"/>
      <c r="M2023" s="1"/>
      <c r="N2023" s="1"/>
      <c r="O2023" s="1"/>
      <c r="P2023" s="1"/>
      <c r="Q2023" s="1"/>
      <c r="R2023" s="1"/>
      <c r="S2023" s="1"/>
    </row>
    <row r="2024" ht="10.5" customHeight="1">
      <c r="A2024" s="1"/>
      <c r="B2024" s="1"/>
      <c r="C2024" s="1"/>
      <c r="D2024" s="1"/>
      <c r="E2024" s="1"/>
      <c r="F2024" s="1"/>
      <c r="G2024" s="1"/>
      <c r="H2024" s="1"/>
      <c r="I2024" s="1"/>
      <c r="J2024" s="1"/>
      <c r="K2024" s="1"/>
      <c r="L2024" s="1"/>
      <c r="M2024" s="1"/>
      <c r="N2024" s="1"/>
      <c r="O2024" s="1"/>
      <c r="P2024" s="1"/>
      <c r="Q2024" s="1"/>
      <c r="R2024" s="1"/>
      <c r="S2024" s="1"/>
    </row>
    <row r="2025" ht="10.5" customHeight="1">
      <c r="A2025" s="1"/>
      <c r="B2025" s="1"/>
      <c r="C2025" s="1"/>
      <c r="D2025" s="1"/>
      <c r="E2025" s="1"/>
      <c r="F2025" s="1"/>
      <c r="G2025" s="1"/>
      <c r="H2025" s="1"/>
      <c r="I2025" s="1"/>
      <c r="J2025" s="1"/>
      <c r="K2025" s="1"/>
      <c r="L2025" s="1"/>
      <c r="M2025" s="1"/>
      <c r="N2025" s="1"/>
      <c r="O2025" s="1"/>
      <c r="P2025" s="1"/>
      <c r="Q2025" s="1"/>
      <c r="R2025" s="1"/>
      <c r="S2025" s="1"/>
    </row>
    <row r="2026" ht="10.5" customHeight="1">
      <c r="A2026" s="1"/>
      <c r="B2026" s="1"/>
      <c r="C2026" s="1"/>
      <c r="D2026" s="1"/>
      <c r="E2026" s="1"/>
      <c r="F2026" s="1"/>
      <c r="G2026" s="1"/>
      <c r="H2026" s="1"/>
      <c r="I2026" s="1"/>
      <c r="J2026" s="1"/>
      <c r="K2026" s="1"/>
      <c r="L2026" s="1"/>
      <c r="M2026" s="1"/>
      <c r="N2026" s="1"/>
      <c r="O2026" s="1"/>
      <c r="P2026" s="1"/>
      <c r="Q2026" s="1"/>
      <c r="R2026" s="1"/>
      <c r="S2026" s="1"/>
    </row>
    <row r="2027" ht="10.5" customHeight="1">
      <c r="A2027" s="1"/>
      <c r="B2027" s="1"/>
      <c r="C2027" s="1"/>
      <c r="D2027" s="1"/>
      <c r="E2027" s="1"/>
      <c r="F2027" s="1"/>
      <c r="G2027" s="1"/>
      <c r="H2027" s="1"/>
      <c r="I2027" s="1"/>
      <c r="J2027" s="1"/>
      <c r="K2027" s="1"/>
      <c r="L2027" s="1"/>
      <c r="M2027" s="1"/>
      <c r="N2027" s="1"/>
      <c r="O2027" s="1"/>
      <c r="P2027" s="1"/>
      <c r="Q2027" s="1"/>
      <c r="R2027" s="1"/>
      <c r="S2027" s="1"/>
    </row>
    <row r="2028" ht="10.5" customHeight="1">
      <c r="A2028" s="1"/>
      <c r="B2028" s="1"/>
      <c r="C2028" s="1"/>
      <c r="D2028" s="1"/>
      <c r="E2028" s="1"/>
      <c r="F2028" s="1"/>
      <c r="G2028" s="1"/>
      <c r="H2028" s="1"/>
      <c r="I2028" s="1"/>
      <c r="J2028" s="1"/>
      <c r="K2028" s="1"/>
      <c r="L2028" s="1"/>
      <c r="M2028" s="1"/>
      <c r="N2028" s="1"/>
      <c r="O2028" s="1"/>
      <c r="P2028" s="1"/>
      <c r="Q2028" s="1"/>
      <c r="R2028" s="1"/>
      <c r="S2028" s="1"/>
    </row>
    <row r="2029" ht="10.5" customHeight="1">
      <c r="A2029" s="1"/>
      <c r="B2029" s="1"/>
      <c r="C2029" s="1"/>
      <c r="D2029" s="1"/>
      <c r="E2029" s="1"/>
      <c r="F2029" s="1"/>
      <c r="G2029" s="1"/>
      <c r="H2029" s="1"/>
      <c r="I2029" s="1"/>
      <c r="J2029" s="1"/>
      <c r="K2029" s="1"/>
      <c r="L2029" s="1"/>
      <c r="M2029" s="1"/>
      <c r="N2029" s="1"/>
      <c r="O2029" s="1"/>
      <c r="P2029" s="1"/>
      <c r="Q2029" s="1"/>
      <c r="R2029" s="1"/>
      <c r="S2029" s="1"/>
    </row>
    <row r="2030" ht="10.5" customHeight="1">
      <c r="A2030" s="1"/>
      <c r="B2030" s="1"/>
      <c r="C2030" s="1"/>
      <c r="D2030" s="1"/>
      <c r="E2030" s="1"/>
      <c r="F2030" s="1"/>
      <c r="G2030" s="1"/>
      <c r="H2030" s="1"/>
      <c r="I2030" s="1"/>
      <c r="J2030" s="1"/>
      <c r="K2030" s="1"/>
      <c r="L2030" s="1"/>
      <c r="M2030" s="1"/>
      <c r="N2030" s="1"/>
      <c r="O2030" s="1"/>
      <c r="P2030" s="1"/>
      <c r="Q2030" s="1"/>
      <c r="R2030" s="1"/>
      <c r="S2030" s="1"/>
    </row>
    <row r="2031" ht="10.5" customHeight="1">
      <c r="A2031" s="1"/>
      <c r="B2031" s="1"/>
      <c r="C2031" s="1"/>
      <c r="D2031" s="1"/>
      <c r="E2031" s="1"/>
      <c r="F2031" s="1"/>
      <c r="G2031" s="1"/>
      <c r="H2031" s="1"/>
      <c r="I2031" s="1"/>
      <c r="J2031" s="1"/>
      <c r="K2031" s="1"/>
      <c r="L2031" s="1"/>
      <c r="M2031" s="1"/>
      <c r="N2031" s="1"/>
      <c r="O2031" s="1"/>
      <c r="P2031" s="1"/>
      <c r="Q2031" s="1"/>
      <c r="R2031" s="1"/>
      <c r="S2031" s="1"/>
    </row>
    <row r="2032" ht="10.5" customHeight="1">
      <c r="A2032" s="1"/>
      <c r="B2032" s="1"/>
      <c r="C2032" s="1"/>
      <c r="D2032" s="1"/>
      <c r="E2032" s="1"/>
      <c r="F2032" s="1"/>
      <c r="G2032" s="1"/>
      <c r="H2032" s="1"/>
      <c r="I2032" s="1"/>
      <c r="J2032" s="1"/>
      <c r="K2032" s="1"/>
      <c r="L2032" s="1"/>
      <c r="M2032" s="1"/>
      <c r="N2032" s="1"/>
      <c r="O2032" s="1"/>
      <c r="P2032" s="1"/>
      <c r="Q2032" s="1"/>
      <c r="R2032" s="1"/>
      <c r="S2032" s="1"/>
    </row>
    <row r="2033" ht="10.5" customHeight="1">
      <c r="A2033" s="1"/>
      <c r="B2033" s="1"/>
      <c r="C2033" s="1"/>
      <c r="D2033" s="1"/>
      <c r="E2033" s="1"/>
      <c r="F2033" s="1"/>
      <c r="G2033" s="1"/>
      <c r="H2033" s="1"/>
      <c r="I2033" s="1"/>
      <c r="J2033" s="1"/>
      <c r="K2033" s="1"/>
      <c r="L2033" s="1"/>
      <c r="M2033" s="1"/>
      <c r="N2033" s="1"/>
      <c r="O2033" s="1"/>
      <c r="P2033" s="1"/>
      <c r="Q2033" s="1"/>
      <c r="R2033" s="1"/>
      <c r="S2033" s="1"/>
    </row>
    <row r="2034" ht="10.5" customHeight="1">
      <c r="A2034" s="1"/>
      <c r="B2034" s="1"/>
      <c r="C2034" s="1"/>
      <c r="D2034" s="1"/>
      <c r="E2034" s="1"/>
      <c r="F2034" s="1"/>
      <c r="G2034" s="1"/>
      <c r="H2034" s="1"/>
      <c r="I2034" s="1"/>
      <c r="J2034" s="1"/>
      <c r="K2034" s="1"/>
      <c r="L2034" s="1"/>
      <c r="M2034" s="1"/>
      <c r="N2034" s="1"/>
      <c r="O2034" s="1"/>
      <c r="P2034" s="1"/>
      <c r="Q2034" s="1"/>
      <c r="R2034" s="1"/>
      <c r="S2034" s="1"/>
    </row>
    <row r="2035" ht="10.5" customHeight="1">
      <c r="A2035" s="1"/>
      <c r="B2035" s="1"/>
      <c r="C2035" s="1"/>
      <c r="D2035" s="1"/>
      <c r="E2035" s="1"/>
      <c r="F2035" s="1"/>
      <c r="G2035" s="1"/>
      <c r="H2035" s="1"/>
      <c r="I2035" s="1"/>
      <c r="J2035" s="1"/>
      <c r="K2035" s="1"/>
      <c r="L2035" s="1"/>
      <c r="M2035" s="1"/>
      <c r="N2035" s="1"/>
      <c r="O2035" s="1"/>
      <c r="P2035" s="1"/>
      <c r="Q2035" s="1"/>
      <c r="R2035" s="1"/>
      <c r="S2035" s="1"/>
    </row>
    <row r="2036" ht="10.5" customHeight="1">
      <c r="A2036" s="1"/>
      <c r="B2036" s="1"/>
      <c r="C2036" s="1"/>
      <c r="D2036" s="1"/>
      <c r="E2036" s="1"/>
      <c r="F2036" s="1"/>
      <c r="G2036" s="1"/>
      <c r="H2036" s="1"/>
      <c r="I2036" s="1"/>
      <c r="J2036" s="1"/>
      <c r="K2036" s="1"/>
      <c r="L2036" s="1"/>
      <c r="M2036" s="1"/>
      <c r="N2036" s="1"/>
      <c r="O2036" s="1"/>
      <c r="P2036" s="1"/>
      <c r="Q2036" s="1"/>
      <c r="R2036" s="1"/>
      <c r="S2036" s="1"/>
    </row>
    <row r="2037" ht="10.5" customHeight="1">
      <c r="A2037" s="1"/>
      <c r="B2037" s="1"/>
      <c r="C2037" s="1"/>
      <c r="D2037" s="1"/>
      <c r="E2037" s="1"/>
      <c r="F2037" s="1"/>
      <c r="G2037" s="1"/>
      <c r="H2037" s="1"/>
      <c r="I2037" s="1"/>
      <c r="J2037" s="1"/>
      <c r="K2037" s="1"/>
      <c r="L2037" s="1"/>
      <c r="M2037" s="1"/>
      <c r="N2037" s="1"/>
      <c r="O2037" s="1"/>
      <c r="P2037" s="1"/>
      <c r="Q2037" s="1"/>
      <c r="R2037" s="1"/>
      <c r="S2037" s="1"/>
    </row>
    <row r="2038" ht="10.5" customHeight="1">
      <c r="A2038" s="1"/>
      <c r="B2038" s="1"/>
      <c r="C2038" s="1"/>
      <c r="D2038" s="1"/>
      <c r="E2038" s="1"/>
      <c r="F2038" s="1"/>
      <c r="G2038" s="1"/>
      <c r="H2038" s="1"/>
      <c r="I2038" s="1"/>
      <c r="J2038" s="1"/>
      <c r="K2038" s="1"/>
      <c r="L2038" s="1"/>
      <c r="M2038" s="1"/>
      <c r="N2038" s="1"/>
      <c r="O2038" s="1"/>
      <c r="P2038" s="1"/>
      <c r="Q2038" s="1"/>
      <c r="R2038" s="1"/>
      <c r="S2038" s="1"/>
    </row>
    <row r="2039" ht="10.5" customHeight="1">
      <c r="A2039" s="1"/>
      <c r="B2039" s="1"/>
      <c r="C2039" s="1"/>
      <c r="D2039" s="1"/>
      <c r="E2039" s="1"/>
      <c r="F2039" s="1"/>
      <c r="G2039" s="1"/>
      <c r="H2039" s="1"/>
      <c r="I2039" s="1"/>
      <c r="J2039" s="1"/>
      <c r="K2039" s="1"/>
      <c r="L2039" s="1"/>
      <c r="M2039" s="1"/>
      <c r="N2039" s="1"/>
      <c r="O2039" s="1"/>
      <c r="P2039" s="1"/>
      <c r="Q2039" s="1"/>
      <c r="R2039" s="1"/>
      <c r="S2039" s="1"/>
    </row>
    <row r="2040" ht="10.5" customHeight="1">
      <c r="A2040" s="1"/>
      <c r="B2040" s="1"/>
      <c r="C2040" s="1"/>
      <c r="D2040" s="1"/>
      <c r="E2040" s="1"/>
      <c r="F2040" s="1"/>
      <c r="G2040" s="110">
        <v>29.0</v>
      </c>
      <c r="H2040" s="1"/>
      <c r="I2040" s="1"/>
      <c r="J2040" s="1"/>
      <c r="K2040" s="1"/>
      <c r="L2040" s="1"/>
      <c r="M2040" s="1"/>
      <c r="N2040" s="1"/>
      <c r="O2040" s="1"/>
      <c r="P2040" s="1"/>
      <c r="Q2040" s="1"/>
      <c r="R2040" s="1"/>
      <c r="S2040" s="1"/>
    </row>
    <row r="2041" ht="10.5" customHeight="1">
      <c r="A2041" s="1"/>
      <c r="B2041" s="1"/>
      <c r="C2041" s="1"/>
      <c r="D2041" s="1"/>
      <c r="E2041" s="1"/>
      <c r="F2041" s="1"/>
      <c r="G2041" s="1"/>
      <c r="H2041" s="1"/>
      <c r="I2041" s="1"/>
      <c r="J2041" s="1"/>
      <c r="K2041" s="1"/>
      <c r="L2041" s="1"/>
      <c r="M2041" s="1"/>
      <c r="N2041" s="1"/>
      <c r="O2041" s="1"/>
      <c r="P2041" s="1"/>
      <c r="Q2041" s="1"/>
      <c r="R2041" s="1"/>
      <c r="S2041" s="1"/>
    </row>
    <row r="2042" ht="10.5" customHeight="1">
      <c r="A2042" s="1"/>
      <c r="B2042" s="1"/>
      <c r="C2042" s="1"/>
      <c r="D2042" s="1"/>
      <c r="E2042" s="1"/>
      <c r="F2042" s="1"/>
      <c r="G2042" s="1"/>
      <c r="H2042" s="1"/>
      <c r="I2042" s="1"/>
      <c r="J2042" s="1"/>
      <c r="K2042" s="1"/>
      <c r="L2042" s="1"/>
      <c r="M2042" s="1"/>
      <c r="N2042" s="1"/>
      <c r="O2042" s="1"/>
      <c r="P2042" s="1"/>
      <c r="Q2042" s="1"/>
      <c r="R2042" s="1"/>
      <c r="S2042" s="1"/>
    </row>
    <row r="2043" ht="11.25" customHeight="1">
      <c r="A2043" s="1"/>
      <c r="B2043" s="1" t="s">
        <v>1275</v>
      </c>
      <c r="C2043" s="1"/>
      <c r="D2043" s="1"/>
      <c r="E2043" s="1"/>
      <c r="F2043" s="1"/>
      <c r="G2043" s="1"/>
      <c r="H2043" s="1"/>
      <c r="I2043" s="1"/>
      <c r="J2043" s="1"/>
      <c r="K2043" s="1"/>
      <c r="L2043" s="1"/>
      <c r="M2043" s="1"/>
      <c r="N2043" s="1"/>
      <c r="O2043" s="1"/>
      <c r="P2043" s="1"/>
      <c r="Q2043" s="1"/>
      <c r="R2043" s="1"/>
      <c r="S2043" s="1"/>
    </row>
    <row r="2044" ht="11.25" customHeight="1">
      <c r="A2044" s="1"/>
      <c r="B2044" s="29" t="s">
        <v>31</v>
      </c>
      <c r="C2044" s="31" t="s">
        <v>1276</v>
      </c>
      <c r="D2044" s="31" t="s">
        <v>1277</v>
      </c>
      <c r="E2044" s="31" t="s">
        <v>512</v>
      </c>
      <c r="F2044" s="128" t="s">
        <v>1278</v>
      </c>
      <c r="G2044" s="10"/>
      <c r="H2044" s="1"/>
      <c r="I2044" s="1"/>
      <c r="J2044" s="1"/>
      <c r="K2044" s="1"/>
      <c r="L2044" s="1"/>
      <c r="M2044" s="1"/>
      <c r="N2044" s="1"/>
      <c r="O2044" s="1"/>
      <c r="P2044" s="1"/>
      <c r="Q2044" s="1"/>
      <c r="R2044" s="1"/>
      <c r="S2044" s="1"/>
    </row>
    <row r="2045" ht="11.25" customHeight="1">
      <c r="A2045" s="1"/>
      <c r="B2045" s="5"/>
      <c r="C2045" s="6"/>
      <c r="D2045" s="6"/>
      <c r="E2045" s="6"/>
      <c r="F2045" s="31" t="s">
        <v>1</v>
      </c>
      <c r="G2045" s="7" t="s">
        <v>1281</v>
      </c>
      <c r="H2045" s="1"/>
      <c r="I2045" s="1"/>
      <c r="J2045" s="1"/>
      <c r="K2045" s="1"/>
      <c r="L2045" s="1"/>
      <c r="M2045" s="1"/>
      <c r="N2045" s="1"/>
      <c r="O2045" s="1"/>
      <c r="P2045" s="1"/>
      <c r="Q2045" s="1"/>
      <c r="R2045" s="1"/>
      <c r="S2045" s="1"/>
    </row>
    <row r="2046" ht="10.5" customHeight="1">
      <c r="A2046" s="1"/>
      <c r="B2046" s="6"/>
      <c r="C2046" s="134" t="s">
        <v>49</v>
      </c>
      <c r="D2046" s="134" t="s">
        <v>52</v>
      </c>
      <c r="E2046" s="134" t="s">
        <v>50</v>
      </c>
      <c r="F2046" s="6"/>
      <c r="G2046" s="134" t="s">
        <v>49</v>
      </c>
      <c r="H2046" s="1"/>
      <c r="I2046" s="1"/>
      <c r="J2046" s="1"/>
      <c r="K2046" s="1"/>
      <c r="L2046" s="1"/>
      <c r="M2046" s="1"/>
      <c r="N2046" s="1"/>
      <c r="O2046" s="1"/>
      <c r="P2046" s="1"/>
      <c r="Q2046" s="1"/>
      <c r="R2046" s="1"/>
      <c r="S2046" s="1"/>
    </row>
    <row r="2047" ht="10.5" customHeight="1">
      <c r="A2047" s="1"/>
      <c r="B2047" s="48" t="s">
        <v>264</v>
      </c>
      <c r="C2047" s="130">
        <v>130.0</v>
      </c>
      <c r="D2047" s="249">
        <v>36.7</v>
      </c>
      <c r="E2047" s="136">
        <v>4766.0</v>
      </c>
      <c r="F2047" s="55">
        <v>1970.0</v>
      </c>
      <c r="G2047" s="250">
        <v>50.1</v>
      </c>
      <c r="H2047" s="1"/>
      <c r="I2047" s="1"/>
      <c r="J2047" s="1"/>
      <c r="K2047" s="1"/>
      <c r="L2047" s="1"/>
      <c r="M2047" s="1"/>
      <c r="N2047" s="1"/>
      <c r="O2047" s="1"/>
      <c r="P2047" s="1"/>
      <c r="Q2047" s="1"/>
      <c r="R2047" s="1"/>
      <c r="S2047" s="1"/>
    </row>
    <row r="2048" ht="10.5" customHeight="1">
      <c r="A2048" s="1"/>
      <c r="B2048" s="48" t="s">
        <v>267</v>
      </c>
      <c r="C2048" s="130">
        <v>114.0</v>
      </c>
      <c r="D2048" s="249">
        <v>37.48</v>
      </c>
      <c r="E2048" s="136">
        <v>4254.0</v>
      </c>
      <c r="F2048" s="55">
        <v>1971.0</v>
      </c>
      <c r="G2048" s="250">
        <v>55.9</v>
      </c>
      <c r="H2048" s="1"/>
      <c r="I2048" s="1"/>
      <c r="J2048" s="1"/>
      <c r="K2048" s="1"/>
      <c r="L2048" s="1"/>
      <c r="M2048" s="1"/>
      <c r="N2048" s="1"/>
      <c r="O2048" s="1"/>
      <c r="P2048" s="1"/>
      <c r="Q2048" s="1"/>
      <c r="R2048" s="1"/>
      <c r="S2048" s="1"/>
    </row>
    <row r="2049" ht="10.5" customHeight="1">
      <c r="A2049" s="1"/>
      <c r="B2049" s="48" t="s">
        <v>268</v>
      </c>
      <c r="C2049" s="130">
        <v>144.0</v>
      </c>
      <c r="D2049" s="249">
        <v>44.69</v>
      </c>
      <c r="E2049" s="136">
        <v>6453.0</v>
      </c>
      <c r="F2049" s="55">
        <v>1972.0</v>
      </c>
      <c r="G2049" s="250">
        <v>60.8</v>
      </c>
      <c r="H2049" s="1"/>
      <c r="I2049" s="1"/>
      <c r="J2049" s="1"/>
      <c r="K2049" s="1"/>
      <c r="L2049" s="1"/>
      <c r="M2049" s="1"/>
      <c r="N2049" s="1"/>
      <c r="O2049" s="1"/>
      <c r="P2049" s="1"/>
      <c r="Q2049" s="1"/>
      <c r="R2049" s="1"/>
      <c r="S2049" s="1"/>
    </row>
    <row r="2050" ht="10.5" customHeight="1">
      <c r="A2050" s="1"/>
      <c r="B2050" s="48" t="s">
        <v>269</v>
      </c>
      <c r="C2050" s="130">
        <v>136.0</v>
      </c>
      <c r="D2050" s="249">
        <v>48.43</v>
      </c>
      <c r="E2050" s="136">
        <v>6580.0</v>
      </c>
      <c r="F2050" s="55">
        <v>1973.0</v>
      </c>
      <c r="G2050" s="250">
        <v>55.6</v>
      </c>
      <c r="H2050" s="1"/>
      <c r="I2050" s="1"/>
      <c r="J2050" s="1"/>
      <c r="K2050" s="1"/>
      <c r="L2050" s="1"/>
      <c r="M2050" s="1"/>
      <c r="N2050" s="1"/>
      <c r="O2050" s="1"/>
      <c r="P2050" s="1"/>
      <c r="Q2050" s="1"/>
      <c r="R2050" s="1"/>
      <c r="S2050" s="1"/>
    </row>
    <row r="2051" ht="10.5" customHeight="1">
      <c r="A2051" s="1"/>
      <c r="B2051" s="48" t="s">
        <v>270</v>
      </c>
      <c r="C2051" s="130">
        <v>127.0</v>
      </c>
      <c r="D2051" s="249">
        <v>63.3</v>
      </c>
      <c r="E2051" s="136">
        <v>8047.0</v>
      </c>
      <c r="F2051" s="55">
        <v>1974.0</v>
      </c>
      <c r="G2051" s="250">
        <v>57.0</v>
      </c>
      <c r="H2051" s="1"/>
      <c r="I2051" s="1"/>
      <c r="J2051" s="1"/>
      <c r="K2051" s="1"/>
      <c r="L2051" s="1"/>
      <c r="M2051" s="1"/>
      <c r="N2051" s="1"/>
      <c r="O2051" s="1"/>
      <c r="P2051" s="1"/>
      <c r="Q2051" s="1"/>
      <c r="R2051" s="1"/>
      <c r="S2051" s="1"/>
    </row>
    <row r="2052" ht="10.5" customHeight="1">
      <c r="A2052" s="1"/>
      <c r="B2052" s="48"/>
      <c r="C2052" s="130"/>
      <c r="D2052" s="249"/>
      <c r="E2052" s="136"/>
      <c r="F2052" s="55"/>
      <c r="G2052" s="250"/>
      <c r="H2052" s="1"/>
      <c r="I2052" s="1"/>
      <c r="J2052" s="1"/>
      <c r="K2052" s="1"/>
      <c r="L2052" s="1"/>
      <c r="M2052" s="1"/>
      <c r="N2052" s="1"/>
      <c r="O2052" s="1"/>
      <c r="P2052" s="1"/>
      <c r="Q2052" s="1"/>
      <c r="R2052" s="1"/>
      <c r="S2052" s="1"/>
    </row>
    <row r="2053" ht="10.5" customHeight="1">
      <c r="A2053" s="1"/>
      <c r="B2053" s="48" t="s">
        <v>271</v>
      </c>
      <c r="C2053" s="130">
        <v>121.0</v>
      </c>
      <c r="D2053" s="249">
        <v>80.99</v>
      </c>
      <c r="E2053" s="136">
        <v>9761.0</v>
      </c>
      <c r="F2053" s="55">
        <v>1975.0</v>
      </c>
      <c r="G2053" s="250">
        <v>44.0</v>
      </c>
      <c r="H2053" s="1"/>
      <c r="I2053" s="1"/>
      <c r="J2053" s="1"/>
      <c r="K2053" s="1"/>
      <c r="L2053" s="1"/>
      <c r="M2053" s="1"/>
      <c r="N2053" s="1"/>
      <c r="O2053" s="1"/>
      <c r="P2053" s="1"/>
      <c r="Q2053" s="1"/>
      <c r="R2053" s="1"/>
      <c r="S2053" s="1"/>
    </row>
    <row r="2054" ht="10.5" customHeight="1">
      <c r="A2054" s="1"/>
      <c r="B2054" s="48" t="s">
        <v>272</v>
      </c>
      <c r="C2054" s="130">
        <v>133.0</v>
      </c>
      <c r="D2054" s="249">
        <v>85.5</v>
      </c>
      <c r="E2054" s="136">
        <v>11353.0</v>
      </c>
      <c r="F2054" s="55">
        <v>1976.0</v>
      </c>
      <c r="G2054" s="250">
        <v>59.4</v>
      </c>
      <c r="H2054" s="1"/>
      <c r="I2054" s="1"/>
      <c r="J2054" s="1"/>
      <c r="K2054" s="1"/>
      <c r="L2054" s="1"/>
      <c r="M2054" s="1"/>
      <c r="N2054" s="1"/>
      <c r="O2054" s="1"/>
      <c r="P2054" s="1"/>
      <c r="Q2054" s="1"/>
      <c r="R2054" s="1"/>
      <c r="S2054" s="1"/>
    </row>
    <row r="2055" ht="10.5" customHeight="1">
      <c r="A2055" s="1"/>
      <c r="B2055" s="48" t="s">
        <v>274</v>
      </c>
      <c r="C2055" s="130">
        <v>157.0</v>
      </c>
      <c r="D2055" s="249">
        <v>92.7</v>
      </c>
      <c r="E2055" s="136">
        <v>14548.0</v>
      </c>
      <c r="F2055" s="55">
        <v>1977.0</v>
      </c>
      <c r="G2055" s="250">
        <v>61.2</v>
      </c>
      <c r="H2055" s="1"/>
      <c r="I2055" s="1"/>
      <c r="J2055" s="1"/>
      <c r="K2055" s="1"/>
      <c r="L2055" s="1"/>
      <c r="M2055" s="1"/>
      <c r="N2055" s="1"/>
      <c r="O2055" s="1"/>
      <c r="P2055" s="1"/>
      <c r="Q2055" s="1"/>
      <c r="R2055" s="1"/>
      <c r="S2055" s="1"/>
    </row>
    <row r="2056" ht="10.5" customHeight="1">
      <c r="A2056" s="1"/>
      <c r="B2056" s="48" t="s">
        <v>275</v>
      </c>
      <c r="C2056" s="130">
        <v>144.0</v>
      </c>
      <c r="D2056" s="249">
        <v>103.21</v>
      </c>
      <c r="E2056" s="136">
        <v>14833.0</v>
      </c>
      <c r="F2056" s="55">
        <v>1978.0</v>
      </c>
      <c r="G2056" s="250">
        <v>66.2</v>
      </c>
      <c r="H2056" s="1"/>
      <c r="I2056" s="1"/>
      <c r="J2056" s="1"/>
      <c r="K2056" s="1"/>
      <c r="L2056" s="1"/>
      <c r="M2056" s="1"/>
      <c r="N2056" s="1"/>
      <c r="O2056" s="1"/>
      <c r="P2056" s="1"/>
      <c r="Q2056" s="1"/>
      <c r="R2056" s="1"/>
      <c r="S2056" s="1"/>
    </row>
    <row r="2057" ht="10.5" customHeight="1">
      <c r="A2057" s="1"/>
      <c r="B2057" s="48" t="s">
        <v>276</v>
      </c>
      <c r="C2057" s="130">
        <v>119.0</v>
      </c>
      <c r="D2057" s="249">
        <v>107.19</v>
      </c>
      <c r="E2057" s="136">
        <v>12747.0</v>
      </c>
      <c r="F2057" s="55">
        <v>1979.0</v>
      </c>
      <c r="G2057" s="250">
        <v>57.4</v>
      </c>
      <c r="H2057" s="1"/>
      <c r="I2057" s="1"/>
      <c r="J2057" s="1"/>
      <c r="K2057" s="1"/>
      <c r="L2057" s="1"/>
      <c r="M2057" s="1"/>
      <c r="N2057" s="1"/>
      <c r="O2057" s="1"/>
      <c r="P2057" s="1"/>
      <c r="Q2057" s="1"/>
      <c r="R2057" s="1"/>
      <c r="S2057" s="1"/>
    </row>
    <row r="2058" ht="10.5" customHeight="1">
      <c r="A2058" s="1"/>
      <c r="B2058" s="48"/>
      <c r="C2058" s="130"/>
      <c r="D2058" s="249"/>
      <c r="E2058" s="136"/>
      <c r="F2058" s="55"/>
      <c r="G2058" s="250"/>
      <c r="H2058" s="1"/>
      <c r="I2058" s="1"/>
      <c r="J2058" s="1"/>
      <c r="K2058" s="1"/>
      <c r="L2058" s="1"/>
      <c r="M2058" s="1"/>
      <c r="N2058" s="1"/>
      <c r="O2058" s="1"/>
      <c r="P2058" s="1"/>
      <c r="Q2058" s="1"/>
      <c r="R2058" s="1"/>
      <c r="S2058" s="1"/>
    </row>
    <row r="2059" ht="10.5" customHeight="1">
      <c r="A2059" s="1"/>
      <c r="B2059" s="48" t="s">
        <v>56</v>
      </c>
      <c r="C2059" s="130">
        <v>114.0</v>
      </c>
      <c r="D2059" s="249">
        <v>105.52</v>
      </c>
      <c r="E2059" s="136">
        <v>12074.0</v>
      </c>
      <c r="F2059" s="55">
        <v>1980.0</v>
      </c>
      <c r="G2059" s="250">
        <v>54.0</v>
      </c>
      <c r="H2059" s="1"/>
      <c r="I2059" s="1"/>
      <c r="J2059" s="1"/>
      <c r="K2059" s="1"/>
      <c r="L2059" s="1"/>
      <c r="M2059" s="1"/>
      <c r="N2059" s="1"/>
      <c r="O2059" s="1"/>
      <c r="P2059" s="1"/>
      <c r="Q2059" s="1"/>
      <c r="R2059" s="1"/>
      <c r="S2059" s="1"/>
    </row>
    <row r="2060" ht="10.5" customHeight="1">
      <c r="A2060" s="1"/>
      <c r="B2060" s="48" t="s">
        <v>81</v>
      </c>
      <c r="C2060" s="130">
        <v>123.0</v>
      </c>
      <c r="D2060" s="249">
        <v>128.79</v>
      </c>
      <c r="E2060" s="136">
        <v>15838.0</v>
      </c>
      <c r="F2060" s="55">
        <v>1981.0</v>
      </c>
      <c r="G2060" s="250">
        <v>54.1</v>
      </c>
      <c r="H2060" s="1"/>
      <c r="I2060" s="1"/>
      <c r="J2060" s="1"/>
      <c r="K2060" s="1"/>
      <c r="L2060" s="1"/>
      <c r="M2060" s="1"/>
      <c r="N2060" s="1"/>
      <c r="O2060" s="1"/>
      <c r="P2060" s="1"/>
      <c r="Q2060" s="1"/>
      <c r="R2060" s="1"/>
      <c r="S2060" s="1"/>
    </row>
    <row r="2061" ht="10.5" customHeight="1">
      <c r="A2061" s="1"/>
      <c r="B2061" s="48" t="s">
        <v>86</v>
      </c>
      <c r="C2061" s="130">
        <v>100.0</v>
      </c>
      <c r="D2061" s="249">
        <v>157.17</v>
      </c>
      <c r="E2061" s="136">
        <v>15654.0</v>
      </c>
      <c r="F2061" s="55">
        <v>1982.0</v>
      </c>
      <c r="G2061" s="250">
        <v>44.8</v>
      </c>
      <c r="H2061" s="1"/>
      <c r="I2061" s="1"/>
      <c r="J2061" s="1"/>
      <c r="K2061" s="1"/>
      <c r="L2061" s="1"/>
      <c r="M2061" s="1"/>
      <c r="N2061" s="1"/>
      <c r="O2061" s="1"/>
      <c r="P2061" s="1"/>
      <c r="Q2061" s="1"/>
      <c r="R2061" s="1"/>
      <c r="S2061" s="1"/>
    </row>
    <row r="2062" ht="10.5" customHeight="1">
      <c r="A2062" s="1"/>
      <c r="B2062" s="48" t="s">
        <v>87</v>
      </c>
      <c r="C2062" s="130">
        <v>76.0</v>
      </c>
      <c r="D2062" s="249">
        <v>202.04</v>
      </c>
      <c r="E2062" s="136">
        <v>15267.0</v>
      </c>
      <c r="F2062" s="55">
        <v>1983.0</v>
      </c>
      <c r="G2062" s="250">
        <v>42.2</v>
      </c>
      <c r="H2062" s="1"/>
      <c r="I2062" s="1"/>
      <c r="J2062" s="1"/>
      <c r="K2062" s="1"/>
      <c r="L2062" s="1"/>
      <c r="M2062" s="1"/>
      <c r="N2062" s="1"/>
      <c r="O2062" s="1"/>
      <c r="P2062" s="1"/>
      <c r="Q2062" s="1"/>
      <c r="R2062" s="1"/>
      <c r="S2062" s="1"/>
    </row>
    <row r="2063" ht="10.5" customHeight="1">
      <c r="A2063" s="1"/>
      <c r="B2063" s="48" t="s">
        <v>90</v>
      </c>
      <c r="C2063" s="130">
        <v>91.0</v>
      </c>
      <c r="D2063" s="249">
        <v>199.09</v>
      </c>
      <c r="E2063" s="136">
        <v>18160.0</v>
      </c>
      <c r="F2063" s="55">
        <v>1984.0</v>
      </c>
      <c r="G2063" s="250">
        <v>39.0</v>
      </c>
      <c r="H2063" s="1"/>
      <c r="I2063" s="1"/>
      <c r="J2063" s="1"/>
      <c r="K2063" s="1"/>
      <c r="L2063" s="1"/>
      <c r="M2063" s="1"/>
      <c r="N2063" s="1"/>
      <c r="O2063" s="1"/>
      <c r="P2063" s="1"/>
      <c r="Q2063" s="1"/>
      <c r="R2063" s="1"/>
      <c r="S2063" s="1"/>
    </row>
    <row r="2064" ht="10.5" customHeight="1">
      <c r="A2064" s="1"/>
      <c r="B2064" s="48"/>
      <c r="C2064" s="130"/>
      <c r="D2064" s="249"/>
      <c r="E2064" s="136"/>
      <c r="F2064" s="55"/>
      <c r="G2064" s="250"/>
      <c r="H2064" s="1"/>
      <c r="I2064" s="1"/>
      <c r="J2064" s="1"/>
      <c r="K2064" s="1"/>
      <c r="L2064" s="1"/>
      <c r="M2064" s="1"/>
      <c r="N2064" s="1"/>
      <c r="O2064" s="1"/>
      <c r="P2064" s="1"/>
      <c r="Q2064" s="1"/>
      <c r="R2064" s="1"/>
      <c r="S2064" s="1"/>
    </row>
    <row r="2065" ht="10.5" customHeight="1">
      <c r="A2065" s="1"/>
      <c r="B2065" s="48" t="s">
        <v>93</v>
      </c>
      <c r="C2065" s="130">
        <v>63.0</v>
      </c>
      <c r="D2065" s="249">
        <v>326.68</v>
      </c>
      <c r="E2065" s="136">
        <v>20490.0</v>
      </c>
      <c r="F2065" s="55">
        <v>1985.0</v>
      </c>
      <c r="G2065" s="250">
        <v>33.2</v>
      </c>
      <c r="H2065" s="1"/>
      <c r="I2065" s="1"/>
      <c r="J2065" s="1"/>
      <c r="K2065" s="1"/>
      <c r="L2065" s="1"/>
      <c r="M2065" s="1"/>
      <c r="N2065" s="1"/>
      <c r="O2065" s="1"/>
      <c r="P2065" s="1"/>
      <c r="Q2065" s="1"/>
      <c r="R2065" s="1"/>
      <c r="S2065" s="1"/>
    </row>
    <row r="2066" ht="10.5" customHeight="1">
      <c r="A2066" s="1"/>
      <c r="B2066" s="48" t="s">
        <v>97</v>
      </c>
      <c r="C2066" s="130">
        <v>83.0</v>
      </c>
      <c r="D2066" s="249">
        <v>353.34</v>
      </c>
      <c r="E2066" s="136">
        <v>29475.0</v>
      </c>
      <c r="F2066" s="55">
        <v>1986.0</v>
      </c>
      <c r="G2066" s="250">
        <v>36.1</v>
      </c>
      <c r="H2066" s="1"/>
      <c r="I2066" s="1"/>
      <c r="J2066" s="1"/>
      <c r="K2066" s="1"/>
      <c r="L2066" s="1"/>
      <c r="M2066" s="1"/>
      <c r="N2066" s="1"/>
      <c r="O2066" s="1"/>
      <c r="P2066" s="1"/>
      <c r="Q2066" s="1"/>
      <c r="R2066" s="1"/>
      <c r="S2066" s="1"/>
    </row>
    <row r="2067" ht="10.5" customHeight="1">
      <c r="A2067" s="1"/>
      <c r="B2067" s="48" t="s">
        <v>101</v>
      </c>
      <c r="C2067" s="130">
        <v>90.0</v>
      </c>
      <c r="D2067" s="249">
        <v>326.84</v>
      </c>
      <c r="E2067" s="136">
        <v>29447.0</v>
      </c>
      <c r="F2067" s="55">
        <v>1987.0</v>
      </c>
      <c r="G2067" s="250">
        <v>40.0</v>
      </c>
      <c r="H2067" s="1"/>
      <c r="I2067" s="1"/>
      <c r="J2067" s="1"/>
      <c r="K2067" s="1"/>
      <c r="L2067" s="1"/>
      <c r="M2067" s="1"/>
      <c r="N2067" s="1"/>
      <c r="O2067" s="1"/>
      <c r="P2067" s="1"/>
      <c r="Q2067" s="1"/>
      <c r="R2067" s="1"/>
      <c r="S2067" s="1"/>
    </row>
    <row r="2068" ht="10.5" customHeight="1">
      <c r="A2068" s="1"/>
      <c r="B2068" s="48" t="s">
        <v>103</v>
      </c>
      <c r="C2068" s="130">
        <v>103.0</v>
      </c>
      <c r="D2068" s="249">
        <v>400.29</v>
      </c>
      <c r="E2068" s="136">
        <v>41233.0</v>
      </c>
      <c r="F2068" s="55">
        <v>1988.0</v>
      </c>
      <c r="G2068" s="250">
        <v>39.0</v>
      </c>
      <c r="H2068" s="1"/>
      <c r="I2068" s="1"/>
      <c r="J2068" s="1"/>
      <c r="K2068" s="1"/>
      <c r="L2068" s="1"/>
      <c r="M2068" s="1"/>
      <c r="N2068" s="1"/>
      <c r="O2068" s="1"/>
      <c r="P2068" s="1"/>
      <c r="Q2068" s="1"/>
      <c r="R2068" s="1"/>
      <c r="S2068" s="1"/>
    </row>
    <row r="2069" ht="10.5" customHeight="1">
      <c r="A2069" s="1"/>
      <c r="B2069" s="48" t="s">
        <v>104</v>
      </c>
      <c r="C2069" s="130">
        <v>112.0</v>
      </c>
      <c r="D2069" s="249">
        <v>389.53</v>
      </c>
      <c r="E2069" s="136">
        <v>43478.0</v>
      </c>
      <c r="F2069" s="55">
        <v>1989.0</v>
      </c>
      <c r="G2069" s="250">
        <v>42.3</v>
      </c>
      <c r="H2069" s="1"/>
      <c r="I2069" s="1"/>
      <c r="J2069" s="1"/>
      <c r="K2069" s="1"/>
      <c r="L2069" s="1"/>
      <c r="M2069" s="1"/>
      <c r="N2069" s="1"/>
      <c r="O2069" s="1"/>
      <c r="P2069" s="1"/>
      <c r="Q2069" s="1"/>
      <c r="R2069" s="1"/>
      <c r="S2069" s="1"/>
    </row>
    <row r="2070" ht="10.5" customHeight="1">
      <c r="A2070" s="1"/>
      <c r="B2070" s="48"/>
      <c r="C2070" s="130"/>
      <c r="D2070" s="249"/>
      <c r="E2070" s="136"/>
      <c r="F2070" s="55"/>
      <c r="G2070" s="250"/>
      <c r="H2070" s="1"/>
      <c r="I2070" s="1"/>
      <c r="J2070" s="1"/>
      <c r="K2070" s="1"/>
      <c r="L2070" s="1"/>
      <c r="M2070" s="1"/>
      <c r="N2070" s="1"/>
      <c r="O2070" s="1"/>
      <c r="P2070" s="1"/>
      <c r="Q2070" s="1"/>
      <c r="R2070" s="1"/>
      <c r="S2070" s="1"/>
    </row>
    <row r="2071" ht="10.5" customHeight="1">
      <c r="A2071" s="1"/>
      <c r="B2071" s="48" t="s">
        <v>108</v>
      </c>
      <c r="C2071" s="130">
        <v>115.0</v>
      </c>
      <c r="D2071" s="249">
        <v>418.63</v>
      </c>
      <c r="E2071" s="136">
        <v>48051.0</v>
      </c>
      <c r="F2071" s="55">
        <v>1990.0</v>
      </c>
      <c r="G2071" s="250">
        <v>43.4</v>
      </c>
      <c r="H2071" s="1"/>
      <c r="I2071" s="1"/>
      <c r="J2071" s="1"/>
      <c r="K2071" s="1"/>
      <c r="L2071" s="1"/>
      <c r="M2071" s="1"/>
      <c r="N2071" s="1"/>
      <c r="O2071" s="1"/>
      <c r="P2071" s="1"/>
      <c r="Q2071" s="1"/>
      <c r="R2071" s="1"/>
      <c r="S2071" s="1"/>
    </row>
    <row r="2072" ht="10.5" customHeight="1">
      <c r="A2072" s="1"/>
      <c r="B2072" s="48" t="s">
        <v>111</v>
      </c>
      <c r="C2072" s="130">
        <v>98.0</v>
      </c>
      <c r="D2072" s="249">
        <v>834.18</v>
      </c>
      <c r="E2072" s="136">
        <v>81915.0</v>
      </c>
      <c r="F2072" s="55">
        <v>1991.0</v>
      </c>
      <c r="G2072" s="250">
        <v>41.9</v>
      </c>
      <c r="H2072" s="1"/>
      <c r="I2072" s="1"/>
      <c r="J2072" s="1"/>
      <c r="K2072" s="1"/>
      <c r="L2072" s="1"/>
      <c r="M2072" s="1"/>
      <c r="N2072" s="1"/>
      <c r="O2072" s="1"/>
      <c r="P2072" s="1"/>
      <c r="Q2072" s="1"/>
      <c r="R2072" s="1"/>
      <c r="S2072" s="1"/>
    </row>
    <row r="2073" ht="10.5" customHeight="1">
      <c r="A2073" s="1"/>
      <c r="B2073" s="48" t="s">
        <v>112</v>
      </c>
      <c r="C2073" s="130">
        <v>95.0</v>
      </c>
      <c r="D2073" s="249">
        <v>566.55</v>
      </c>
      <c r="E2073" s="136">
        <v>54068.0</v>
      </c>
      <c r="F2073" s="55">
        <v>1992.0</v>
      </c>
      <c r="G2073" s="250">
        <v>40.9</v>
      </c>
      <c r="H2073" s="1"/>
      <c r="I2073" s="1"/>
      <c r="J2073" s="1"/>
      <c r="K2073" s="1"/>
      <c r="L2073" s="1"/>
      <c r="M2073" s="1"/>
      <c r="N2073" s="1"/>
      <c r="O2073" s="1"/>
      <c r="P2073" s="1"/>
      <c r="Q2073" s="1"/>
      <c r="R2073" s="1"/>
      <c r="S2073" s="1"/>
    </row>
    <row r="2074" ht="10.5" customHeight="1">
      <c r="A2074" s="1"/>
      <c r="B2074" s="48" t="s">
        <v>113</v>
      </c>
      <c r="C2074" s="130">
        <v>84.0</v>
      </c>
      <c r="D2074" s="249">
        <v>522.65</v>
      </c>
      <c r="E2074" s="136">
        <v>43756.0</v>
      </c>
      <c r="F2074" s="55">
        <v>1993.0</v>
      </c>
      <c r="G2074" s="250">
        <v>35.3</v>
      </c>
      <c r="H2074" s="1"/>
      <c r="I2074" s="1"/>
      <c r="J2074" s="1"/>
      <c r="K2074" s="1"/>
      <c r="L2074" s="1"/>
      <c r="M2074" s="1"/>
      <c r="N2074" s="1"/>
      <c r="O2074" s="1"/>
      <c r="P2074" s="1"/>
      <c r="Q2074" s="1"/>
      <c r="R2074" s="1"/>
      <c r="S2074" s="1"/>
    </row>
    <row r="2075" ht="10.5" customHeight="1">
      <c r="A2075" s="1"/>
      <c r="B2075" s="48" t="s">
        <v>114</v>
      </c>
      <c r="C2075" s="130">
        <v>142.0</v>
      </c>
      <c r="D2075" s="249">
        <v>438.16</v>
      </c>
      <c r="E2075" s="136">
        <v>62354.0</v>
      </c>
      <c r="F2075" s="55">
        <v>1994.0</v>
      </c>
      <c r="G2075" s="250">
        <v>41.5</v>
      </c>
      <c r="H2075" s="1"/>
      <c r="I2075" s="1"/>
      <c r="J2075" s="1"/>
      <c r="K2075" s="1"/>
      <c r="L2075" s="1"/>
      <c r="M2075" s="1"/>
      <c r="N2075" s="1"/>
      <c r="O2075" s="1"/>
      <c r="P2075" s="1"/>
      <c r="Q2075" s="1"/>
      <c r="R2075" s="1"/>
      <c r="S2075" s="1"/>
    </row>
    <row r="2076" ht="10.5" customHeight="1">
      <c r="A2076" s="1"/>
      <c r="B2076" s="48"/>
      <c r="C2076" s="130"/>
      <c r="D2076" s="249"/>
      <c r="E2076" s="136"/>
      <c r="F2076" s="55"/>
      <c r="G2076" s="250"/>
      <c r="H2076" s="1"/>
      <c r="I2076" s="1"/>
      <c r="J2076" s="1"/>
      <c r="K2076" s="1"/>
      <c r="L2076" s="1"/>
      <c r="M2076" s="1"/>
      <c r="N2076" s="1"/>
      <c r="O2076" s="1"/>
      <c r="P2076" s="1"/>
      <c r="Q2076" s="1"/>
      <c r="R2076" s="1"/>
      <c r="S2076" s="1"/>
    </row>
    <row r="2077" ht="10.5" customHeight="1">
      <c r="A2077" s="1"/>
      <c r="B2077" s="48" t="s">
        <v>115</v>
      </c>
      <c r="C2077" s="130">
        <v>156.0</v>
      </c>
      <c r="D2077" s="249">
        <v>451.55</v>
      </c>
      <c r="E2077" s="136">
        <v>70470.0</v>
      </c>
      <c r="F2077" s="55">
        <v>1995.0</v>
      </c>
      <c r="G2077" s="250">
        <v>38.8</v>
      </c>
      <c r="H2077" s="1"/>
      <c r="I2077" s="1"/>
      <c r="J2077" s="1"/>
      <c r="K2077" s="1"/>
      <c r="L2077" s="1"/>
      <c r="M2077" s="1"/>
      <c r="N2077" s="1"/>
      <c r="O2077" s="1"/>
      <c r="P2077" s="1"/>
      <c r="Q2077" s="1"/>
      <c r="R2077" s="1"/>
      <c r="S2077" s="1"/>
    </row>
    <row r="2078" ht="10.5" customHeight="1">
      <c r="A2078" s="1"/>
      <c r="B2078" s="48" t="s">
        <v>117</v>
      </c>
      <c r="C2078" s="130">
        <v>154.0</v>
      </c>
      <c r="D2078" s="249">
        <v>446.79</v>
      </c>
      <c r="E2078" s="136">
        <v>68911.0</v>
      </c>
      <c r="F2078" s="55">
        <v>1996.0</v>
      </c>
      <c r="G2078" s="250">
        <v>39.5</v>
      </c>
      <c r="H2078" s="1"/>
      <c r="I2078" s="1"/>
      <c r="J2078" s="1"/>
      <c r="K2078" s="1"/>
      <c r="L2078" s="1"/>
      <c r="M2078" s="1"/>
      <c r="N2078" s="1"/>
      <c r="O2078" s="1"/>
      <c r="P2078" s="1"/>
      <c r="Q2078" s="1"/>
      <c r="R2078" s="1"/>
      <c r="S2078" s="1"/>
    </row>
    <row r="2079" ht="10.5" customHeight="1">
      <c r="A2079" s="1"/>
      <c r="B2079" s="48" t="s">
        <v>121</v>
      </c>
      <c r="C2079" s="130">
        <v>143.0</v>
      </c>
      <c r="D2079" s="249">
        <v>465.5</v>
      </c>
      <c r="E2079" s="136">
        <v>66625.0</v>
      </c>
      <c r="F2079" s="55">
        <v>1997.0</v>
      </c>
      <c r="G2079" s="250">
        <v>37.6</v>
      </c>
      <c r="H2079" s="1"/>
      <c r="I2079" s="1"/>
      <c r="J2079" s="1"/>
      <c r="K2079" s="1"/>
      <c r="L2079" s="1"/>
      <c r="M2079" s="1"/>
      <c r="N2079" s="1"/>
      <c r="O2079" s="1"/>
      <c r="P2079" s="1"/>
      <c r="Q2079" s="1"/>
      <c r="R2079" s="1"/>
      <c r="S2079" s="1"/>
    </row>
    <row r="2080" ht="10.5" customHeight="1">
      <c r="A2080" s="1"/>
      <c r="B2080" s="48" t="s">
        <v>122</v>
      </c>
      <c r="C2080" s="130">
        <v>106.0</v>
      </c>
      <c r="D2080" s="249">
        <v>465.5</v>
      </c>
      <c r="E2080" s="136">
        <v>49119.0</v>
      </c>
      <c r="F2080" s="55">
        <v>1998.0</v>
      </c>
      <c r="G2080" s="250">
        <v>25.4</v>
      </c>
      <c r="H2080" s="1"/>
      <c r="I2080" s="1"/>
      <c r="J2080" s="1"/>
      <c r="K2080" s="1"/>
      <c r="L2080" s="1"/>
      <c r="M2080" s="1"/>
      <c r="N2080" s="1"/>
      <c r="O2080" s="1"/>
      <c r="P2080" s="1"/>
      <c r="Q2080" s="1"/>
      <c r="R2080" s="1"/>
      <c r="S2080" s="1"/>
    </row>
    <row r="2081" ht="10.5" customHeight="1">
      <c r="A2081" s="1"/>
      <c r="B2081" s="48" t="s">
        <v>123</v>
      </c>
      <c r="C2081" s="130">
        <v>100.0</v>
      </c>
      <c r="D2081" s="249">
        <v>538.34</v>
      </c>
      <c r="E2081" s="136">
        <v>53880.0</v>
      </c>
      <c r="F2081" s="55">
        <v>1999.0</v>
      </c>
      <c r="G2081" s="250">
        <v>25.5</v>
      </c>
      <c r="H2081" s="1"/>
      <c r="I2081" s="1"/>
      <c r="J2081" s="1"/>
      <c r="K2081" s="1"/>
      <c r="L2081" s="1"/>
      <c r="M2081" s="1"/>
      <c r="N2081" s="1"/>
      <c r="O2081" s="1"/>
      <c r="P2081" s="1"/>
      <c r="Q2081" s="1"/>
      <c r="R2081" s="1"/>
      <c r="S2081" s="1"/>
    </row>
    <row r="2082" ht="10.5" customHeight="1">
      <c r="A2082" s="1"/>
      <c r="B2082" s="48"/>
      <c r="C2082" s="130"/>
      <c r="D2082" s="249"/>
      <c r="E2082" s="136"/>
      <c r="F2082" s="55"/>
      <c r="G2082" s="250"/>
      <c r="H2082" s="1"/>
      <c r="I2082" s="1"/>
      <c r="J2082" s="1"/>
      <c r="K2082" s="1"/>
      <c r="L2082" s="1"/>
      <c r="M2082" s="1"/>
      <c r="N2082" s="1"/>
      <c r="O2082" s="1"/>
      <c r="P2082" s="1"/>
      <c r="Q2082" s="1"/>
      <c r="R2082" s="1"/>
      <c r="S2082" s="1"/>
    </row>
    <row r="2083" ht="10.5" customHeight="1">
      <c r="A2083" s="1"/>
      <c r="B2083" s="168" t="s">
        <v>125</v>
      </c>
      <c r="C2083" s="130">
        <v>138.0</v>
      </c>
      <c r="D2083" s="249">
        <v>416.0</v>
      </c>
      <c r="E2083" s="136">
        <v>57433.0</v>
      </c>
      <c r="F2083" s="55">
        <v>2000.0</v>
      </c>
      <c r="G2083" s="250">
        <v>32.9</v>
      </c>
      <c r="H2083" s="1"/>
      <c r="I2083" s="1"/>
      <c r="J2083" s="1"/>
      <c r="K2083" s="1"/>
      <c r="L2083" s="1"/>
      <c r="M2083" s="1"/>
      <c r="N2083" s="1"/>
      <c r="O2083" s="1"/>
      <c r="P2083" s="1"/>
      <c r="Q2083" s="1"/>
      <c r="R2083" s="1"/>
      <c r="S2083" s="1"/>
    </row>
    <row r="2084" ht="10.5" customHeight="1">
      <c r="A2084" s="180"/>
      <c r="B2084" s="237" t="s">
        <v>127</v>
      </c>
      <c r="C2084" s="749">
        <v>132.0</v>
      </c>
      <c r="D2084" s="734">
        <v>618.5</v>
      </c>
      <c r="E2084" s="278">
        <v>81757.0</v>
      </c>
      <c r="F2084" s="129">
        <v>2001.0</v>
      </c>
      <c r="G2084" s="54">
        <v>30.6</v>
      </c>
      <c r="H2084" s="1"/>
      <c r="I2084" s="1"/>
      <c r="J2084" s="1"/>
      <c r="K2084" s="1"/>
      <c r="L2084" s="1"/>
      <c r="M2084" s="1"/>
      <c r="N2084" s="1"/>
      <c r="O2084" s="1"/>
      <c r="P2084" s="1"/>
      <c r="Q2084" s="1"/>
      <c r="R2084" s="1"/>
      <c r="S2084" s="1"/>
    </row>
    <row r="2085" ht="10.5" customHeight="1">
      <c r="A2085" s="180"/>
      <c r="B2085" s="751" t="s">
        <v>128</v>
      </c>
      <c r="C2085" s="749">
        <v>150.0</v>
      </c>
      <c r="D2085" s="734">
        <v>360.79</v>
      </c>
      <c r="E2085" s="278">
        <v>54288.0</v>
      </c>
      <c r="F2085" s="129">
        <v>2002.0</v>
      </c>
      <c r="G2085" s="54">
        <v>38.8</v>
      </c>
      <c r="H2085" s="1"/>
      <c r="I2085" s="1"/>
      <c r="J2085" s="1"/>
      <c r="K2085" s="1"/>
      <c r="L2085" s="1"/>
      <c r="M2085" s="1"/>
      <c r="N2085" s="1"/>
      <c r="O2085" s="1"/>
      <c r="P2085" s="1"/>
      <c r="Q2085" s="1"/>
      <c r="R2085" s="1"/>
      <c r="S2085" s="1"/>
    </row>
    <row r="2086" ht="10.5" customHeight="1">
      <c r="A2086" s="180"/>
      <c r="B2086" s="696" t="s">
        <v>129</v>
      </c>
      <c r="C2086" s="749">
        <v>160.0</v>
      </c>
      <c r="D2086" s="734">
        <v>300.0</v>
      </c>
      <c r="E2086" s="278">
        <v>47886.0</v>
      </c>
      <c r="F2086" s="129">
        <v>2003.0</v>
      </c>
      <c r="G2086" s="54">
        <v>41.5</v>
      </c>
      <c r="H2086" s="1"/>
      <c r="I2086" s="1"/>
      <c r="J2086" s="1"/>
      <c r="K2086" s="1"/>
      <c r="L2086" s="1"/>
      <c r="M2086" s="1"/>
      <c r="N2086" s="1"/>
      <c r="O2086" s="1"/>
      <c r="P2086" s="1"/>
      <c r="Q2086" s="1"/>
      <c r="R2086" s="1"/>
      <c r="S2086" s="1"/>
    </row>
    <row r="2087" ht="10.5" customHeight="1">
      <c r="A2087" s="1"/>
      <c r="B2087" s="752" t="s">
        <v>130</v>
      </c>
      <c r="C2087" s="130">
        <v>158.0</v>
      </c>
      <c r="D2087" s="252">
        <v>315.43</v>
      </c>
      <c r="E2087" s="136">
        <v>49934.0</v>
      </c>
      <c r="F2087" s="55">
        <v>2004.0</v>
      </c>
      <c r="G2087" s="250">
        <v>45.6</v>
      </c>
      <c r="H2087" s="1"/>
      <c r="I2087" s="1"/>
      <c r="J2087" s="1"/>
      <c r="K2087" s="1"/>
      <c r="L2087" s="1"/>
      <c r="M2087" s="1"/>
      <c r="N2087" s="1"/>
      <c r="O2087" s="1"/>
      <c r="P2087" s="1"/>
      <c r="Q2087" s="1"/>
      <c r="R2087" s="1"/>
      <c r="S2087" s="1"/>
    </row>
    <row r="2088" ht="10.5" customHeight="1">
      <c r="A2088" s="1"/>
      <c r="B2088" s="180"/>
      <c r="C2088" s="753"/>
      <c r="D2088" s="754"/>
      <c r="E2088" s="180"/>
      <c r="F2088" s="516"/>
      <c r="G2088" s="756"/>
      <c r="H2088" s="1"/>
      <c r="I2088" s="1"/>
      <c r="J2088" s="1"/>
      <c r="K2088" s="1"/>
      <c r="L2088" s="1"/>
      <c r="M2088" s="1"/>
      <c r="N2088" s="1"/>
      <c r="O2088" s="1"/>
      <c r="P2088" s="1"/>
      <c r="Q2088" s="1"/>
      <c r="R2088" s="1"/>
      <c r="S2088" s="1"/>
    </row>
    <row r="2089" ht="10.5" customHeight="1">
      <c r="A2089" s="1"/>
      <c r="B2089" s="758" t="s">
        <v>131</v>
      </c>
      <c r="C2089" s="130">
        <v>107.0</v>
      </c>
      <c r="D2089" s="249">
        <v>524.1</v>
      </c>
      <c r="E2089" s="136">
        <v>56333.0</v>
      </c>
      <c r="F2089" s="55">
        <v>2005.0</v>
      </c>
      <c r="G2089" s="54">
        <v>46.5</v>
      </c>
      <c r="H2089" s="1"/>
      <c r="I2089" s="1"/>
      <c r="J2089" s="1"/>
      <c r="K2089" s="1"/>
      <c r="L2089" s="1"/>
      <c r="M2089" s="1"/>
      <c r="N2089" s="1"/>
      <c r="O2089" s="1"/>
      <c r="P2089" s="1"/>
      <c r="Q2089" s="1"/>
      <c r="R2089" s="1"/>
      <c r="S2089" s="1"/>
    </row>
    <row r="2090" ht="10.5" customHeight="1">
      <c r="A2090" s="1"/>
      <c r="B2090" s="48" t="s">
        <v>133</v>
      </c>
      <c r="C2090" s="216">
        <v>140.0</v>
      </c>
      <c r="D2090" s="252">
        <v>510.48</v>
      </c>
      <c r="E2090" s="169">
        <v>71287.0</v>
      </c>
      <c r="F2090" s="238">
        <v>2006.0</v>
      </c>
      <c r="G2090" s="54">
        <v>45.8</v>
      </c>
      <c r="H2090" s="1"/>
      <c r="I2090" s="1"/>
      <c r="J2090" s="1"/>
      <c r="K2090" s="1"/>
      <c r="L2090" s="1"/>
      <c r="M2090" s="1"/>
      <c r="N2090" s="1"/>
      <c r="O2090" s="1"/>
      <c r="P2090" s="1"/>
      <c r="Q2090" s="1"/>
      <c r="R2090" s="1"/>
      <c r="S2090" s="1"/>
    </row>
    <row r="2091" ht="10.5" customHeight="1">
      <c r="A2091" s="1"/>
      <c r="B2091" s="48" t="s">
        <v>134</v>
      </c>
      <c r="C2091" s="216">
        <v>175.0</v>
      </c>
      <c r="D2091" s="252">
        <v>655.87</v>
      </c>
      <c r="E2091" s="169">
        <v>114543.0</v>
      </c>
      <c r="F2091" s="238">
        <v>2007.0</v>
      </c>
      <c r="G2091" s="54">
        <v>48.1</v>
      </c>
      <c r="H2091" s="1"/>
      <c r="I2091" s="1"/>
      <c r="J2091" s="1"/>
      <c r="K2091" s="1"/>
      <c r="L2091" s="1"/>
      <c r="M2091" s="1"/>
      <c r="N2091" s="1"/>
      <c r="O2091" s="1"/>
      <c r="P2091" s="1"/>
      <c r="Q2091" s="1"/>
      <c r="R2091" s="1"/>
      <c r="S2091" s="1"/>
    </row>
    <row r="2092" ht="10.5" customHeight="1">
      <c r="A2092" s="1"/>
      <c r="B2092" s="293">
        <v>39692.0</v>
      </c>
      <c r="C2092" s="216">
        <v>116.0</v>
      </c>
      <c r="D2092" s="252">
        <v>716.69</v>
      </c>
      <c r="E2092" s="169">
        <v>83244.0</v>
      </c>
      <c r="F2092" s="238">
        <v>2008.0</v>
      </c>
      <c r="G2092" s="54">
        <v>32.6</v>
      </c>
      <c r="H2092" s="1"/>
      <c r="I2092" s="1"/>
      <c r="J2092" s="1"/>
      <c r="K2092" s="1"/>
      <c r="L2092" s="1"/>
      <c r="M2092" s="1"/>
      <c r="N2092" s="1"/>
      <c r="O2092" s="1"/>
      <c r="P2092" s="1"/>
      <c r="Q2092" s="1"/>
      <c r="R2092" s="1"/>
      <c r="S2092" s="1"/>
    </row>
    <row r="2093" ht="10.5" customHeight="1">
      <c r="A2093" s="1"/>
      <c r="B2093" s="293">
        <v>40087.0</v>
      </c>
      <c r="C2093" s="216">
        <v>52.0</v>
      </c>
      <c r="D2093" s="252">
        <v>712.88</v>
      </c>
      <c r="E2093" s="169">
        <v>37006.0</v>
      </c>
      <c r="F2093" s="238">
        <v>2009.0</v>
      </c>
      <c r="G2093" s="54">
        <v>45.6</v>
      </c>
      <c r="H2093" s="1"/>
      <c r="I2093" s="1"/>
      <c r="J2093" s="1"/>
      <c r="K2093" s="1"/>
      <c r="L2093" s="1"/>
      <c r="M2093" s="1"/>
      <c r="N2093" s="1"/>
      <c r="O2093" s="1"/>
      <c r="P2093" s="1"/>
      <c r="Q2093" s="1"/>
      <c r="R2093" s="1"/>
      <c r="S2093" s="1"/>
    </row>
    <row r="2094" ht="10.5" customHeight="1">
      <c r="A2094" s="1"/>
      <c r="B2094" s="293"/>
      <c r="C2094" s="216"/>
      <c r="D2094" s="252"/>
      <c r="E2094" s="169"/>
      <c r="F2094" s="238"/>
      <c r="G2094" s="54"/>
      <c r="H2094" s="1"/>
      <c r="I2094" s="1"/>
      <c r="J2094" s="1"/>
      <c r="K2094" s="1"/>
      <c r="L2094" s="1"/>
      <c r="M2094" s="1"/>
      <c r="N2094" s="1"/>
      <c r="O2094" s="1"/>
      <c r="P2094" s="1"/>
      <c r="Q2094" s="1"/>
      <c r="R2094" s="1"/>
      <c r="S2094" s="1"/>
    </row>
    <row r="2095" ht="10.5" customHeight="1">
      <c r="A2095" s="1"/>
      <c r="B2095" s="293">
        <v>40483.0</v>
      </c>
      <c r="C2095" s="216">
        <v>170.0</v>
      </c>
      <c r="D2095" s="252">
        <v>747.29</v>
      </c>
      <c r="E2095" s="38">
        <v>127155.0</v>
      </c>
      <c r="F2095" s="238">
        <v>2010.0</v>
      </c>
      <c r="G2095" s="54">
        <v>34.1</v>
      </c>
      <c r="H2095" s="1"/>
      <c r="I2095" s="1"/>
      <c r="J2095" s="1"/>
      <c r="K2095" s="1"/>
      <c r="L2095" s="1"/>
      <c r="M2095" s="1"/>
      <c r="N2095" s="1"/>
      <c r="O2095" s="1"/>
      <c r="P2095" s="1"/>
      <c r="Q2095" s="1"/>
      <c r="R2095" s="1"/>
      <c r="S2095" s="1"/>
    </row>
    <row r="2096" ht="10.5" customHeight="1">
      <c r="A2096" s="1"/>
      <c r="B2096" s="293">
        <v>40878.0</v>
      </c>
      <c r="C2096" s="216">
        <v>157.0</v>
      </c>
      <c r="D2096" s="252">
        <v>821.73</v>
      </c>
      <c r="E2096" s="38">
        <v>128720.0</v>
      </c>
      <c r="F2096" s="238">
        <v>2011.0</v>
      </c>
      <c r="G2096" s="54">
        <v>29.8</v>
      </c>
      <c r="H2096" s="1"/>
      <c r="I2096" s="1"/>
      <c r="J2096" s="1"/>
      <c r="K2096" s="1"/>
      <c r="L2096" s="1"/>
      <c r="M2096" s="1"/>
      <c r="N2096" s="1"/>
      <c r="O2096" s="1"/>
      <c r="P2096" s="1"/>
      <c r="Q2096" s="1"/>
      <c r="R2096" s="1"/>
      <c r="S2096" s="1"/>
    </row>
    <row r="2097" ht="10.5" customHeight="1">
      <c r="A2097" s="1"/>
      <c r="B2097" s="293" t="s">
        <v>149</v>
      </c>
      <c r="C2097" s="216">
        <v>153.0</v>
      </c>
      <c r="D2097" s="252">
        <v>895.75</v>
      </c>
      <c r="E2097" s="38">
        <v>136955.0</v>
      </c>
      <c r="F2097" s="238">
        <v>2012.0</v>
      </c>
      <c r="G2097" s="54">
        <v>23.2</v>
      </c>
      <c r="H2097" s="1"/>
      <c r="I2097" s="1"/>
      <c r="J2097" s="1"/>
      <c r="K2097" s="1"/>
      <c r="L2097" s="1"/>
      <c r="M2097" s="1"/>
      <c r="N2097" s="1"/>
      <c r="O2097" s="1"/>
      <c r="P2097" s="1"/>
      <c r="Q2097" s="1"/>
      <c r="R2097" s="1"/>
      <c r="S2097" s="1"/>
    </row>
    <row r="2098" ht="10.5" customHeight="1">
      <c r="A2098" s="1"/>
      <c r="B2098" s="293" t="s">
        <v>151</v>
      </c>
      <c r="C2098" s="216">
        <v>148.0</v>
      </c>
      <c r="D2098" s="252">
        <v>1064.06</v>
      </c>
      <c r="E2098" s="38">
        <v>157676.0</v>
      </c>
      <c r="F2098" s="238">
        <v>2013.0</v>
      </c>
      <c r="G2098" s="54">
        <v>24.3</v>
      </c>
      <c r="H2098" s="1"/>
      <c r="I2098" s="1"/>
      <c r="J2098" s="1"/>
      <c r="K2098" s="1"/>
      <c r="L2098" s="1"/>
      <c r="M2098" s="1"/>
      <c r="N2098" s="1"/>
      <c r="O2098" s="1"/>
      <c r="P2098" s="1"/>
      <c r="Q2098" s="1"/>
      <c r="R2098" s="1"/>
      <c r="S2098" s="1"/>
    </row>
    <row r="2099" ht="10.5" customHeight="1">
      <c r="A2099" s="1"/>
      <c r="B2099" s="293" t="s">
        <v>153</v>
      </c>
      <c r="C2099" s="216">
        <v>142.0</v>
      </c>
      <c r="D2099" s="252">
        <v>1153.51</v>
      </c>
      <c r="E2099" s="38">
        <v>163635.0</v>
      </c>
      <c r="F2099" s="238">
        <v>2014.0</v>
      </c>
      <c r="G2099" s="54">
        <v>21.6</v>
      </c>
      <c r="H2099" s="1"/>
      <c r="I2099" s="1"/>
      <c r="J2099" s="1"/>
      <c r="K2099" s="1"/>
      <c r="L2099" s="1"/>
      <c r="M2099" s="1"/>
      <c r="N2099" s="1"/>
      <c r="O2099" s="1"/>
      <c r="P2099" s="1"/>
      <c r="Q2099" s="1"/>
      <c r="R2099" s="1"/>
      <c r="S2099" s="1"/>
    </row>
    <row r="2100" ht="10.5" customHeight="1">
      <c r="A2100" s="1"/>
      <c r="B2100" s="293"/>
      <c r="C2100" s="216"/>
      <c r="D2100" s="252"/>
      <c r="E2100" s="38"/>
      <c r="F2100" s="238"/>
      <c r="G2100" s="54"/>
      <c r="H2100" s="1"/>
      <c r="I2100" s="1"/>
      <c r="J2100" s="1"/>
      <c r="K2100" s="1"/>
      <c r="L2100" s="1"/>
      <c r="M2100" s="1"/>
      <c r="N2100" s="1"/>
      <c r="O2100" s="1"/>
      <c r="P2100" s="1"/>
      <c r="Q2100" s="1"/>
      <c r="R2100" s="1"/>
      <c r="S2100" s="1"/>
    </row>
    <row r="2101" ht="10.5" customHeight="1">
      <c r="A2101" s="1"/>
      <c r="B2101" s="293" t="s">
        <v>155</v>
      </c>
      <c r="C2101" s="216">
        <v>140.0</v>
      </c>
      <c r="D2101" s="252">
        <v>1478.58</v>
      </c>
      <c r="E2101" s="38">
        <v>207549.0</v>
      </c>
      <c r="F2101" s="238">
        <v>2015.0</v>
      </c>
      <c r="G2101" s="54">
        <v>23.3</v>
      </c>
      <c r="H2101" s="1"/>
      <c r="I2101" s="1"/>
      <c r="J2101" s="1"/>
      <c r="K2101" s="1"/>
      <c r="L2101" s="1"/>
      <c r="M2101" s="1"/>
      <c r="N2101" s="1"/>
      <c r="O2101" s="1"/>
      <c r="P2101" s="1"/>
      <c r="Q2101" s="1"/>
      <c r="R2101" s="1"/>
      <c r="S2101" s="1"/>
    </row>
    <row r="2102" ht="10.5" customHeight="1">
      <c r="A2102" s="1"/>
      <c r="B2102" s="685" t="s">
        <v>160</v>
      </c>
      <c r="C2102" s="240">
        <v>57.0</v>
      </c>
      <c r="D2102" s="263">
        <v>1684.69</v>
      </c>
      <c r="E2102" s="56">
        <v>95965.0</v>
      </c>
      <c r="F2102" s="279">
        <v>2016.0</v>
      </c>
      <c r="G2102" s="107">
        <v>21.5</v>
      </c>
      <c r="H2102" s="1"/>
      <c r="I2102" s="1"/>
      <c r="J2102" s="1"/>
      <c r="K2102" s="1"/>
      <c r="L2102" s="1"/>
      <c r="M2102" s="1"/>
      <c r="N2102" s="1"/>
      <c r="O2102" s="1"/>
      <c r="P2102" s="1"/>
      <c r="Q2102" s="1"/>
      <c r="R2102" s="1"/>
      <c r="S2102" s="1"/>
    </row>
    <row r="2103" ht="6.0" customHeight="1">
      <c r="A2103" s="1"/>
      <c r="B2103" s="759"/>
      <c r="C2103" s="243"/>
      <c r="D2103" s="270"/>
      <c r="E2103" s="760"/>
      <c r="F2103" s="90"/>
      <c r="G2103" s="285"/>
      <c r="H2103" s="1"/>
      <c r="I2103" s="1"/>
      <c r="J2103" s="1"/>
      <c r="K2103" s="1"/>
      <c r="L2103" s="1"/>
      <c r="M2103" s="1"/>
      <c r="N2103" s="1"/>
      <c r="O2103" s="1"/>
      <c r="P2103" s="1"/>
      <c r="Q2103" s="1"/>
      <c r="R2103" s="1"/>
      <c r="S2103" s="1"/>
    </row>
    <row r="2104" ht="10.5" customHeight="1">
      <c r="A2104" s="1"/>
      <c r="B2104" s="301" t="s">
        <v>1314</v>
      </c>
      <c r="C2104" s="1"/>
      <c r="D2104" s="1"/>
      <c r="E2104" s="1"/>
      <c r="F2104" s="1"/>
      <c r="G2104" s="1"/>
      <c r="H2104" s="1"/>
      <c r="I2104" s="1"/>
      <c r="J2104" s="1"/>
      <c r="K2104" s="1"/>
      <c r="L2104" s="1"/>
      <c r="M2104" s="1"/>
      <c r="N2104" s="1"/>
      <c r="O2104" s="1"/>
      <c r="P2104" s="1"/>
      <c r="Q2104" s="1"/>
      <c r="R2104" s="1"/>
      <c r="S2104" s="1"/>
    </row>
    <row r="2105" ht="10.5" customHeight="1">
      <c r="A2105" s="1"/>
      <c r="B2105" s="301" t="s">
        <v>1316</v>
      </c>
      <c r="C2105" s="1"/>
      <c r="D2105" s="1"/>
      <c r="E2105" s="1"/>
      <c r="F2105" s="1"/>
      <c r="G2105" s="1"/>
      <c r="H2105" s="1"/>
      <c r="I2105" s="1"/>
      <c r="J2105" s="1"/>
      <c r="K2105" s="1"/>
      <c r="L2105" s="1"/>
      <c r="M2105" s="1"/>
      <c r="N2105" s="1"/>
      <c r="O2105" s="1"/>
      <c r="P2105" s="1"/>
      <c r="Q2105" s="1"/>
      <c r="R2105" s="1"/>
      <c r="S2105" s="1"/>
    </row>
    <row r="2106" ht="10.5" customHeight="1">
      <c r="A2106" s="1"/>
      <c r="B2106" s="761"/>
      <c r="C2106" s="1"/>
      <c r="D2106" s="1"/>
      <c r="E2106" s="1"/>
      <c r="F2106" s="1"/>
      <c r="G2106" s="1"/>
      <c r="H2106" s="1"/>
      <c r="I2106" s="1"/>
      <c r="J2106" s="1"/>
      <c r="K2106" s="1"/>
      <c r="L2106" s="1"/>
      <c r="M2106" s="1"/>
      <c r="N2106" s="1"/>
      <c r="O2106" s="1"/>
      <c r="P2106" s="1"/>
      <c r="Q2106" s="1"/>
      <c r="R2106" s="1"/>
      <c r="S2106" s="1"/>
    </row>
    <row r="2107" ht="10.5" customHeight="1">
      <c r="A2107" s="1"/>
      <c r="B2107" s="65"/>
      <c r="C2107" s="1"/>
      <c r="D2107" s="1"/>
      <c r="E2107" s="1"/>
      <c r="F2107" s="1"/>
      <c r="G2107" s="1"/>
      <c r="H2107" s="1"/>
      <c r="I2107" s="1"/>
      <c r="J2107" s="1"/>
      <c r="K2107" s="1"/>
      <c r="L2107" s="1"/>
      <c r="M2107" s="1"/>
      <c r="N2107" s="1"/>
      <c r="O2107" s="1"/>
      <c r="P2107" s="1"/>
      <c r="Q2107" s="1"/>
      <c r="R2107" s="1"/>
      <c r="S2107" s="1"/>
    </row>
    <row r="2108" ht="10.5" customHeight="1">
      <c r="A2108" s="1"/>
      <c r="B2108" s="65"/>
      <c r="C2108" s="1"/>
      <c r="D2108" s="1"/>
      <c r="E2108" s="1"/>
      <c r="F2108" s="1"/>
      <c r="G2108" s="1"/>
      <c r="H2108" s="1"/>
      <c r="I2108" s="1"/>
      <c r="J2108" s="1"/>
      <c r="K2108" s="1"/>
      <c r="L2108" s="1"/>
      <c r="M2108" s="1"/>
      <c r="N2108" s="1"/>
      <c r="O2108" s="1"/>
      <c r="P2108" s="1"/>
      <c r="Q2108" s="1"/>
      <c r="R2108" s="1"/>
      <c r="S2108" s="1"/>
    </row>
    <row r="2109" ht="10.5" customHeight="1">
      <c r="A2109" s="1"/>
      <c r="B2109" s="65"/>
      <c r="C2109" s="1"/>
      <c r="D2109" s="1"/>
      <c r="E2109" s="1"/>
      <c r="F2109" s="1"/>
      <c r="G2109" s="1"/>
      <c r="H2109" s="1"/>
      <c r="I2109" s="1"/>
      <c r="J2109" s="1"/>
      <c r="K2109" s="1"/>
      <c r="L2109" s="1"/>
      <c r="M2109" s="1"/>
      <c r="N2109" s="1"/>
      <c r="O2109" s="1"/>
      <c r="P2109" s="1"/>
      <c r="Q2109" s="1"/>
      <c r="R2109" s="1"/>
      <c r="S2109" s="1"/>
    </row>
    <row r="2110" ht="10.5" customHeight="1">
      <c r="A2110" s="1"/>
      <c r="B2110" s="65"/>
      <c r="C2110" s="1"/>
      <c r="D2110" s="1"/>
      <c r="E2110" s="1"/>
      <c r="F2110" s="1"/>
      <c r="G2110" s="1"/>
      <c r="H2110" s="1"/>
      <c r="I2110" s="1"/>
      <c r="J2110" s="1"/>
      <c r="K2110" s="1"/>
      <c r="L2110" s="1"/>
      <c r="M2110" s="1"/>
      <c r="N2110" s="1"/>
      <c r="O2110" s="1"/>
      <c r="P2110" s="1"/>
      <c r="Q2110" s="1"/>
      <c r="R2110" s="1"/>
      <c r="S2110" s="1"/>
    </row>
    <row r="2111" ht="10.5" customHeight="1">
      <c r="A2111" s="1"/>
      <c r="B2111" s="65"/>
      <c r="C2111" s="1"/>
      <c r="D2111" s="1"/>
      <c r="E2111" s="1"/>
      <c r="F2111" s="1"/>
      <c r="G2111" s="1"/>
      <c r="H2111" s="1"/>
      <c r="I2111" s="1"/>
      <c r="J2111" s="1"/>
      <c r="K2111" s="1"/>
      <c r="L2111" s="1"/>
      <c r="M2111" s="1"/>
      <c r="N2111" s="1"/>
      <c r="O2111" s="1"/>
      <c r="P2111" s="1"/>
      <c r="Q2111" s="1"/>
      <c r="R2111" s="1"/>
      <c r="S2111" s="1"/>
    </row>
    <row r="2112" ht="10.5" customHeight="1">
      <c r="A2112" s="1"/>
      <c r="B2112" s="65"/>
      <c r="C2112" s="1"/>
      <c r="D2112" s="1"/>
      <c r="E2112" s="1"/>
      <c r="F2112" s="1"/>
      <c r="G2112" s="1"/>
      <c r="H2112" s="1"/>
      <c r="I2112" s="1"/>
      <c r="J2112" s="1"/>
      <c r="K2112" s="1"/>
      <c r="L2112" s="1"/>
      <c r="M2112" s="1"/>
      <c r="N2112" s="1"/>
      <c r="O2112" s="1"/>
      <c r="P2112" s="1"/>
      <c r="Q2112" s="1"/>
      <c r="R2112" s="1"/>
      <c r="S2112" s="1"/>
    </row>
    <row r="2113" ht="10.5" customHeight="1">
      <c r="A2113" s="1"/>
      <c r="B2113" s="65"/>
      <c r="C2113" s="1"/>
      <c r="D2113" s="1"/>
      <c r="E2113" s="1"/>
      <c r="F2113" s="1"/>
      <c r="G2113" s="1"/>
      <c r="H2113" s="1"/>
      <c r="I2113" s="1"/>
      <c r="J2113" s="1"/>
      <c r="K2113" s="1"/>
      <c r="L2113" s="1"/>
      <c r="M2113" s="1"/>
      <c r="N2113" s="1"/>
      <c r="O2113" s="1"/>
      <c r="P2113" s="1"/>
      <c r="Q2113" s="1"/>
      <c r="R2113" s="1"/>
      <c r="S2113" s="1"/>
    </row>
    <row r="2114" ht="10.5" customHeight="1">
      <c r="A2114" s="1"/>
      <c r="B2114" s="65"/>
      <c r="C2114" s="1"/>
      <c r="D2114" s="1"/>
      <c r="E2114" s="1"/>
      <c r="F2114" s="1"/>
      <c r="G2114" s="1"/>
      <c r="H2114" s="1"/>
      <c r="I2114" s="1"/>
      <c r="J2114" s="1"/>
      <c r="K2114" s="1"/>
      <c r="L2114" s="1"/>
      <c r="M2114" s="1"/>
      <c r="N2114" s="1"/>
      <c r="O2114" s="1"/>
      <c r="P2114" s="1"/>
      <c r="Q2114" s="1"/>
      <c r="R2114" s="1"/>
      <c r="S2114" s="1"/>
    </row>
    <row r="2115" ht="10.5" customHeight="1">
      <c r="A2115" s="1"/>
      <c r="B2115" s="65"/>
      <c r="C2115" s="1"/>
      <c r="D2115" s="1"/>
      <c r="E2115" s="1"/>
      <c r="F2115" s="1"/>
      <c r="G2115" s="1"/>
      <c r="H2115" s="1"/>
      <c r="I2115" s="1"/>
      <c r="J2115" s="1"/>
      <c r="K2115" s="1"/>
      <c r="L2115" s="1"/>
      <c r="M2115" s="1"/>
      <c r="N2115" s="1"/>
      <c r="O2115" s="1"/>
      <c r="P2115" s="1"/>
      <c r="Q2115" s="1"/>
      <c r="R2115" s="1"/>
      <c r="S2115" s="1"/>
    </row>
    <row r="2116" ht="10.5" customHeight="1">
      <c r="A2116" s="1"/>
      <c r="B2116" s="65"/>
      <c r="C2116" s="1"/>
      <c r="D2116" s="1"/>
      <c r="E2116" s="1"/>
      <c r="F2116" s="1"/>
      <c r="G2116" s="1"/>
      <c r="H2116" s="1"/>
      <c r="I2116" s="1"/>
      <c r="J2116" s="1"/>
      <c r="K2116" s="1"/>
      <c r="L2116" s="1"/>
      <c r="M2116" s="1"/>
      <c r="N2116" s="1"/>
      <c r="O2116" s="1"/>
      <c r="P2116" s="1"/>
      <c r="Q2116" s="1"/>
      <c r="R2116" s="1"/>
      <c r="S2116" s="1"/>
    </row>
    <row r="2117" ht="10.5" customHeight="1">
      <c r="A2117" s="1"/>
      <c r="B2117" s="65"/>
      <c r="C2117" s="1"/>
      <c r="D2117" s="1"/>
      <c r="E2117" s="1"/>
      <c r="F2117" s="1"/>
      <c r="G2117" s="1"/>
      <c r="H2117" s="1"/>
      <c r="I2117" s="1"/>
      <c r="J2117" s="1"/>
      <c r="K2117" s="1"/>
      <c r="L2117" s="1"/>
      <c r="M2117" s="1"/>
      <c r="N2117" s="1"/>
      <c r="O2117" s="1"/>
      <c r="P2117" s="1"/>
      <c r="Q2117" s="1"/>
      <c r="R2117" s="1"/>
      <c r="S2117" s="1"/>
    </row>
    <row r="2118" ht="10.5" customHeight="1">
      <c r="A2118" s="1"/>
      <c r="B2118" s="65"/>
      <c r="C2118" s="1"/>
      <c r="D2118" s="1"/>
      <c r="E2118" s="1"/>
      <c r="F2118" s="1"/>
      <c r="G2118" s="1"/>
      <c r="H2118" s="1"/>
      <c r="I2118" s="1"/>
      <c r="J2118" s="1"/>
      <c r="K2118" s="1"/>
      <c r="L2118" s="1"/>
      <c r="M2118" s="1"/>
      <c r="N2118" s="1"/>
      <c r="O2118" s="1"/>
      <c r="P2118" s="1"/>
      <c r="Q2118" s="1"/>
      <c r="R2118" s="1"/>
      <c r="S2118" s="1"/>
    </row>
    <row r="2119" ht="10.5" customHeight="1">
      <c r="A2119" s="1"/>
      <c r="B2119" s="65"/>
      <c r="C2119" s="1"/>
      <c r="D2119" s="1"/>
      <c r="E2119" s="1"/>
      <c r="F2119" s="1"/>
      <c r="G2119" s="1"/>
      <c r="H2119" s="1"/>
      <c r="I2119" s="1"/>
      <c r="J2119" s="1"/>
      <c r="K2119" s="1"/>
      <c r="L2119" s="1"/>
      <c r="M2119" s="1"/>
      <c r="N2119" s="1"/>
      <c r="O2119" s="1"/>
      <c r="P2119" s="1"/>
      <c r="Q2119" s="1"/>
      <c r="R2119" s="1"/>
      <c r="S2119" s="1"/>
    </row>
    <row r="2120" ht="10.5" customHeight="1">
      <c r="A2120" s="1"/>
      <c r="B2120" s="65"/>
      <c r="C2120" s="1"/>
      <c r="D2120" s="1"/>
      <c r="E2120" s="1"/>
      <c r="F2120" s="1"/>
      <c r="G2120" s="1"/>
      <c r="H2120" s="1"/>
      <c r="I2120" s="1"/>
      <c r="J2120" s="1"/>
      <c r="K2120" s="1"/>
      <c r="L2120" s="1"/>
      <c r="M2120" s="1"/>
      <c r="N2120" s="1"/>
      <c r="O2120" s="1"/>
      <c r="P2120" s="1"/>
      <c r="Q2120" s="1"/>
      <c r="R2120" s="1"/>
      <c r="S2120" s="1"/>
    </row>
    <row r="2121" ht="10.5" customHeight="1">
      <c r="A2121" s="1"/>
      <c r="B2121" s="65"/>
      <c r="C2121" s="1"/>
      <c r="D2121" s="1"/>
      <c r="E2121" s="1"/>
      <c r="F2121" s="1"/>
      <c r="G2121" s="1"/>
      <c r="H2121" s="1"/>
      <c r="I2121" s="1"/>
      <c r="J2121" s="1"/>
      <c r="K2121" s="1"/>
      <c r="L2121" s="1"/>
      <c r="M2121" s="1"/>
      <c r="N2121" s="1"/>
      <c r="O2121" s="1"/>
      <c r="P2121" s="1"/>
      <c r="Q2121" s="1"/>
      <c r="R2121" s="1"/>
      <c r="S2121" s="1"/>
    </row>
    <row r="2122" ht="10.5" customHeight="1">
      <c r="A2122" s="1"/>
      <c r="B2122" s="65"/>
      <c r="C2122" s="1"/>
      <c r="D2122" s="1"/>
      <c r="E2122" s="1"/>
      <c r="F2122" s="1"/>
      <c r="G2122" s="1"/>
      <c r="H2122" s="1"/>
      <c r="I2122" s="1"/>
      <c r="J2122" s="1"/>
      <c r="K2122" s="1"/>
      <c r="L2122" s="1"/>
      <c r="M2122" s="1"/>
      <c r="N2122" s="1"/>
      <c r="O2122" s="1"/>
      <c r="P2122" s="1"/>
      <c r="Q2122" s="1"/>
      <c r="R2122" s="1"/>
      <c r="S2122" s="1"/>
    </row>
    <row r="2123" ht="10.5" customHeight="1">
      <c r="A2123" s="1"/>
      <c r="B2123" s="65"/>
      <c r="C2123" s="1"/>
      <c r="D2123" s="1"/>
      <c r="E2123" s="1"/>
      <c r="F2123" s="1"/>
      <c r="G2123" s="1"/>
      <c r="H2123" s="1"/>
      <c r="I2123" s="1"/>
      <c r="J2123" s="1"/>
      <c r="K2123" s="1"/>
      <c r="L2123" s="1"/>
      <c r="M2123" s="1"/>
      <c r="N2123" s="1"/>
      <c r="O2123" s="1"/>
      <c r="P2123" s="1"/>
      <c r="Q2123" s="1"/>
      <c r="R2123" s="1"/>
      <c r="S2123" s="1"/>
    </row>
    <row r="2124" ht="10.5" customHeight="1">
      <c r="A2124" s="1"/>
      <c r="B2124" s="65"/>
      <c r="C2124" s="1"/>
      <c r="D2124" s="1"/>
      <c r="E2124" s="1"/>
      <c r="F2124" s="1"/>
      <c r="G2124" s="1"/>
      <c r="H2124" s="1"/>
      <c r="I2124" s="1"/>
      <c r="J2124" s="1"/>
      <c r="K2124" s="1"/>
      <c r="L2124" s="1"/>
      <c r="M2124" s="1"/>
      <c r="N2124" s="1"/>
      <c r="O2124" s="1"/>
      <c r="P2124" s="1"/>
      <c r="Q2124" s="1"/>
      <c r="R2124" s="1"/>
      <c r="S2124" s="1"/>
    </row>
    <row r="2125" ht="10.5" customHeight="1">
      <c r="A2125" s="1"/>
      <c r="B2125" s="65"/>
      <c r="C2125" s="1"/>
      <c r="D2125" s="1"/>
      <c r="E2125" s="1"/>
      <c r="F2125" s="1"/>
      <c r="G2125" s="1"/>
      <c r="H2125" s="1"/>
      <c r="I2125" s="1"/>
      <c r="J2125" s="1"/>
      <c r="K2125" s="1"/>
      <c r="L2125" s="1"/>
      <c r="M2125" s="1"/>
      <c r="N2125" s="1"/>
      <c r="O2125" s="1"/>
      <c r="P2125" s="1"/>
      <c r="Q2125" s="1"/>
      <c r="R2125" s="1"/>
      <c r="S2125" s="1"/>
    </row>
    <row r="2126" ht="10.5" customHeight="1">
      <c r="A2126" s="1"/>
      <c r="B2126" s="65"/>
      <c r="C2126" s="1"/>
      <c r="D2126" s="1"/>
      <c r="E2126" s="1"/>
      <c r="F2126" s="1"/>
      <c r="G2126" s="1"/>
      <c r="H2126" s="1"/>
      <c r="I2126" s="1"/>
      <c r="J2126" s="1"/>
      <c r="K2126" s="1"/>
      <c r="L2126" s="1"/>
      <c r="M2126" s="1"/>
      <c r="N2126" s="1"/>
      <c r="O2126" s="1"/>
      <c r="P2126" s="1"/>
      <c r="Q2126" s="1"/>
      <c r="R2126" s="1"/>
      <c r="S2126" s="1"/>
    </row>
    <row r="2127" ht="10.5" customHeight="1">
      <c r="A2127" s="1"/>
      <c r="B2127" s="65"/>
      <c r="C2127" s="1"/>
      <c r="D2127" s="1"/>
      <c r="E2127" s="1"/>
      <c r="F2127" s="1"/>
      <c r="G2127" s="1"/>
      <c r="H2127" s="1"/>
      <c r="I2127" s="1"/>
      <c r="J2127" s="1"/>
      <c r="K2127" s="1"/>
      <c r="L2127" s="1"/>
      <c r="M2127" s="1"/>
      <c r="N2127" s="1"/>
      <c r="O2127" s="1"/>
      <c r="P2127" s="1"/>
      <c r="Q2127" s="1"/>
      <c r="R2127" s="1"/>
      <c r="S2127" s="1"/>
    </row>
    <row r="2128" ht="10.5" customHeight="1">
      <c r="A2128" s="1"/>
      <c r="B2128" s="65"/>
      <c r="C2128" s="1"/>
      <c r="D2128" s="1"/>
      <c r="E2128" s="1"/>
      <c r="F2128" s="1"/>
      <c r="G2128" s="1"/>
      <c r="H2128" s="1"/>
      <c r="I2128" s="1"/>
      <c r="J2128" s="1"/>
      <c r="K2128" s="1"/>
      <c r="L2128" s="1"/>
      <c r="M2128" s="1"/>
      <c r="N2128" s="1"/>
      <c r="O2128" s="1"/>
      <c r="P2128" s="1"/>
      <c r="Q2128" s="1"/>
      <c r="R2128" s="1"/>
      <c r="S2128" s="1"/>
    </row>
    <row r="2129" ht="10.5" customHeight="1">
      <c r="A2129" s="1"/>
      <c r="B2129" s="65"/>
      <c r="C2129" s="1"/>
      <c r="D2129" s="1"/>
      <c r="E2129" s="1"/>
      <c r="F2129" s="1"/>
      <c r="G2129" s="1"/>
      <c r="H2129" s="1"/>
      <c r="I2129" s="1"/>
      <c r="J2129" s="1"/>
      <c r="K2129" s="1"/>
      <c r="L2129" s="1"/>
      <c r="M2129" s="1"/>
      <c r="N2129" s="1"/>
      <c r="O2129" s="1"/>
      <c r="P2129" s="1"/>
      <c r="Q2129" s="1"/>
      <c r="R2129" s="1"/>
      <c r="S2129" s="1"/>
    </row>
    <row r="2130" ht="10.5" customHeight="1">
      <c r="A2130" s="1"/>
      <c r="B2130" s="65"/>
      <c r="C2130" s="1"/>
      <c r="D2130" s="1"/>
      <c r="E2130" s="1"/>
      <c r="F2130" s="1"/>
      <c r="G2130" s="1"/>
      <c r="H2130" s="1"/>
      <c r="I2130" s="1"/>
      <c r="J2130" s="1"/>
      <c r="K2130" s="1"/>
      <c r="L2130" s="1"/>
      <c r="M2130" s="1"/>
      <c r="N2130" s="1"/>
      <c r="O2130" s="1"/>
      <c r="P2130" s="1"/>
      <c r="Q2130" s="1"/>
      <c r="R2130" s="1"/>
      <c r="S2130" s="1"/>
    </row>
    <row r="2131" ht="10.5" customHeight="1">
      <c r="A2131" s="1"/>
      <c r="B2131" s="65"/>
      <c r="C2131" s="1"/>
      <c r="D2131" s="1"/>
      <c r="E2131" s="1"/>
      <c r="F2131" s="1"/>
      <c r="G2131" s="1"/>
      <c r="H2131" s="1"/>
      <c r="I2131" s="1"/>
      <c r="J2131" s="1"/>
      <c r="K2131" s="1"/>
      <c r="L2131" s="1"/>
      <c r="M2131" s="1"/>
      <c r="N2131" s="1"/>
      <c r="O2131" s="1"/>
      <c r="P2131" s="1"/>
      <c r="Q2131" s="1"/>
      <c r="R2131" s="1"/>
      <c r="S2131" s="1"/>
    </row>
    <row r="2132" ht="10.5" customHeight="1">
      <c r="A2132" s="1"/>
      <c r="B2132" s="65"/>
      <c r="C2132" s="1"/>
      <c r="D2132" s="1"/>
      <c r="E2132" s="1"/>
      <c r="F2132" s="1"/>
      <c r="G2132" s="1"/>
      <c r="H2132" s="1"/>
      <c r="I2132" s="1"/>
      <c r="J2132" s="1"/>
      <c r="K2132" s="1"/>
      <c r="L2132" s="1"/>
      <c r="M2132" s="1"/>
      <c r="N2132" s="1"/>
      <c r="O2132" s="1"/>
      <c r="P2132" s="1"/>
      <c r="Q2132" s="1"/>
      <c r="R2132" s="1"/>
      <c r="S2132" s="1"/>
    </row>
    <row r="2133" ht="10.5" customHeight="1">
      <c r="A2133" s="1"/>
      <c r="B2133" s="65"/>
      <c r="C2133" s="1"/>
      <c r="D2133" s="1"/>
      <c r="E2133" s="1"/>
      <c r="F2133" s="1"/>
      <c r="G2133" s="110">
        <v>30.0</v>
      </c>
      <c r="H2133" s="1"/>
      <c r="I2133" s="1"/>
      <c r="J2133" s="1"/>
      <c r="K2133" s="1"/>
      <c r="L2133" s="1"/>
      <c r="M2133" s="1"/>
      <c r="N2133" s="1"/>
      <c r="O2133" s="1"/>
      <c r="P2133" s="1"/>
      <c r="Q2133" s="1"/>
      <c r="R2133" s="1"/>
      <c r="S2133" s="1"/>
    </row>
    <row r="2134" ht="10.5" customHeight="1">
      <c r="A2134" s="1"/>
      <c r="B2134" s="65"/>
      <c r="C2134" s="1"/>
      <c r="D2134" s="1"/>
      <c r="E2134" s="1"/>
      <c r="F2134" s="1"/>
      <c r="G2134" s="1"/>
      <c r="H2134" s="1"/>
      <c r="I2134" s="1"/>
      <c r="J2134" s="1"/>
      <c r="K2134" s="1"/>
      <c r="L2134" s="1"/>
      <c r="M2134" s="1"/>
      <c r="N2134" s="1"/>
      <c r="O2134" s="1"/>
      <c r="P2134" s="1"/>
      <c r="Q2134" s="1"/>
      <c r="R2134" s="1"/>
      <c r="S2134" s="1"/>
    </row>
    <row r="2135" ht="10.5" customHeight="1">
      <c r="A2135" s="1"/>
      <c r="B2135" s="65"/>
      <c r="C2135" s="1"/>
      <c r="D2135" s="1"/>
      <c r="E2135" s="1"/>
      <c r="F2135" s="1"/>
      <c r="G2135" s="1"/>
      <c r="H2135" s="1"/>
      <c r="I2135" s="1"/>
      <c r="J2135" s="1"/>
      <c r="K2135" s="1"/>
      <c r="L2135" s="1"/>
      <c r="M2135" s="1"/>
      <c r="N2135" s="1"/>
      <c r="O2135" s="1"/>
      <c r="P2135" s="1"/>
      <c r="Q2135" s="1"/>
      <c r="R2135" s="1"/>
      <c r="S2135" s="1"/>
    </row>
    <row r="2136" ht="11.25" customHeight="1">
      <c r="A2136" s="1"/>
      <c r="B2136" s="1" t="s">
        <v>1322</v>
      </c>
      <c r="C2136" s="1"/>
      <c r="D2136" s="1"/>
      <c r="E2136" s="1"/>
      <c r="F2136" s="1"/>
      <c r="G2136" s="1"/>
      <c r="H2136" s="1"/>
      <c r="I2136" s="1"/>
      <c r="J2136" s="1"/>
      <c r="K2136" s="1"/>
      <c r="L2136" s="1"/>
      <c r="M2136" s="1"/>
      <c r="N2136" s="1"/>
      <c r="O2136" s="1"/>
      <c r="P2136" s="1"/>
      <c r="Q2136" s="1"/>
      <c r="R2136" s="1"/>
      <c r="S2136" s="1"/>
    </row>
    <row r="2137" ht="10.5" customHeight="1">
      <c r="A2137" s="1"/>
      <c r="B2137" s="29" t="s">
        <v>31</v>
      </c>
      <c r="C2137" s="128" t="s">
        <v>1323</v>
      </c>
      <c r="D2137" s="9"/>
      <c r="E2137" s="9"/>
      <c r="F2137" s="9"/>
      <c r="G2137" s="9"/>
      <c r="H2137" s="10"/>
      <c r="I2137" s="128" t="s">
        <v>1325</v>
      </c>
      <c r="J2137" s="10"/>
      <c r="K2137" s="128" t="s">
        <v>1326</v>
      </c>
      <c r="L2137" s="10"/>
      <c r="M2137" s="1"/>
      <c r="N2137" s="1"/>
      <c r="O2137" s="1"/>
      <c r="P2137" s="1"/>
      <c r="Q2137" s="1"/>
      <c r="R2137" s="1"/>
      <c r="S2137" s="1"/>
    </row>
    <row r="2138" ht="23.25" customHeight="1">
      <c r="A2138" s="1"/>
      <c r="B2138" s="5"/>
      <c r="C2138" s="7" t="s">
        <v>1328</v>
      </c>
      <c r="D2138" s="7" t="s">
        <v>1329</v>
      </c>
      <c r="E2138" s="7" t="s">
        <v>1330</v>
      </c>
      <c r="F2138" s="7" t="s">
        <v>1331</v>
      </c>
      <c r="G2138" s="7" t="s">
        <v>1332</v>
      </c>
      <c r="H2138" s="7" t="s">
        <v>1333</v>
      </c>
      <c r="I2138" s="7" t="s">
        <v>1334</v>
      </c>
      <c r="J2138" s="7" t="s">
        <v>512</v>
      </c>
      <c r="K2138" s="7" t="s">
        <v>1331</v>
      </c>
      <c r="L2138" s="7" t="s">
        <v>512</v>
      </c>
      <c r="M2138" s="1"/>
      <c r="N2138" s="1"/>
      <c r="O2138" s="1"/>
      <c r="P2138" s="1"/>
      <c r="Q2138" s="1"/>
      <c r="R2138" s="1"/>
      <c r="S2138" s="1"/>
    </row>
    <row r="2139" ht="10.5" customHeight="1">
      <c r="A2139" s="1"/>
      <c r="B2139" s="6"/>
      <c r="C2139" s="134" t="s">
        <v>48</v>
      </c>
      <c r="D2139" s="134" t="s">
        <v>520</v>
      </c>
      <c r="E2139" s="134" t="s">
        <v>50</v>
      </c>
      <c r="F2139" s="134" t="s">
        <v>49</v>
      </c>
      <c r="G2139" s="134" t="s">
        <v>52</v>
      </c>
      <c r="H2139" s="134" t="s">
        <v>50</v>
      </c>
      <c r="I2139" s="134" t="s">
        <v>49</v>
      </c>
      <c r="J2139" s="134" t="s">
        <v>50</v>
      </c>
      <c r="K2139" s="134" t="s">
        <v>49</v>
      </c>
      <c r="L2139" s="134" t="s">
        <v>50</v>
      </c>
      <c r="M2139" s="1"/>
      <c r="N2139" s="1"/>
      <c r="O2139" s="1"/>
      <c r="P2139" s="1"/>
      <c r="Q2139" s="1"/>
      <c r="R2139" s="1"/>
      <c r="S2139" s="1"/>
    </row>
    <row r="2140" ht="10.5" customHeight="1">
      <c r="A2140" s="1"/>
      <c r="B2140" s="48" t="s">
        <v>264</v>
      </c>
      <c r="C2140" s="136">
        <v>180.0</v>
      </c>
      <c r="D2140" s="136">
        <v>698.0</v>
      </c>
      <c r="E2140" s="136">
        <v>278.0</v>
      </c>
      <c r="F2140" s="136">
        <v>1264.0</v>
      </c>
      <c r="G2140" s="276">
        <v>18.41</v>
      </c>
      <c r="H2140" s="136">
        <v>23266.0</v>
      </c>
      <c r="I2140" s="136">
        <v>557.0</v>
      </c>
      <c r="J2140" s="136">
        <v>10406.0</v>
      </c>
      <c r="K2140" s="136">
        <v>3403.0</v>
      </c>
      <c r="L2140" s="136">
        <v>32542.0</v>
      </c>
      <c r="M2140" s="1"/>
      <c r="N2140" s="1"/>
      <c r="O2140" s="1"/>
      <c r="P2140" s="1"/>
      <c r="Q2140" s="1"/>
      <c r="R2140" s="1"/>
      <c r="S2140" s="1"/>
    </row>
    <row r="2141" ht="10.5" customHeight="1">
      <c r="A2141" s="1"/>
      <c r="B2141" s="48" t="s">
        <v>267</v>
      </c>
      <c r="C2141" s="136" t="s">
        <v>10</v>
      </c>
      <c r="D2141" s="136">
        <v>1569.0</v>
      </c>
      <c r="E2141" s="136">
        <v>621.0</v>
      </c>
      <c r="F2141" s="136">
        <v>1557.0</v>
      </c>
      <c r="G2141" s="276">
        <v>19.77</v>
      </c>
      <c r="H2141" s="136">
        <v>30788.0</v>
      </c>
      <c r="I2141" s="136">
        <v>557.0</v>
      </c>
      <c r="J2141" s="136">
        <v>10390.0</v>
      </c>
      <c r="K2141" s="136">
        <v>4729.0</v>
      </c>
      <c r="L2141" s="136">
        <v>40082.0</v>
      </c>
      <c r="M2141" s="1"/>
      <c r="N2141" s="1"/>
      <c r="O2141" s="1"/>
      <c r="P2141" s="1"/>
      <c r="Q2141" s="1"/>
      <c r="R2141" s="1"/>
      <c r="S2141" s="1"/>
    </row>
    <row r="2142" ht="10.5" customHeight="1">
      <c r="A2142" s="1"/>
      <c r="B2142" s="48" t="s">
        <v>268</v>
      </c>
      <c r="C2142" s="136" t="s">
        <v>10</v>
      </c>
      <c r="D2142" s="136">
        <v>1734.0</v>
      </c>
      <c r="E2142" s="136">
        <v>712.0</v>
      </c>
      <c r="F2142" s="136">
        <v>979.0</v>
      </c>
      <c r="G2142" s="276">
        <v>22.88</v>
      </c>
      <c r="H2142" s="136">
        <v>22401.0</v>
      </c>
      <c r="I2142" s="136">
        <v>425.0</v>
      </c>
      <c r="J2142" s="136">
        <v>8281.0</v>
      </c>
      <c r="K2142" s="136">
        <v>3460.0</v>
      </c>
      <c r="L2142" s="136">
        <v>32178.0</v>
      </c>
      <c r="M2142" s="1"/>
      <c r="N2142" s="1"/>
      <c r="O2142" s="1"/>
      <c r="P2142" s="1"/>
      <c r="Q2142" s="1"/>
      <c r="R2142" s="1"/>
      <c r="S2142" s="1"/>
    </row>
    <row r="2143" ht="10.5" customHeight="1">
      <c r="A2143" s="1"/>
      <c r="B2143" s="48" t="s">
        <v>269</v>
      </c>
      <c r="C2143" s="136" t="s">
        <v>10</v>
      </c>
      <c r="D2143" s="136">
        <v>759.0</v>
      </c>
      <c r="E2143" s="136">
        <v>350.0</v>
      </c>
      <c r="F2143" s="136">
        <v>1138.0</v>
      </c>
      <c r="G2143" s="276">
        <v>25.18</v>
      </c>
      <c r="H2143" s="136">
        <v>28659.0</v>
      </c>
      <c r="I2143" s="136">
        <v>572.0</v>
      </c>
      <c r="J2143" s="136">
        <v>12492.0</v>
      </c>
      <c r="K2143" s="136">
        <v>5102.0</v>
      </c>
      <c r="L2143" s="136">
        <v>53162.0</v>
      </c>
      <c r="M2143" s="1"/>
      <c r="N2143" s="1"/>
      <c r="O2143" s="1"/>
      <c r="P2143" s="1"/>
      <c r="Q2143" s="1"/>
      <c r="R2143" s="1"/>
      <c r="S2143" s="1"/>
    </row>
    <row r="2144" ht="10.5" customHeight="1">
      <c r="A2144" s="1"/>
      <c r="B2144" s="48" t="s">
        <v>270</v>
      </c>
      <c r="C2144" s="136" t="s">
        <v>10</v>
      </c>
      <c r="D2144" s="136">
        <v>739.0</v>
      </c>
      <c r="E2144" s="136">
        <v>579.0</v>
      </c>
      <c r="F2144" s="136">
        <v>1267.0</v>
      </c>
      <c r="G2144" s="276">
        <v>26.47</v>
      </c>
      <c r="H2144" s="136">
        <v>33539.0</v>
      </c>
      <c r="I2144" s="136">
        <v>602.0</v>
      </c>
      <c r="J2144" s="136">
        <v>14665.0</v>
      </c>
      <c r="K2144" s="136">
        <v>4647.0</v>
      </c>
      <c r="L2144" s="136">
        <v>59144.0</v>
      </c>
      <c r="M2144" s="1"/>
      <c r="N2144" s="1"/>
      <c r="O2144" s="1"/>
      <c r="P2144" s="1"/>
      <c r="Q2144" s="1"/>
      <c r="R2144" s="1"/>
      <c r="S2144" s="1"/>
    </row>
    <row r="2145" ht="10.5" customHeight="1">
      <c r="A2145" s="1"/>
      <c r="B2145" s="48"/>
      <c r="C2145" s="136"/>
      <c r="D2145" s="136"/>
      <c r="E2145" s="136"/>
      <c r="F2145" s="136"/>
      <c r="G2145" s="276"/>
      <c r="H2145" s="136"/>
      <c r="I2145" s="136"/>
      <c r="J2145" s="136"/>
      <c r="K2145" s="136"/>
      <c r="L2145" s="136"/>
      <c r="M2145" s="1"/>
      <c r="N2145" s="1"/>
      <c r="O2145" s="1"/>
      <c r="P2145" s="1"/>
      <c r="Q2145" s="1"/>
      <c r="R2145" s="1"/>
      <c r="S2145" s="1"/>
    </row>
    <row r="2146" ht="10.5" customHeight="1">
      <c r="A2146" s="1"/>
      <c r="B2146" s="48" t="s">
        <v>271</v>
      </c>
      <c r="C2146" s="136">
        <v>309.0</v>
      </c>
      <c r="D2146" s="136">
        <v>1311.0</v>
      </c>
      <c r="E2146" s="136">
        <v>1064.0</v>
      </c>
      <c r="F2146" s="136">
        <v>1484.0</v>
      </c>
      <c r="G2146" s="276">
        <v>30.24</v>
      </c>
      <c r="H2146" s="136">
        <v>44880.0</v>
      </c>
      <c r="I2146" s="136">
        <v>255.0</v>
      </c>
      <c r="J2146" s="136">
        <v>7240.0</v>
      </c>
      <c r="K2146" s="136">
        <v>2866.0</v>
      </c>
      <c r="L2146" s="136">
        <v>39288.0</v>
      </c>
      <c r="M2146" s="1"/>
      <c r="N2146" s="1"/>
      <c r="O2146" s="1"/>
      <c r="P2146" s="1"/>
      <c r="Q2146" s="1"/>
      <c r="R2146" s="1"/>
      <c r="S2146" s="1"/>
    </row>
    <row r="2147" ht="10.5" customHeight="1">
      <c r="A2147" s="1"/>
      <c r="B2147" s="48" t="s">
        <v>272</v>
      </c>
      <c r="C2147" s="136" t="s">
        <v>10</v>
      </c>
      <c r="D2147" s="136">
        <v>1541.0</v>
      </c>
      <c r="E2147" s="136">
        <v>1371.0</v>
      </c>
      <c r="F2147" s="136">
        <v>1720.0</v>
      </c>
      <c r="G2147" s="276">
        <v>33.0</v>
      </c>
      <c r="H2147" s="136">
        <v>56755.0</v>
      </c>
      <c r="I2147" s="136">
        <v>311.0</v>
      </c>
      <c r="J2147" s="136">
        <v>9432.0</v>
      </c>
      <c r="K2147" s="136">
        <v>4502.0</v>
      </c>
      <c r="L2147" s="136">
        <v>65986.0</v>
      </c>
      <c r="M2147" s="1"/>
      <c r="N2147" s="1"/>
      <c r="O2147" s="1"/>
      <c r="P2147" s="1"/>
      <c r="Q2147" s="1"/>
      <c r="R2147" s="1"/>
      <c r="S2147" s="1"/>
    </row>
    <row r="2148" ht="10.5" customHeight="1">
      <c r="A2148" s="1"/>
      <c r="B2148" s="48" t="s">
        <v>274</v>
      </c>
      <c r="C2148" s="136" t="s">
        <v>10</v>
      </c>
      <c r="D2148" s="136">
        <v>2421.0</v>
      </c>
      <c r="E2148" s="136">
        <v>2432.0</v>
      </c>
      <c r="F2148" s="136">
        <v>1956.0</v>
      </c>
      <c r="G2148" s="276">
        <v>34.07</v>
      </c>
      <c r="H2148" s="136">
        <v>66647.0</v>
      </c>
      <c r="I2148" s="136">
        <v>367.0</v>
      </c>
      <c r="J2148" s="136">
        <v>13871.0</v>
      </c>
      <c r="K2148" s="136">
        <v>5439.0</v>
      </c>
      <c r="L2148" s="136">
        <v>103411.0</v>
      </c>
      <c r="M2148" s="1"/>
      <c r="N2148" s="1"/>
      <c r="O2148" s="1"/>
      <c r="P2148" s="1"/>
      <c r="Q2148" s="1"/>
      <c r="R2148" s="1"/>
      <c r="S2148" s="1"/>
    </row>
    <row r="2149" ht="10.5" customHeight="1">
      <c r="A2149" s="1"/>
      <c r="B2149" s="48" t="s">
        <v>275</v>
      </c>
      <c r="C2149" s="136" t="s">
        <v>10</v>
      </c>
      <c r="D2149" s="136">
        <v>1772.0</v>
      </c>
      <c r="E2149" s="136">
        <v>1762.0</v>
      </c>
      <c r="F2149" s="136">
        <v>2192.0</v>
      </c>
      <c r="G2149" s="276">
        <v>39.84</v>
      </c>
      <c r="H2149" s="136">
        <v>87341.0</v>
      </c>
      <c r="I2149" s="136">
        <v>422.0</v>
      </c>
      <c r="J2149" s="136">
        <v>20492.0</v>
      </c>
      <c r="K2149" s="136">
        <v>6456.0</v>
      </c>
      <c r="L2149" s="136">
        <v>151510.0</v>
      </c>
      <c r="M2149" s="1"/>
      <c r="N2149" s="1"/>
      <c r="O2149" s="1"/>
      <c r="P2149" s="1"/>
      <c r="Q2149" s="1"/>
      <c r="R2149" s="1"/>
      <c r="S2149" s="1"/>
    </row>
    <row r="2150" ht="10.5" customHeight="1">
      <c r="A2150" s="1"/>
      <c r="B2150" s="48" t="s">
        <v>276</v>
      </c>
      <c r="C2150" s="136" t="s">
        <v>10</v>
      </c>
      <c r="D2150" s="136">
        <v>1048.0</v>
      </c>
      <c r="E2150" s="136">
        <v>1211.0</v>
      </c>
      <c r="F2150" s="136">
        <v>2453.0</v>
      </c>
      <c r="G2150" s="276">
        <v>51.27</v>
      </c>
      <c r="H2150" s="136">
        <v>125774.0</v>
      </c>
      <c r="I2150" s="136">
        <v>480.0</v>
      </c>
      <c r="J2150" s="136">
        <v>34646.0</v>
      </c>
      <c r="K2150" s="136">
        <v>6400.0</v>
      </c>
      <c r="L2150" s="136">
        <v>202360.0</v>
      </c>
      <c r="M2150" s="1"/>
      <c r="N2150" s="1"/>
      <c r="O2150" s="1"/>
      <c r="P2150" s="1"/>
      <c r="Q2150" s="1"/>
      <c r="R2150" s="1"/>
      <c r="S2150" s="1"/>
    </row>
    <row r="2151" ht="10.5" customHeight="1">
      <c r="A2151" s="1"/>
      <c r="B2151" s="48"/>
      <c r="C2151" s="136"/>
      <c r="D2151" s="136"/>
      <c r="E2151" s="136"/>
      <c r="F2151" s="136"/>
      <c r="G2151" s="276"/>
      <c r="H2151" s="136"/>
      <c r="I2151" s="136"/>
      <c r="J2151" s="136"/>
      <c r="K2151" s="136"/>
      <c r="L2151" s="136"/>
      <c r="M2151" s="1"/>
      <c r="N2151" s="1"/>
      <c r="O2151" s="1"/>
      <c r="P2151" s="1"/>
      <c r="Q2151" s="1"/>
      <c r="R2151" s="1"/>
      <c r="S2151" s="1"/>
    </row>
    <row r="2152" ht="10.5" customHeight="1">
      <c r="A2152" s="1"/>
      <c r="B2152" s="48" t="s">
        <v>56</v>
      </c>
      <c r="C2152" s="136">
        <v>468.0</v>
      </c>
      <c r="D2152" s="136">
        <v>217.0</v>
      </c>
      <c r="E2152" s="136">
        <v>293.0</v>
      </c>
      <c r="F2152" s="136">
        <v>2192.0</v>
      </c>
      <c r="G2152" s="276">
        <v>63.78</v>
      </c>
      <c r="H2152" s="136">
        <v>139804.0</v>
      </c>
      <c r="I2152" s="136">
        <v>500.0</v>
      </c>
      <c r="J2152" s="136">
        <v>28005.0</v>
      </c>
      <c r="K2152" s="136">
        <v>6550.0</v>
      </c>
      <c r="L2152" s="136">
        <v>223622.0</v>
      </c>
      <c r="M2152" s="1"/>
      <c r="N2152" s="1"/>
      <c r="O2152" s="1"/>
      <c r="P2152" s="1"/>
      <c r="Q2152" s="1"/>
      <c r="R2152" s="1"/>
      <c r="S2152" s="1"/>
    </row>
    <row r="2153" ht="10.5" customHeight="1">
      <c r="A2153" s="1"/>
      <c r="B2153" s="48" t="s">
        <v>81</v>
      </c>
      <c r="C2153" s="136" t="s">
        <v>10</v>
      </c>
      <c r="D2153" s="136">
        <v>705.0</v>
      </c>
      <c r="E2153" s="136">
        <v>1355.0</v>
      </c>
      <c r="F2153" s="136">
        <v>2301.0</v>
      </c>
      <c r="G2153" s="276">
        <v>80.91</v>
      </c>
      <c r="H2153" s="136">
        <v>186178.0</v>
      </c>
      <c r="I2153" s="136">
        <v>490.0</v>
      </c>
      <c r="J2153" s="136">
        <v>48241.0</v>
      </c>
      <c r="K2153" s="136">
        <v>6300.0</v>
      </c>
      <c r="L2153" s="136">
        <v>290011.0</v>
      </c>
      <c r="M2153" s="1"/>
      <c r="N2153" s="1"/>
      <c r="O2153" s="1"/>
      <c r="P2153" s="1"/>
      <c r="Q2153" s="1"/>
      <c r="R2153" s="1"/>
      <c r="S2153" s="1"/>
    </row>
    <row r="2154" ht="10.5" customHeight="1">
      <c r="A2154" s="1"/>
      <c r="B2154" s="48" t="s">
        <v>86</v>
      </c>
      <c r="C2154" s="136" t="s">
        <v>10</v>
      </c>
      <c r="D2154" s="136">
        <v>2065.0</v>
      </c>
      <c r="E2154" s="136">
        <v>4253.0</v>
      </c>
      <c r="F2154" s="136">
        <v>2416.0</v>
      </c>
      <c r="G2154" s="276">
        <v>87.82</v>
      </c>
      <c r="H2154" s="136">
        <v>212162.0</v>
      </c>
      <c r="I2154" s="136">
        <v>480.0</v>
      </c>
      <c r="J2154" s="136">
        <v>64373.0</v>
      </c>
      <c r="K2154" s="136">
        <v>6400.0</v>
      </c>
      <c r="L2154" s="136">
        <v>339646.0</v>
      </c>
      <c r="M2154" s="1"/>
      <c r="N2154" s="1"/>
      <c r="O2154" s="1"/>
      <c r="P2154" s="1"/>
      <c r="Q2154" s="1"/>
      <c r="R2154" s="1"/>
      <c r="S2154" s="1"/>
    </row>
    <row r="2155" ht="10.5" customHeight="1">
      <c r="A2155" s="1"/>
      <c r="B2155" s="48" t="s">
        <v>87</v>
      </c>
      <c r="C2155" s="136" t="s">
        <v>10</v>
      </c>
      <c r="D2155" s="136">
        <v>2278.0</v>
      </c>
      <c r="E2155" s="136">
        <v>5022.0</v>
      </c>
      <c r="F2155" s="136">
        <v>2423.0</v>
      </c>
      <c r="G2155" s="276">
        <v>115.92</v>
      </c>
      <c r="H2155" s="136">
        <v>280876.0</v>
      </c>
      <c r="I2155" s="136">
        <v>485.0</v>
      </c>
      <c r="J2155" s="136">
        <v>91229.0</v>
      </c>
      <c r="K2155" s="136">
        <v>6200.0</v>
      </c>
      <c r="L2155" s="136">
        <v>442302.0</v>
      </c>
      <c r="M2155" s="1"/>
      <c r="N2155" s="1"/>
      <c r="O2155" s="1"/>
      <c r="P2155" s="1"/>
      <c r="Q2155" s="1"/>
      <c r="R2155" s="1"/>
      <c r="S2155" s="1"/>
    </row>
    <row r="2156" ht="10.5" customHeight="1">
      <c r="A2156" s="1"/>
      <c r="B2156" s="48" t="s">
        <v>90</v>
      </c>
      <c r="C2156" s="136" t="s">
        <v>10</v>
      </c>
      <c r="D2156" s="136">
        <v>1207.0</v>
      </c>
      <c r="E2156" s="136">
        <v>2609.0</v>
      </c>
      <c r="F2156" s="136">
        <v>2423.0</v>
      </c>
      <c r="G2156" s="276">
        <v>110.41</v>
      </c>
      <c r="H2156" s="136">
        <v>267514.0</v>
      </c>
      <c r="I2156" s="136">
        <v>500.0</v>
      </c>
      <c r="J2156" s="136">
        <v>65100.0</v>
      </c>
      <c r="K2156" s="136">
        <v>6000.0</v>
      </c>
      <c r="L2156" s="136">
        <v>366046.0</v>
      </c>
      <c r="M2156" s="1"/>
      <c r="N2156" s="1"/>
      <c r="O2156" s="1"/>
      <c r="P2156" s="1"/>
      <c r="Q2156" s="1"/>
      <c r="R2156" s="1"/>
      <c r="S2156" s="1"/>
    </row>
    <row r="2157" ht="10.5" customHeight="1">
      <c r="A2157" s="1"/>
      <c r="B2157" s="48"/>
      <c r="C2157" s="136"/>
      <c r="D2157" s="136"/>
      <c r="E2157" s="136"/>
      <c r="F2157" s="136"/>
      <c r="G2157" s="276"/>
      <c r="H2157" s="136"/>
      <c r="I2157" s="136"/>
      <c r="J2157" s="136"/>
      <c r="K2157" s="136"/>
      <c r="L2157" s="136"/>
      <c r="M2157" s="1"/>
      <c r="N2157" s="1"/>
      <c r="O2157" s="1"/>
      <c r="P2157" s="1"/>
      <c r="Q2157" s="1"/>
      <c r="R2157" s="1"/>
      <c r="S2157" s="1"/>
    </row>
    <row r="2158" ht="10.5" customHeight="1">
      <c r="A2158" s="1"/>
      <c r="B2158" s="48" t="s">
        <v>93</v>
      </c>
      <c r="C2158" s="136" t="s">
        <v>10</v>
      </c>
      <c r="D2158" s="136">
        <v>481.0</v>
      </c>
      <c r="E2158" s="136">
        <v>1149.0</v>
      </c>
      <c r="F2158" s="136">
        <v>2252.0</v>
      </c>
      <c r="G2158" s="276">
        <v>113.93</v>
      </c>
      <c r="H2158" s="136">
        <v>256570.0</v>
      </c>
      <c r="I2158" s="136">
        <v>550.0</v>
      </c>
      <c r="J2158" s="136">
        <v>55908.0</v>
      </c>
      <c r="K2158" s="136">
        <v>6000.0</v>
      </c>
      <c r="L2158" s="136">
        <v>363154.0</v>
      </c>
      <c r="M2158" s="1"/>
      <c r="N2158" s="1"/>
      <c r="O2158" s="1"/>
      <c r="P2158" s="1"/>
      <c r="Q2158" s="1"/>
      <c r="R2158" s="1"/>
      <c r="S2158" s="1"/>
    </row>
    <row r="2159" ht="10.5" customHeight="1">
      <c r="A2159" s="1"/>
      <c r="B2159" s="48" t="s">
        <v>97</v>
      </c>
      <c r="C2159" s="136" t="s">
        <v>10</v>
      </c>
      <c r="D2159" s="136">
        <v>1326.0</v>
      </c>
      <c r="E2159" s="136">
        <v>3895.0</v>
      </c>
      <c r="F2159" s="136">
        <v>1908.0</v>
      </c>
      <c r="G2159" s="276">
        <v>114.8</v>
      </c>
      <c r="H2159" s="136">
        <v>219034.0</v>
      </c>
      <c r="I2159" s="136">
        <v>400.0</v>
      </c>
      <c r="J2159" s="136">
        <v>44000.0</v>
      </c>
      <c r="K2159" s="136">
        <v>5900.0</v>
      </c>
      <c r="L2159" s="136">
        <v>363646.0</v>
      </c>
      <c r="M2159" s="1"/>
      <c r="N2159" s="1"/>
      <c r="O2159" s="1"/>
      <c r="P2159" s="1"/>
      <c r="Q2159" s="1"/>
      <c r="R2159" s="1"/>
      <c r="S2159" s="1"/>
    </row>
    <row r="2160" ht="10.5" customHeight="1">
      <c r="A2160" s="1"/>
      <c r="B2160" s="48" t="s">
        <v>101</v>
      </c>
      <c r="C2160" s="136">
        <v>214.0</v>
      </c>
      <c r="D2160" s="136">
        <v>718.0</v>
      </c>
      <c r="E2160" s="136">
        <v>2538.0</v>
      </c>
      <c r="F2160" s="136">
        <v>1809.0</v>
      </c>
      <c r="G2160" s="276">
        <v>145.07</v>
      </c>
      <c r="H2160" s="136">
        <v>262462.0</v>
      </c>
      <c r="I2160" s="136">
        <v>380.0</v>
      </c>
      <c r="J2160" s="136">
        <v>47424.0</v>
      </c>
      <c r="K2160" s="136">
        <v>5830.0</v>
      </c>
      <c r="L2160" s="136">
        <v>450917.0</v>
      </c>
      <c r="M2160" s="1"/>
      <c r="N2160" s="1"/>
      <c r="O2160" s="1"/>
      <c r="P2160" s="1"/>
      <c r="Q2160" s="1"/>
      <c r="R2160" s="1"/>
      <c r="S2160" s="1"/>
    </row>
    <row r="2161" ht="10.5" customHeight="1">
      <c r="A2161" s="1"/>
      <c r="B2161" s="48" t="s">
        <v>103</v>
      </c>
      <c r="C2161" s="136" t="s">
        <v>10</v>
      </c>
      <c r="D2161" s="136">
        <v>91.0</v>
      </c>
      <c r="E2161" s="136">
        <v>426.0</v>
      </c>
      <c r="F2161" s="136">
        <v>1440.0</v>
      </c>
      <c r="G2161" s="276">
        <v>159.27</v>
      </c>
      <c r="H2161" s="136">
        <v>229462.0</v>
      </c>
      <c r="I2161" s="136">
        <v>360.0</v>
      </c>
      <c r="J2161" s="136">
        <v>65376.0</v>
      </c>
      <c r="K2161" s="136">
        <v>5500.0</v>
      </c>
      <c r="L2161" s="136">
        <v>494790.0</v>
      </c>
      <c r="M2161" s="1"/>
      <c r="N2161" s="1"/>
      <c r="O2161" s="1"/>
      <c r="P2161" s="1"/>
      <c r="Q2161" s="1"/>
      <c r="R2161" s="1"/>
      <c r="S2161" s="1"/>
    </row>
    <row r="2162" ht="10.5" customHeight="1">
      <c r="A2162" s="1"/>
      <c r="B2162" s="48" t="s">
        <v>104</v>
      </c>
      <c r="C2162" s="136" t="s">
        <v>10</v>
      </c>
      <c r="D2162" s="136">
        <v>105.0</v>
      </c>
      <c r="E2162" s="136">
        <v>699.0</v>
      </c>
      <c r="F2162" s="136">
        <v>1538.0</v>
      </c>
      <c r="G2162" s="276">
        <v>169.8</v>
      </c>
      <c r="H2162" s="136">
        <v>261189.0</v>
      </c>
      <c r="I2162" s="136">
        <v>350.0</v>
      </c>
      <c r="J2162" s="136">
        <v>80710.0</v>
      </c>
      <c r="K2162" s="136">
        <v>5300.0</v>
      </c>
      <c r="L2162" s="136">
        <v>521174.0</v>
      </c>
      <c r="M2162" s="1"/>
      <c r="N2162" s="1"/>
      <c r="O2162" s="1"/>
      <c r="P2162" s="1"/>
      <c r="Q2162" s="1"/>
      <c r="R2162" s="1"/>
      <c r="S2162" s="1"/>
    </row>
    <row r="2163" ht="10.5" customHeight="1">
      <c r="A2163" s="1"/>
      <c r="B2163" s="48"/>
      <c r="C2163" s="136"/>
      <c r="D2163" s="136"/>
      <c r="E2163" s="136"/>
      <c r="F2163" s="136"/>
      <c r="G2163" s="276"/>
      <c r="H2163" s="136"/>
      <c r="I2163" s="136"/>
      <c r="J2163" s="136"/>
      <c r="K2163" s="136"/>
      <c r="L2163" s="136"/>
      <c r="M2163" s="1"/>
      <c r="N2163" s="1"/>
      <c r="O2163" s="1"/>
      <c r="P2163" s="1"/>
      <c r="Q2163" s="1"/>
      <c r="R2163" s="1"/>
      <c r="S2163" s="1"/>
    </row>
    <row r="2164" ht="10.5" customHeight="1">
      <c r="A2164" s="1"/>
      <c r="B2164" s="48" t="s">
        <v>108</v>
      </c>
      <c r="C2164" s="136" t="s">
        <v>10</v>
      </c>
      <c r="D2164" s="136">
        <v>1023.0</v>
      </c>
      <c r="E2164" s="136">
        <v>9806.0</v>
      </c>
      <c r="F2164" s="136">
        <v>1632.0</v>
      </c>
      <c r="G2164" s="276">
        <v>174.67</v>
      </c>
      <c r="H2164" s="136">
        <v>285049.0</v>
      </c>
      <c r="I2164" s="136">
        <v>340.0</v>
      </c>
      <c r="J2164" s="136">
        <v>79560.0</v>
      </c>
      <c r="K2164" s="136">
        <v>5100.0</v>
      </c>
      <c r="L2164" s="136">
        <v>511666.0</v>
      </c>
      <c r="M2164" s="1"/>
      <c r="N2164" s="1"/>
      <c r="O2164" s="1"/>
      <c r="P2164" s="1"/>
      <c r="Q2164" s="1"/>
      <c r="R2164" s="1"/>
      <c r="S2164" s="1"/>
    </row>
    <row r="2165" ht="10.5" customHeight="1">
      <c r="A2165" s="1"/>
      <c r="B2165" s="48" t="s">
        <v>111</v>
      </c>
      <c r="C2165" s="136" t="s">
        <v>10</v>
      </c>
      <c r="D2165" s="136">
        <v>945.0</v>
      </c>
      <c r="E2165" s="136">
        <v>9158.0</v>
      </c>
      <c r="F2165" s="136">
        <v>1730.0</v>
      </c>
      <c r="G2165" s="276">
        <v>208.86</v>
      </c>
      <c r="H2165" s="136">
        <v>361296.0</v>
      </c>
      <c r="I2165" s="136">
        <v>350.0</v>
      </c>
      <c r="J2165" s="136">
        <v>98420.0</v>
      </c>
      <c r="K2165" s="136">
        <v>4900.0</v>
      </c>
      <c r="L2165" s="136">
        <v>584514.0</v>
      </c>
      <c r="M2165" s="1"/>
      <c r="N2165" s="1"/>
      <c r="O2165" s="1"/>
      <c r="P2165" s="1"/>
      <c r="Q2165" s="1"/>
      <c r="R2165" s="1"/>
      <c r="S2165" s="1"/>
    </row>
    <row r="2166" ht="10.5" customHeight="1">
      <c r="A2166" s="1"/>
      <c r="B2166" s="48" t="s">
        <v>112</v>
      </c>
      <c r="C2166" s="136" t="s">
        <v>10</v>
      </c>
      <c r="D2166" s="136">
        <v>298.0</v>
      </c>
      <c r="E2166" s="136">
        <v>2425.0</v>
      </c>
      <c r="F2166" s="136">
        <v>1831.0</v>
      </c>
      <c r="G2166" s="276">
        <v>355.46</v>
      </c>
      <c r="H2166" s="136">
        <v>650987.0</v>
      </c>
      <c r="I2166" s="136">
        <v>330.0</v>
      </c>
      <c r="J2166" s="136">
        <v>103531.0</v>
      </c>
      <c r="K2166" s="136">
        <v>4500.0</v>
      </c>
      <c r="L2166" s="136">
        <v>865815.0</v>
      </c>
      <c r="M2166" s="1"/>
      <c r="N2166" s="1"/>
      <c r="O2166" s="1"/>
      <c r="P2166" s="1"/>
      <c r="Q2166" s="1"/>
      <c r="R2166" s="1"/>
      <c r="S2166" s="1"/>
    </row>
    <row r="2167" ht="10.5" customHeight="1">
      <c r="A2167" s="1"/>
      <c r="B2167" s="48" t="s">
        <v>113</v>
      </c>
      <c r="C2167" s="136" t="s">
        <v>10</v>
      </c>
      <c r="D2167" s="136">
        <v>235.0</v>
      </c>
      <c r="E2167" s="136">
        <v>1904.0</v>
      </c>
      <c r="F2167" s="136">
        <v>1857.0</v>
      </c>
      <c r="G2167" s="276">
        <v>237.77</v>
      </c>
      <c r="H2167" s="136">
        <v>441498.0</v>
      </c>
      <c r="I2167" s="136">
        <v>340.0</v>
      </c>
      <c r="J2167" s="136">
        <v>101014.0</v>
      </c>
      <c r="K2167" s="136">
        <v>4000.0</v>
      </c>
      <c r="L2167" s="136">
        <v>535794.0</v>
      </c>
      <c r="M2167" s="1"/>
      <c r="N2167" s="1"/>
      <c r="O2167" s="1"/>
      <c r="P2167" s="1"/>
      <c r="Q2167" s="1"/>
      <c r="R2167" s="1"/>
      <c r="S2167" s="1"/>
    </row>
    <row r="2168" ht="10.5" customHeight="1">
      <c r="A2168" s="1"/>
      <c r="B2168" s="48" t="s">
        <v>114</v>
      </c>
      <c r="C2168" s="136" t="s">
        <v>10</v>
      </c>
      <c r="D2168" s="136">
        <v>469.0</v>
      </c>
      <c r="E2168" s="136">
        <v>3877.0</v>
      </c>
      <c r="F2168" s="136">
        <v>1485.0</v>
      </c>
      <c r="G2168" s="276">
        <v>314.94</v>
      </c>
      <c r="H2168" s="136">
        <v>467832.0</v>
      </c>
      <c r="I2168" s="136">
        <v>272.0</v>
      </c>
      <c r="J2168" s="136">
        <v>91204.0</v>
      </c>
      <c r="K2168" s="136">
        <v>3200.0</v>
      </c>
      <c r="L2168" s="136">
        <v>566971.0</v>
      </c>
      <c r="M2168" s="1"/>
      <c r="N2168" s="1"/>
      <c r="O2168" s="1"/>
      <c r="P2168" s="1"/>
      <c r="Q2168" s="1"/>
      <c r="R2168" s="1"/>
      <c r="S2168" s="1"/>
    </row>
    <row r="2169" ht="10.5" customHeight="1">
      <c r="A2169" s="1"/>
      <c r="B2169" s="48"/>
      <c r="C2169" s="136"/>
      <c r="D2169" s="136"/>
      <c r="E2169" s="136"/>
      <c r="F2169" s="136"/>
      <c r="G2169" s="276"/>
      <c r="H2169" s="136"/>
      <c r="I2169" s="136"/>
      <c r="J2169" s="136"/>
      <c r="K2169" s="136"/>
      <c r="L2169" s="136"/>
      <c r="M2169" s="1"/>
      <c r="N2169" s="1"/>
      <c r="O2169" s="1"/>
      <c r="P2169" s="1"/>
      <c r="Q2169" s="1"/>
      <c r="R2169" s="1"/>
      <c r="S2169" s="1"/>
    </row>
    <row r="2170" ht="10.5" customHeight="1">
      <c r="A2170" s="1"/>
      <c r="B2170" s="48" t="s">
        <v>115</v>
      </c>
      <c r="C2170" s="136" t="s">
        <v>10</v>
      </c>
      <c r="D2170" s="136">
        <v>116.0</v>
      </c>
      <c r="E2170" s="136">
        <v>1289.0</v>
      </c>
      <c r="F2170" s="136">
        <v>1625.0</v>
      </c>
      <c r="G2170" s="276">
        <v>383.4</v>
      </c>
      <c r="H2170" s="136">
        <v>623063.0</v>
      </c>
      <c r="I2170" s="136">
        <v>298.0</v>
      </c>
      <c r="J2170" s="136">
        <v>141999.0</v>
      </c>
      <c r="K2170" s="136">
        <v>3501.0</v>
      </c>
      <c r="L2170" s="136">
        <v>782666.0</v>
      </c>
      <c r="M2170" s="1"/>
      <c r="N2170" s="1"/>
      <c r="O2170" s="1"/>
      <c r="P2170" s="1"/>
      <c r="Q2170" s="1"/>
      <c r="R2170" s="1"/>
      <c r="S2170" s="1"/>
    </row>
    <row r="2171" ht="10.5" customHeight="1">
      <c r="A2171" s="1"/>
      <c r="B2171" s="48" t="s">
        <v>117</v>
      </c>
      <c r="C2171" s="136" t="s">
        <v>10</v>
      </c>
      <c r="D2171" s="136">
        <v>341.0</v>
      </c>
      <c r="E2171" s="136">
        <v>5038.0</v>
      </c>
      <c r="F2171" s="136">
        <v>1659.0</v>
      </c>
      <c r="G2171" s="276">
        <v>309.99</v>
      </c>
      <c r="H2171" s="136">
        <v>514166.0</v>
      </c>
      <c r="I2171" s="136">
        <v>304.0</v>
      </c>
      <c r="J2171" s="136">
        <v>110907.0</v>
      </c>
      <c r="K2171" s="136">
        <v>3573.0</v>
      </c>
      <c r="L2171" s="136">
        <v>637091.0</v>
      </c>
      <c r="M2171" s="1"/>
      <c r="N2171" s="1"/>
      <c r="O2171" s="1"/>
      <c r="P2171" s="1"/>
      <c r="Q2171" s="1"/>
      <c r="R2171" s="1"/>
      <c r="S2171" s="1"/>
    </row>
    <row r="2172" ht="10.5" customHeight="1">
      <c r="A2172" s="1"/>
      <c r="B2172" s="48" t="s">
        <v>121</v>
      </c>
      <c r="C2172" s="136" t="s">
        <v>10</v>
      </c>
      <c r="D2172" s="136">
        <v>1155.0</v>
      </c>
      <c r="E2172" s="136">
        <v>13271.0</v>
      </c>
      <c r="F2172" s="136">
        <v>1646.0</v>
      </c>
      <c r="G2172" s="276">
        <v>357.61</v>
      </c>
      <c r="H2172" s="136">
        <v>588578.0</v>
      </c>
      <c r="I2172" s="136">
        <v>319.0</v>
      </c>
      <c r="J2172" s="136">
        <v>144905.0</v>
      </c>
      <c r="K2172" s="136">
        <v>3752.0</v>
      </c>
      <c r="L2172" s="136">
        <v>786159.0</v>
      </c>
      <c r="M2172" s="1"/>
      <c r="N2172" s="1"/>
      <c r="O2172" s="1"/>
      <c r="P2172" s="1"/>
      <c r="Q2172" s="1"/>
      <c r="R2172" s="1"/>
      <c r="S2172" s="1"/>
    </row>
    <row r="2173" ht="10.5" customHeight="1">
      <c r="A2173" s="1"/>
      <c r="B2173" s="48" t="s">
        <v>122</v>
      </c>
      <c r="C2173" s="136" t="s">
        <v>10</v>
      </c>
      <c r="D2173" s="136">
        <v>449.0</v>
      </c>
      <c r="E2173" s="136">
        <v>3541.0</v>
      </c>
      <c r="F2173" s="136">
        <v>1457.0</v>
      </c>
      <c r="G2173" s="276">
        <v>417.86</v>
      </c>
      <c r="H2173" s="136">
        <v>608956.0</v>
      </c>
      <c r="I2173" s="136">
        <v>282.0</v>
      </c>
      <c r="J2173" s="136">
        <v>164484.0</v>
      </c>
      <c r="K2173" s="136">
        <v>3322.0</v>
      </c>
      <c r="L2173" s="136">
        <v>834471.0</v>
      </c>
      <c r="M2173" s="1"/>
      <c r="N2173" s="1"/>
      <c r="O2173" s="1"/>
      <c r="P2173" s="1"/>
      <c r="Q2173" s="1"/>
      <c r="R2173" s="1"/>
      <c r="S2173" s="1"/>
    </row>
    <row r="2174" ht="10.5" customHeight="1">
      <c r="A2174" s="1"/>
      <c r="B2174" s="48" t="s">
        <v>123</v>
      </c>
      <c r="C2174" s="136" t="s">
        <v>10</v>
      </c>
      <c r="D2174" s="136">
        <v>54.0</v>
      </c>
      <c r="E2174" s="136">
        <v>510.0</v>
      </c>
      <c r="F2174" s="136">
        <v>1323.0</v>
      </c>
      <c r="G2174" s="276">
        <v>419.85</v>
      </c>
      <c r="H2174" s="136">
        <v>555322.0</v>
      </c>
      <c r="I2174" s="136">
        <v>284.0</v>
      </c>
      <c r="J2174" s="136">
        <v>145672.0</v>
      </c>
      <c r="K2174" s="136">
        <v>3433.0</v>
      </c>
      <c r="L2174" s="136">
        <v>827607.0</v>
      </c>
      <c r="M2174" s="1"/>
      <c r="N2174" s="1"/>
      <c r="O2174" s="1"/>
      <c r="P2174" s="1"/>
      <c r="Q2174" s="1"/>
      <c r="R2174" s="1"/>
      <c r="S2174" s="1"/>
    </row>
    <row r="2175" ht="10.5" customHeight="1">
      <c r="A2175" s="1"/>
      <c r="B2175" s="48"/>
      <c r="C2175" s="136"/>
      <c r="D2175" s="136"/>
      <c r="E2175" s="136"/>
      <c r="F2175" s="136"/>
      <c r="G2175" s="276"/>
      <c r="H2175" s="136"/>
      <c r="I2175" s="136"/>
      <c r="J2175" s="136"/>
      <c r="K2175" s="136"/>
      <c r="L2175" s="136"/>
      <c r="M2175" s="1"/>
      <c r="N2175" s="1"/>
      <c r="O2175" s="1"/>
      <c r="P2175" s="1"/>
      <c r="Q2175" s="1"/>
      <c r="R2175" s="1"/>
      <c r="S2175" s="1"/>
    </row>
    <row r="2176" ht="10.5" customHeight="1">
      <c r="A2176" s="1"/>
      <c r="B2176" s="168" t="s">
        <v>125</v>
      </c>
      <c r="C2176" s="169" t="s">
        <v>10</v>
      </c>
      <c r="D2176" s="169">
        <v>207.0</v>
      </c>
      <c r="E2176" s="169">
        <v>2629.0</v>
      </c>
      <c r="F2176" s="169">
        <v>1897.0</v>
      </c>
      <c r="G2176" s="289">
        <v>432.85</v>
      </c>
      <c r="H2176" s="169">
        <v>821313.0</v>
      </c>
      <c r="I2176" s="169">
        <v>283.0</v>
      </c>
      <c r="J2176" s="169">
        <v>145867.0</v>
      </c>
      <c r="K2176" s="169">
        <v>3443.0</v>
      </c>
      <c r="L2176" s="136">
        <v>859317.0</v>
      </c>
      <c r="M2176" s="1"/>
      <c r="N2176" s="1"/>
      <c r="O2176" s="1"/>
      <c r="P2176" s="1"/>
      <c r="Q2176" s="1"/>
      <c r="R2176" s="1"/>
      <c r="S2176" s="1"/>
    </row>
    <row r="2177" ht="10.5" customHeight="1">
      <c r="A2177" s="1"/>
      <c r="B2177" s="168" t="s">
        <v>127</v>
      </c>
      <c r="C2177" s="136" t="s">
        <v>10</v>
      </c>
      <c r="D2177" s="136">
        <v>393.0</v>
      </c>
      <c r="E2177" s="136">
        <v>6112.0</v>
      </c>
      <c r="F2177" s="136">
        <v>1152.0</v>
      </c>
      <c r="G2177" s="276">
        <v>473.4</v>
      </c>
      <c r="H2177" s="136">
        <v>545267.0</v>
      </c>
      <c r="I2177" s="136">
        <v>283.0</v>
      </c>
      <c r="J2177" s="136">
        <v>159533.0</v>
      </c>
      <c r="K2177" s="136">
        <v>3521.0</v>
      </c>
      <c r="L2177" s="136">
        <v>904179.0</v>
      </c>
      <c r="M2177" s="1"/>
      <c r="N2177" s="1"/>
      <c r="O2177" s="1"/>
      <c r="P2177" s="1"/>
      <c r="Q2177" s="1"/>
      <c r="R2177" s="1"/>
      <c r="S2177" s="1"/>
    </row>
    <row r="2178" ht="10.5" customHeight="1">
      <c r="A2178" s="1"/>
      <c r="B2178" s="168" t="s">
        <v>128</v>
      </c>
      <c r="C2178" s="136" t="s">
        <v>10</v>
      </c>
      <c r="D2178" s="136">
        <v>601.0</v>
      </c>
      <c r="E2178" s="136">
        <v>9851.0</v>
      </c>
      <c r="F2178" s="136">
        <v>630.0</v>
      </c>
      <c r="G2178" s="276">
        <v>873.03</v>
      </c>
      <c r="H2178" s="136">
        <v>550173.0</v>
      </c>
      <c r="I2178" s="136">
        <v>285.0</v>
      </c>
      <c r="J2178" s="136">
        <v>296286.0</v>
      </c>
      <c r="K2178" s="136">
        <v>4043.0</v>
      </c>
      <c r="L2178" s="136">
        <v>1122953.0</v>
      </c>
      <c r="M2178" s="1"/>
      <c r="N2178" s="1"/>
      <c r="O2178" s="1"/>
      <c r="P2178" s="1"/>
      <c r="Q2178" s="1"/>
      <c r="R2178" s="1"/>
      <c r="S2178" s="1"/>
    </row>
    <row r="2179" ht="10.5" customHeight="1">
      <c r="A2179" s="1"/>
      <c r="B2179" s="168" t="s">
        <v>129</v>
      </c>
      <c r="C2179" s="169" t="s">
        <v>10</v>
      </c>
      <c r="D2179" s="169">
        <v>556.0</v>
      </c>
      <c r="E2179" s="169">
        <v>8096.0</v>
      </c>
      <c r="F2179" s="169">
        <v>1000.0</v>
      </c>
      <c r="G2179" s="289">
        <v>860.15</v>
      </c>
      <c r="H2179" s="169">
        <v>860585.0</v>
      </c>
      <c r="I2179" s="169">
        <v>287.0</v>
      </c>
      <c r="J2179" s="169">
        <v>293963.0</v>
      </c>
      <c r="K2179" s="169">
        <v>4488.0</v>
      </c>
      <c r="L2179" s="169">
        <v>1377512.0</v>
      </c>
      <c r="M2179" s="1"/>
      <c r="N2179" s="1"/>
      <c r="O2179" s="1"/>
      <c r="P2179" s="1"/>
      <c r="Q2179" s="1"/>
      <c r="R2179" s="1"/>
      <c r="S2179" s="1"/>
    </row>
    <row r="2180" ht="10.5" customHeight="1">
      <c r="A2180" s="1"/>
      <c r="B2180" s="48" t="s">
        <v>130</v>
      </c>
      <c r="C2180" s="169" t="s">
        <v>10</v>
      </c>
      <c r="D2180" s="169">
        <v>552.0</v>
      </c>
      <c r="E2180" s="169">
        <v>8256.0</v>
      </c>
      <c r="F2180" s="169">
        <v>1434.0</v>
      </c>
      <c r="G2180" s="289">
        <v>639.25</v>
      </c>
      <c r="H2180" s="169">
        <v>917322.0</v>
      </c>
      <c r="I2180" s="169">
        <v>294.0</v>
      </c>
      <c r="J2180" s="169">
        <v>209751.0</v>
      </c>
      <c r="K2180" s="169">
        <v>4730.0</v>
      </c>
      <c r="L2180" s="169">
        <v>1275576.0</v>
      </c>
      <c r="M2180" s="1"/>
      <c r="N2180" s="1"/>
      <c r="O2180" s="1"/>
      <c r="P2180" s="1"/>
      <c r="Q2180" s="1"/>
      <c r="R2180" s="1"/>
      <c r="S2180" s="1"/>
    </row>
    <row r="2181" ht="10.5" customHeight="1">
      <c r="A2181" s="1"/>
      <c r="B2181" s="48"/>
      <c r="C2181" s="169"/>
      <c r="D2181" s="169"/>
      <c r="E2181" s="169"/>
      <c r="F2181" s="169"/>
      <c r="G2181" s="289"/>
      <c r="H2181" s="169"/>
      <c r="I2181" s="169"/>
      <c r="J2181" s="169"/>
      <c r="K2181" s="169"/>
      <c r="L2181" s="169"/>
      <c r="M2181" s="1"/>
      <c r="N2181" s="1"/>
      <c r="O2181" s="1"/>
      <c r="P2181" s="1"/>
      <c r="Q2181" s="1"/>
      <c r="R2181" s="1"/>
      <c r="S2181" s="1"/>
    </row>
    <row r="2182" ht="10.5" customHeight="1">
      <c r="A2182" s="1"/>
      <c r="B2182" s="48" t="s">
        <v>131</v>
      </c>
      <c r="C2182" s="169" t="s">
        <v>10</v>
      </c>
      <c r="D2182" s="169">
        <v>169.0</v>
      </c>
      <c r="E2182" s="169">
        <v>4157.0</v>
      </c>
      <c r="F2182" s="169">
        <v>1386.0</v>
      </c>
      <c r="G2182" s="289">
        <v>620.15</v>
      </c>
      <c r="H2182" s="169">
        <v>859324.0</v>
      </c>
      <c r="I2182" s="169">
        <v>288.0</v>
      </c>
      <c r="J2182" s="169">
        <v>254604.0</v>
      </c>
      <c r="K2182" s="169">
        <v>4640.0</v>
      </c>
      <c r="L2182" s="169">
        <v>1251304.0</v>
      </c>
      <c r="M2182" s="1"/>
      <c r="N2182" s="1"/>
      <c r="O2182" s="1"/>
      <c r="P2182" s="1"/>
      <c r="Q2182" s="1"/>
      <c r="R2182" s="1"/>
      <c r="S2182" s="1"/>
    </row>
    <row r="2183" ht="10.5" customHeight="1">
      <c r="A2183" s="1"/>
      <c r="B2183" s="48" t="s">
        <v>133</v>
      </c>
      <c r="C2183" s="169" t="s">
        <v>10</v>
      </c>
      <c r="D2183" s="169">
        <v>381.0</v>
      </c>
      <c r="E2183" s="169">
        <v>8455.0</v>
      </c>
      <c r="F2183" s="169">
        <v>1232.0</v>
      </c>
      <c r="G2183" s="289">
        <v>670.04</v>
      </c>
      <c r="H2183" s="169">
        <v>825388.0</v>
      </c>
      <c r="I2183" s="169">
        <v>256.0</v>
      </c>
      <c r="J2183" s="169">
        <v>235825.0</v>
      </c>
      <c r="K2183" s="169">
        <v>4130.0</v>
      </c>
      <c r="L2183" s="169">
        <v>1113661.0</v>
      </c>
      <c r="M2183" s="1"/>
      <c r="N2183" s="1"/>
      <c r="O2183" s="1"/>
      <c r="P2183" s="1"/>
      <c r="Q2183" s="1"/>
      <c r="R2183" s="1"/>
      <c r="S2183" s="1"/>
    </row>
    <row r="2184" ht="10.5" customHeight="1">
      <c r="A2184" s="1"/>
      <c r="B2184" s="48" t="s">
        <v>134</v>
      </c>
      <c r="C2184" s="169" t="s">
        <v>10</v>
      </c>
      <c r="D2184" s="169">
        <v>185.0</v>
      </c>
      <c r="E2184" s="169">
        <v>3569.0</v>
      </c>
      <c r="F2184" s="169">
        <v>1177.0</v>
      </c>
      <c r="G2184" s="289">
        <v>1137.53</v>
      </c>
      <c r="H2184" s="169">
        <v>1339083.0</v>
      </c>
      <c r="I2184" s="169">
        <v>245.0</v>
      </c>
      <c r="J2184" s="169">
        <v>225692.0</v>
      </c>
      <c r="K2184" s="169">
        <v>3948.0</v>
      </c>
      <c r="L2184" s="169">
        <v>1035564.0</v>
      </c>
      <c r="M2184" s="1"/>
      <c r="N2184" s="1"/>
      <c r="O2184" s="1"/>
      <c r="P2184" s="1"/>
      <c r="Q2184" s="1"/>
      <c r="R2184" s="1"/>
      <c r="S2184" s="1"/>
    </row>
    <row r="2185" ht="10.5" customHeight="1">
      <c r="A2185" s="1"/>
      <c r="B2185" s="293">
        <v>39692.0</v>
      </c>
      <c r="C2185" s="169" t="s">
        <v>10</v>
      </c>
      <c r="D2185" s="169">
        <v>796.0</v>
      </c>
      <c r="E2185" s="169">
        <v>19047.0</v>
      </c>
      <c r="F2185" s="169">
        <v>1103.0</v>
      </c>
      <c r="G2185" s="289">
        <v>1315.16</v>
      </c>
      <c r="H2185" s="169">
        <v>1450807.0</v>
      </c>
      <c r="I2185" s="169">
        <v>246.0</v>
      </c>
      <c r="J2185" s="169">
        <v>226613.0</v>
      </c>
      <c r="K2185" s="169">
        <v>3700.0</v>
      </c>
      <c r="L2185" s="169">
        <v>970428.0</v>
      </c>
      <c r="M2185" s="1"/>
      <c r="N2185" s="1"/>
      <c r="O2185" s="1"/>
      <c r="P2185" s="1"/>
      <c r="Q2185" s="1"/>
      <c r="R2185" s="1"/>
      <c r="S2185" s="1"/>
    </row>
    <row r="2186" ht="10.5" customHeight="1">
      <c r="A2186" s="1"/>
      <c r="B2186" s="293">
        <v>40087.0</v>
      </c>
      <c r="C2186" s="169" t="s">
        <v>10</v>
      </c>
      <c r="D2186" s="169">
        <v>540.0</v>
      </c>
      <c r="E2186" s="169">
        <v>13472.0</v>
      </c>
      <c r="F2186" s="169">
        <v>1476.0</v>
      </c>
      <c r="G2186" s="289">
        <v>1267.09</v>
      </c>
      <c r="H2186" s="169">
        <v>1871278.0</v>
      </c>
      <c r="I2186" s="169">
        <v>251.0</v>
      </c>
      <c r="J2186" s="169">
        <v>222768.0</v>
      </c>
      <c r="K2186" s="169">
        <v>3672.0</v>
      </c>
      <c r="L2186" s="169">
        <v>927964.0</v>
      </c>
      <c r="M2186" s="1"/>
      <c r="N2186" s="1"/>
      <c r="O2186" s="1"/>
      <c r="P2186" s="1"/>
      <c r="Q2186" s="1"/>
      <c r="R2186" s="1"/>
      <c r="S2186" s="1"/>
    </row>
    <row r="2187" ht="10.5" customHeight="1">
      <c r="A2187" s="1"/>
      <c r="B2187" s="293"/>
      <c r="C2187" s="169"/>
      <c r="D2187" s="169"/>
      <c r="E2187" s="169"/>
      <c r="F2187" s="169"/>
      <c r="G2187" s="289"/>
      <c r="H2187" s="169"/>
      <c r="I2187" s="169"/>
      <c r="J2187" s="169"/>
      <c r="K2187" s="169"/>
      <c r="L2187" s="169"/>
      <c r="M2187" s="1"/>
      <c r="N2187" s="1"/>
      <c r="O2187" s="1"/>
      <c r="P2187" s="1"/>
      <c r="Q2187" s="1"/>
      <c r="R2187" s="1"/>
      <c r="S2187" s="1"/>
    </row>
    <row r="2188" ht="11.25" customHeight="1">
      <c r="A2188" s="1"/>
      <c r="B2188" s="293">
        <v>40483.0</v>
      </c>
      <c r="C2188" s="169" t="s">
        <v>10</v>
      </c>
      <c r="D2188" s="169">
        <v>468.0</v>
      </c>
      <c r="E2188" s="169">
        <v>12018.0</v>
      </c>
      <c r="F2188" s="169">
        <v>1586.0</v>
      </c>
      <c r="G2188" s="289">
        <v>1185.52</v>
      </c>
      <c r="H2188" s="169">
        <v>1880235.0</v>
      </c>
      <c r="I2188" s="507">
        <v>286.0</v>
      </c>
      <c r="J2188" s="169">
        <v>237491.0</v>
      </c>
      <c r="K2188" s="169">
        <v>4002.0</v>
      </c>
      <c r="L2188" s="169">
        <v>946253.0</v>
      </c>
      <c r="M2188" s="1"/>
      <c r="N2188" s="1"/>
      <c r="O2188" s="1"/>
      <c r="P2188" s="1"/>
      <c r="Q2188" s="1"/>
      <c r="R2188" s="1"/>
      <c r="S2188" s="1"/>
    </row>
    <row r="2189" ht="11.25" customHeight="1">
      <c r="A2189" s="1"/>
      <c r="B2189" s="293">
        <v>40878.0</v>
      </c>
      <c r="C2189" s="169" t="s">
        <v>10</v>
      </c>
      <c r="D2189" s="169">
        <v>590.0</v>
      </c>
      <c r="E2189" s="169">
        <v>16788.0</v>
      </c>
      <c r="F2189" s="169">
        <v>1768.0</v>
      </c>
      <c r="G2189" s="289">
        <v>1178.19</v>
      </c>
      <c r="H2189" s="169">
        <v>2083040.0</v>
      </c>
      <c r="I2189" s="507">
        <v>319.0</v>
      </c>
      <c r="J2189" s="169">
        <v>263107.0</v>
      </c>
      <c r="K2189" s="169">
        <v>4189.0</v>
      </c>
      <c r="L2189" s="169">
        <v>984344.0</v>
      </c>
      <c r="M2189" s="1"/>
      <c r="N2189" s="1"/>
      <c r="O2189" s="1"/>
      <c r="P2189" s="1"/>
      <c r="Q2189" s="1"/>
      <c r="R2189" s="1"/>
      <c r="S2189" s="1"/>
    </row>
    <row r="2190" ht="11.25" customHeight="1">
      <c r="A2190" s="1"/>
      <c r="B2190" s="293" t="s">
        <v>149</v>
      </c>
      <c r="C2190" s="169" t="s">
        <v>10</v>
      </c>
      <c r="D2190" s="169">
        <v>733.0</v>
      </c>
      <c r="E2190" s="169">
        <v>21323.0</v>
      </c>
      <c r="F2190" s="169">
        <v>1325.0</v>
      </c>
      <c r="G2190" s="289">
        <v>1405.45</v>
      </c>
      <c r="H2190" s="169">
        <v>1862221.0</v>
      </c>
      <c r="I2190" s="507">
        <v>239.0</v>
      </c>
      <c r="J2190" s="169">
        <v>235215.0</v>
      </c>
      <c r="K2190" s="169">
        <v>3139.0</v>
      </c>
      <c r="L2190" s="169">
        <v>879996.0</v>
      </c>
      <c r="M2190" s="1"/>
      <c r="N2190" s="1"/>
      <c r="O2190" s="1"/>
      <c r="P2190" s="1"/>
      <c r="Q2190" s="1"/>
      <c r="R2190" s="1"/>
      <c r="S2190" s="1"/>
    </row>
    <row r="2191" ht="11.25" customHeight="1">
      <c r="A2191" s="1"/>
      <c r="B2191" s="293" t="s">
        <v>151</v>
      </c>
      <c r="C2191" s="169" t="s">
        <v>10</v>
      </c>
      <c r="D2191" s="169">
        <v>355.0</v>
      </c>
      <c r="E2191" s="169">
        <v>12952.0</v>
      </c>
      <c r="F2191" s="169">
        <v>1425.0</v>
      </c>
      <c r="G2191" s="289">
        <v>1511.89</v>
      </c>
      <c r="H2191" s="169">
        <v>2154443.0</v>
      </c>
      <c r="I2191" s="507">
        <v>257.0</v>
      </c>
      <c r="J2191" s="169">
        <v>272126.0</v>
      </c>
      <c r="K2191" s="169">
        <v>3376.0</v>
      </c>
      <c r="L2191" s="169">
        <v>1018086.0</v>
      </c>
      <c r="M2191" s="1"/>
      <c r="N2191" s="1"/>
      <c r="O2191" s="1"/>
      <c r="P2191" s="1"/>
      <c r="Q2191" s="1"/>
      <c r="R2191" s="1"/>
      <c r="S2191" s="1"/>
    </row>
    <row r="2192" ht="11.25" customHeight="1">
      <c r="A2192" s="1"/>
      <c r="B2192" s="293" t="s">
        <v>153</v>
      </c>
      <c r="C2192" s="169" t="s">
        <v>10</v>
      </c>
      <c r="D2192" s="169">
        <v>1052.0</v>
      </c>
      <c r="E2192" s="169">
        <v>71779.0</v>
      </c>
      <c r="F2192" s="169">
        <v>1380.0</v>
      </c>
      <c r="G2192" s="289">
        <v>1853.29</v>
      </c>
      <c r="H2192" s="169">
        <v>2557540.0</v>
      </c>
      <c r="I2192" s="507">
        <v>214.0</v>
      </c>
      <c r="J2192" s="169">
        <v>323040.0</v>
      </c>
      <c r="K2192" s="169">
        <v>3270.0</v>
      </c>
      <c r="L2192" s="169">
        <v>1208570.0</v>
      </c>
      <c r="M2192" s="1"/>
      <c r="N2192" s="1"/>
      <c r="O2192" s="1"/>
      <c r="P2192" s="1"/>
      <c r="Q2192" s="1"/>
      <c r="R2192" s="1"/>
      <c r="S2192" s="1"/>
    </row>
    <row r="2193" ht="11.25" customHeight="1">
      <c r="A2193" s="1"/>
      <c r="B2193" s="293"/>
      <c r="C2193" s="169"/>
      <c r="D2193" s="169"/>
      <c r="E2193" s="169"/>
      <c r="F2193" s="169"/>
      <c r="G2193" s="289"/>
      <c r="H2193" s="169"/>
      <c r="I2193" s="507"/>
      <c r="J2193" s="169"/>
      <c r="K2193" s="169"/>
      <c r="L2193" s="169"/>
      <c r="M2193" s="1"/>
      <c r="N2193" s="1"/>
      <c r="O2193" s="1"/>
      <c r="P2193" s="1"/>
      <c r="Q2193" s="1"/>
      <c r="R2193" s="1"/>
      <c r="S2193" s="1"/>
    </row>
    <row r="2194" ht="11.25" customHeight="1">
      <c r="A2194" s="1"/>
      <c r="B2194" s="293" t="s">
        <v>155</v>
      </c>
      <c r="C2194" s="169" t="s">
        <v>10</v>
      </c>
      <c r="D2194" s="169">
        <v>787.0</v>
      </c>
      <c r="E2194" s="169">
        <v>71617.0</v>
      </c>
      <c r="F2194" s="169">
        <v>1186.0</v>
      </c>
      <c r="G2194" s="289" t="s">
        <v>1341</v>
      </c>
      <c r="H2194" s="169">
        <v>2116536.0</v>
      </c>
      <c r="I2194" s="507">
        <v>214.0</v>
      </c>
      <c r="J2194" s="169">
        <v>267338.0</v>
      </c>
      <c r="K2194" s="169">
        <v>2810.0</v>
      </c>
      <c r="L2194" s="169">
        <v>1000172.0</v>
      </c>
      <c r="M2194" s="1"/>
      <c r="N2194" s="1"/>
      <c r="O2194" s="1"/>
      <c r="P2194" s="1"/>
      <c r="Q2194" s="1"/>
      <c r="R2194" s="1"/>
      <c r="S2194" s="1"/>
    </row>
    <row r="2195" ht="11.25" customHeight="1">
      <c r="A2195" s="1"/>
      <c r="B2195" s="685" t="s">
        <v>1342</v>
      </c>
      <c r="C2195" s="260" t="s">
        <v>10</v>
      </c>
      <c r="D2195" s="260">
        <v>877.0</v>
      </c>
      <c r="E2195" s="260">
        <v>69120.0</v>
      </c>
      <c r="F2195" s="260">
        <v>1290.0</v>
      </c>
      <c r="G2195" s="290" t="s">
        <v>1343</v>
      </c>
      <c r="H2195" s="418">
        <v>2517654.0</v>
      </c>
      <c r="I2195" s="260">
        <v>233.0</v>
      </c>
      <c r="J2195" s="260">
        <v>318002.0</v>
      </c>
      <c r="K2195" s="260">
        <v>3056.0</v>
      </c>
      <c r="L2195" s="260">
        <v>1189722.0</v>
      </c>
      <c r="M2195" s="1"/>
      <c r="N2195" s="1"/>
      <c r="O2195" s="1"/>
      <c r="P2195" s="1"/>
      <c r="Q2195" s="1"/>
      <c r="R2195" s="1"/>
      <c r="S2195" s="1"/>
    </row>
    <row r="2196" ht="5.25" customHeight="1">
      <c r="A2196" s="1"/>
      <c r="B2196" s="759"/>
      <c r="C2196" s="267"/>
      <c r="D2196" s="267"/>
      <c r="E2196" s="267"/>
      <c r="F2196" s="267"/>
      <c r="G2196" s="292"/>
      <c r="H2196" s="513"/>
      <c r="I2196" s="267"/>
      <c r="J2196" s="267"/>
      <c r="K2196" s="1"/>
      <c r="L2196" s="1"/>
      <c r="M2196" s="1"/>
      <c r="N2196" s="1"/>
      <c r="O2196" s="1"/>
      <c r="P2196" s="1"/>
      <c r="Q2196" s="1"/>
      <c r="R2196" s="1"/>
      <c r="S2196" s="1"/>
    </row>
    <row r="2197" ht="11.25" customHeight="1">
      <c r="A2197" s="1"/>
      <c r="B2197" s="185" t="s">
        <v>1345</v>
      </c>
      <c r="C2197" s="1"/>
      <c r="D2197" s="1"/>
      <c r="E2197" s="1"/>
      <c r="F2197" s="1"/>
      <c r="G2197" s="777"/>
      <c r="H2197" s="1"/>
      <c r="I2197" s="1"/>
      <c r="J2197" s="1"/>
      <c r="K2197" s="1"/>
      <c r="L2197" s="1"/>
      <c r="M2197" s="1"/>
      <c r="N2197" s="1"/>
      <c r="O2197" s="1"/>
      <c r="P2197" s="1"/>
      <c r="Q2197" s="1"/>
      <c r="R2197" s="1"/>
      <c r="S2197" s="1"/>
    </row>
    <row r="2198" ht="10.5" customHeight="1">
      <c r="A2198" s="1"/>
      <c r="B2198" s="185" t="s">
        <v>1347</v>
      </c>
      <c r="C2198" s="1"/>
      <c r="D2198" s="1"/>
      <c r="E2198" s="1"/>
      <c r="F2198" s="1"/>
      <c r="G2198" s="1"/>
      <c r="H2198" s="1"/>
      <c r="I2198" s="1"/>
      <c r="J2198" s="1"/>
      <c r="K2198" s="1"/>
      <c r="L2198" s="1"/>
      <c r="M2198" s="1"/>
      <c r="N2198" s="1"/>
      <c r="O2198" s="1"/>
      <c r="P2198" s="1"/>
      <c r="Q2198" s="1"/>
      <c r="R2198" s="1"/>
      <c r="S2198" s="1"/>
    </row>
    <row r="2199" ht="10.5" customHeight="1">
      <c r="A2199" s="1"/>
      <c r="B2199" s="1"/>
      <c r="C2199" s="15"/>
      <c r="D2199" s="15"/>
      <c r="E2199" s="15"/>
      <c r="F2199" s="15"/>
      <c r="G2199" s="15"/>
      <c r="H2199" s="15"/>
      <c r="I2199" s="1"/>
      <c r="J2199" s="1"/>
      <c r="K2199" s="1"/>
      <c r="L2199" s="1"/>
      <c r="M2199" s="1"/>
      <c r="N2199" s="1"/>
      <c r="O2199" s="1"/>
      <c r="P2199" s="1"/>
      <c r="Q2199" s="1"/>
      <c r="R2199" s="1"/>
      <c r="S2199" s="1"/>
    </row>
    <row r="2200" ht="10.5" customHeight="1">
      <c r="A2200" s="1"/>
      <c r="B2200" s="1"/>
      <c r="C2200" s="1"/>
      <c r="D2200" s="1"/>
      <c r="E2200" s="1"/>
      <c r="F2200" s="1"/>
      <c r="G2200" s="1"/>
      <c r="H2200" s="1"/>
      <c r="I2200" s="1"/>
      <c r="J2200" s="1"/>
      <c r="K2200" s="1"/>
      <c r="L2200" s="1"/>
      <c r="M2200" s="1"/>
      <c r="N2200" s="1"/>
      <c r="O2200" s="1"/>
      <c r="P2200" s="1"/>
      <c r="Q2200" s="1"/>
      <c r="R2200" s="1"/>
      <c r="S2200" s="1"/>
    </row>
    <row r="2201" ht="10.5" customHeight="1">
      <c r="A2201" s="1"/>
      <c r="B2201" s="1"/>
      <c r="C2201" s="1"/>
      <c r="D2201" s="1"/>
      <c r="E2201" s="1"/>
      <c r="F2201" s="1"/>
      <c r="G2201" s="1"/>
      <c r="H2201" s="1"/>
      <c r="I2201" s="1"/>
      <c r="J2201" s="1"/>
      <c r="K2201" s="1"/>
      <c r="L2201" s="1"/>
      <c r="M2201" s="1"/>
      <c r="N2201" s="1"/>
      <c r="O2201" s="1"/>
      <c r="P2201" s="1"/>
      <c r="Q2201" s="1"/>
      <c r="R2201" s="1"/>
      <c r="S2201" s="1"/>
    </row>
    <row r="2202" ht="10.5" customHeight="1">
      <c r="A2202" s="1"/>
      <c r="B2202" s="1"/>
      <c r="C2202" s="1"/>
      <c r="D2202" s="1"/>
      <c r="E2202" s="1"/>
      <c r="F2202" s="1"/>
      <c r="G2202" s="1"/>
      <c r="H2202" s="1"/>
      <c r="I2202" s="1"/>
      <c r="J2202" s="1"/>
      <c r="K2202" s="1"/>
      <c r="L2202" s="1"/>
      <c r="M2202" s="1"/>
      <c r="N2202" s="1"/>
      <c r="O2202" s="1"/>
      <c r="P2202" s="1"/>
      <c r="Q2202" s="1"/>
      <c r="R2202" s="1"/>
      <c r="S2202" s="1"/>
    </row>
    <row r="2203" ht="10.5" customHeight="1">
      <c r="A2203" s="1"/>
      <c r="B2203" s="1"/>
      <c r="C2203" s="1"/>
      <c r="D2203" s="1"/>
      <c r="E2203" s="1"/>
      <c r="F2203" s="1"/>
      <c r="G2203" s="1"/>
      <c r="H2203" s="1"/>
      <c r="I2203" s="1"/>
      <c r="J2203" s="1"/>
      <c r="K2203" s="1"/>
      <c r="L2203" s="1"/>
      <c r="M2203" s="1"/>
      <c r="N2203" s="1"/>
      <c r="O2203" s="1"/>
      <c r="P2203" s="1"/>
      <c r="Q2203" s="1"/>
      <c r="R2203" s="1"/>
      <c r="S2203" s="1"/>
    </row>
    <row r="2204" ht="10.5" customHeight="1">
      <c r="A2204" s="1"/>
      <c r="B2204" s="1"/>
      <c r="C2204" s="1"/>
      <c r="D2204" s="1"/>
      <c r="E2204" s="1"/>
      <c r="F2204" s="1"/>
      <c r="G2204" s="1"/>
      <c r="H2204" s="1"/>
      <c r="I2204" s="1"/>
      <c r="J2204" s="1"/>
      <c r="K2204" s="1"/>
      <c r="L2204" s="1"/>
      <c r="M2204" s="1"/>
      <c r="N2204" s="1"/>
      <c r="O2204" s="1"/>
      <c r="P2204" s="1"/>
      <c r="Q2204" s="1"/>
      <c r="R2204" s="1"/>
      <c r="S2204" s="1"/>
    </row>
    <row r="2205" ht="10.5" customHeight="1">
      <c r="A2205" s="1"/>
      <c r="B2205" s="1"/>
      <c r="C2205" s="1"/>
      <c r="D2205" s="1"/>
      <c r="E2205" s="1"/>
      <c r="F2205" s="1"/>
      <c r="G2205" s="1"/>
      <c r="H2205" s="1"/>
      <c r="I2205" s="1"/>
      <c r="J2205" s="1"/>
      <c r="K2205" s="1"/>
      <c r="L2205" s="1"/>
      <c r="M2205" s="1"/>
      <c r="N2205" s="1"/>
      <c r="O2205" s="1"/>
      <c r="P2205" s="1"/>
      <c r="Q2205" s="1"/>
      <c r="R2205" s="1"/>
      <c r="S2205" s="1"/>
    </row>
    <row r="2206" ht="10.5" customHeight="1">
      <c r="A2206" s="1"/>
      <c r="B2206" s="1"/>
      <c r="C2206" s="1"/>
      <c r="D2206" s="1"/>
      <c r="E2206" s="1"/>
      <c r="F2206" s="1"/>
      <c r="G2206" s="1"/>
      <c r="H2206" s="1"/>
      <c r="I2206" s="1"/>
      <c r="J2206" s="1"/>
      <c r="K2206" s="1"/>
      <c r="L2206" s="1"/>
      <c r="M2206" s="1"/>
      <c r="N2206" s="1"/>
      <c r="O2206" s="1"/>
      <c r="P2206" s="1"/>
      <c r="Q2206" s="1"/>
      <c r="R2206" s="1"/>
      <c r="S2206" s="1"/>
    </row>
    <row r="2207" ht="10.5" customHeight="1">
      <c r="A2207" s="1"/>
      <c r="B2207" s="1"/>
      <c r="C2207" s="1"/>
      <c r="D2207" s="1"/>
      <c r="E2207" s="1"/>
      <c r="F2207" s="1"/>
      <c r="G2207" s="1"/>
      <c r="H2207" s="1"/>
      <c r="I2207" s="1"/>
      <c r="J2207" s="1"/>
      <c r="K2207" s="1"/>
      <c r="L2207" s="1"/>
      <c r="M2207" s="1"/>
      <c r="N2207" s="1"/>
      <c r="O2207" s="1"/>
      <c r="P2207" s="1"/>
      <c r="Q2207" s="1"/>
      <c r="R2207" s="1"/>
      <c r="S2207" s="1"/>
    </row>
    <row r="2208" ht="10.5" customHeight="1">
      <c r="A2208" s="1"/>
      <c r="B2208" s="1"/>
      <c r="C2208" s="1"/>
      <c r="D2208" s="1"/>
      <c r="E2208" s="1"/>
      <c r="F2208" s="1"/>
      <c r="G2208" s="1"/>
      <c r="H2208" s="1"/>
      <c r="I2208" s="1"/>
      <c r="J2208" s="1"/>
      <c r="K2208" s="1"/>
      <c r="L2208" s="1"/>
      <c r="M2208" s="1"/>
      <c r="N2208" s="1"/>
      <c r="O2208" s="1"/>
      <c r="P2208" s="1"/>
      <c r="Q2208" s="1"/>
      <c r="R2208" s="1"/>
      <c r="S2208" s="1"/>
    </row>
    <row r="2209" ht="10.5" customHeight="1">
      <c r="A2209" s="1"/>
      <c r="B2209" s="1"/>
      <c r="C2209" s="1"/>
      <c r="D2209" s="1"/>
      <c r="E2209" s="1"/>
      <c r="F2209" s="1"/>
      <c r="G2209" s="1"/>
      <c r="H2209" s="1"/>
      <c r="I2209" s="1"/>
      <c r="J2209" s="1"/>
      <c r="K2209" s="1"/>
      <c r="L2209" s="1"/>
      <c r="M2209" s="1"/>
      <c r="N2209" s="1"/>
      <c r="O2209" s="1"/>
      <c r="P2209" s="1"/>
      <c r="Q2209" s="1"/>
      <c r="R2209" s="1"/>
      <c r="S2209" s="1"/>
    </row>
    <row r="2210" ht="10.5" customHeight="1">
      <c r="A2210" s="1"/>
      <c r="B2210" s="1"/>
      <c r="C2210" s="1"/>
      <c r="D2210" s="1"/>
      <c r="E2210" s="1"/>
      <c r="F2210" s="1"/>
      <c r="G2210" s="1"/>
      <c r="H2210" s="1"/>
      <c r="I2210" s="1"/>
      <c r="J2210" s="1"/>
      <c r="K2210" s="1"/>
      <c r="L2210" s="1"/>
      <c r="M2210" s="1"/>
      <c r="N2210" s="1"/>
      <c r="O2210" s="1"/>
      <c r="P2210" s="1"/>
      <c r="Q2210" s="1"/>
      <c r="R2210" s="1"/>
      <c r="S2210" s="1"/>
    </row>
    <row r="2211" ht="10.5" customHeight="1">
      <c r="A2211" s="1"/>
      <c r="B2211" s="1"/>
      <c r="C2211" s="1"/>
      <c r="D2211" s="1"/>
      <c r="E2211" s="1"/>
      <c r="F2211" s="1"/>
      <c r="G2211" s="1"/>
      <c r="H2211" s="1"/>
      <c r="I2211" s="1"/>
      <c r="J2211" s="1"/>
      <c r="K2211" s="1"/>
      <c r="L2211" s="1"/>
      <c r="M2211" s="1"/>
      <c r="N2211" s="1"/>
      <c r="O2211" s="1"/>
      <c r="P2211" s="1"/>
      <c r="Q2211" s="1"/>
      <c r="R2211" s="1"/>
      <c r="S2211" s="1"/>
    </row>
    <row r="2212" ht="10.5" customHeight="1">
      <c r="A2212" s="1"/>
      <c r="B2212" s="1"/>
      <c r="C2212" s="1"/>
      <c r="D2212" s="1"/>
      <c r="E2212" s="1"/>
      <c r="F2212" s="1"/>
      <c r="G2212" s="1"/>
      <c r="H2212" s="1"/>
      <c r="I2212" s="1"/>
      <c r="J2212" s="1"/>
      <c r="K2212" s="1"/>
      <c r="L2212" s="1"/>
      <c r="M2212" s="1"/>
      <c r="N2212" s="1"/>
      <c r="O2212" s="1"/>
      <c r="P2212" s="1"/>
      <c r="Q2212" s="1"/>
      <c r="R2212" s="1"/>
      <c r="S2212" s="1"/>
    </row>
    <row r="2213" ht="10.5" customHeight="1">
      <c r="A2213" s="1"/>
      <c r="B2213" s="1"/>
      <c r="C2213" s="1"/>
      <c r="D2213" s="1"/>
      <c r="E2213" s="1"/>
      <c r="F2213" s="1"/>
      <c r="G2213" s="1"/>
      <c r="H2213" s="1"/>
      <c r="I2213" s="1"/>
      <c r="J2213" s="1"/>
      <c r="K2213" s="1"/>
      <c r="L2213" s="1"/>
      <c r="M2213" s="1"/>
      <c r="N2213" s="1"/>
      <c r="O2213" s="1"/>
      <c r="P2213" s="1"/>
      <c r="Q2213" s="1"/>
      <c r="R2213" s="1"/>
      <c r="S2213" s="1"/>
    </row>
    <row r="2214" ht="10.5" customHeight="1">
      <c r="A2214" s="1"/>
      <c r="B2214" s="1"/>
      <c r="C2214" s="1"/>
      <c r="D2214" s="1"/>
      <c r="E2214" s="1"/>
      <c r="F2214" s="1"/>
      <c r="G2214" s="1"/>
      <c r="H2214" s="1"/>
      <c r="I2214" s="1"/>
      <c r="J2214" s="1"/>
      <c r="K2214" s="1"/>
      <c r="L2214" s="1"/>
      <c r="M2214" s="1"/>
      <c r="N2214" s="1"/>
      <c r="O2214" s="1"/>
      <c r="P2214" s="1"/>
      <c r="Q2214" s="1"/>
      <c r="R2214" s="1"/>
      <c r="S2214" s="1"/>
    </row>
    <row r="2215" ht="10.5" customHeight="1">
      <c r="A2215" s="1"/>
      <c r="B2215" s="1"/>
      <c r="C2215" s="1"/>
      <c r="D2215" s="1"/>
      <c r="E2215" s="1"/>
      <c r="F2215" s="1"/>
      <c r="G2215" s="1"/>
      <c r="H2215" s="1"/>
      <c r="I2215" s="1"/>
      <c r="J2215" s="1"/>
      <c r="K2215" s="1"/>
      <c r="L2215" s="1"/>
      <c r="M2215" s="1"/>
      <c r="N2215" s="1"/>
      <c r="O2215" s="1"/>
      <c r="P2215" s="1"/>
      <c r="Q2215" s="1"/>
      <c r="R2215" s="1"/>
      <c r="S2215" s="1"/>
    </row>
    <row r="2216" ht="10.5" customHeight="1">
      <c r="A2216" s="1"/>
      <c r="B2216" s="1"/>
      <c r="C2216" s="1"/>
      <c r="D2216" s="1"/>
      <c r="E2216" s="1"/>
      <c r="F2216" s="1"/>
      <c r="G2216" s="1"/>
      <c r="H2216" s="1"/>
      <c r="I2216" s="1"/>
      <c r="J2216" s="1"/>
      <c r="K2216" s="1"/>
      <c r="L2216" s="1"/>
      <c r="M2216" s="1"/>
      <c r="N2216" s="1"/>
      <c r="O2216" s="1"/>
      <c r="P2216" s="1"/>
      <c r="Q2216" s="1"/>
      <c r="R2216" s="1"/>
      <c r="S2216" s="1"/>
    </row>
    <row r="2217" ht="10.5" customHeight="1">
      <c r="A2217" s="1"/>
      <c r="B2217" s="1"/>
      <c r="C2217" s="1"/>
      <c r="D2217" s="1"/>
      <c r="E2217" s="1"/>
      <c r="F2217" s="1"/>
      <c r="G2217" s="1"/>
      <c r="H2217" s="1"/>
      <c r="I2217" s="1"/>
      <c r="J2217" s="1"/>
      <c r="K2217" s="1"/>
      <c r="L2217" s="1"/>
      <c r="M2217" s="1"/>
      <c r="N2217" s="1"/>
      <c r="O2217" s="1"/>
      <c r="P2217" s="1"/>
      <c r="Q2217" s="1"/>
      <c r="R2217" s="1"/>
      <c r="S2217" s="1"/>
    </row>
    <row r="2218" ht="10.5" customHeight="1">
      <c r="A2218" s="1"/>
      <c r="B2218" s="1"/>
      <c r="C2218" s="1"/>
      <c r="D2218" s="1"/>
      <c r="E2218" s="1"/>
      <c r="F2218" s="1"/>
      <c r="G2218" s="1"/>
      <c r="H2218" s="1"/>
      <c r="I2218" s="1"/>
      <c r="J2218" s="1"/>
      <c r="K2218" s="1"/>
      <c r="L2218" s="1"/>
      <c r="M2218" s="1"/>
      <c r="N2218" s="1"/>
      <c r="O2218" s="1"/>
      <c r="P2218" s="1"/>
      <c r="Q2218" s="1"/>
      <c r="R2218" s="1"/>
      <c r="S2218" s="1"/>
    </row>
    <row r="2219" ht="10.5" customHeight="1">
      <c r="A2219" s="1"/>
      <c r="B2219" s="1"/>
      <c r="C2219" s="1"/>
      <c r="D2219" s="1"/>
      <c r="E2219" s="1"/>
      <c r="F2219" s="1"/>
      <c r="G2219" s="1"/>
      <c r="H2219" s="1"/>
      <c r="I2219" s="1"/>
      <c r="J2219" s="1"/>
      <c r="K2219" s="1"/>
      <c r="L2219" s="1"/>
      <c r="M2219" s="1"/>
      <c r="N2219" s="1"/>
      <c r="O2219" s="1"/>
      <c r="P2219" s="1"/>
      <c r="Q2219" s="1"/>
      <c r="R2219" s="1"/>
      <c r="S2219" s="1"/>
    </row>
    <row r="2220" ht="10.5" customHeight="1">
      <c r="A2220" s="1"/>
      <c r="B2220" s="1"/>
      <c r="C2220" s="1"/>
      <c r="D2220" s="1"/>
      <c r="E2220" s="1"/>
      <c r="F2220" s="1"/>
      <c r="G2220" s="1"/>
      <c r="H2220" s="1"/>
      <c r="I2220" s="1"/>
      <c r="J2220" s="1"/>
      <c r="K2220" s="1"/>
      <c r="L2220" s="1"/>
      <c r="M2220" s="1"/>
      <c r="N2220" s="1"/>
      <c r="O2220" s="1"/>
      <c r="P2220" s="1"/>
      <c r="Q2220" s="1"/>
      <c r="R2220" s="1"/>
      <c r="S2220" s="1"/>
    </row>
    <row r="2221" ht="10.5" customHeight="1">
      <c r="A2221" s="1"/>
      <c r="B2221" s="1"/>
      <c r="C2221" s="1"/>
      <c r="D2221" s="1"/>
      <c r="E2221" s="1"/>
      <c r="F2221" s="1"/>
      <c r="G2221" s="1"/>
      <c r="H2221" s="1"/>
      <c r="I2221" s="1"/>
      <c r="J2221" s="1"/>
      <c r="K2221" s="1"/>
      <c r="L2221" s="1"/>
      <c r="M2221" s="1"/>
      <c r="N2221" s="1"/>
      <c r="O2221" s="1"/>
      <c r="P2221" s="1"/>
      <c r="Q2221" s="1"/>
      <c r="R2221" s="1"/>
      <c r="S2221" s="1"/>
    </row>
    <row r="2222" ht="10.5" customHeight="1">
      <c r="A2222" s="1"/>
      <c r="B2222" s="1"/>
      <c r="C2222" s="1"/>
      <c r="D2222" s="1"/>
      <c r="E2222" s="1"/>
      <c r="F2222" s="1"/>
      <c r="G2222" s="1"/>
      <c r="H2222" s="1"/>
      <c r="I2222" s="1"/>
      <c r="J2222" s="1"/>
      <c r="K2222" s="1"/>
      <c r="L2222" s="1"/>
      <c r="M2222" s="1"/>
      <c r="N2222" s="1"/>
      <c r="O2222" s="1"/>
      <c r="P2222" s="1"/>
      <c r="Q2222" s="1"/>
      <c r="R2222" s="1"/>
      <c r="S2222" s="1"/>
    </row>
    <row r="2223" ht="10.5" customHeight="1">
      <c r="A2223" s="1"/>
      <c r="B2223" s="1"/>
      <c r="C2223" s="1"/>
      <c r="D2223" s="1"/>
      <c r="E2223" s="1"/>
      <c r="F2223" s="1"/>
      <c r="G2223" s="1"/>
      <c r="H2223" s="1"/>
      <c r="I2223" s="1"/>
      <c r="J2223" s="1"/>
      <c r="K2223" s="1"/>
      <c r="L2223" s="1"/>
      <c r="M2223" s="1"/>
      <c r="N2223" s="1"/>
      <c r="O2223" s="1"/>
      <c r="P2223" s="1"/>
      <c r="Q2223" s="1"/>
      <c r="R2223" s="1"/>
      <c r="S2223" s="1"/>
    </row>
    <row r="2224" ht="10.5" customHeight="1">
      <c r="A2224" s="1"/>
      <c r="B2224" s="1"/>
      <c r="C2224" s="1"/>
      <c r="D2224" s="1"/>
      <c r="E2224" s="1"/>
      <c r="F2224" s="1"/>
      <c r="G2224" s="110">
        <v>31.0</v>
      </c>
      <c r="H2224" s="1"/>
      <c r="I2224" s="1"/>
      <c r="J2224" s="1"/>
      <c r="K2224" s="1"/>
      <c r="L2224" s="1"/>
      <c r="M2224" s="1"/>
      <c r="N2224" s="1"/>
      <c r="O2224" s="1"/>
      <c r="P2224" s="1"/>
      <c r="Q2224" s="1"/>
      <c r="R2224" s="1"/>
      <c r="S2224" s="1"/>
    </row>
    <row r="2225" ht="10.5" customHeight="1">
      <c r="A2225" s="1"/>
      <c r="B2225" s="1"/>
      <c r="C2225" s="1"/>
      <c r="D2225" s="1"/>
      <c r="E2225" s="1"/>
      <c r="F2225" s="1"/>
      <c r="G2225" s="1"/>
      <c r="H2225" s="1"/>
      <c r="I2225" s="1"/>
      <c r="J2225" s="1"/>
      <c r="K2225" s="1"/>
      <c r="L2225" s="1"/>
      <c r="M2225" s="1"/>
      <c r="N2225" s="1"/>
      <c r="O2225" s="1"/>
      <c r="P2225" s="1"/>
      <c r="Q2225" s="1"/>
      <c r="R2225" s="1"/>
      <c r="S2225" s="1"/>
    </row>
    <row r="2226" ht="10.5" customHeight="1">
      <c r="A2226" s="1"/>
      <c r="B2226" s="1"/>
      <c r="C2226" s="1"/>
      <c r="D2226" s="1"/>
      <c r="E2226" s="1"/>
      <c r="F2226" s="1"/>
      <c r="G2226" s="1"/>
      <c r="H2226" s="1"/>
      <c r="I2226" s="1"/>
      <c r="J2226" s="1"/>
      <c r="K2226" s="1"/>
      <c r="L2226" s="1"/>
      <c r="M2226" s="1"/>
      <c r="N2226" s="1"/>
      <c r="O2226" s="1"/>
      <c r="P2226" s="1"/>
      <c r="Q2226" s="1"/>
      <c r="R2226" s="1"/>
      <c r="S2226" s="1"/>
    </row>
    <row r="2227" ht="11.25" customHeight="1">
      <c r="A2227" s="1"/>
      <c r="B2227" s="1" t="s">
        <v>1358</v>
      </c>
      <c r="C2227" s="1"/>
      <c r="D2227" s="1"/>
      <c r="E2227" s="1"/>
      <c r="F2227" s="1"/>
      <c r="G2227" s="1"/>
      <c r="H2227" s="1"/>
      <c r="I2227" s="1"/>
      <c r="J2227" s="1"/>
      <c r="K2227" s="1"/>
      <c r="L2227" s="1"/>
      <c r="M2227" s="1"/>
      <c r="N2227" s="1"/>
      <c r="O2227" s="1"/>
      <c r="P2227" s="1"/>
      <c r="Q2227" s="1"/>
      <c r="R2227" s="1"/>
      <c r="S2227" s="1"/>
    </row>
    <row r="2228" ht="11.25" customHeight="1">
      <c r="A2228" s="1"/>
      <c r="B2228" s="29" t="s">
        <v>1359</v>
      </c>
      <c r="C2228" s="31" t="s">
        <v>1360</v>
      </c>
      <c r="D2228" s="128" t="s">
        <v>1361</v>
      </c>
      <c r="E2228" s="9"/>
      <c r="F2228" s="9"/>
      <c r="G2228" s="9"/>
      <c r="H2228" s="9"/>
      <c r="I2228" s="10"/>
      <c r="J2228" s="29" t="s">
        <v>42</v>
      </c>
      <c r="K2228" s="1"/>
      <c r="L2228" s="1"/>
      <c r="M2228" s="1"/>
      <c r="N2228" s="1"/>
      <c r="O2228" s="1"/>
      <c r="P2228" s="1"/>
      <c r="Q2228" s="1"/>
      <c r="R2228" s="1"/>
      <c r="S2228" s="1"/>
    </row>
    <row r="2229" ht="10.5" customHeight="1">
      <c r="A2229" s="1"/>
      <c r="B2229" s="5"/>
      <c r="C2229" s="5"/>
      <c r="D2229" s="31" t="s">
        <v>1364</v>
      </c>
      <c r="E2229" s="128" t="s">
        <v>1365</v>
      </c>
      <c r="F2229" s="10"/>
      <c r="G2229" s="31" t="s">
        <v>1366</v>
      </c>
      <c r="H2229" s="31" t="s">
        <v>1368</v>
      </c>
      <c r="I2229" s="31" t="s">
        <v>2</v>
      </c>
      <c r="J2229" s="5"/>
      <c r="K2229" s="1"/>
      <c r="L2229" s="1"/>
      <c r="M2229" s="1"/>
      <c r="N2229" s="1"/>
      <c r="O2229" s="1"/>
      <c r="P2229" s="1"/>
      <c r="Q2229" s="1"/>
      <c r="R2229" s="1"/>
      <c r="S2229" s="1"/>
    </row>
    <row r="2230" ht="10.5" customHeight="1">
      <c r="A2230" s="1"/>
      <c r="B2230" s="5"/>
      <c r="C2230" s="6"/>
      <c r="D2230" s="6"/>
      <c r="E2230" s="128" t="s">
        <v>1370</v>
      </c>
      <c r="F2230" s="128" t="s">
        <v>1371</v>
      </c>
      <c r="G2230" s="6"/>
      <c r="H2230" s="6"/>
      <c r="I2230" s="6"/>
      <c r="J2230" s="5"/>
      <c r="K2230" s="1"/>
      <c r="L2230" s="1"/>
      <c r="M2230" s="1"/>
      <c r="N2230" s="1"/>
      <c r="O2230" s="1"/>
      <c r="P2230" s="1"/>
      <c r="Q2230" s="1"/>
      <c r="R2230" s="1"/>
      <c r="S2230" s="1"/>
    </row>
    <row r="2231" ht="10.5" customHeight="1">
      <c r="A2231" s="1"/>
      <c r="B2231" s="6"/>
      <c r="C2231" s="793" t="s">
        <v>48</v>
      </c>
      <c r="D2231" s="8" t="s">
        <v>49</v>
      </c>
      <c r="E2231" s="9"/>
      <c r="F2231" s="9"/>
      <c r="G2231" s="9"/>
      <c r="H2231" s="9"/>
      <c r="I2231" s="10"/>
      <c r="J2231" s="6"/>
      <c r="K2231" s="1"/>
      <c r="L2231" s="1"/>
      <c r="M2231" s="1"/>
      <c r="N2231" s="1"/>
      <c r="O2231" s="1"/>
      <c r="P2231" s="1"/>
      <c r="Q2231" s="1"/>
      <c r="R2231" s="1"/>
      <c r="S2231" s="1"/>
    </row>
    <row r="2232" ht="10.5" customHeight="1">
      <c r="A2232" s="1"/>
      <c r="B2232" s="48" t="s">
        <v>264</v>
      </c>
      <c r="C2232" s="250">
        <v>36.0</v>
      </c>
      <c r="D2232" s="284">
        <v>18.6</v>
      </c>
      <c r="E2232" s="284">
        <v>2.5</v>
      </c>
      <c r="F2232" s="285">
        <v>9.4</v>
      </c>
      <c r="G2232" s="284">
        <v>1.2</v>
      </c>
      <c r="H2232" s="284">
        <v>0.8</v>
      </c>
      <c r="I2232" s="284">
        <f t="shared" ref="I2232:I2236" si="69">SUM(D2232:H2232)</f>
        <v>32.5</v>
      </c>
      <c r="J2232" s="238" t="s">
        <v>267</v>
      </c>
      <c r="K2232" s="1"/>
      <c r="L2232" s="1"/>
      <c r="M2232" s="1"/>
      <c r="N2232" s="1"/>
      <c r="O2232" s="1"/>
      <c r="P2232" s="1"/>
      <c r="Q2232" s="1"/>
      <c r="R2232" s="1"/>
      <c r="S2232" s="1"/>
    </row>
    <row r="2233" ht="10.5" customHeight="1">
      <c r="A2233" s="1"/>
      <c r="B2233" s="48" t="s">
        <v>267</v>
      </c>
      <c r="C2233" s="250" t="s">
        <v>10</v>
      </c>
      <c r="D2233" s="284">
        <v>17.2</v>
      </c>
      <c r="E2233" s="284">
        <v>2.8</v>
      </c>
      <c r="F2233" s="285">
        <v>9.0</v>
      </c>
      <c r="G2233" s="284">
        <v>1.3</v>
      </c>
      <c r="H2233" s="284">
        <v>0.8</v>
      </c>
      <c r="I2233" s="284">
        <f t="shared" si="69"/>
        <v>31.1</v>
      </c>
      <c r="J2233" s="238" t="s">
        <v>268</v>
      </c>
      <c r="K2233" s="1"/>
      <c r="L2233" s="1"/>
      <c r="M2233" s="1"/>
      <c r="N2233" s="1"/>
      <c r="O2233" s="1"/>
      <c r="P2233" s="1"/>
      <c r="Q2233" s="1"/>
      <c r="R2233" s="1"/>
      <c r="S2233" s="1"/>
    </row>
    <row r="2234" ht="10.5" customHeight="1">
      <c r="A2234" s="1"/>
      <c r="B2234" s="48" t="s">
        <v>268</v>
      </c>
      <c r="C2234" s="250">
        <v>38.0</v>
      </c>
      <c r="D2234" s="284">
        <v>16.0</v>
      </c>
      <c r="E2234" s="284">
        <v>2.3</v>
      </c>
      <c r="F2234" s="285">
        <v>8.5</v>
      </c>
      <c r="G2234" s="284">
        <v>1.5</v>
      </c>
      <c r="H2234" s="284">
        <v>0.9</v>
      </c>
      <c r="I2234" s="284">
        <f t="shared" si="69"/>
        <v>29.2</v>
      </c>
      <c r="J2234" s="238" t="s">
        <v>269</v>
      </c>
      <c r="K2234" s="1"/>
      <c r="L2234" s="1"/>
      <c r="M2234" s="1"/>
      <c r="N2234" s="1"/>
      <c r="O2234" s="1"/>
      <c r="P2234" s="1"/>
      <c r="Q2234" s="1"/>
      <c r="R2234" s="1"/>
      <c r="S2234" s="1"/>
    </row>
    <row r="2235" ht="10.5" customHeight="1">
      <c r="A2235" s="1"/>
      <c r="B2235" s="48" t="s">
        <v>269</v>
      </c>
      <c r="C2235" s="250">
        <v>37.0</v>
      </c>
      <c r="D2235" s="284">
        <v>19.3</v>
      </c>
      <c r="E2235" s="284">
        <v>4.4</v>
      </c>
      <c r="F2235" s="285">
        <v>7.3</v>
      </c>
      <c r="G2235" s="284">
        <v>1.9</v>
      </c>
      <c r="H2235" s="284">
        <v>0.8</v>
      </c>
      <c r="I2235" s="284">
        <f t="shared" si="69"/>
        <v>33.7</v>
      </c>
      <c r="J2235" s="238" t="s">
        <v>270</v>
      </c>
      <c r="K2235" s="1"/>
      <c r="L2235" s="1"/>
      <c r="M2235" s="1"/>
      <c r="N2235" s="1"/>
      <c r="O2235" s="1"/>
      <c r="P2235" s="1"/>
      <c r="Q2235" s="1"/>
      <c r="R2235" s="1"/>
      <c r="S2235" s="1"/>
    </row>
    <row r="2236" ht="10.5" customHeight="1">
      <c r="A2236" s="1"/>
      <c r="B2236" s="48" t="s">
        <v>270</v>
      </c>
      <c r="C2236" s="250">
        <v>39.0</v>
      </c>
      <c r="D2236" s="284">
        <v>16.9</v>
      </c>
      <c r="E2236" s="284">
        <v>3.0</v>
      </c>
      <c r="F2236" s="285">
        <v>5.4</v>
      </c>
      <c r="G2236" s="284">
        <v>1.5</v>
      </c>
      <c r="H2236" s="284">
        <v>0.9</v>
      </c>
      <c r="I2236" s="284">
        <f t="shared" si="69"/>
        <v>27.7</v>
      </c>
      <c r="J2236" s="238" t="s">
        <v>271</v>
      </c>
      <c r="K2236" s="1"/>
      <c r="L2236" s="1"/>
      <c r="M2236" s="1"/>
      <c r="N2236" s="1"/>
      <c r="O2236" s="1"/>
      <c r="P2236" s="1"/>
      <c r="Q2236" s="1"/>
      <c r="R2236" s="1"/>
      <c r="S2236" s="1"/>
    </row>
    <row r="2237" ht="10.5" customHeight="1">
      <c r="A2237" s="1"/>
      <c r="B2237" s="48"/>
      <c r="C2237" s="250"/>
      <c r="D2237" s="284"/>
      <c r="E2237" s="284"/>
      <c r="F2237" s="285"/>
      <c r="G2237" s="284"/>
      <c r="H2237" s="284"/>
      <c r="I2237" s="284"/>
      <c r="J2237" s="238"/>
      <c r="K2237" s="1"/>
      <c r="L2237" s="1"/>
      <c r="M2237" s="1"/>
      <c r="N2237" s="1"/>
      <c r="O2237" s="1"/>
      <c r="P2237" s="1"/>
      <c r="Q2237" s="1"/>
      <c r="R2237" s="1"/>
      <c r="S2237" s="1"/>
    </row>
    <row r="2238" ht="10.5" customHeight="1">
      <c r="A2238" s="1"/>
      <c r="B2238" s="48" t="s">
        <v>271</v>
      </c>
      <c r="C2238" s="250">
        <v>36.0</v>
      </c>
      <c r="D2238" s="284">
        <v>19.8</v>
      </c>
      <c r="E2238" s="284">
        <v>3.6</v>
      </c>
      <c r="F2238" s="285">
        <v>6.1</v>
      </c>
      <c r="G2238" s="284">
        <v>1.9</v>
      </c>
      <c r="H2238" s="284">
        <v>0.8</v>
      </c>
      <c r="I2238" s="284">
        <f t="shared" ref="I2238:I2242" si="70">SUM(D2238:H2238)</f>
        <v>32.2</v>
      </c>
      <c r="J2238" s="238" t="s">
        <v>272</v>
      </c>
      <c r="K2238" s="1"/>
      <c r="L2238" s="1"/>
      <c r="M2238" s="1"/>
      <c r="N2238" s="1"/>
      <c r="O2238" s="1"/>
      <c r="P2238" s="1"/>
      <c r="Q2238" s="1"/>
      <c r="R2238" s="1"/>
      <c r="S2238" s="1"/>
    </row>
    <row r="2239" ht="10.5" customHeight="1">
      <c r="A2239" s="1"/>
      <c r="B2239" s="48" t="s">
        <v>272</v>
      </c>
      <c r="C2239" s="250">
        <v>46.0</v>
      </c>
      <c r="D2239" s="284">
        <v>27.9</v>
      </c>
      <c r="E2239" s="284">
        <v>3.9</v>
      </c>
      <c r="F2239" s="285">
        <v>5.3</v>
      </c>
      <c r="G2239" s="284">
        <v>2.2</v>
      </c>
      <c r="H2239" s="284">
        <v>1.3</v>
      </c>
      <c r="I2239" s="284">
        <f t="shared" si="70"/>
        <v>40.6</v>
      </c>
      <c r="J2239" s="238" t="s">
        <v>274</v>
      </c>
      <c r="K2239" s="1"/>
      <c r="L2239" s="1"/>
      <c r="M2239" s="1"/>
      <c r="N2239" s="1"/>
      <c r="O2239" s="1"/>
      <c r="P2239" s="1"/>
      <c r="Q2239" s="1"/>
      <c r="R2239" s="1"/>
      <c r="S2239" s="1"/>
    </row>
    <row r="2240" ht="10.5" customHeight="1">
      <c r="A2240" s="1"/>
      <c r="B2240" s="48" t="s">
        <v>274</v>
      </c>
      <c r="C2240" s="250">
        <v>47.0</v>
      </c>
      <c r="D2240" s="284">
        <v>27.9</v>
      </c>
      <c r="E2240" s="284">
        <v>3.6</v>
      </c>
      <c r="F2240" s="285">
        <v>8.9</v>
      </c>
      <c r="G2240" s="284">
        <v>2.4</v>
      </c>
      <c r="H2240" s="284">
        <v>1.1</v>
      </c>
      <c r="I2240" s="284">
        <f t="shared" si="70"/>
        <v>43.9</v>
      </c>
      <c r="J2240" s="238" t="s">
        <v>275</v>
      </c>
      <c r="K2240" s="1"/>
      <c r="L2240" s="1"/>
      <c r="M2240" s="1"/>
      <c r="N2240" s="1"/>
      <c r="O2240" s="1"/>
      <c r="P2240" s="1"/>
      <c r="Q2240" s="1"/>
      <c r="R2240" s="1"/>
      <c r="S2240" s="1"/>
    </row>
    <row r="2241" ht="10.5" customHeight="1">
      <c r="A2241" s="1"/>
      <c r="B2241" s="48" t="s">
        <v>275</v>
      </c>
      <c r="C2241" s="250">
        <v>40.0</v>
      </c>
      <c r="D2241" s="284">
        <v>30.4</v>
      </c>
      <c r="E2241" s="284">
        <v>6.0</v>
      </c>
      <c r="F2241" s="285">
        <v>7.7</v>
      </c>
      <c r="G2241" s="284">
        <v>2.4</v>
      </c>
      <c r="H2241" s="284">
        <v>1.2</v>
      </c>
      <c r="I2241" s="284">
        <f t="shared" si="70"/>
        <v>47.7</v>
      </c>
      <c r="J2241" s="238" t="s">
        <v>276</v>
      </c>
      <c r="K2241" s="1"/>
      <c r="L2241" s="1"/>
      <c r="M2241" s="1"/>
      <c r="N2241" s="1"/>
      <c r="O2241" s="1"/>
      <c r="P2241" s="1"/>
      <c r="Q2241" s="1"/>
      <c r="R2241" s="1"/>
      <c r="S2241" s="1"/>
    </row>
    <row r="2242" ht="10.5" customHeight="1">
      <c r="A2242" s="1"/>
      <c r="B2242" s="48" t="s">
        <v>276</v>
      </c>
      <c r="C2242" s="250">
        <v>38.0</v>
      </c>
      <c r="D2242" s="284">
        <v>21.7</v>
      </c>
      <c r="E2242" s="284">
        <v>2.8</v>
      </c>
      <c r="F2242" s="285">
        <v>6.7</v>
      </c>
      <c r="G2242" s="284">
        <v>2.2</v>
      </c>
      <c r="H2242" s="284">
        <v>1.2</v>
      </c>
      <c r="I2242" s="284">
        <f t="shared" si="70"/>
        <v>34.6</v>
      </c>
      <c r="J2242" s="238" t="s">
        <v>56</v>
      </c>
      <c r="K2242" s="1"/>
      <c r="L2242" s="1"/>
      <c r="M2242" s="1"/>
      <c r="N2242" s="1"/>
      <c r="O2242" s="1"/>
      <c r="P2242" s="1"/>
      <c r="Q2242" s="1"/>
      <c r="R2242" s="1"/>
      <c r="S2242" s="1"/>
    </row>
    <row r="2243" ht="10.5" customHeight="1">
      <c r="A2243" s="1"/>
      <c r="B2243" s="48"/>
      <c r="C2243" s="250"/>
      <c r="D2243" s="284"/>
      <c r="E2243" s="284"/>
      <c r="F2243" s="285"/>
      <c r="G2243" s="284"/>
      <c r="H2243" s="284"/>
      <c r="I2243" s="284"/>
      <c r="J2243" s="238"/>
      <c r="K2243" s="1"/>
      <c r="L2243" s="1"/>
      <c r="M2243" s="1"/>
      <c r="N2243" s="1"/>
      <c r="O2243" s="1"/>
      <c r="P2243" s="1"/>
      <c r="Q2243" s="1"/>
      <c r="R2243" s="1"/>
      <c r="S2243" s="1"/>
    </row>
    <row r="2244" ht="10.5" customHeight="1">
      <c r="A2244" s="1"/>
      <c r="B2244" s="48" t="s">
        <v>56</v>
      </c>
      <c r="C2244" s="250">
        <v>31.0</v>
      </c>
      <c r="D2244" s="284">
        <v>18.5</v>
      </c>
      <c r="E2244" s="284">
        <v>2.0</v>
      </c>
      <c r="F2244" s="285">
        <v>3.5</v>
      </c>
      <c r="G2244" s="284">
        <v>2.6</v>
      </c>
      <c r="H2244" s="284">
        <v>1.2</v>
      </c>
      <c r="I2244" s="284">
        <f t="shared" ref="I2244:I2248" si="71">SUM(D2244:H2244)</f>
        <v>27.8</v>
      </c>
      <c r="J2244" s="238" t="s">
        <v>81</v>
      </c>
      <c r="K2244" s="1"/>
      <c r="L2244" s="1"/>
      <c r="M2244" s="1"/>
      <c r="N2244" s="1"/>
      <c r="O2244" s="1"/>
      <c r="P2244" s="1"/>
      <c r="Q2244" s="1"/>
      <c r="R2244" s="1"/>
      <c r="S2244" s="1"/>
    </row>
    <row r="2245" ht="10.5" customHeight="1">
      <c r="A2245" s="1"/>
      <c r="B2245" s="48" t="s">
        <v>81</v>
      </c>
      <c r="C2245" s="250">
        <v>30.0</v>
      </c>
      <c r="D2245" s="284">
        <v>23.3</v>
      </c>
      <c r="E2245" s="284">
        <v>3.2</v>
      </c>
      <c r="F2245" s="285">
        <v>3.4</v>
      </c>
      <c r="G2245" s="284">
        <v>3.5</v>
      </c>
      <c r="H2245" s="284">
        <v>0.9</v>
      </c>
      <c r="I2245" s="284">
        <f t="shared" si="71"/>
        <v>34.3</v>
      </c>
      <c r="J2245" s="238" t="s">
        <v>86</v>
      </c>
      <c r="K2245" s="1"/>
      <c r="L2245" s="1"/>
      <c r="M2245" s="1"/>
      <c r="N2245" s="1"/>
      <c r="O2245" s="1"/>
      <c r="P2245" s="1"/>
      <c r="Q2245" s="1"/>
      <c r="R2245" s="1"/>
      <c r="S2245" s="1"/>
    </row>
    <row r="2246" ht="10.5" customHeight="1">
      <c r="A2246" s="1"/>
      <c r="B2246" s="48" t="s">
        <v>86</v>
      </c>
      <c r="C2246" s="250">
        <v>34.0</v>
      </c>
      <c r="D2246" s="284">
        <v>24.8</v>
      </c>
      <c r="E2246" s="284">
        <v>3.2</v>
      </c>
      <c r="F2246" s="285">
        <v>5.2</v>
      </c>
      <c r="G2246" s="284">
        <v>4.2</v>
      </c>
      <c r="H2246" s="284">
        <v>1.2</v>
      </c>
      <c r="I2246" s="284">
        <f t="shared" si="71"/>
        <v>38.6</v>
      </c>
      <c r="J2246" s="238" t="s">
        <v>87</v>
      </c>
      <c r="K2246" s="1"/>
      <c r="L2246" s="1"/>
      <c r="M2246" s="1"/>
      <c r="N2246" s="1"/>
      <c r="O2246" s="1"/>
      <c r="P2246" s="1"/>
      <c r="Q2246" s="1"/>
      <c r="R2246" s="1"/>
      <c r="S2246" s="1"/>
    </row>
    <row r="2247" ht="10.5" customHeight="1">
      <c r="A2247" s="1"/>
      <c r="B2247" s="48" t="s">
        <v>87</v>
      </c>
      <c r="C2247" s="250">
        <v>32.0</v>
      </c>
      <c r="D2247" s="284">
        <v>24.1</v>
      </c>
      <c r="E2247" s="284">
        <v>2.9</v>
      </c>
      <c r="F2247" s="285">
        <v>4.8</v>
      </c>
      <c r="G2247" s="284">
        <v>2.6</v>
      </c>
      <c r="H2247" s="284">
        <v>1.1</v>
      </c>
      <c r="I2247" s="284">
        <f t="shared" si="71"/>
        <v>35.5</v>
      </c>
      <c r="J2247" s="238" t="s">
        <v>90</v>
      </c>
      <c r="K2247" s="1"/>
      <c r="L2247" s="1"/>
      <c r="M2247" s="1"/>
      <c r="N2247" s="1"/>
      <c r="O2247" s="1"/>
      <c r="P2247" s="1"/>
      <c r="Q2247" s="1"/>
      <c r="R2247" s="1"/>
      <c r="S2247" s="1"/>
    </row>
    <row r="2248" ht="10.5" customHeight="1">
      <c r="A2248" s="1"/>
      <c r="B2248" s="48" t="s">
        <v>90</v>
      </c>
      <c r="C2248" s="250">
        <v>34.0</v>
      </c>
      <c r="D2248" s="284">
        <v>26.9</v>
      </c>
      <c r="E2248" s="284">
        <v>2.5</v>
      </c>
      <c r="F2248" s="285">
        <v>4.3</v>
      </c>
      <c r="G2248" s="284">
        <v>2.5</v>
      </c>
      <c r="H2248" s="284">
        <v>1.1</v>
      </c>
      <c r="I2248" s="284">
        <f t="shared" si="71"/>
        <v>37.3</v>
      </c>
      <c r="J2248" s="238" t="s">
        <v>93</v>
      </c>
      <c r="K2248" s="1"/>
      <c r="L2248" s="1"/>
      <c r="M2248" s="1"/>
      <c r="N2248" s="1"/>
      <c r="O2248" s="1"/>
      <c r="P2248" s="1"/>
      <c r="Q2248" s="1"/>
      <c r="R2248" s="1"/>
      <c r="S2248" s="1"/>
    </row>
    <row r="2249" ht="10.5" customHeight="1">
      <c r="A2249" s="1"/>
      <c r="B2249" s="48"/>
      <c r="C2249" s="250"/>
      <c r="D2249" s="284"/>
      <c r="E2249" s="284"/>
      <c r="F2249" s="285"/>
      <c r="G2249" s="284"/>
      <c r="H2249" s="284"/>
      <c r="I2249" s="284"/>
      <c r="J2249" s="238"/>
      <c r="K2249" s="1"/>
      <c r="L2249" s="1"/>
      <c r="M2249" s="1"/>
      <c r="N2249" s="1"/>
      <c r="O2249" s="1"/>
      <c r="P2249" s="1"/>
      <c r="Q2249" s="1"/>
      <c r="R2249" s="1"/>
      <c r="S2249" s="1"/>
    </row>
    <row r="2250" ht="10.5" customHeight="1">
      <c r="A2250" s="1"/>
      <c r="B2250" s="48" t="s">
        <v>93</v>
      </c>
      <c r="C2250" s="250">
        <v>31.0</v>
      </c>
      <c r="D2250" s="284">
        <v>24.4</v>
      </c>
      <c r="E2250" s="284">
        <v>1.6</v>
      </c>
      <c r="F2250" s="285">
        <v>3.6</v>
      </c>
      <c r="G2250" s="284">
        <v>1.9</v>
      </c>
      <c r="H2250" s="284">
        <v>0.6</v>
      </c>
      <c r="I2250" s="284">
        <f t="shared" ref="I2250:I2254" si="72">SUM(D2250:H2250)</f>
        <v>32.1</v>
      </c>
      <c r="J2250" s="238" t="s">
        <v>97</v>
      </c>
      <c r="K2250" s="1"/>
      <c r="L2250" s="1"/>
      <c r="M2250" s="1"/>
      <c r="N2250" s="1"/>
      <c r="O2250" s="1"/>
      <c r="P2250" s="1"/>
      <c r="Q2250" s="1"/>
      <c r="R2250" s="1"/>
      <c r="S2250" s="1"/>
    </row>
    <row r="2251" ht="10.5" customHeight="1">
      <c r="A2251" s="1"/>
      <c r="B2251" s="48" t="s">
        <v>97</v>
      </c>
      <c r="C2251" s="250">
        <v>26.0</v>
      </c>
      <c r="D2251" s="284">
        <v>22.3</v>
      </c>
      <c r="E2251" s="284">
        <v>0.9</v>
      </c>
      <c r="F2251" s="285">
        <v>2.4</v>
      </c>
      <c r="G2251" s="284">
        <v>0.9</v>
      </c>
      <c r="H2251" s="284">
        <v>0.7</v>
      </c>
      <c r="I2251" s="284">
        <f t="shared" si="72"/>
        <v>27.2</v>
      </c>
      <c r="J2251" s="238" t="s">
        <v>101</v>
      </c>
      <c r="K2251" s="1"/>
      <c r="L2251" s="1"/>
      <c r="M2251" s="1"/>
      <c r="N2251" s="1"/>
      <c r="O2251" s="1"/>
      <c r="P2251" s="1"/>
      <c r="Q2251" s="1"/>
      <c r="R2251" s="1"/>
      <c r="S2251" s="1"/>
    </row>
    <row r="2252" ht="10.5" customHeight="1">
      <c r="A2252" s="1"/>
      <c r="B2252" s="48" t="s">
        <v>101</v>
      </c>
      <c r="C2252" s="250">
        <v>25.0</v>
      </c>
      <c r="D2252" s="284">
        <v>26.3</v>
      </c>
      <c r="E2252" s="284">
        <v>0.4</v>
      </c>
      <c r="F2252" s="285">
        <v>2.1</v>
      </c>
      <c r="G2252" s="284">
        <v>0.1</v>
      </c>
      <c r="H2252" s="284">
        <v>0.6</v>
      </c>
      <c r="I2252" s="284">
        <f t="shared" si="72"/>
        <v>29.5</v>
      </c>
      <c r="J2252" s="238" t="s">
        <v>103</v>
      </c>
      <c r="K2252" s="1"/>
      <c r="L2252" s="1"/>
      <c r="M2252" s="1"/>
      <c r="N2252" s="1"/>
      <c r="O2252" s="1"/>
      <c r="P2252" s="1"/>
      <c r="Q2252" s="1"/>
      <c r="R2252" s="1"/>
      <c r="S2252" s="1"/>
    </row>
    <row r="2253" ht="10.5" customHeight="1">
      <c r="A2253" s="1"/>
      <c r="B2253" s="48" t="s">
        <v>103</v>
      </c>
      <c r="C2253" s="250">
        <v>25.0</v>
      </c>
      <c r="D2253" s="284">
        <v>32.1</v>
      </c>
      <c r="E2253" s="284">
        <v>0.4</v>
      </c>
      <c r="F2253" s="285">
        <v>3.7</v>
      </c>
      <c r="G2253" s="284">
        <v>0.2</v>
      </c>
      <c r="H2253" s="284">
        <v>0.5</v>
      </c>
      <c r="I2253" s="284">
        <f t="shared" si="72"/>
        <v>36.9</v>
      </c>
      <c r="J2253" s="238" t="s">
        <v>104</v>
      </c>
      <c r="K2253" s="1"/>
      <c r="L2253" s="1"/>
      <c r="M2253" s="1"/>
      <c r="N2253" s="1"/>
      <c r="O2253" s="1"/>
      <c r="P2253" s="1"/>
      <c r="Q2253" s="1"/>
      <c r="R2253" s="1"/>
      <c r="S2253" s="1"/>
    </row>
    <row r="2254" ht="10.5" customHeight="1">
      <c r="A2254" s="1"/>
      <c r="B2254" s="48" t="s">
        <v>104</v>
      </c>
      <c r="C2254" s="250">
        <v>25.0</v>
      </c>
      <c r="D2254" s="284">
        <v>23.4</v>
      </c>
      <c r="E2254" s="284">
        <v>0.2</v>
      </c>
      <c r="F2254" s="285">
        <v>3.2</v>
      </c>
      <c r="G2254" s="284">
        <v>0.1</v>
      </c>
      <c r="H2254" s="284">
        <v>0.5</v>
      </c>
      <c r="I2254" s="284">
        <f t="shared" si="72"/>
        <v>27.4</v>
      </c>
      <c r="J2254" s="238" t="s">
        <v>108</v>
      </c>
      <c r="K2254" s="1"/>
      <c r="L2254" s="1"/>
      <c r="M2254" s="1"/>
      <c r="N2254" s="1"/>
      <c r="O2254" s="1"/>
      <c r="P2254" s="1"/>
      <c r="Q2254" s="1"/>
      <c r="R2254" s="1"/>
      <c r="S2254" s="1"/>
    </row>
    <row r="2255" ht="10.5" customHeight="1">
      <c r="A2255" s="1"/>
      <c r="B2255" s="48"/>
      <c r="C2255" s="250"/>
      <c r="D2255" s="284"/>
      <c r="E2255" s="284"/>
      <c r="F2255" s="285"/>
      <c r="G2255" s="284"/>
      <c r="H2255" s="284"/>
      <c r="I2255" s="284"/>
      <c r="J2255" s="238"/>
      <c r="K2255" s="1"/>
      <c r="L2255" s="1"/>
      <c r="M2255" s="1"/>
      <c r="N2255" s="1"/>
      <c r="O2255" s="1"/>
      <c r="P2255" s="1"/>
      <c r="Q2255" s="1"/>
      <c r="R2255" s="1"/>
      <c r="S2255" s="1"/>
    </row>
    <row r="2256" ht="10.5" customHeight="1">
      <c r="A2256" s="1"/>
      <c r="B2256" s="48" t="s">
        <v>108</v>
      </c>
      <c r="C2256" s="250">
        <v>22.0</v>
      </c>
      <c r="D2256" s="284">
        <v>27.0</v>
      </c>
      <c r="E2256" s="284">
        <v>0.2</v>
      </c>
      <c r="F2256" s="285">
        <v>2.5</v>
      </c>
      <c r="G2256" s="284">
        <v>0.1</v>
      </c>
      <c r="H2256" s="284">
        <v>0.5</v>
      </c>
      <c r="I2256" s="284">
        <f t="shared" ref="I2256:I2260" si="73">SUM(D2256:H2256)</f>
        <v>30.3</v>
      </c>
      <c r="J2256" s="238" t="s">
        <v>111</v>
      </c>
      <c r="K2256" s="1"/>
      <c r="L2256" s="1"/>
      <c r="M2256" s="1"/>
      <c r="N2256" s="1"/>
      <c r="O2256" s="1"/>
      <c r="P2256" s="1"/>
      <c r="Q2256" s="1"/>
      <c r="R2256" s="1"/>
      <c r="S2256" s="1"/>
    </row>
    <row r="2257" ht="10.5" customHeight="1">
      <c r="A2257" s="1"/>
      <c r="B2257" s="48" t="s">
        <v>111</v>
      </c>
      <c r="C2257" s="250">
        <v>24.0</v>
      </c>
      <c r="D2257" s="284">
        <v>31.2</v>
      </c>
      <c r="E2257" s="284">
        <v>0.1</v>
      </c>
      <c r="F2257" s="285">
        <v>3.2</v>
      </c>
      <c r="G2257" s="284" t="s">
        <v>40</v>
      </c>
      <c r="H2257" s="284">
        <v>0.5</v>
      </c>
      <c r="I2257" s="284">
        <f t="shared" si="73"/>
        <v>35</v>
      </c>
      <c r="J2257" s="238" t="s">
        <v>112</v>
      </c>
      <c r="K2257" s="1"/>
      <c r="L2257" s="1"/>
      <c r="M2257" s="1"/>
      <c r="N2257" s="1"/>
      <c r="O2257" s="1"/>
      <c r="P2257" s="1"/>
      <c r="Q2257" s="1"/>
      <c r="R2257" s="1"/>
      <c r="S2257" s="1"/>
    </row>
    <row r="2258" ht="10.5" customHeight="1">
      <c r="A2258" s="1"/>
      <c r="B2258" s="48" t="s">
        <v>112</v>
      </c>
      <c r="C2258" s="250">
        <v>24.0</v>
      </c>
      <c r="D2258" s="284">
        <v>25.6</v>
      </c>
      <c r="E2258" s="284">
        <v>4.2</v>
      </c>
      <c r="F2258" s="87"/>
      <c r="G2258" s="284" t="s">
        <v>40</v>
      </c>
      <c r="H2258" s="284">
        <v>0.6</v>
      </c>
      <c r="I2258" s="284">
        <f t="shared" si="73"/>
        <v>30.4</v>
      </c>
      <c r="J2258" s="238" t="s">
        <v>113</v>
      </c>
      <c r="K2258" s="1"/>
      <c r="L2258" s="1"/>
      <c r="M2258" s="1"/>
      <c r="N2258" s="1"/>
      <c r="O2258" s="1"/>
      <c r="P2258" s="1"/>
      <c r="Q2258" s="1"/>
      <c r="R2258" s="1"/>
      <c r="S2258" s="1"/>
    </row>
    <row r="2259" ht="10.5" customHeight="1">
      <c r="A2259" s="1"/>
      <c r="B2259" s="48" t="s">
        <v>113</v>
      </c>
      <c r="C2259" s="250">
        <v>15.9</v>
      </c>
      <c r="D2259" s="284">
        <v>15.1</v>
      </c>
      <c r="E2259" s="284">
        <v>3.7</v>
      </c>
      <c r="F2259" s="87"/>
      <c r="G2259" s="284" t="s">
        <v>40</v>
      </c>
      <c r="H2259" s="284">
        <v>0.7</v>
      </c>
      <c r="I2259" s="284">
        <f t="shared" si="73"/>
        <v>19.5</v>
      </c>
      <c r="J2259" s="238" t="s">
        <v>114</v>
      </c>
      <c r="K2259" s="1"/>
      <c r="L2259" s="1"/>
      <c r="M2259" s="1"/>
      <c r="N2259" s="1"/>
      <c r="O2259" s="1"/>
      <c r="P2259" s="1"/>
      <c r="Q2259" s="1"/>
      <c r="R2259" s="1"/>
      <c r="S2259" s="1"/>
    </row>
    <row r="2260" ht="10.5" customHeight="1">
      <c r="A2260" s="1"/>
      <c r="B2260" s="48" t="s">
        <v>114</v>
      </c>
      <c r="C2260" s="250">
        <v>13.9</v>
      </c>
      <c r="D2260" s="284">
        <v>17.2</v>
      </c>
      <c r="E2260" s="284">
        <v>2.7</v>
      </c>
      <c r="F2260" s="87"/>
      <c r="G2260" s="284" t="s">
        <v>40</v>
      </c>
      <c r="H2260" s="284">
        <v>0.7</v>
      </c>
      <c r="I2260" s="284">
        <f t="shared" si="73"/>
        <v>20.6</v>
      </c>
      <c r="J2260" s="238" t="s">
        <v>115</v>
      </c>
      <c r="K2260" s="1"/>
      <c r="L2260" s="1"/>
      <c r="M2260" s="1"/>
      <c r="N2260" s="1"/>
      <c r="O2260" s="1"/>
      <c r="P2260" s="1"/>
      <c r="Q2260" s="1"/>
      <c r="R2260" s="1"/>
      <c r="S2260" s="1"/>
    </row>
    <row r="2261" ht="10.5" customHeight="1">
      <c r="A2261" s="1"/>
      <c r="B2261" s="48"/>
      <c r="C2261" s="250"/>
      <c r="D2261" s="284"/>
      <c r="E2261" s="284"/>
      <c r="F2261" s="285"/>
      <c r="G2261" s="284"/>
      <c r="H2261" s="284"/>
      <c r="I2261" s="284"/>
      <c r="J2261" s="238"/>
      <c r="K2261" s="1"/>
      <c r="L2261" s="1"/>
      <c r="M2261" s="1"/>
      <c r="N2261" s="1"/>
      <c r="O2261" s="1"/>
      <c r="P2261" s="1"/>
      <c r="Q2261" s="1"/>
      <c r="R2261" s="1"/>
      <c r="S2261" s="1"/>
    </row>
    <row r="2262" ht="10.5" customHeight="1">
      <c r="A2262" s="1"/>
      <c r="B2262" s="48" t="s">
        <v>115</v>
      </c>
      <c r="C2262" s="250">
        <v>14.7</v>
      </c>
      <c r="D2262" s="284">
        <v>17.8</v>
      </c>
      <c r="E2262" s="284">
        <v>3.1</v>
      </c>
      <c r="F2262" s="87"/>
      <c r="G2262" s="284" t="s">
        <v>40</v>
      </c>
      <c r="H2262" s="284">
        <v>0.6</v>
      </c>
      <c r="I2262" s="284">
        <f t="shared" ref="I2262:I2266" si="74">SUM(D2262:H2262)</f>
        <v>21.5</v>
      </c>
      <c r="J2262" s="238" t="s">
        <v>117</v>
      </c>
      <c r="K2262" s="1"/>
      <c r="L2262" s="1"/>
      <c r="M2262" s="1"/>
      <c r="N2262" s="1"/>
      <c r="O2262" s="1"/>
      <c r="P2262" s="1"/>
      <c r="Q2262" s="1"/>
      <c r="R2262" s="1"/>
      <c r="S2262" s="1"/>
    </row>
    <row r="2263" ht="10.5" customHeight="1">
      <c r="A2263" s="1"/>
      <c r="B2263" s="48" t="s">
        <v>117</v>
      </c>
      <c r="C2263" s="250">
        <v>13.8</v>
      </c>
      <c r="D2263" s="284">
        <v>22.7</v>
      </c>
      <c r="E2263" s="284">
        <v>3.3</v>
      </c>
      <c r="F2263" s="87"/>
      <c r="G2263" s="284" t="s">
        <v>40</v>
      </c>
      <c r="H2263" s="284">
        <v>0.5</v>
      </c>
      <c r="I2263" s="284">
        <f t="shared" si="74"/>
        <v>26.5</v>
      </c>
      <c r="J2263" s="238" t="s">
        <v>121</v>
      </c>
      <c r="K2263" s="1"/>
      <c r="L2263" s="1"/>
      <c r="M2263" s="1"/>
      <c r="N2263" s="1"/>
      <c r="O2263" s="1"/>
      <c r="P2263" s="1"/>
      <c r="Q2263" s="1"/>
      <c r="R2263" s="1"/>
      <c r="S2263" s="1"/>
    </row>
    <row r="2264" ht="10.5" customHeight="1">
      <c r="A2264" s="1"/>
      <c r="B2264" s="48" t="s">
        <v>121</v>
      </c>
      <c r="C2264" s="250">
        <v>14.4</v>
      </c>
      <c r="D2264" s="284">
        <v>27.1</v>
      </c>
      <c r="E2264" s="284">
        <v>4.0</v>
      </c>
      <c r="F2264" s="87"/>
      <c r="G2264" s="284" t="s">
        <v>40</v>
      </c>
      <c r="H2264" s="284">
        <v>0.5</v>
      </c>
      <c r="I2264" s="284">
        <f t="shared" si="74"/>
        <v>31.6</v>
      </c>
      <c r="J2264" s="238" t="s">
        <v>122</v>
      </c>
      <c r="K2264" s="1"/>
      <c r="L2264" s="1"/>
      <c r="M2264" s="1"/>
      <c r="N2264" s="1"/>
      <c r="O2264" s="1"/>
      <c r="P2264" s="1"/>
      <c r="Q2264" s="1"/>
      <c r="R2264" s="1"/>
      <c r="S2264" s="1"/>
    </row>
    <row r="2265" ht="10.5" customHeight="1">
      <c r="A2265" s="1"/>
      <c r="B2265" s="48" t="s">
        <v>122</v>
      </c>
      <c r="C2265" s="250">
        <v>13.9</v>
      </c>
      <c r="D2265" s="284">
        <v>25.5</v>
      </c>
      <c r="E2265" s="284">
        <v>4.4</v>
      </c>
      <c r="F2265" s="87"/>
      <c r="G2265" s="284" t="s">
        <v>40</v>
      </c>
      <c r="H2265" s="284">
        <v>0.2</v>
      </c>
      <c r="I2265" s="284">
        <f t="shared" si="74"/>
        <v>30.1</v>
      </c>
      <c r="J2265" s="238" t="s">
        <v>123</v>
      </c>
      <c r="K2265" s="1"/>
      <c r="L2265" s="1"/>
      <c r="M2265" s="1"/>
      <c r="N2265" s="1"/>
      <c r="O2265" s="1"/>
      <c r="P2265" s="1"/>
      <c r="Q2265" s="1"/>
      <c r="R2265" s="1"/>
      <c r="S2265" s="1"/>
    </row>
    <row r="2266" ht="10.5" customHeight="1">
      <c r="A2266" s="1"/>
      <c r="B2266" s="168" t="s">
        <v>123</v>
      </c>
      <c r="C2266" s="250">
        <v>15.6</v>
      </c>
      <c r="D2266" s="284">
        <v>24.0</v>
      </c>
      <c r="E2266" s="284">
        <v>5.5</v>
      </c>
      <c r="F2266" s="87"/>
      <c r="G2266" s="284" t="s">
        <v>40</v>
      </c>
      <c r="H2266" s="284">
        <v>0.2</v>
      </c>
      <c r="I2266" s="284">
        <f t="shared" si="74"/>
        <v>29.7</v>
      </c>
      <c r="J2266" s="238" t="s">
        <v>125</v>
      </c>
      <c r="K2266" s="1"/>
      <c r="L2266" s="1"/>
      <c r="M2266" s="1"/>
      <c r="N2266" s="1"/>
      <c r="O2266" s="1"/>
      <c r="P2266" s="1"/>
      <c r="Q2266" s="1"/>
      <c r="R2266" s="1"/>
      <c r="S2266" s="1"/>
    </row>
    <row r="2267" ht="10.5" customHeight="1">
      <c r="A2267" s="1"/>
      <c r="B2267" s="48"/>
      <c r="C2267" s="250"/>
      <c r="D2267" s="284"/>
      <c r="E2267" s="284"/>
      <c r="F2267" s="285"/>
      <c r="G2267" s="284"/>
      <c r="H2267" s="284"/>
      <c r="I2267" s="284"/>
      <c r="J2267" s="238"/>
      <c r="K2267" s="1"/>
      <c r="L2267" s="1"/>
      <c r="M2267" s="1"/>
      <c r="N2267" s="1"/>
      <c r="O2267" s="1"/>
      <c r="P2267" s="1"/>
      <c r="Q2267" s="1"/>
      <c r="R2267" s="1"/>
      <c r="S2267" s="1"/>
    </row>
    <row r="2268" ht="10.5" customHeight="1">
      <c r="A2268" s="1"/>
      <c r="B2268" s="168" t="s">
        <v>125</v>
      </c>
      <c r="C2268" s="54">
        <v>15.0</v>
      </c>
      <c r="D2268" s="54">
        <v>27.1</v>
      </c>
      <c r="E2268" s="284">
        <v>8.0</v>
      </c>
      <c r="F2268" s="87"/>
      <c r="G2268" s="54" t="s">
        <v>40</v>
      </c>
      <c r="H2268" s="54">
        <v>0.08</v>
      </c>
      <c r="I2268" s="54">
        <f t="shared" ref="I2268:I2272" si="75">SUM(D2268:H2268)</f>
        <v>35.18</v>
      </c>
      <c r="J2268" s="55" t="s">
        <v>127</v>
      </c>
      <c r="K2268" s="1"/>
      <c r="L2268" s="1"/>
      <c r="M2268" s="1"/>
      <c r="N2268" s="1"/>
      <c r="O2268" s="1"/>
      <c r="P2268" s="1"/>
      <c r="Q2268" s="1"/>
      <c r="R2268" s="1"/>
      <c r="S2268" s="1"/>
    </row>
    <row r="2269" ht="10.5" customHeight="1">
      <c r="A2269" s="1"/>
      <c r="B2269" s="168" t="s">
        <v>127</v>
      </c>
      <c r="C2269" s="250">
        <v>14.7</v>
      </c>
      <c r="D2269" s="284">
        <v>26.8</v>
      </c>
      <c r="E2269" s="284">
        <v>6.3</v>
      </c>
      <c r="F2269" s="87"/>
      <c r="G2269" s="54" t="s">
        <v>40</v>
      </c>
      <c r="H2269" s="284">
        <v>0.0</v>
      </c>
      <c r="I2269" s="284">
        <f t="shared" si="75"/>
        <v>33.1</v>
      </c>
      <c r="J2269" s="238" t="s">
        <v>128</v>
      </c>
      <c r="K2269" s="1"/>
      <c r="L2269" s="1"/>
      <c r="M2269" s="1"/>
      <c r="N2269" s="1"/>
      <c r="O2269" s="1"/>
      <c r="P2269" s="1"/>
      <c r="Q2269" s="1"/>
      <c r="R2269" s="1"/>
      <c r="S2269" s="1"/>
    </row>
    <row r="2270" ht="10.5" customHeight="1">
      <c r="A2270" s="1"/>
      <c r="B2270" s="85" t="s">
        <v>128</v>
      </c>
      <c r="C2270" s="250">
        <v>13.6</v>
      </c>
      <c r="D2270" s="284">
        <v>32.7</v>
      </c>
      <c r="E2270" s="284">
        <v>4.7</v>
      </c>
      <c r="F2270" s="87"/>
      <c r="G2270" s="54" t="s">
        <v>40</v>
      </c>
      <c r="H2270" s="54">
        <v>0.0</v>
      </c>
      <c r="I2270" s="284">
        <f t="shared" si="75"/>
        <v>37.4</v>
      </c>
      <c r="J2270" s="437" t="s">
        <v>129</v>
      </c>
      <c r="K2270" s="1"/>
      <c r="L2270" s="1"/>
      <c r="M2270" s="1"/>
      <c r="N2270" s="1"/>
      <c r="O2270" s="1"/>
      <c r="P2270" s="1"/>
      <c r="Q2270" s="1"/>
      <c r="R2270" s="1"/>
      <c r="S2270" s="1"/>
    </row>
    <row r="2271" ht="10.5" customHeight="1">
      <c r="A2271" s="1"/>
      <c r="B2271" s="85" t="s">
        <v>129</v>
      </c>
      <c r="C2271" s="54">
        <v>11.5</v>
      </c>
      <c r="D2271" s="54">
        <v>22.3</v>
      </c>
      <c r="E2271" s="284">
        <v>3.0</v>
      </c>
      <c r="F2271" s="87"/>
      <c r="G2271" s="54" t="s">
        <v>40</v>
      </c>
      <c r="H2271" s="54">
        <v>0.0</v>
      </c>
      <c r="I2271" s="284">
        <f t="shared" si="75"/>
        <v>25.3</v>
      </c>
      <c r="J2271" s="437" t="s">
        <v>130</v>
      </c>
      <c r="K2271" s="1"/>
      <c r="L2271" s="1"/>
      <c r="M2271" s="1"/>
      <c r="N2271" s="1"/>
      <c r="O2271" s="1"/>
      <c r="P2271" s="1"/>
      <c r="Q2271" s="1"/>
      <c r="R2271" s="1"/>
      <c r="S2271" s="1"/>
    </row>
    <row r="2272" ht="10.5" customHeight="1">
      <c r="A2272" s="1"/>
      <c r="B2272" s="85" t="s">
        <v>130</v>
      </c>
      <c r="C2272" s="54">
        <v>9.2</v>
      </c>
      <c r="D2272" s="54">
        <v>19.9</v>
      </c>
      <c r="E2272" s="284">
        <v>3.6</v>
      </c>
      <c r="F2272" s="87"/>
      <c r="G2272" s="54" t="s">
        <v>998</v>
      </c>
      <c r="H2272" s="54">
        <v>0.0</v>
      </c>
      <c r="I2272" s="284">
        <f t="shared" si="75"/>
        <v>23.5</v>
      </c>
      <c r="J2272" s="238" t="s">
        <v>131</v>
      </c>
      <c r="K2272" s="1"/>
      <c r="L2272" s="1"/>
      <c r="M2272" s="1"/>
      <c r="N2272" s="1"/>
      <c r="O2272" s="1"/>
      <c r="P2272" s="1"/>
      <c r="Q2272" s="1"/>
      <c r="R2272" s="1"/>
      <c r="S2272" s="1"/>
    </row>
    <row r="2273" ht="10.5" customHeight="1">
      <c r="A2273" s="1"/>
      <c r="B2273" s="85"/>
      <c r="C2273" s="54"/>
      <c r="D2273" s="54"/>
      <c r="E2273" s="284"/>
      <c r="F2273" s="808"/>
      <c r="G2273" s="54"/>
      <c r="H2273" s="54"/>
      <c r="I2273" s="54"/>
      <c r="J2273" s="238"/>
      <c r="K2273" s="1"/>
      <c r="L2273" s="1"/>
      <c r="M2273" s="1"/>
      <c r="N2273" s="1"/>
      <c r="O2273" s="1"/>
      <c r="P2273" s="1"/>
      <c r="Q2273" s="1"/>
      <c r="R2273" s="1"/>
      <c r="S2273" s="1"/>
    </row>
    <row r="2274" ht="10.5" customHeight="1">
      <c r="A2274" s="1"/>
      <c r="B2274" s="48" t="s">
        <v>131</v>
      </c>
      <c r="C2274" s="54">
        <v>6.0</v>
      </c>
      <c r="D2274" s="54">
        <v>12.5</v>
      </c>
      <c r="E2274" s="295">
        <v>2.4</v>
      </c>
      <c r="F2274" s="87"/>
      <c r="G2274" s="54" t="s">
        <v>40</v>
      </c>
      <c r="H2274" s="54">
        <v>0.0</v>
      </c>
      <c r="I2274" s="284">
        <f t="shared" ref="I2274:I2278" si="76">SUM(D2274:H2274)</f>
        <v>14.9</v>
      </c>
      <c r="J2274" s="11" t="s">
        <v>133</v>
      </c>
      <c r="K2274" s="1"/>
      <c r="L2274" s="1"/>
      <c r="M2274" s="1"/>
      <c r="N2274" s="1"/>
      <c r="O2274" s="1"/>
      <c r="P2274" s="1"/>
      <c r="Q2274" s="1"/>
      <c r="R2274" s="1"/>
      <c r="S2274" s="1"/>
    </row>
    <row r="2275" ht="10.5" customHeight="1">
      <c r="A2275" s="1"/>
      <c r="B2275" s="48" t="s">
        <v>133</v>
      </c>
      <c r="C2275" s="54">
        <v>6.0</v>
      </c>
      <c r="D2275" s="54">
        <v>10.5</v>
      </c>
      <c r="E2275" s="295">
        <v>2.3</v>
      </c>
      <c r="F2275" s="87"/>
      <c r="G2275" s="54" t="s">
        <v>40</v>
      </c>
      <c r="H2275" s="54" t="s">
        <v>40</v>
      </c>
      <c r="I2275" s="284">
        <f t="shared" si="76"/>
        <v>12.8</v>
      </c>
      <c r="J2275" s="11" t="s">
        <v>134</v>
      </c>
      <c r="K2275" s="1"/>
      <c r="L2275" s="1"/>
      <c r="M2275" s="1"/>
      <c r="N2275" s="1"/>
      <c r="O2275" s="1"/>
      <c r="P2275" s="1"/>
      <c r="Q2275" s="1"/>
      <c r="R2275" s="1"/>
      <c r="S2275" s="1"/>
    </row>
    <row r="2276" ht="10.5" customHeight="1">
      <c r="A2276" s="1"/>
      <c r="B2276" s="48" t="s">
        <v>134</v>
      </c>
      <c r="C2276" s="54">
        <v>3.4</v>
      </c>
      <c r="D2276" s="54">
        <v>7.4</v>
      </c>
      <c r="E2276" s="284">
        <v>1.7</v>
      </c>
      <c r="F2276" s="87"/>
      <c r="G2276" s="54" t="s">
        <v>40</v>
      </c>
      <c r="H2276" s="54" t="s">
        <v>40</v>
      </c>
      <c r="I2276" s="284">
        <f t="shared" si="76"/>
        <v>9.1</v>
      </c>
      <c r="J2276" s="11" t="s">
        <v>135</v>
      </c>
      <c r="K2276" s="1"/>
      <c r="L2276" s="1"/>
      <c r="M2276" s="1"/>
      <c r="N2276" s="1"/>
      <c r="O2276" s="1"/>
      <c r="P2276" s="1"/>
      <c r="Q2276" s="1"/>
      <c r="R2276" s="1"/>
      <c r="S2276" s="1"/>
    </row>
    <row r="2277" ht="10.5" customHeight="1">
      <c r="A2277" s="1"/>
      <c r="B2277" s="293">
        <v>39692.0</v>
      </c>
      <c r="C2277" s="54">
        <v>3.6</v>
      </c>
      <c r="D2277" s="54">
        <v>7.4</v>
      </c>
      <c r="E2277" s="295">
        <v>2.1</v>
      </c>
      <c r="F2277" s="87"/>
      <c r="G2277" s="54" t="s">
        <v>40</v>
      </c>
      <c r="H2277" s="54" t="s">
        <v>40</v>
      </c>
      <c r="I2277" s="284">
        <f t="shared" si="76"/>
        <v>9.5</v>
      </c>
      <c r="J2277" s="11" t="s">
        <v>138</v>
      </c>
      <c r="K2277" s="1"/>
      <c r="L2277" s="1"/>
      <c r="M2277" s="1"/>
      <c r="N2277" s="1"/>
      <c r="O2277" s="1"/>
      <c r="P2277" s="1"/>
      <c r="Q2277" s="1"/>
      <c r="R2277" s="1"/>
      <c r="S2277" s="1"/>
    </row>
    <row r="2278" ht="10.5" customHeight="1">
      <c r="A2278" s="1"/>
      <c r="B2278" s="293">
        <v>40087.0</v>
      </c>
      <c r="C2278" s="54">
        <v>4.0</v>
      </c>
      <c r="D2278" s="54">
        <v>9.6</v>
      </c>
      <c r="E2278" s="295">
        <v>2.7</v>
      </c>
      <c r="F2278" s="87"/>
      <c r="G2278" s="54" t="s">
        <v>40</v>
      </c>
      <c r="H2278" s="54" t="s">
        <v>40</v>
      </c>
      <c r="I2278" s="284">
        <f t="shared" si="76"/>
        <v>12.3</v>
      </c>
      <c r="J2278" s="11" t="s">
        <v>139</v>
      </c>
      <c r="K2278" s="1"/>
      <c r="L2278" s="1"/>
      <c r="M2278" s="1"/>
      <c r="N2278" s="1"/>
      <c r="O2278" s="1"/>
      <c r="P2278" s="1"/>
      <c r="Q2278" s="1"/>
      <c r="R2278" s="1"/>
      <c r="S2278" s="1"/>
    </row>
    <row r="2279" ht="10.5" customHeight="1">
      <c r="A2279" s="1"/>
      <c r="B2279" s="293"/>
      <c r="C2279" s="54"/>
      <c r="D2279" s="54"/>
      <c r="E2279" s="295"/>
      <c r="F2279" s="711"/>
      <c r="G2279" s="54"/>
      <c r="H2279" s="54"/>
      <c r="I2279" s="54"/>
      <c r="J2279" s="11"/>
      <c r="K2279" s="1"/>
      <c r="L2279" s="1"/>
      <c r="M2279" s="1"/>
      <c r="N2279" s="1"/>
      <c r="O2279" s="1"/>
      <c r="P2279" s="1"/>
      <c r="Q2279" s="1"/>
      <c r="R2279" s="1"/>
      <c r="S2279" s="1"/>
    </row>
    <row r="2280" ht="10.5" customHeight="1">
      <c r="A2280" s="1"/>
      <c r="B2280" s="11" t="s">
        <v>139</v>
      </c>
      <c r="C2280" s="54">
        <v>5.4</v>
      </c>
      <c r="D2280" s="54">
        <v>11.8</v>
      </c>
      <c r="E2280" s="295">
        <v>3.2</v>
      </c>
      <c r="F2280" s="87"/>
      <c r="G2280" s="54" t="s">
        <v>40</v>
      </c>
      <c r="H2280" s="54" t="s">
        <v>40</v>
      </c>
      <c r="I2280" s="54">
        <f t="shared" ref="I2280:I2283" si="77">SUM(D2280:H2280)</f>
        <v>15</v>
      </c>
      <c r="J2280" s="11" t="s">
        <v>143</v>
      </c>
      <c r="K2280" s="1"/>
      <c r="L2280" s="1"/>
      <c r="M2280" s="1"/>
      <c r="N2280" s="1"/>
      <c r="O2280" s="1"/>
      <c r="P2280" s="1"/>
      <c r="Q2280" s="1"/>
      <c r="R2280" s="1"/>
      <c r="S2280" s="1"/>
    </row>
    <row r="2281" ht="10.5" customHeight="1">
      <c r="A2281" s="1"/>
      <c r="B2281" s="11" t="s">
        <v>143</v>
      </c>
      <c r="C2281" s="54">
        <v>5.1</v>
      </c>
      <c r="D2281" s="54">
        <v>13.5</v>
      </c>
      <c r="E2281" s="295">
        <v>3.5</v>
      </c>
      <c r="F2281" s="87"/>
      <c r="G2281" s="54" t="s">
        <v>40</v>
      </c>
      <c r="H2281" s="54" t="s">
        <v>40</v>
      </c>
      <c r="I2281" s="54">
        <f t="shared" si="77"/>
        <v>17</v>
      </c>
      <c r="J2281" s="11" t="s">
        <v>149</v>
      </c>
      <c r="K2281" s="1"/>
      <c r="L2281" s="1"/>
      <c r="M2281" s="1"/>
      <c r="N2281" s="1"/>
      <c r="O2281" s="1"/>
      <c r="P2281" s="1"/>
      <c r="Q2281" s="1"/>
      <c r="R2281" s="1"/>
      <c r="S2281" s="1"/>
    </row>
    <row r="2282" ht="10.5" customHeight="1">
      <c r="A2282" s="1"/>
      <c r="B2282" s="11" t="s">
        <v>149</v>
      </c>
      <c r="C2282" s="54">
        <v>5.2</v>
      </c>
      <c r="D2282" s="54">
        <v>12.3</v>
      </c>
      <c r="E2282" s="295">
        <v>3.6</v>
      </c>
      <c r="F2282" s="87"/>
      <c r="G2282" s="54" t="s">
        <v>40</v>
      </c>
      <c r="H2282" s="54" t="s">
        <v>40</v>
      </c>
      <c r="I2282" s="54">
        <f t="shared" si="77"/>
        <v>15.9</v>
      </c>
      <c r="J2282" s="11" t="s">
        <v>151</v>
      </c>
      <c r="K2282" s="1"/>
      <c r="L2282" s="1"/>
      <c r="M2282" s="1"/>
      <c r="N2282" s="1"/>
      <c r="O2282" s="1"/>
      <c r="P2282" s="1"/>
      <c r="Q2282" s="1"/>
      <c r="R2282" s="1"/>
      <c r="S2282" s="1"/>
    </row>
    <row r="2283" ht="10.5" customHeight="1">
      <c r="A2283" s="1"/>
      <c r="B2283" s="11" t="s">
        <v>151</v>
      </c>
      <c r="C2283" s="54">
        <v>4.7</v>
      </c>
      <c r="D2283" s="54">
        <v>10.4</v>
      </c>
      <c r="E2283" s="284">
        <v>2.5</v>
      </c>
      <c r="F2283" s="87"/>
      <c r="G2283" s="54" t="s">
        <v>40</v>
      </c>
      <c r="H2283" s="54" t="s">
        <v>40</v>
      </c>
      <c r="I2283" s="54">
        <f t="shared" si="77"/>
        <v>12.9</v>
      </c>
      <c r="J2283" s="11" t="s">
        <v>153</v>
      </c>
      <c r="K2283" s="1"/>
      <c r="L2283" s="1"/>
      <c r="M2283" s="1"/>
      <c r="N2283" s="1"/>
      <c r="O2283" s="1"/>
      <c r="P2283" s="1"/>
      <c r="Q2283" s="1"/>
      <c r="R2283" s="1"/>
      <c r="S2283" s="1"/>
    </row>
    <row r="2284" ht="10.5" customHeight="1">
      <c r="A2284" s="1"/>
      <c r="B2284" s="11" t="s">
        <v>153</v>
      </c>
      <c r="C2284" s="54">
        <v>4.9</v>
      </c>
      <c r="D2284" s="54">
        <v>11.0</v>
      </c>
      <c r="E2284" s="284">
        <v>3.3</v>
      </c>
      <c r="F2284" s="87"/>
      <c r="G2284" s="54" t="s">
        <v>40</v>
      </c>
      <c r="H2284" s="54" t="s">
        <v>40</v>
      </c>
      <c r="I2284" s="54">
        <v>14.3</v>
      </c>
      <c r="J2284" s="11" t="s">
        <v>155</v>
      </c>
      <c r="K2284" s="1"/>
      <c r="L2284" s="1"/>
      <c r="M2284" s="1"/>
      <c r="N2284" s="1"/>
      <c r="O2284" s="1"/>
      <c r="P2284" s="1"/>
      <c r="Q2284" s="1"/>
      <c r="R2284" s="1"/>
      <c r="S2284" s="1"/>
    </row>
    <row r="2285" ht="10.5" customHeight="1">
      <c r="A2285" s="1"/>
      <c r="B2285" s="11"/>
      <c r="C2285" s="54"/>
      <c r="D2285" s="54"/>
      <c r="E2285" s="284"/>
      <c r="F2285" s="815"/>
      <c r="G2285" s="54"/>
      <c r="H2285" s="54"/>
      <c r="I2285" s="54"/>
      <c r="J2285" s="11"/>
      <c r="K2285" s="1"/>
      <c r="L2285" s="1"/>
      <c r="M2285" s="1"/>
      <c r="N2285" s="1"/>
      <c r="O2285" s="1"/>
      <c r="P2285" s="1"/>
      <c r="Q2285" s="1"/>
      <c r="R2285" s="1"/>
      <c r="S2285" s="1"/>
    </row>
    <row r="2286" ht="10.5" customHeight="1">
      <c r="A2286" s="1"/>
      <c r="B2286" s="11" t="s">
        <v>155</v>
      </c>
      <c r="C2286" s="54">
        <v>4.9</v>
      </c>
      <c r="D2286" s="54">
        <v>11.3</v>
      </c>
      <c r="E2286" s="284">
        <v>3.4</v>
      </c>
      <c r="F2286" s="87"/>
      <c r="G2286" s="54" t="s">
        <v>40</v>
      </c>
      <c r="H2286" s="54" t="s">
        <v>40</v>
      </c>
      <c r="I2286" s="54">
        <v>14.7</v>
      </c>
      <c r="J2286" s="11" t="s">
        <v>160</v>
      </c>
      <c r="K2286" s="1"/>
      <c r="L2286" s="1"/>
      <c r="M2286" s="1"/>
      <c r="N2286" s="1"/>
      <c r="O2286" s="1"/>
      <c r="P2286" s="1"/>
      <c r="Q2286" s="1"/>
      <c r="R2286" s="1"/>
      <c r="S2286" s="1"/>
    </row>
    <row r="2287" ht="10.5" customHeight="1">
      <c r="A2287" s="1"/>
      <c r="B2287" s="52" t="s">
        <v>1404</v>
      </c>
      <c r="C2287" s="107">
        <v>4.6</v>
      </c>
      <c r="D2287" s="107">
        <v>10.6</v>
      </c>
      <c r="E2287" s="816">
        <v>4.2</v>
      </c>
      <c r="F2287" s="94"/>
      <c r="G2287" s="107" t="s">
        <v>40</v>
      </c>
      <c r="H2287" s="107" t="s">
        <v>40</v>
      </c>
      <c r="I2287" s="107">
        <v>14.8</v>
      </c>
      <c r="J2287" s="52" t="s">
        <v>162</v>
      </c>
      <c r="K2287" s="1"/>
      <c r="L2287" s="1"/>
      <c r="M2287" s="1"/>
      <c r="N2287" s="1"/>
      <c r="O2287" s="1"/>
      <c r="P2287" s="1"/>
      <c r="Q2287" s="1"/>
      <c r="R2287" s="1"/>
      <c r="S2287" s="1"/>
    </row>
    <row r="2288" ht="6.0" customHeight="1">
      <c r="A2288" s="1"/>
      <c r="B2288" s="242"/>
      <c r="C2288" s="285"/>
      <c r="D2288" s="285"/>
      <c r="E2288" s="294"/>
      <c r="F2288" s="294"/>
      <c r="G2288" s="285"/>
      <c r="H2288" s="285"/>
      <c r="I2288" s="285"/>
      <c r="J2288" s="242"/>
      <c r="K2288" s="1"/>
      <c r="L2288" s="1"/>
      <c r="M2288" s="1"/>
      <c r="N2288" s="1"/>
      <c r="O2288" s="1"/>
      <c r="P2288" s="1"/>
      <c r="Q2288" s="1"/>
      <c r="R2288" s="1"/>
      <c r="S2288" s="1"/>
    </row>
    <row r="2289" ht="10.5" customHeight="1">
      <c r="A2289" s="1"/>
      <c r="B2289" s="185" t="s">
        <v>1405</v>
      </c>
      <c r="C2289" s="1"/>
      <c r="D2289" s="1"/>
      <c r="E2289" s="1"/>
      <c r="F2289" s="1"/>
      <c r="G2289" s="1"/>
      <c r="H2289" s="1"/>
      <c r="I2289" s="1"/>
      <c r="J2289" s="1"/>
      <c r="K2289" s="1"/>
      <c r="L2289" s="1"/>
      <c r="M2289" s="1"/>
      <c r="N2289" s="1"/>
      <c r="O2289" s="1"/>
      <c r="P2289" s="1"/>
      <c r="Q2289" s="1"/>
      <c r="R2289" s="1"/>
      <c r="S2289" s="1"/>
    </row>
    <row r="2290" ht="10.5" customHeight="1">
      <c r="A2290" s="1"/>
      <c r="B2290" s="185" t="s">
        <v>1406</v>
      </c>
      <c r="C2290" s="1"/>
      <c r="D2290" s="1"/>
      <c r="E2290" s="1"/>
      <c r="F2290" s="1"/>
      <c r="G2290" s="1"/>
      <c r="H2290" s="1"/>
      <c r="I2290" s="1"/>
      <c r="J2290" s="1"/>
      <c r="K2290" s="1"/>
      <c r="L2290" s="1"/>
      <c r="M2290" s="1"/>
      <c r="N2290" s="1"/>
      <c r="O2290" s="1"/>
      <c r="P2290" s="1"/>
      <c r="Q2290" s="1"/>
      <c r="R2290" s="1"/>
      <c r="S2290" s="1"/>
    </row>
    <row r="2291" ht="10.5" customHeight="1">
      <c r="A2291" s="1"/>
      <c r="B2291" s="185" t="s">
        <v>1408</v>
      </c>
      <c r="C2291" s="1"/>
      <c r="D2291" s="1"/>
      <c r="E2291" s="1"/>
      <c r="F2291" s="1"/>
      <c r="G2291" s="1"/>
      <c r="H2291" s="1"/>
      <c r="I2291" s="1"/>
      <c r="J2291" s="1"/>
      <c r="K2291" s="1"/>
      <c r="L2291" s="1"/>
      <c r="M2291" s="1"/>
      <c r="N2291" s="1"/>
      <c r="O2291" s="1"/>
      <c r="P2291" s="1"/>
      <c r="Q2291" s="1"/>
      <c r="R2291" s="1"/>
      <c r="S2291" s="1"/>
    </row>
    <row r="2292" ht="10.5" customHeight="1">
      <c r="A2292" s="1"/>
      <c r="B2292" s="185" t="s">
        <v>1409</v>
      </c>
      <c r="C2292" s="1"/>
      <c r="D2292" s="1"/>
      <c r="E2292" s="1"/>
      <c r="F2292" s="1"/>
      <c r="G2292" s="1"/>
      <c r="H2292" s="1"/>
      <c r="I2292" s="1"/>
      <c r="J2292" s="1"/>
      <c r="K2292" s="1"/>
      <c r="L2292" s="1"/>
      <c r="M2292" s="1"/>
      <c r="N2292" s="1"/>
      <c r="O2292" s="1"/>
      <c r="P2292" s="1"/>
      <c r="Q2292" s="1"/>
      <c r="R2292" s="1"/>
      <c r="S2292" s="1"/>
    </row>
    <row r="2293" ht="10.5" customHeight="1">
      <c r="A2293" s="1"/>
      <c r="B2293" s="185" t="s">
        <v>1410</v>
      </c>
      <c r="C2293" s="1"/>
      <c r="D2293" s="1"/>
      <c r="E2293" s="1"/>
      <c r="F2293" s="1"/>
      <c r="G2293" s="1"/>
      <c r="H2293" s="1"/>
      <c r="I2293" s="1"/>
      <c r="J2293" s="1"/>
      <c r="K2293" s="1"/>
      <c r="L2293" s="1"/>
      <c r="M2293" s="1"/>
      <c r="N2293" s="1"/>
      <c r="O2293" s="1"/>
      <c r="P2293" s="1"/>
      <c r="Q2293" s="1"/>
      <c r="R2293" s="1"/>
      <c r="S2293" s="1"/>
    </row>
    <row r="2294" ht="10.5" customHeight="1">
      <c r="A2294" s="1"/>
      <c r="B2294" s="185" t="s">
        <v>1413</v>
      </c>
      <c r="C2294" s="1"/>
      <c r="D2294" s="1"/>
      <c r="E2294" s="1"/>
      <c r="F2294" s="1"/>
      <c r="G2294" s="1"/>
      <c r="H2294" s="1"/>
      <c r="I2294" s="1"/>
      <c r="J2294" s="1"/>
      <c r="K2294" s="1"/>
      <c r="L2294" s="1"/>
      <c r="M2294" s="1"/>
      <c r="N2294" s="1"/>
      <c r="O2294" s="1"/>
      <c r="P2294" s="1"/>
      <c r="Q2294" s="1"/>
      <c r="R2294" s="1"/>
      <c r="S2294" s="1"/>
    </row>
    <row r="2295" ht="10.5" customHeight="1">
      <c r="A2295" s="1"/>
      <c r="B2295" s="1"/>
      <c r="C2295" s="817"/>
      <c r="D2295" s="1"/>
      <c r="E2295" s="1"/>
      <c r="F2295" s="1"/>
      <c r="G2295" s="1"/>
      <c r="H2295" s="1"/>
      <c r="I2295" s="1"/>
      <c r="J2295" s="1"/>
      <c r="K2295" s="1"/>
      <c r="L2295" s="1"/>
      <c r="M2295" s="1"/>
      <c r="N2295" s="1"/>
      <c r="O2295" s="1"/>
      <c r="P2295" s="1"/>
      <c r="Q2295" s="1"/>
      <c r="R2295" s="1"/>
      <c r="S2295" s="1"/>
    </row>
    <row r="2296" ht="10.5" customHeight="1">
      <c r="A2296" s="1"/>
      <c r="B2296" s="1"/>
      <c r="C2296" s="1"/>
      <c r="D2296" s="1"/>
      <c r="E2296" s="1"/>
      <c r="F2296" s="1"/>
      <c r="G2296" s="1"/>
      <c r="H2296" s="1"/>
      <c r="I2296" s="1"/>
      <c r="J2296" s="1"/>
      <c r="K2296" s="1"/>
      <c r="L2296" s="1"/>
      <c r="M2296" s="1"/>
      <c r="N2296" s="1"/>
      <c r="O2296" s="1"/>
      <c r="P2296" s="1"/>
      <c r="Q2296" s="1"/>
      <c r="R2296" s="1"/>
      <c r="S2296" s="1"/>
    </row>
    <row r="2297" ht="10.5" customHeight="1">
      <c r="A2297" s="1"/>
      <c r="B2297" s="1"/>
      <c r="C2297" s="1"/>
      <c r="D2297" s="1"/>
      <c r="E2297" s="1"/>
      <c r="F2297" s="1"/>
      <c r="G2297" s="1"/>
      <c r="H2297" s="1"/>
      <c r="I2297" s="1"/>
      <c r="J2297" s="1"/>
      <c r="K2297" s="1"/>
      <c r="L2297" s="1"/>
      <c r="M2297" s="1"/>
      <c r="N2297" s="1"/>
      <c r="O2297" s="1"/>
      <c r="P2297" s="1"/>
      <c r="Q2297" s="1"/>
      <c r="R2297" s="1"/>
      <c r="S2297" s="1"/>
    </row>
    <row r="2298" ht="10.5" customHeight="1">
      <c r="A2298" s="1"/>
      <c r="B2298" s="1"/>
      <c r="C2298" s="1"/>
      <c r="D2298" s="1"/>
      <c r="E2298" s="1"/>
      <c r="F2298" s="1"/>
      <c r="G2298" s="1"/>
      <c r="H2298" s="1"/>
      <c r="I2298" s="1"/>
      <c r="J2298" s="1"/>
      <c r="K2298" s="1"/>
      <c r="L2298" s="1"/>
      <c r="M2298" s="1"/>
      <c r="N2298" s="1"/>
      <c r="O2298" s="1"/>
      <c r="P2298" s="1"/>
      <c r="Q2298" s="1"/>
      <c r="R2298" s="1"/>
      <c r="S2298" s="1"/>
    </row>
    <row r="2299" ht="10.5" customHeight="1">
      <c r="A2299" s="1"/>
      <c r="B2299" s="1"/>
      <c r="C2299" s="1"/>
      <c r="D2299" s="1"/>
      <c r="E2299" s="1"/>
      <c r="F2299" s="1"/>
      <c r="G2299" s="1"/>
      <c r="H2299" s="1"/>
      <c r="I2299" s="1"/>
      <c r="J2299" s="1"/>
      <c r="K2299" s="1"/>
      <c r="L2299" s="1"/>
      <c r="M2299" s="1"/>
      <c r="N2299" s="1"/>
      <c r="O2299" s="1"/>
      <c r="P2299" s="1"/>
      <c r="Q2299" s="1"/>
      <c r="R2299" s="1"/>
      <c r="S2299" s="1"/>
    </row>
    <row r="2300" ht="10.5" customHeight="1">
      <c r="A2300" s="1"/>
      <c r="B2300" s="1"/>
      <c r="C2300" s="1"/>
      <c r="D2300" s="1"/>
      <c r="E2300" s="1"/>
      <c r="F2300" s="1"/>
      <c r="G2300" s="1"/>
      <c r="H2300" s="1"/>
      <c r="I2300" s="1"/>
      <c r="J2300" s="1"/>
      <c r="K2300" s="1"/>
      <c r="L2300" s="1"/>
      <c r="M2300" s="1"/>
      <c r="N2300" s="1"/>
      <c r="O2300" s="1"/>
      <c r="P2300" s="1"/>
      <c r="Q2300" s="1"/>
      <c r="R2300" s="1"/>
      <c r="S2300" s="1"/>
    </row>
    <row r="2301" ht="10.5" customHeight="1">
      <c r="A2301" s="1"/>
      <c r="B2301" s="1"/>
      <c r="C2301" s="1"/>
      <c r="D2301" s="1"/>
      <c r="E2301" s="1"/>
      <c r="F2301" s="1"/>
      <c r="G2301" s="1"/>
      <c r="H2301" s="1"/>
      <c r="I2301" s="1"/>
      <c r="J2301" s="1"/>
      <c r="K2301" s="1"/>
      <c r="L2301" s="1"/>
      <c r="M2301" s="1"/>
      <c r="N2301" s="1"/>
      <c r="O2301" s="1"/>
      <c r="P2301" s="1"/>
      <c r="Q2301" s="1"/>
      <c r="R2301" s="1"/>
      <c r="S2301" s="1"/>
    </row>
    <row r="2302" ht="10.5" customHeight="1">
      <c r="A2302" s="1"/>
      <c r="B2302" s="1"/>
      <c r="C2302" s="1"/>
      <c r="D2302" s="1"/>
      <c r="E2302" s="1"/>
      <c r="F2302" s="1"/>
      <c r="G2302" s="1"/>
      <c r="H2302" s="1"/>
      <c r="I2302" s="1"/>
      <c r="J2302" s="1"/>
      <c r="K2302" s="1"/>
      <c r="L2302" s="1"/>
      <c r="M2302" s="1"/>
      <c r="N2302" s="1"/>
      <c r="O2302" s="1"/>
      <c r="P2302" s="1"/>
      <c r="Q2302" s="1"/>
      <c r="R2302" s="1"/>
      <c r="S2302" s="1"/>
    </row>
    <row r="2303" ht="10.5" customHeight="1">
      <c r="A2303" s="1"/>
      <c r="B2303" s="1"/>
      <c r="C2303" s="1"/>
      <c r="D2303" s="1"/>
      <c r="E2303" s="1"/>
      <c r="F2303" s="1"/>
      <c r="G2303" s="1"/>
      <c r="H2303" s="1"/>
      <c r="I2303" s="1"/>
      <c r="J2303" s="1"/>
      <c r="K2303" s="1"/>
      <c r="L2303" s="1"/>
      <c r="M2303" s="1"/>
      <c r="N2303" s="1"/>
      <c r="O2303" s="1"/>
      <c r="P2303" s="1"/>
      <c r="Q2303" s="1"/>
      <c r="R2303" s="1"/>
      <c r="S2303" s="1"/>
    </row>
    <row r="2304" ht="10.5" customHeight="1">
      <c r="A2304" s="1"/>
      <c r="B2304" s="1"/>
      <c r="C2304" s="1"/>
      <c r="D2304" s="1"/>
      <c r="E2304" s="1"/>
      <c r="F2304" s="1"/>
      <c r="G2304" s="1"/>
      <c r="H2304" s="1"/>
      <c r="I2304" s="1"/>
      <c r="J2304" s="1"/>
      <c r="K2304" s="1"/>
      <c r="L2304" s="1"/>
      <c r="M2304" s="1"/>
      <c r="N2304" s="1"/>
      <c r="O2304" s="1"/>
      <c r="P2304" s="1"/>
      <c r="Q2304" s="1"/>
      <c r="R2304" s="1"/>
      <c r="S2304" s="1"/>
    </row>
    <row r="2305" ht="10.5" customHeight="1">
      <c r="A2305" s="1"/>
      <c r="B2305" s="1"/>
      <c r="C2305" s="1"/>
      <c r="D2305" s="1"/>
      <c r="E2305" s="1"/>
      <c r="F2305" s="1"/>
      <c r="G2305" s="1"/>
      <c r="H2305" s="1"/>
      <c r="I2305" s="1"/>
      <c r="J2305" s="1"/>
      <c r="K2305" s="1"/>
      <c r="L2305" s="1"/>
      <c r="M2305" s="1"/>
      <c r="N2305" s="1"/>
      <c r="O2305" s="1"/>
      <c r="P2305" s="1"/>
      <c r="Q2305" s="1"/>
      <c r="R2305" s="1"/>
      <c r="S2305" s="1"/>
    </row>
    <row r="2306" ht="10.5" customHeight="1">
      <c r="A2306" s="1"/>
      <c r="B2306" s="1"/>
      <c r="C2306" s="1"/>
      <c r="D2306" s="1"/>
      <c r="E2306" s="1"/>
      <c r="F2306" s="1"/>
      <c r="G2306" s="1"/>
      <c r="H2306" s="1"/>
      <c r="I2306" s="1"/>
      <c r="J2306" s="1"/>
      <c r="K2306" s="1"/>
      <c r="L2306" s="1"/>
      <c r="M2306" s="1"/>
      <c r="N2306" s="1"/>
      <c r="O2306" s="1"/>
      <c r="P2306" s="1"/>
      <c r="Q2306" s="1"/>
      <c r="R2306" s="1"/>
      <c r="S2306" s="1"/>
    </row>
    <row r="2307" ht="10.5" customHeight="1">
      <c r="A2307" s="1"/>
      <c r="B2307" s="1"/>
      <c r="C2307" s="1"/>
      <c r="D2307" s="1"/>
      <c r="E2307" s="1"/>
      <c r="F2307" s="1"/>
      <c r="G2307" s="1"/>
      <c r="H2307" s="1"/>
      <c r="I2307" s="1"/>
      <c r="J2307" s="1"/>
      <c r="K2307" s="1"/>
      <c r="L2307" s="1"/>
      <c r="M2307" s="1"/>
      <c r="N2307" s="1"/>
      <c r="O2307" s="1"/>
      <c r="P2307" s="1"/>
      <c r="Q2307" s="1"/>
      <c r="R2307" s="1"/>
      <c r="S2307" s="1"/>
    </row>
    <row r="2308" ht="10.5" customHeight="1">
      <c r="A2308" s="1"/>
      <c r="B2308" s="1"/>
      <c r="C2308" s="1"/>
      <c r="D2308" s="1"/>
      <c r="E2308" s="1"/>
      <c r="F2308" s="1"/>
      <c r="G2308" s="1"/>
      <c r="H2308" s="1"/>
      <c r="I2308" s="1"/>
      <c r="J2308" s="1"/>
      <c r="K2308" s="1"/>
      <c r="L2308" s="1"/>
      <c r="M2308" s="1"/>
      <c r="N2308" s="1"/>
      <c r="O2308" s="1"/>
      <c r="P2308" s="1"/>
      <c r="Q2308" s="1"/>
      <c r="R2308" s="1"/>
      <c r="S2308" s="1"/>
    </row>
    <row r="2309" ht="10.5" customHeight="1">
      <c r="A2309" s="1"/>
      <c r="B2309" s="1"/>
      <c r="C2309" s="1"/>
      <c r="D2309" s="1"/>
      <c r="E2309" s="1"/>
      <c r="F2309" s="1"/>
      <c r="G2309" s="1"/>
      <c r="H2309" s="1"/>
      <c r="I2309" s="1"/>
      <c r="J2309" s="1"/>
      <c r="K2309" s="1"/>
      <c r="L2309" s="1"/>
      <c r="M2309" s="1"/>
      <c r="N2309" s="1"/>
      <c r="O2309" s="1"/>
      <c r="P2309" s="1"/>
      <c r="Q2309" s="1"/>
      <c r="R2309" s="1"/>
      <c r="S2309" s="1"/>
    </row>
    <row r="2310" ht="10.5" customHeight="1">
      <c r="A2310" s="1"/>
      <c r="B2310" s="1"/>
      <c r="C2310" s="1"/>
      <c r="D2310" s="1"/>
      <c r="E2310" s="1"/>
      <c r="F2310" s="1"/>
      <c r="G2310" s="1"/>
      <c r="H2310" s="1"/>
      <c r="I2310" s="1"/>
      <c r="J2310" s="1"/>
      <c r="K2310" s="1"/>
      <c r="L2310" s="1"/>
      <c r="M2310" s="1"/>
      <c r="N2310" s="1"/>
      <c r="O2310" s="1"/>
      <c r="P2310" s="1"/>
      <c r="Q2310" s="1"/>
      <c r="R2310" s="1"/>
      <c r="S2310" s="1"/>
    </row>
    <row r="2311" ht="10.5" customHeight="1">
      <c r="A2311" s="1"/>
      <c r="B2311" s="1"/>
      <c r="C2311" s="1"/>
      <c r="D2311" s="1"/>
      <c r="E2311" s="1"/>
      <c r="F2311" s="1"/>
      <c r="G2311" s="1"/>
      <c r="H2311" s="1"/>
      <c r="I2311" s="1"/>
      <c r="J2311" s="1"/>
      <c r="K2311" s="1"/>
      <c r="L2311" s="1"/>
      <c r="M2311" s="1"/>
      <c r="N2311" s="1"/>
      <c r="O2311" s="1"/>
      <c r="P2311" s="1"/>
      <c r="Q2311" s="1"/>
      <c r="R2311" s="1"/>
      <c r="S2311" s="1"/>
    </row>
    <row r="2312" ht="10.5" customHeight="1">
      <c r="A2312" s="1"/>
      <c r="B2312" s="1"/>
      <c r="C2312" s="1"/>
      <c r="D2312" s="1"/>
      <c r="E2312" s="1"/>
      <c r="F2312" s="1"/>
      <c r="G2312" s="1"/>
      <c r="H2312" s="1"/>
      <c r="I2312" s="1"/>
      <c r="J2312" s="1"/>
      <c r="K2312" s="1"/>
      <c r="L2312" s="1"/>
      <c r="M2312" s="1"/>
      <c r="N2312" s="1"/>
      <c r="O2312" s="1"/>
      <c r="P2312" s="1"/>
      <c r="Q2312" s="1"/>
      <c r="R2312" s="1"/>
      <c r="S2312" s="1"/>
    </row>
    <row r="2313" ht="10.5" customHeight="1">
      <c r="A2313" s="1"/>
      <c r="B2313" s="1"/>
      <c r="C2313" s="1"/>
      <c r="D2313" s="1"/>
      <c r="E2313" s="1"/>
      <c r="F2313" s="1"/>
      <c r="G2313" s="1"/>
      <c r="H2313" s="1"/>
      <c r="I2313" s="1"/>
      <c r="J2313" s="1"/>
      <c r="K2313" s="1"/>
      <c r="L2313" s="1"/>
      <c r="M2313" s="1"/>
      <c r="N2313" s="1"/>
      <c r="O2313" s="1"/>
      <c r="P2313" s="1"/>
      <c r="Q2313" s="1"/>
      <c r="R2313" s="1"/>
      <c r="S2313" s="1"/>
    </row>
    <row r="2314" ht="10.5" customHeight="1">
      <c r="A2314" s="1"/>
      <c r="B2314" s="1"/>
      <c r="C2314" s="1"/>
      <c r="D2314" s="1"/>
      <c r="E2314" s="1"/>
      <c r="F2314" s="1"/>
      <c r="G2314" s="1"/>
      <c r="H2314" s="1"/>
      <c r="I2314" s="1"/>
      <c r="J2314" s="1"/>
      <c r="K2314" s="1"/>
      <c r="L2314" s="1"/>
      <c r="M2314" s="1"/>
      <c r="N2314" s="1"/>
      <c r="O2314" s="1"/>
      <c r="P2314" s="1"/>
      <c r="Q2314" s="1"/>
      <c r="R2314" s="1"/>
      <c r="S2314" s="1"/>
    </row>
    <row r="2315" ht="10.5" customHeight="1">
      <c r="A2315" s="1"/>
      <c r="B2315" s="1"/>
      <c r="C2315" s="1"/>
      <c r="D2315" s="1"/>
      <c r="E2315" s="1"/>
      <c r="F2315" s="1"/>
      <c r="G2315" s="1"/>
      <c r="H2315" s="1"/>
      <c r="I2315" s="1"/>
      <c r="J2315" s="1"/>
      <c r="K2315" s="1"/>
      <c r="L2315" s="1"/>
      <c r="M2315" s="1"/>
      <c r="N2315" s="1"/>
      <c r="O2315" s="1"/>
      <c r="P2315" s="1"/>
      <c r="Q2315" s="1"/>
      <c r="R2315" s="1"/>
      <c r="S2315" s="1"/>
    </row>
    <row r="2316" ht="10.5" customHeight="1">
      <c r="A2316" s="1"/>
      <c r="B2316" s="1"/>
      <c r="C2316" s="1"/>
      <c r="D2316" s="1"/>
      <c r="E2316" s="1"/>
      <c r="F2316" s="1"/>
      <c r="G2316" s="1"/>
      <c r="H2316" s="1"/>
      <c r="I2316" s="1"/>
      <c r="J2316" s="1"/>
      <c r="K2316" s="1"/>
      <c r="L2316" s="1"/>
      <c r="M2316" s="1"/>
      <c r="N2316" s="1"/>
      <c r="O2316" s="1"/>
      <c r="P2316" s="1"/>
      <c r="Q2316" s="1"/>
      <c r="R2316" s="1"/>
      <c r="S2316" s="1"/>
    </row>
    <row r="2317" ht="10.5" customHeight="1">
      <c r="A2317" s="1"/>
      <c r="B2317" s="1"/>
      <c r="C2317" s="1"/>
      <c r="D2317" s="1"/>
      <c r="E2317" s="1"/>
      <c r="F2317" s="1"/>
      <c r="G2317" s="110">
        <v>32.0</v>
      </c>
      <c r="H2317" s="1"/>
      <c r="I2317" s="1"/>
      <c r="J2317" s="1"/>
      <c r="K2317" s="1"/>
      <c r="L2317" s="1"/>
      <c r="M2317" s="1"/>
      <c r="N2317" s="1"/>
      <c r="O2317" s="1"/>
      <c r="P2317" s="1"/>
      <c r="Q2317" s="1"/>
      <c r="R2317" s="1"/>
      <c r="S2317" s="1"/>
    </row>
    <row r="2318" ht="10.5" customHeight="1">
      <c r="A2318" s="1"/>
      <c r="B2318" s="1"/>
      <c r="C2318" s="1"/>
      <c r="D2318" s="1"/>
      <c r="E2318" s="1"/>
      <c r="F2318" s="1"/>
      <c r="G2318" s="1"/>
      <c r="H2318" s="1"/>
      <c r="I2318" s="1"/>
      <c r="J2318" s="65"/>
      <c r="K2318" s="1"/>
      <c r="L2318" s="1"/>
      <c r="M2318" s="1"/>
      <c r="N2318" s="1"/>
      <c r="O2318" s="1"/>
      <c r="P2318" s="1"/>
      <c r="Q2318" s="1"/>
      <c r="R2318" s="1"/>
      <c r="S2318" s="1"/>
    </row>
    <row r="2319" ht="10.5" customHeight="1">
      <c r="A2319" s="1"/>
      <c r="B2319" s="1"/>
      <c r="C2319" s="1"/>
      <c r="D2319" s="1"/>
      <c r="E2319" s="1"/>
      <c r="F2319" s="1"/>
      <c r="G2319" s="1"/>
      <c r="H2319" s="1"/>
      <c r="I2319" s="1"/>
      <c r="J2319" s="1"/>
      <c r="K2319" s="1"/>
      <c r="L2319" s="1"/>
      <c r="M2319" s="1"/>
      <c r="N2319" s="1"/>
      <c r="O2319" s="1"/>
      <c r="P2319" s="1"/>
      <c r="Q2319" s="1"/>
      <c r="R2319" s="1"/>
      <c r="S2319" s="1"/>
    </row>
    <row r="2320" ht="11.25" customHeight="1">
      <c r="A2320" s="1"/>
      <c r="B2320" s="1" t="s">
        <v>1426</v>
      </c>
      <c r="C2320" s="1"/>
      <c r="D2320" s="1"/>
      <c r="E2320" s="1"/>
      <c r="F2320" s="1"/>
      <c r="G2320" s="1"/>
      <c r="H2320" s="1"/>
      <c r="I2320" s="1"/>
      <c r="J2320" s="1"/>
      <c r="K2320" s="727"/>
      <c r="L2320" s="818"/>
      <c r="M2320" s="1"/>
      <c r="N2320" s="1"/>
      <c r="O2320" s="1"/>
      <c r="P2320" s="1"/>
      <c r="Q2320" s="1"/>
      <c r="R2320" s="1"/>
      <c r="S2320" s="1"/>
    </row>
    <row r="2321" ht="11.25" customHeight="1">
      <c r="A2321" s="1"/>
      <c r="B2321" s="29" t="s">
        <v>31</v>
      </c>
      <c r="C2321" s="31" t="s">
        <v>926</v>
      </c>
      <c r="D2321" s="31" t="s">
        <v>1427</v>
      </c>
      <c r="E2321" s="31" t="s">
        <v>512</v>
      </c>
      <c r="F2321" s="31" t="s">
        <v>1428</v>
      </c>
      <c r="G2321" s="128" t="s">
        <v>1429</v>
      </c>
      <c r="H2321" s="193"/>
      <c r="I2321" s="193"/>
      <c r="J2321" s="193"/>
      <c r="K2321" s="351"/>
      <c r="L2321" s="29" t="s">
        <v>42</v>
      </c>
      <c r="M2321" s="1"/>
      <c r="N2321" s="1"/>
      <c r="O2321" s="1"/>
      <c r="P2321" s="1"/>
      <c r="Q2321" s="1"/>
      <c r="R2321" s="1"/>
      <c r="S2321" s="1"/>
    </row>
    <row r="2322" ht="11.25" customHeight="1">
      <c r="A2322" s="1"/>
      <c r="B2322" s="5"/>
      <c r="C2322" s="5"/>
      <c r="D2322" s="5"/>
      <c r="E2322" s="5"/>
      <c r="F2322" s="5"/>
      <c r="G2322" s="31" t="s">
        <v>1364</v>
      </c>
      <c r="H2322" s="128" t="s">
        <v>1365</v>
      </c>
      <c r="I2322" s="10"/>
      <c r="J2322" s="31" t="s">
        <v>1366</v>
      </c>
      <c r="K2322" s="31" t="s">
        <v>1368</v>
      </c>
      <c r="L2322" s="5"/>
      <c r="M2322" s="1"/>
      <c r="N2322" s="1"/>
      <c r="O2322" s="1"/>
      <c r="P2322" s="1"/>
      <c r="Q2322" s="1"/>
      <c r="R2322" s="1"/>
      <c r="S2322" s="1"/>
    </row>
    <row r="2323" ht="11.25" customHeight="1">
      <c r="A2323" s="1"/>
      <c r="B2323" s="5"/>
      <c r="C2323" s="6"/>
      <c r="D2323" s="6"/>
      <c r="E2323" s="6"/>
      <c r="F2323" s="6"/>
      <c r="G2323" s="6"/>
      <c r="H2323" s="128" t="s">
        <v>1430</v>
      </c>
      <c r="I2323" s="128" t="s">
        <v>1431</v>
      </c>
      <c r="J2323" s="6"/>
      <c r="K2323" s="6"/>
      <c r="L2323" s="5"/>
      <c r="M2323" s="1"/>
      <c r="N2323" s="1"/>
      <c r="O2323" s="1"/>
      <c r="P2323" s="1"/>
      <c r="Q2323" s="1"/>
      <c r="R2323" s="1"/>
      <c r="S2323" s="1"/>
    </row>
    <row r="2324" ht="10.5" customHeight="1">
      <c r="A2324" s="1"/>
      <c r="B2324" s="6"/>
      <c r="C2324" s="134" t="s">
        <v>49</v>
      </c>
      <c r="D2324" s="134" t="s">
        <v>933</v>
      </c>
      <c r="E2324" s="134" t="s">
        <v>50</v>
      </c>
      <c r="F2324" s="134" t="s">
        <v>54</v>
      </c>
      <c r="G2324" s="8" t="s">
        <v>933</v>
      </c>
      <c r="H2324" s="9"/>
      <c r="I2324" s="9"/>
      <c r="J2324" s="9"/>
      <c r="K2324" s="10"/>
      <c r="L2324" s="6"/>
      <c r="M2324" s="1"/>
      <c r="N2324" s="1"/>
      <c r="O2324" s="1"/>
      <c r="P2324" s="1"/>
      <c r="Q2324" s="1"/>
      <c r="R2324" s="1"/>
      <c r="S2324" s="1"/>
    </row>
    <row r="2325" ht="10.5" customHeight="1">
      <c r="A2325" s="1"/>
      <c r="B2325" s="48" t="s">
        <v>56</v>
      </c>
      <c r="C2325" s="366">
        <v>27.8</v>
      </c>
      <c r="D2325" s="276">
        <v>248.39</v>
      </c>
      <c r="E2325" s="30">
        <v>68954.0</v>
      </c>
      <c r="F2325" s="250">
        <v>8.7</v>
      </c>
      <c r="G2325" s="54">
        <v>403.7</v>
      </c>
      <c r="H2325" s="54">
        <v>225.8</v>
      </c>
      <c r="I2325" s="54">
        <v>214.2</v>
      </c>
      <c r="J2325" s="250">
        <v>317.0</v>
      </c>
      <c r="K2325" s="250">
        <v>345.0</v>
      </c>
      <c r="L2325" s="55" t="s">
        <v>81</v>
      </c>
      <c r="M2325" s="1"/>
      <c r="N2325" s="1"/>
      <c r="O2325" s="1"/>
      <c r="P2325" s="1"/>
      <c r="Q2325" s="1"/>
      <c r="R2325" s="1"/>
      <c r="S2325" s="1"/>
    </row>
    <row r="2326" ht="10.5" customHeight="1">
      <c r="A2326" s="1"/>
      <c r="B2326" s="48" t="s">
        <v>81</v>
      </c>
      <c r="C2326" s="366">
        <v>34.2</v>
      </c>
      <c r="D2326" s="276">
        <v>409.46</v>
      </c>
      <c r="E2326" s="30">
        <v>140157.0</v>
      </c>
      <c r="F2326" s="250">
        <v>12.0</v>
      </c>
      <c r="G2326" s="54">
        <v>496.4</v>
      </c>
      <c r="H2326" s="54">
        <v>292.3</v>
      </c>
      <c r="I2326" s="54">
        <v>253.6</v>
      </c>
      <c r="J2326" s="250">
        <v>433.3</v>
      </c>
      <c r="K2326" s="250">
        <v>474.1</v>
      </c>
      <c r="L2326" s="55" t="s">
        <v>86</v>
      </c>
      <c r="M2326" s="1"/>
      <c r="N2326" s="1"/>
      <c r="O2326" s="1"/>
      <c r="P2326" s="1"/>
      <c r="Q2326" s="1"/>
      <c r="R2326" s="1"/>
      <c r="S2326" s="1"/>
    </row>
    <row r="2327" ht="10.5" customHeight="1">
      <c r="A2327" s="1"/>
      <c r="B2327" s="48" t="s">
        <v>86</v>
      </c>
      <c r="C2327" s="366">
        <v>38.6</v>
      </c>
      <c r="D2327" s="276">
        <v>394.02</v>
      </c>
      <c r="E2327" s="30">
        <v>152448.0</v>
      </c>
      <c r="F2327" s="250">
        <v>15.4</v>
      </c>
      <c r="G2327" s="54">
        <v>522.1</v>
      </c>
      <c r="H2327" s="54">
        <v>337.0</v>
      </c>
      <c r="I2327" s="54">
        <v>258.5</v>
      </c>
      <c r="J2327" s="250">
        <v>495.9</v>
      </c>
      <c r="K2327" s="250">
        <v>514.0</v>
      </c>
      <c r="L2327" s="55" t="s">
        <v>87</v>
      </c>
      <c r="M2327" s="1"/>
      <c r="N2327" s="1"/>
      <c r="O2327" s="1"/>
      <c r="P2327" s="1"/>
      <c r="Q2327" s="1"/>
      <c r="R2327" s="1"/>
      <c r="S2327" s="1"/>
    </row>
    <row r="2328" ht="10.5" customHeight="1">
      <c r="A2328" s="1"/>
      <c r="B2328" s="48" t="s">
        <v>87</v>
      </c>
      <c r="C2328" s="366">
        <v>35.8</v>
      </c>
      <c r="D2328" s="276">
        <v>406.1</v>
      </c>
      <c r="E2328" s="30">
        <v>141606.0</v>
      </c>
      <c r="F2328" s="250">
        <v>16.4</v>
      </c>
      <c r="G2328" s="54">
        <v>556.7</v>
      </c>
      <c r="H2328" s="54">
        <v>309.0</v>
      </c>
      <c r="I2328" s="54">
        <v>295.1</v>
      </c>
      <c r="J2328" s="250">
        <v>499.2</v>
      </c>
      <c r="K2328" s="250">
        <v>544.0</v>
      </c>
      <c r="L2328" s="55" t="s">
        <v>90</v>
      </c>
      <c r="M2328" s="1"/>
      <c r="N2328" s="1"/>
      <c r="O2328" s="1"/>
      <c r="P2328" s="1"/>
      <c r="Q2328" s="1"/>
      <c r="R2328" s="1"/>
      <c r="S2328" s="1"/>
    </row>
    <row r="2329" ht="10.5" customHeight="1">
      <c r="A2329" s="1"/>
      <c r="B2329" s="48" t="s">
        <v>90</v>
      </c>
      <c r="C2329" s="366">
        <v>37.3</v>
      </c>
      <c r="D2329" s="276">
        <v>460.16</v>
      </c>
      <c r="E2329" s="30">
        <v>171594.0</v>
      </c>
      <c r="F2329" s="250">
        <v>18.1</v>
      </c>
      <c r="G2329" s="54">
        <v>601.2</v>
      </c>
      <c r="H2329" s="54">
        <v>333.7</v>
      </c>
      <c r="I2329" s="54">
        <v>318.7</v>
      </c>
      <c r="J2329" s="250">
        <v>539.1</v>
      </c>
      <c r="K2329" s="250">
        <v>587.5</v>
      </c>
      <c r="L2329" s="55" t="s">
        <v>93</v>
      </c>
      <c r="M2329" s="1"/>
      <c r="N2329" s="1"/>
      <c r="O2329" s="1"/>
      <c r="P2329" s="1"/>
      <c r="Q2329" s="1"/>
      <c r="R2329" s="1"/>
      <c r="S2329" s="1"/>
    </row>
    <row r="2330" ht="10.5" customHeight="1">
      <c r="A2330" s="1"/>
      <c r="B2330" s="48"/>
      <c r="C2330" s="366"/>
      <c r="D2330" s="276"/>
      <c r="E2330" s="30"/>
      <c r="F2330" s="250"/>
      <c r="G2330" s="54"/>
      <c r="H2330" s="54"/>
      <c r="I2330" s="54"/>
      <c r="J2330" s="250"/>
      <c r="K2330" s="250"/>
      <c r="L2330" s="55"/>
      <c r="M2330" s="1"/>
      <c r="N2330" s="1"/>
      <c r="O2330" s="1"/>
      <c r="P2330" s="1"/>
      <c r="Q2330" s="1"/>
      <c r="R2330" s="1"/>
      <c r="S2330" s="1"/>
    </row>
    <row r="2331" ht="10.5" customHeight="1">
      <c r="A2331" s="1"/>
      <c r="B2331" s="48" t="s">
        <v>93</v>
      </c>
      <c r="C2331" s="366">
        <v>32.21</v>
      </c>
      <c r="D2331" s="276">
        <v>463.34</v>
      </c>
      <c r="E2331" s="30">
        <v>149242.0</v>
      </c>
      <c r="F2331" s="250">
        <v>20.7</v>
      </c>
      <c r="G2331" s="54">
        <v>598.8</v>
      </c>
      <c r="H2331" s="54">
        <v>295.6</v>
      </c>
      <c r="I2331" s="54">
        <v>311.9</v>
      </c>
      <c r="J2331" s="250">
        <v>553.0</v>
      </c>
      <c r="K2331" s="250">
        <v>669.7</v>
      </c>
      <c r="L2331" s="55" t="s">
        <v>97</v>
      </c>
      <c r="M2331" s="1"/>
      <c r="N2331" s="1"/>
      <c r="O2331" s="1"/>
      <c r="P2331" s="1"/>
      <c r="Q2331" s="1"/>
      <c r="R2331" s="1"/>
      <c r="S2331" s="1"/>
    </row>
    <row r="2332" ht="10.5" customHeight="1">
      <c r="A2332" s="1"/>
      <c r="B2332" s="48" t="s">
        <v>97</v>
      </c>
      <c r="C2332" s="366">
        <v>27.2</v>
      </c>
      <c r="D2332" s="276">
        <v>581.7</v>
      </c>
      <c r="E2332" s="30">
        <v>158222.0</v>
      </c>
      <c r="F2332" s="250">
        <v>24.8</v>
      </c>
      <c r="G2332" s="54">
        <v>653.4</v>
      </c>
      <c r="H2332" s="54">
        <v>317.8</v>
      </c>
      <c r="I2332" s="54">
        <v>380.5</v>
      </c>
      <c r="J2332" s="250">
        <v>717.6</v>
      </c>
      <c r="K2332" s="250">
        <v>769.6</v>
      </c>
      <c r="L2332" s="55" t="s">
        <v>101</v>
      </c>
      <c r="M2332" s="1"/>
      <c r="N2332" s="1"/>
      <c r="O2332" s="1"/>
      <c r="P2332" s="1"/>
      <c r="Q2332" s="1"/>
      <c r="R2332" s="1"/>
      <c r="S2332" s="1"/>
    </row>
    <row r="2333" ht="10.5" customHeight="1">
      <c r="A2333" s="1"/>
      <c r="B2333" s="48" t="s">
        <v>101</v>
      </c>
      <c r="C2333" s="366">
        <v>29.3</v>
      </c>
      <c r="D2333" s="276">
        <v>695.13</v>
      </c>
      <c r="E2333" s="30">
        <v>207217.0</v>
      </c>
      <c r="F2333" s="250">
        <v>27.8</v>
      </c>
      <c r="G2333" s="54">
        <v>879.6</v>
      </c>
      <c r="H2333" s="54">
        <v>519.5</v>
      </c>
      <c r="I2333" s="54">
        <v>549.7</v>
      </c>
      <c r="J2333" s="250">
        <v>774.8</v>
      </c>
      <c r="K2333" s="250">
        <v>1001.5</v>
      </c>
      <c r="L2333" s="55" t="s">
        <v>103</v>
      </c>
      <c r="M2333" s="1"/>
      <c r="N2333" s="1"/>
      <c r="O2333" s="1"/>
      <c r="P2333" s="1"/>
      <c r="Q2333" s="1"/>
      <c r="R2333" s="1"/>
      <c r="S2333" s="1"/>
    </row>
    <row r="2334" ht="10.5" customHeight="1">
      <c r="A2334" s="1"/>
      <c r="B2334" s="48" t="s">
        <v>103</v>
      </c>
      <c r="C2334" s="366">
        <v>35.8</v>
      </c>
      <c r="D2334" s="276">
        <v>782.8</v>
      </c>
      <c r="E2334" s="30">
        <v>287599.0</v>
      </c>
      <c r="F2334" s="250">
        <v>31.0</v>
      </c>
      <c r="G2334" s="54">
        <v>983.5</v>
      </c>
      <c r="H2334" s="54">
        <v>548.4</v>
      </c>
      <c r="I2334" s="54">
        <v>602.1</v>
      </c>
      <c r="J2334" s="250">
        <v>764.1</v>
      </c>
      <c r="K2334" s="250">
        <v>1153.4</v>
      </c>
      <c r="L2334" s="55" t="s">
        <v>104</v>
      </c>
      <c r="M2334" s="1"/>
      <c r="N2334" s="1"/>
      <c r="O2334" s="1"/>
      <c r="P2334" s="1"/>
      <c r="Q2334" s="1"/>
      <c r="R2334" s="1"/>
      <c r="S2334" s="1"/>
    </row>
    <row r="2335" ht="10.5" customHeight="1">
      <c r="A2335" s="1"/>
      <c r="B2335" s="48" t="s">
        <v>104</v>
      </c>
      <c r="C2335" s="366">
        <v>29.0</v>
      </c>
      <c r="D2335" s="276">
        <v>824.64</v>
      </c>
      <c r="E2335" s="30">
        <v>226447.0</v>
      </c>
      <c r="F2335" s="250">
        <v>34.7</v>
      </c>
      <c r="G2335" s="54">
        <v>1118.0</v>
      </c>
      <c r="H2335" s="54">
        <v>439.1</v>
      </c>
      <c r="I2335" s="54">
        <v>760.0</v>
      </c>
      <c r="J2335" s="250">
        <v>963.0</v>
      </c>
      <c r="K2335" s="250">
        <v>1356.0</v>
      </c>
      <c r="L2335" s="55" t="s">
        <v>108</v>
      </c>
      <c r="M2335" s="1"/>
      <c r="N2335" s="1"/>
      <c r="O2335" s="1"/>
      <c r="P2335" s="1"/>
      <c r="Q2335" s="1"/>
      <c r="R2335" s="1"/>
      <c r="S2335" s="1"/>
    </row>
    <row r="2336" ht="10.5" customHeight="1">
      <c r="A2336" s="1"/>
      <c r="B2336" s="48"/>
      <c r="C2336" s="366"/>
      <c r="D2336" s="276"/>
      <c r="E2336" s="30"/>
      <c r="F2336" s="250"/>
      <c r="G2336" s="54"/>
      <c r="H2336" s="54"/>
      <c r="I2336" s="54"/>
      <c r="J2336" s="250"/>
      <c r="K2336" s="250"/>
      <c r="L2336" s="55"/>
      <c r="M2336" s="1"/>
      <c r="N2336" s="1"/>
      <c r="O2336" s="1"/>
      <c r="P2336" s="1"/>
      <c r="Q2336" s="1"/>
      <c r="R2336" s="1"/>
      <c r="S2336" s="1"/>
    </row>
    <row r="2337" ht="10.5" customHeight="1">
      <c r="A2337" s="1"/>
      <c r="B2337" s="48" t="s">
        <v>108</v>
      </c>
      <c r="C2337" s="366">
        <v>30.3</v>
      </c>
      <c r="D2337" s="276">
        <v>1059.52</v>
      </c>
      <c r="E2337" s="30">
        <v>320928.0</v>
      </c>
      <c r="F2337" s="250">
        <v>42.2</v>
      </c>
      <c r="G2337" s="54">
        <v>1400.0</v>
      </c>
      <c r="H2337" s="54">
        <v>747.0</v>
      </c>
      <c r="I2337" s="54">
        <v>891.0</v>
      </c>
      <c r="J2337" s="250">
        <v>612.0</v>
      </c>
      <c r="K2337" s="250">
        <v>1441.0</v>
      </c>
      <c r="L2337" s="55" t="s">
        <v>111</v>
      </c>
      <c r="M2337" s="1"/>
      <c r="N2337" s="1"/>
      <c r="O2337" s="1"/>
      <c r="P2337" s="1"/>
      <c r="Q2337" s="1"/>
      <c r="R2337" s="1"/>
      <c r="S2337" s="1"/>
    </row>
    <row r="2338" ht="10.5" customHeight="1">
      <c r="A2338" s="1"/>
      <c r="B2338" s="48" t="s">
        <v>111</v>
      </c>
      <c r="C2338" s="366">
        <v>35.0</v>
      </c>
      <c r="D2338" s="276">
        <v>1143.27</v>
      </c>
      <c r="E2338" s="30">
        <v>399916.0</v>
      </c>
      <c r="F2338" s="250">
        <v>41.1</v>
      </c>
      <c r="G2338" s="54">
        <v>1504.0</v>
      </c>
      <c r="H2338" s="54">
        <v>912.0</v>
      </c>
      <c r="I2338" s="54">
        <v>946.0</v>
      </c>
      <c r="J2338" s="250">
        <v>1198.0</v>
      </c>
      <c r="K2338" s="250">
        <v>1735.0</v>
      </c>
      <c r="L2338" s="55" t="s">
        <v>112</v>
      </c>
      <c r="M2338" s="1"/>
      <c r="N2338" s="1"/>
      <c r="O2338" s="1"/>
      <c r="P2338" s="1"/>
      <c r="Q2338" s="1"/>
      <c r="R2338" s="1"/>
      <c r="S2338" s="1"/>
    </row>
    <row r="2339" ht="10.5" customHeight="1">
      <c r="A2339" s="1"/>
      <c r="B2339" s="48" t="s">
        <v>112</v>
      </c>
      <c r="C2339" s="366">
        <v>30.4</v>
      </c>
      <c r="D2339" s="276">
        <v>826.4</v>
      </c>
      <c r="E2339" s="30">
        <v>251153.0</v>
      </c>
      <c r="F2339" s="250">
        <v>33.8</v>
      </c>
      <c r="G2339" s="54">
        <v>1569.0</v>
      </c>
      <c r="H2339" s="284">
        <v>990.0</v>
      </c>
      <c r="I2339" s="87"/>
      <c r="J2339" s="250" t="s">
        <v>40</v>
      </c>
      <c r="K2339" s="250">
        <v>1956.0</v>
      </c>
      <c r="L2339" s="55" t="s">
        <v>113</v>
      </c>
      <c r="M2339" s="1"/>
      <c r="N2339" s="1"/>
      <c r="O2339" s="1"/>
      <c r="P2339" s="1"/>
      <c r="Q2339" s="1"/>
      <c r="R2339" s="1"/>
      <c r="S2339" s="1"/>
    </row>
    <row r="2340" ht="10.5" customHeight="1">
      <c r="A2340" s="1"/>
      <c r="B2340" s="48" t="s">
        <v>113</v>
      </c>
      <c r="C2340" s="366">
        <v>19.5</v>
      </c>
      <c r="D2340" s="276">
        <v>972.38</v>
      </c>
      <c r="E2340" s="30">
        <v>189234.0</v>
      </c>
      <c r="F2340" s="250">
        <v>37.9</v>
      </c>
      <c r="G2340" s="54">
        <v>1595.0</v>
      </c>
      <c r="H2340" s="284">
        <v>1068.0</v>
      </c>
      <c r="I2340" s="87"/>
      <c r="J2340" s="250" t="s">
        <v>40</v>
      </c>
      <c r="K2340" s="250">
        <v>2073.0</v>
      </c>
      <c r="L2340" s="55" t="s">
        <v>114</v>
      </c>
      <c r="M2340" s="1"/>
      <c r="N2340" s="1"/>
      <c r="O2340" s="1"/>
      <c r="P2340" s="1"/>
      <c r="Q2340" s="1"/>
      <c r="R2340" s="1"/>
      <c r="S2340" s="1"/>
    </row>
    <row r="2341" ht="10.5" customHeight="1">
      <c r="A2341" s="1"/>
      <c r="B2341" s="48" t="s">
        <v>114</v>
      </c>
      <c r="C2341" s="366">
        <v>20.6</v>
      </c>
      <c r="D2341" s="276">
        <v>1080.73</v>
      </c>
      <c r="E2341" s="30">
        <v>222307.0</v>
      </c>
      <c r="F2341" s="250">
        <v>42.2</v>
      </c>
      <c r="G2341" s="54">
        <v>1723.0</v>
      </c>
      <c r="H2341" s="284">
        <v>1087.0</v>
      </c>
      <c r="I2341" s="87"/>
      <c r="J2341" s="250" t="s">
        <v>40</v>
      </c>
      <c r="K2341" s="250">
        <v>2223.0</v>
      </c>
      <c r="L2341" s="55" t="s">
        <v>115</v>
      </c>
      <c r="M2341" s="1"/>
      <c r="N2341" s="1"/>
      <c r="O2341" s="1"/>
      <c r="P2341" s="1"/>
      <c r="Q2341" s="1"/>
      <c r="R2341" s="1"/>
      <c r="S2341" s="1"/>
    </row>
    <row r="2342" ht="10.5" customHeight="1">
      <c r="A2342" s="1"/>
      <c r="B2342" s="48"/>
      <c r="C2342" s="366"/>
      <c r="D2342" s="276"/>
      <c r="E2342" s="30"/>
      <c r="F2342" s="250"/>
      <c r="G2342" s="54"/>
      <c r="H2342" s="284"/>
      <c r="I2342" s="87"/>
      <c r="J2342" s="250"/>
      <c r="K2342" s="250"/>
      <c r="L2342" s="55"/>
      <c r="M2342" s="1"/>
      <c r="N2342" s="1"/>
      <c r="O2342" s="1"/>
      <c r="P2342" s="1"/>
      <c r="Q2342" s="1"/>
      <c r="R2342" s="1"/>
      <c r="S2342" s="1"/>
    </row>
    <row r="2343" ht="10.5" customHeight="1">
      <c r="A2343" s="1"/>
      <c r="B2343" s="48" t="s">
        <v>115</v>
      </c>
      <c r="C2343" s="366">
        <v>21.5</v>
      </c>
      <c r="D2343" s="276">
        <v>1293.64</v>
      </c>
      <c r="E2343" s="30">
        <v>278327.0</v>
      </c>
      <c r="F2343" s="250">
        <v>50.5</v>
      </c>
      <c r="G2343" s="54">
        <v>1860.0</v>
      </c>
      <c r="H2343" s="284">
        <v>1135.0</v>
      </c>
      <c r="I2343" s="87"/>
      <c r="J2343" s="250" t="s">
        <v>40</v>
      </c>
      <c r="K2343" s="250">
        <v>2371.0</v>
      </c>
      <c r="L2343" s="55" t="s">
        <v>117</v>
      </c>
      <c r="M2343" s="1"/>
      <c r="N2343" s="1"/>
      <c r="O2343" s="1"/>
      <c r="P2343" s="1"/>
      <c r="Q2343" s="1"/>
      <c r="R2343" s="1"/>
      <c r="S2343" s="1"/>
    </row>
    <row r="2344" ht="10.5" customHeight="1">
      <c r="A2344" s="1"/>
      <c r="B2344" s="48" t="s">
        <v>117</v>
      </c>
      <c r="C2344" s="366">
        <v>26.5</v>
      </c>
      <c r="D2344" s="276">
        <v>1454.94</v>
      </c>
      <c r="E2344" s="30">
        <v>384394.0</v>
      </c>
      <c r="F2344" s="250">
        <v>56.7</v>
      </c>
      <c r="G2344" s="54">
        <v>2046.0</v>
      </c>
      <c r="H2344" s="284">
        <v>1226.0</v>
      </c>
      <c r="I2344" s="87"/>
      <c r="J2344" s="250" t="s">
        <v>40</v>
      </c>
      <c r="K2344" s="250">
        <v>2608.0</v>
      </c>
      <c r="L2344" s="55" t="s">
        <v>121</v>
      </c>
      <c r="M2344" s="1"/>
      <c r="N2344" s="1"/>
      <c r="O2344" s="1"/>
      <c r="P2344" s="1"/>
      <c r="Q2344" s="1"/>
      <c r="R2344" s="1"/>
      <c r="S2344" s="1"/>
    </row>
    <row r="2345" ht="10.5" customHeight="1">
      <c r="A2345" s="1"/>
      <c r="B2345" s="48" t="s">
        <v>121</v>
      </c>
      <c r="C2345" s="366">
        <v>31.6</v>
      </c>
      <c r="D2345" s="276">
        <v>1873.79</v>
      </c>
      <c r="E2345" s="30">
        <v>590113.0</v>
      </c>
      <c r="F2345" s="250">
        <v>73.1</v>
      </c>
      <c r="G2345" s="54">
        <v>2097.1</v>
      </c>
      <c r="H2345" s="284">
        <v>1256.6</v>
      </c>
      <c r="I2345" s="87"/>
      <c r="J2345" s="250" t="s">
        <v>40</v>
      </c>
      <c r="K2345" s="250">
        <v>2660.1</v>
      </c>
      <c r="L2345" s="55" t="s">
        <v>122</v>
      </c>
      <c r="M2345" s="1"/>
      <c r="N2345" s="1"/>
      <c r="O2345" s="1"/>
      <c r="P2345" s="1"/>
      <c r="Q2345" s="1"/>
      <c r="R2345" s="1"/>
      <c r="S2345" s="1"/>
    </row>
    <row r="2346" ht="10.5" customHeight="1">
      <c r="A2346" s="1"/>
      <c r="B2346" s="48" t="s">
        <v>122</v>
      </c>
      <c r="C2346" s="366">
        <v>30.1</v>
      </c>
      <c r="D2346" s="276">
        <v>1570.75</v>
      </c>
      <c r="E2346" s="30">
        <v>472749.0</v>
      </c>
      <c r="F2346" s="250">
        <v>75.3</v>
      </c>
      <c r="G2346" s="54" t="s">
        <v>10</v>
      </c>
      <c r="H2346" s="284" t="s">
        <v>10</v>
      </c>
      <c r="I2346" s="87"/>
      <c r="J2346" s="250" t="s">
        <v>40</v>
      </c>
      <c r="K2346" s="250" t="s">
        <v>10</v>
      </c>
      <c r="L2346" s="55" t="s">
        <v>123</v>
      </c>
      <c r="M2346" s="1"/>
      <c r="N2346" s="1"/>
      <c r="O2346" s="1"/>
      <c r="P2346" s="1"/>
      <c r="Q2346" s="1"/>
      <c r="R2346" s="1"/>
      <c r="S2346" s="1"/>
    </row>
    <row r="2347" ht="10.5" customHeight="1">
      <c r="A2347" s="1"/>
      <c r="B2347" s="48" t="s">
        <v>123</v>
      </c>
      <c r="C2347" s="366">
        <v>29.7</v>
      </c>
      <c r="D2347" s="276">
        <v>1473.78</v>
      </c>
      <c r="E2347" s="30">
        <v>437720.0</v>
      </c>
      <c r="F2347" s="250">
        <v>59.8</v>
      </c>
      <c r="G2347" s="54" t="s">
        <v>10</v>
      </c>
      <c r="H2347" s="284" t="s">
        <v>10</v>
      </c>
      <c r="I2347" s="87"/>
      <c r="J2347" s="250" t="s">
        <v>40</v>
      </c>
      <c r="K2347" s="250" t="s">
        <v>10</v>
      </c>
      <c r="L2347" s="55" t="s">
        <v>125</v>
      </c>
      <c r="M2347" s="1"/>
      <c r="N2347" s="1"/>
      <c r="O2347" s="1"/>
      <c r="P2347" s="1"/>
      <c r="Q2347" s="1"/>
      <c r="R2347" s="1"/>
      <c r="S2347" s="1"/>
    </row>
    <row r="2348" ht="10.5" customHeight="1">
      <c r="A2348" s="1"/>
      <c r="B2348" s="48"/>
      <c r="C2348" s="366"/>
      <c r="D2348" s="276"/>
      <c r="E2348" s="30"/>
      <c r="F2348" s="250"/>
      <c r="G2348" s="54"/>
      <c r="H2348" s="295"/>
      <c r="I2348" s="87"/>
      <c r="J2348" s="250"/>
      <c r="K2348" s="250"/>
      <c r="L2348" s="55"/>
      <c r="M2348" s="1"/>
      <c r="N2348" s="1"/>
      <c r="O2348" s="1"/>
      <c r="P2348" s="1"/>
      <c r="Q2348" s="1"/>
      <c r="R2348" s="1"/>
      <c r="S2348" s="1"/>
    </row>
    <row r="2349" ht="10.5" customHeight="1">
      <c r="A2349" s="1"/>
      <c r="B2349" s="85" t="s">
        <v>125</v>
      </c>
      <c r="C2349" s="366">
        <v>35.2</v>
      </c>
      <c r="D2349" s="276">
        <v>1828.72</v>
      </c>
      <c r="E2349" s="30">
        <v>621580.0</v>
      </c>
      <c r="F2349" s="250">
        <v>71.4</v>
      </c>
      <c r="G2349" s="54" t="s">
        <v>10</v>
      </c>
      <c r="H2349" s="295" t="s">
        <v>10</v>
      </c>
      <c r="I2349" s="87"/>
      <c r="J2349" s="54" t="s">
        <v>40</v>
      </c>
      <c r="K2349" s="54" t="s">
        <v>10</v>
      </c>
      <c r="L2349" s="81" t="s">
        <v>127</v>
      </c>
      <c r="M2349" s="1"/>
      <c r="N2349" s="1"/>
      <c r="O2349" s="1"/>
      <c r="P2349" s="1"/>
      <c r="Q2349" s="1"/>
      <c r="R2349" s="1"/>
      <c r="S2349" s="1"/>
    </row>
    <row r="2350" ht="10.5" customHeight="1">
      <c r="A2350" s="1"/>
      <c r="B2350" s="85" t="s">
        <v>127</v>
      </c>
      <c r="C2350" s="585">
        <v>33.1</v>
      </c>
      <c r="D2350" s="289">
        <v>1844.75</v>
      </c>
      <c r="E2350" s="33">
        <v>609173.0</v>
      </c>
      <c r="F2350" s="54">
        <v>73.0</v>
      </c>
      <c r="G2350" s="54" t="s">
        <v>10</v>
      </c>
      <c r="H2350" s="284" t="s">
        <v>10</v>
      </c>
      <c r="I2350" s="87"/>
      <c r="J2350" s="54" t="s">
        <v>40</v>
      </c>
      <c r="K2350" s="54" t="s">
        <v>10</v>
      </c>
      <c r="L2350" s="81" t="s">
        <v>128</v>
      </c>
      <c r="M2350" s="1"/>
      <c r="N2350" s="1"/>
      <c r="O2350" s="1"/>
      <c r="P2350" s="1"/>
      <c r="Q2350" s="1"/>
      <c r="R2350" s="1"/>
      <c r="S2350" s="1"/>
    </row>
    <row r="2351" ht="10.5" customHeight="1">
      <c r="A2351" s="1"/>
      <c r="B2351" s="85" t="s">
        <v>128</v>
      </c>
      <c r="C2351" s="366">
        <v>37.4</v>
      </c>
      <c r="D2351" s="276">
        <v>2002.64</v>
      </c>
      <c r="E2351" s="30">
        <v>749026.0</v>
      </c>
      <c r="F2351" s="250">
        <v>76.8</v>
      </c>
      <c r="G2351" s="54" t="s">
        <v>10</v>
      </c>
      <c r="H2351" s="284" t="s">
        <v>10</v>
      </c>
      <c r="I2351" s="87"/>
      <c r="J2351" s="250" t="s">
        <v>40</v>
      </c>
      <c r="K2351" s="250" t="s">
        <v>10</v>
      </c>
      <c r="L2351" s="11" t="s">
        <v>129</v>
      </c>
      <c r="M2351" s="1"/>
      <c r="N2351" s="1"/>
      <c r="O2351" s="1"/>
      <c r="P2351" s="1"/>
      <c r="Q2351" s="1"/>
      <c r="R2351" s="1"/>
      <c r="S2351" s="1"/>
    </row>
    <row r="2352" ht="10.5" customHeight="1">
      <c r="A2352" s="1"/>
      <c r="B2352" s="85" t="s">
        <v>129</v>
      </c>
      <c r="C2352" s="366">
        <v>25.3</v>
      </c>
      <c r="D2352" s="276">
        <v>1811.08</v>
      </c>
      <c r="E2352" s="30">
        <v>456445.0</v>
      </c>
      <c r="F2352" s="250">
        <v>70.3</v>
      </c>
      <c r="G2352" s="54" t="s">
        <v>10</v>
      </c>
      <c r="H2352" s="284" t="s">
        <v>10</v>
      </c>
      <c r="I2352" s="87"/>
      <c r="J2352" s="250" t="s">
        <v>40</v>
      </c>
      <c r="K2352" s="250" t="s">
        <v>10</v>
      </c>
      <c r="L2352" s="11" t="s">
        <v>130</v>
      </c>
      <c r="M2352" s="1"/>
      <c r="N2352" s="1"/>
      <c r="O2352" s="1"/>
      <c r="P2352" s="1"/>
      <c r="Q2352" s="1"/>
      <c r="R2352" s="1"/>
      <c r="S2352" s="1"/>
    </row>
    <row r="2353" ht="10.5" customHeight="1">
      <c r="A2353" s="1"/>
      <c r="B2353" s="85" t="s">
        <v>130</v>
      </c>
      <c r="C2353" s="366">
        <v>23.5</v>
      </c>
      <c r="D2353" s="276">
        <v>1756.7</v>
      </c>
      <c r="E2353" s="30">
        <v>413001.0</v>
      </c>
      <c r="F2353" s="250">
        <v>66.9</v>
      </c>
      <c r="G2353" s="54" t="s">
        <v>10</v>
      </c>
      <c r="H2353" s="284" t="s">
        <v>10</v>
      </c>
      <c r="I2353" s="87"/>
      <c r="J2353" s="250" t="s">
        <v>40</v>
      </c>
      <c r="K2353" s="250" t="s">
        <v>10</v>
      </c>
      <c r="L2353" s="11" t="s">
        <v>131</v>
      </c>
      <c r="M2353" s="1"/>
      <c r="N2353" s="1"/>
      <c r="O2353" s="1"/>
      <c r="P2353" s="1"/>
      <c r="Q2353" s="1"/>
      <c r="R2353" s="1"/>
      <c r="S2353" s="1"/>
    </row>
    <row r="2354" ht="10.5" customHeight="1">
      <c r="A2354" s="1"/>
      <c r="B2354" s="85"/>
      <c r="C2354" s="366"/>
      <c r="D2354" s="276"/>
      <c r="E2354" s="30"/>
      <c r="F2354" s="250"/>
      <c r="G2354" s="54"/>
      <c r="H2354" s="284"/>
      <c r="I2354" s="250"/>
      <c r="J2354" s="250"/>
      <c r="K2354" s="250"/>
      <c r="L2354" s="11"/>
      <c r="M2354" s="1"/>
      <c r="N2354" s="1"/>
      <c r="O2354" s="1"/>
      <c r="P2354" s="1"/>
      <c r="Q2354" s="1"/>
      <c r="R2354" s="1"/>
      <c r="S2354" s="1"/>
    </row>
    <row r="2355" ht="10.5" customHeight="1">
      <c r="A2355" s="1"/>
      <c r="B2355" s="85" t="s">
        <v>131</v>
      </c>
      <c r="C2355" s="366">
        <v>14.9</v>
      </c>
      <c r="D2355" s="276">
        <v>1489.4</v>
      </c>
      <c r="E2355" s="30">
        <v>221176.0</v>
      </c>
      <c r="F2355" s="693">
        <v>61.0</v>
      </c>
      <c r="G2355" s="54" t="s">
        <v>10</v>
      </c>
      <c r="H2355" s="284" t="s">
        <v>10</v>
      </c>
      <c r="I2355" s="87"/>
      <c r="J2355" s="54" t="s">
        <v>40</v>
      </c>
      <c r="K2355" s="54" t="s">
        <v>10</v>
      </c>
      <c r="L2355" s="11" t="s">
        <v>133</v>
      </c>
      <c r="M2355" s="1"/>
      <c r="N2355" s="1"/>
      <c r="O2355" s="1"/>
      <c r="P2355" s="1"/>
      <c r="Q2355" s="1"/>
      <c r="R2355" s="1"/>
      <c r="S2355" s="1"/>
    </row>
    <row r="2356" ht="10.5" customHeight="1">
      <c r="A2356" s="1"/>
      <c r="B2356" s="85" t="s">
        <v>133</v>
      </c>
      <c r="C2356" s="585">
        <v>12.8</v>
      </c>
      <c r="D2356" s="289">
        <v>1791.77</v>
      </c>
      <c r="E2356" s="33">
        <v>229526.0</v>
      </c>
      <c r="F2356" s="693">
        <v>65.2</v>
      </c>
      <c r="G2356" s="54" t="s">
        <v>10</v>
      </c>
      <c r="H2356" s="284" t="s">
        <v>10</v>
      </c>
      <c r="I2356" s="87"/>
      <c r="J2356" s="54" t="s">
        <v>40</v>
      </c>
      <c r="K2356" s="54" t="s">
        <v>10</v>
      </c>
      <c r="L2356" s="11" t="s">
        <v>134</v>
      </c>
      <c r="M2356" s="1"/>
      <c r="N2356" s="1"/>
      <c r="O2356" s="1"/>
      <c r="P2356" s="1"/>
      <c r="Q2356" s="1"/>
      <c r="R2356" s="1"/>
      <c r="S2356" s="1"/>
    </row>
    <row r="2357" ht="10.5" customHeight="1">
      <c r="A2357" s="1"/>
      <c r="B2357" s="85" t="s">
        <v>134</v>
      </c>
      <c r="C2357" s="585">
        <v>9.1</v>
      </c>
      <c r="D2357" s="289">
        <v>2323.8</v>
      </c>
      <c r="E2357" s="33">
        <v>210076.0</v>
      </c>
      <c r="F2357" s="693">
        <v>82.1</v>
      </c>
      <c r="G2357" s="54" t="s">
        <v>10</v>
      </c>
      <c r="H2357" s="284" t="s">
        <v>10</v>
      </c>
      <c r="I2357" s="87"/>
      <c r="J2357" s="54" t="s">
        <v>40</v>
      </c>
      <c r="K2357" s="54" t="s">
        <v>10</v>
      </c>
      <c r="L2357" s="81" t="s">
        <v>135</v>
      </c>
      <c r="M2357" s="1"/>
      <c r="N2357" s="1"/>
      <c r="O2357" s="1"/>
      <c r="P2357" s="1"/>
      <c r="Q2357" s="1"/>
      <c r="R2357" s="1"/>
      <c r="S2357" s="1"/>
    </row>
    <row r="2358" ht="10.5" customHeight="1">
      <c r="A2358" s="1"/>
      <c r="B2358" s="85" t="s">
        <v>135</v>
      </c>
      <c r="C2358" s="585">
        <v>9.5</v>
      </c>
      <c r="D2358" s="289">
        <v>2740.48</v>
      </c>
      <c r="E2358" s="33">
        <v>262127.0</v>
      </c>
      <c r="F2358" s="693">
        <v>96.0</v>
      </c>
      <c r="G2358" s="54" t="s">
        <v>10</v>
      </c>
      <c r="H2358" s="284" t="s">
        <v>10</v>
      </c>
      <c r="I2358" s="87"/>
      <c r="J2358" s="54" t="s">
        <v>40</v>
      </c>
      <c r="K2358" s="54" t="s">
        <v>10</v>
      </c>
      <c r="L2358" s="81" t="s">
        <v>138</v>
      </c>
      <c r="M2358" s="1"/>
      <c r="N2358" s="1"/>
      <c r="O2358" s="1"/>
      <c r="P2358" s="1"/>
      <c r="Q2358" s="1"/>
      <c r="R2358" s="1"/>
      <c r="S2358" s="1"/>
    </row>
    <row r="2359" ht="10.5" customHeight="1">
      <c r="A2359" s="1"/>
      <c r="B2359" s="85" t="s">
        <v>138</v>
      </c>
      <c r="C2359" s="585">
        <v>12.3</v>
      </c>
      <c r="D2359" s="289">
        <v>2892.62</v>
      </c>
      <c r="E2359" s="33">
        <v>354354.0</v>
      </c>
      <c r="F2359" s="693">
        <v>99.0</v>
      </c>
      <c r="G2359" s="54" t="s">
        <v>10</v>
      </c>
      <c r="H2359" s="284" t="s">
        <v>10</v>
      </c>
      <c r="I2359" s="87"/>
      <c r="J2359" s="54" t="s">
        <v>40</v>
      </c>
      <c r="K2359" s="54" t="s">
        <v>10</v>
      </c>
      <c r="L2359" s="81" t="s">
        <v>139</v>
      </c>
      <c r="M2359" s="1"/>
      <c r="N2359" s="1"/>
      <c r="O2359" s="1"/>
      <c r="P2359" s="1"/>
      <c r="Q2359" s="1"/>
      <c r="R2359" s="1"/>
      <c r="S2359" s="1"/>
    </row>
    <row r="2360" ht="10.5" customHeight="1">
      <c r="A2360" s="1"/>
      <c r="B2360" s="85"/>
      <c r="C2360" s="585"/>
      <c r="D2360" s="289"/>
      <c r="E2360" s="33"/>
      <c r="F2360" s="693"/>
      <c r="G2360" s="54"/>
      <c r="H2360" s="284"/>
      <c r="I2360" s="250"/>
      <c r="J2360" s="54"/>
      <c r="K2360" s="54"/>
      <c r="L2360" s="11"/>
      <c r="M2360" s="1"/>
      <c r="N2360" s="1"/>
      <c r="O2360" s="1"/>
      <c r="P2360" s="1"/>
      <c r="Q2360" s="1"/>
      <c r="R2360" s="1"/>
      <c r="S2360" s="1"/>
    </row>
    <row r="2361" ht="10.5" customHeight="1">
      <c r="A2361" s="1"/>
      <c r="B2361" s="85" t="s">
        <v>139</v>
      </c>
      <c r="C2361" s="585">
        <v>15.0</v>
      </c>
      <c r="D2361" s="289">
        <v>3032.4</v>
      </c>
      <c r="E2361" s="33">
        <v>455154.0</v>
      </c>
      <c r="F2361" s="693">
        <v>100.2</v>
      </c>
      <c r="G2361" s="54" t="s">
        <v>10</v>
      </c>
      <c r="H2361" s="284" t="s">
        <v>10</v>
      </c>
      <c r="I2361" s="87"/>
      <c r="J2361" s="54" t="s">
        <v>40</v>
      </c>
      <c r="K2361" s="54" t="s">
        <v>10</v>
      </c>
      <c r="L2361" s="81" t="s">
        <v>143</v>
      </c>
      <c r="M2361" s="1"/>
      <c r="N2361" s="1"/>
      <c r="O2361" s="1"/>
      <c r="P2361" s="1"/>
      <c r="Q2361" s="1"/>
      <c r="R2361" s="1"/>
      <c r="S2361" s="1"/>
    </row>
    <row r="2362" ht="10.5" customHeight="1">
      <c r="A2362" s="1"/>
      <c r="B2362" s="85" t="s">
        <v>143</v>
      </c>
      <c r="C2362" s="585">
        <v>17.0</v>
      </c>
      <c r="D2362" s="289">
        <v>2905.74</v>
      </c>
      <c r="E2362" s="33">
        <v>494266.0</v>
      </c>
      <c r="F2362" s="693">
        <v>107.5</v>
      </c>
      <c r="G2362" s="54" t="s">
        <v>10</v>
      </c>
      <c r="H2362" s="284" t="s">
        <v>10</v>
      </c>
      <c r="I2362" s="87"/>
      <c r="J2362" s="54" t="s">
        <v>40</v>
      </c>
      <c r="K2362" s="54" t="s">
        <v>10</v>
      </c>
      <c r="L2362" s="81" t="s">
        <v>149</v>
      </c>
      <c r="M2362" s="1"/>
      <c r="N2362" s="1"/>
      <c r="O2362" s="1"/>
      <c r="P2362" s="1"/>
      <c r="Q2362" s="1"/>
      <c r="R2362" s="1"/>
      <c r="S2362" s="1"/>
    </row>
    <row r="2363" ht="10.5" customHeight="1">
      <c r="A2363" s="1"/>
      <c r="B2363" s="85" t="s">
        <v>149</v>
      </c>
      <c r="C2363" s="585">
        <v>15.2</v>
      </c>
      <c r="D2363" s="289">
        <v>3416.38</v>
      </c>
      <c r="E2363" s="33">
        <v>518948.0</v>
      </c>
      <c r="F2363" s="693">
        <v>115.6</v>
      </c>
      <c r="G2363" s="54" t="s">
        <v>10</v>
      </c>
      <c r="H2363" s="284" t="s">
        <v>10</v>
      </c>
      <c r="I2363" s="87"/>
      <c r="J2363" s="54" t="s">
        <v>40</v>
      </c>
      <c r="K2363" s="54" t="s">
        <v>10</v>
      </c>
      <c r="L2363" s="81" t="s">
        <v>151</v>
      </c>
      <c r="M2363" s="1"/>
      <c r="N2363" s="1"/>
      <c r="O2363" s="1"/>
      <c r="P2363" s="1"/>
      <c r="Q2363" s="1"/>
      <c r="R2363" s="1"/>
      <c r="S2363" s="1"/>
    </row>
    <row r="2364" ht="10.5" customHeight="1">
      <c r="A2364" s="1"/>
      <c r="B2364" s="85" t="s">
        <v>151</v>
      </c>
      <c r="C2364" s="585">
        <v>12.9</v>
      </c>
      <c r="D2364" s="289">
        <v>3741.98</v>
      </c>
      <c r="E2364" s="33">
        <v>481817.0</v>
      </c>
      <c r="F2364" s="693">
        <v>131.5</v>
      </c>
      <c r="G2364" s="54"/>
      <c r="H2364" s="284"/>
      <c r="I2364" s="87"/>
      <c r="J2364" s="54"/>
      <c r="K2364" s="54"/>
      <c r="L2364" s="81" t="s">
        <v>153</v>
      </c>
      <c r="M2364" s="1"/>
      <c r="N2364" s="1"/>
      <c r="O2364" s="1"/>
      <c r="P2364" s="1"/>
      <c r="Q2364" s="1"/>
      <c r="R2364" s="1"/>
      <c r="S2364" s="1"/>
    </row>
    <row r="2365" ht="10.5" customHeight="1">
      <c r="A2365" s="1"/>
      <c r="B2365" s="85" t="s">
        <v>153</v>
      </c>
      <c r="C2365" s="585">
        <v>14.2</v>
      </c>
      <c r="D2365" s="289">
        <v>4121.67</v>
      </c>
      <c r="E2365" s="33">
        <v>586598.0</v>
      </c>
      <c r="F2365" s="693">
        <v>140.5</v>
      </c>
      <c r="G2365" s="54" t="s">
        <v>10</v>
      </c>
      <c r="H2365" s="284" t="s">
        <v>10</v>
      </c>
      <c r="I2365" s="87"/>
      <c r="J2365" s="54" t="s">
        <v>40</v>
      </c>
      <c r="K2365" s="54" t="s">
        <v>10</v>
      </c>
      <c r="L2365" s="81" t="s">
        <v>155</v>
      </c>
      <c r="M2365" s="1"/>
      <c r="N2365" s="1"/>
      <c r="O2365" s="1"/>
      <c r="P2365" s="1"/>
      <c r="Q2365" s="1"/>
      <c r="R2365" s="1"/>
      <c r="S2365" s="1"/>
    </row>
    <row r="2366" ht="10.5" customHeight="1">
      <c r="A2366" s="1"/>
      <c r="B2366" s="85"/>
      <c r="C2366" s="585"/>
      <c r="D2366" s="289"/>
      <c r="E2366" s="33"/>
      <c r="F2366" s="693"/>
      <c r="G2366" s="54"/>
      <c r="H2366" s="284"/>
      <c r="I2366" s="815"/>
      <c r="J2366" s="54"/>
      <c r="K2366" s="54"/>
      <c r="L2366" s="81"/>
      <c r="M2366" s="1"/>
      <c r="N2366" s="1"/>
      <c r="O2366" s="1"/>
      <c r="P2366" s="1"/>
      <c r="Q2366" s="1"/>
      <c r="R2366" s="1"/>
      <c r="S2366" s="1"/>
    </row>
    <row r="2367" ht="10.5" customHeight="1">
      <c r="A2367" s="1"/>
      <c r="B2367" s="85" t="s">
        <v>155</v>
      </c>
      <c r="C2367" s="585">
        <v>14.7</v>
      </c>
      <c r="D2367" s="289">
        <v>4258.3</v>
      </c>
      <c r="E2367" s="33">
        <v>626301.0</v>
      </c>
      <c r="F2367" s="693">
        <v>155.2</v>
      </c>
      <c r="G2367" s="54" t="s">
        <v>10</v>
      </c>
      <c r="H2367" s="284" t="s">
        <v>10</v>
      </c>
      <c r="I2367" s="87"/>
      <c r="J2367" s="54" t="s">
        <v>40</v>
      </c>
      <c r="K2367" s="54" t="s">
        <v>10</v>
      </c>
      <c r="L2367" s="11" t="s">
        <v>160</v>
      </c>
      <c r="M2367" s="1"/>
      <c r="N2367" s="1"/>
      <c r="O2367" s="1"/>
      <c r="P2367" s="1"/>
      <c r="Q2367" s="1"/>
      <c r="R2367" s="1"/>
      <c r="S2367" s="1"/>
    </row>
    <row r="2368" ht="10.5" customHeight="1">
      <c r="A2368" s="1"/>
      <c r="B2368" s="96" t="s">
        <v>1439</v>
      </c>
      <c r="C2368" s="730">
        <v>14.8</v>
      </c>
      <c r="D2368" s="290">
        <v>4899.41</v>
      </c>
      <c r="E2368" s="57">
        <v>726040.0</v>
      </c>
      <c r="F2368" s="694">
        <v>164.9</v>
      </c>
      <c r="G2368" s="107" t="s">
        <v>10</v>
      </c>
      <c r="H2368" s="296" t="s">
        <v>10</v>
      </c>
      <c r="I2368" s="94"/>
      <c r="J2368" s="107" t="s">
        <v>40</v>
      </c>
      <c r="K2368" s="107" t="s">
        <v>10</v>
      </c>
      <c r="L2368" s="742" t="s">
        <v>162</v>
      </c>
      <c r="M2368" s="1"/>
      <c r="N2368" s="1"/>
      <c r="O2368" s="1"/>
      <c r="P2368" s="1"/>
      <c r="Q2368" s="1"/>
      <c r="R2368" s="1"/>
      <c r="S2368" s="1"/>
    </row>
    <row r="2369" ht="6.0" customHeight="1">
      <c r="A2369" s="1"/>
      <c r="B2369" s="291"/>
      <c r="C2369" s="732"/>
      <c r="D2369" s="292"/>
      <c r="E2369" s="306"/>
      <c r="F2369" s="821"/>
      <c r="G2369" s="822"/>
      <c r="H2369" s="285"/>
      <c r="I2369" s="285"/>
      <c r="J2369" s="822"/>
      <c r="K2369" s="285"/>
      <c r="L2369" s="242"/>
      <c r="M2369" s="1"/>
      <c r="N2369" s="1"/>
      <c r="O2369" s="1"/>
      <c r="P2369" s="1"/>
      <c r="Q2369" s="1"/>
      <c r="R2369" s="1"/>
      <c r="S2369" s="1"/>
    </row>
    <row r="2370" ht="10.5" customHeight="1">
      <c r="A2370" s="1"/>
      <c r="B2370" s="185" t="s">
        <v>1440</v>
      </c>
      <c r="C2370" s="1"/>
      <c r="D2370" s="1"/>
      <c r="E2370" s="1"/>
      <c r="F2370" s="502"/>
      <c r="G2370" s="823"/>
      <c r="H2370" s="823"/>
      <c r="I2370" s="823"/>
      <c r="J2370" s="823"/>
      <c r="K2370" s="1"/>
      <c r="L2370" s="1"/>
      <c r="M2370" s="1"/>
      <c r="N2370" s="1"/>
      <c r="O2370" s="1"/>
      <c r="P2370" s="1"/>
      <c r="Q2370" s="1"/>
      <c r="R2370" s="1"/>
      <c r="S2370" s="1"/>
    </row>
    <row r="2371" ht="10.5" customHeight="1">
      <c r="A2371" s="1"/>
      <c r="B2371" s="185" t="s">
        <v>1441</v>
      </c>
      <c r="C2371" s="1"/>
      <c r="D2371" s="1"/>
      <c r="E2371" s="1"/>
      <c r="F2371" s="1"/>
      <c r="G2371" s="1"/>
      <c r="H2371" s="823"/>
      <c r="J2371" s="823"/>
      <c r="K2371" s="612"/>
      <c r="L2371" s="1"/>
      <c r="M2371" s="1"/>
      <c r="N2371" s="1"/>
      <c r="O2371" s="1"/>
      <c r="P2371" s="1"/>
      <c r="Q2371" s="1"/>
      <c r="R2371" s="1"/>
      <c r="S2371" s="1"/>
    </row>
    <row r="2372" ht="10.5" customHeight="1">
      <c r="A2372" s="1"/>
      <c r="B2372" s="185" t="s">
        <v>1442</v>
      </c>
      <c r="C2372" s="1"/>
      <c r="D2372" s="1"/>
      <c r="E2372" s="1"/>
      <c r="F2372" s="1"/>
      <c r="G2372" s="1"/>
      <c r="H2372" s="824"/>
      <c r="I2372" s="824"/>
      <c r="J2372" s="823"/>
      <c r="K2372" s="1"/>
      <c r="L2372" s="1"/>
      <c r="M2372" s="1"/>
      <c r="N2372" s="1"/>
      <c r="O2372" s="1"/>
      <c r="P2372" s="1"/>
      <c r="Q2372" s="1"/>
      <c r="R2372" s="1"/>
      <c r="S2372" s="1"/>
    </row>
    <row r="2373" ht="10.5" customHeight="1">
      <c r="A2373" s="1"/>
      <c r="B2373" s="185" t="s">
        <v>1443</v>
      </c>
      <c r="C2373" s="1"/>
      <c r="D2373" s="1"/>
      <c r="E2373" s="1"/>
      <c r="F2373" s="1"/>
      <c r="G2373" s="1"/>
      <c r="H2373" s="1"/>
      <c r="I2373" s="825"/>
      <c r="J2373" s="1"/>
      <c r="K2373" s="1"/>
      <c r="L2373" s="1"/>
      <c r="M2373" s="1"/>
      <c r="N2373" s="1"/>
      <c r="O2373" s="1"/>
      <c r="P2373" s="1"/>
      <c r="Q2373" s="1"/>
      <c r="R2373" s="1"/>
      <c r="S2373" s="1"/>
    </row>
    <row r="2374" ht="10.5" customHeight="1">
      <c r="A2374" s="1"/>
      <c r="B2374" s="1"/>
      <c r="C2374" s="612"/>
      <c r="D2374" s="612"/>
      <c r="E2374" s="612"/>
      <c r="F2374" s="612"/>
      <c r="G2374" s="612"/>
      <c r="H2374" s="612"/>
      <c r="I2374" s="1"/>
      <c r="J2374" s="1"/>
      <c r="K2374" s="1"/>
      <c r="L2374" s="1"/>
      <c r="M2374" s="1"/>
      <c r="N2374" s="1"/>
      <c r="O2374" s="1"/>
      <c r="P2374" s="1"/>
      <c r="Q2374" s="1"/>
      <c r="R2374" s="1"/>
      <c r="S2374" s="1"/>
    </row>
    <row r="2375" ht="10.5" customHeight="1">
      <c r="A2375" s="1"/>
      <c r="B2375" s="1"/>
      <c r="C2375" s="1"/>
      <c r="D2375" s="1"/>
      <c r="E2375" s="1"/>
      <c r="F2375" s="1"/>
      <c r="G2375" s="1"/>
      <c r="H2375" s="1"/>
      <c r="I2375" s="612"/>
      <c r="J2375" s="1"/>
      <c r="K2375" s="1"/>
      <c r="L2375" s="1"/>
      <c r="M2375" s="1"/>
      <c r="N2375" s="1"/>
      <c r="O2375" s="1"/>
      <c r="P2375" s="1"/>
      <c r="Q2375" s="1"/>
      <c r="R2375" s="1"/>
      <c r="S2375" s="1"/>
    </row>
    <row r="2376" ht="10.5" customHeight="1">
      <c r="A2376" s="1"/>
      <c r="B2376" s="1"/>
      <c r="C2376" s="1"/>
      <c r="D2376" s="1"/>
      <c r="E2376" s="1"/>
      <c r="F2376" s="1"/>
      <c r="G2376" s="1"/>
      <c r="H2376" s="1"/>
      <c r="I2376" s="1"/>
      <c r="J2376" s="1"/>
      <c r="K2376" s="1"/>
      <c r="L2376" s="1"/>
      <c r="M2376" s="1"/>
      <c r="N2376" s="1"/>
      <c r="O2376" s="1"/>
      <c r="P2376" s="1"/>
      <c r="Q2376" s="1"/>
      <c r="R2376" s="1"/>
      <c r="S2376" s="1"/>
    </row>
    <row r="2377" ht="10.5" customHeight="1">
      <c r="A2377" s="1"/>
      <c r="B2377" s="1"/>
      <c r="C2377" s="1"/>
      <c r="D2377" s="1"/>
      <c r="E2377" s="1"/>
      <c r="F2377" s="1"/>
      <c r="G2377" s="1"/>
      <c r="H2377" s="1"/>
      <c r="I2377" s="1"/>
      <c r="J2377" s="1"/>
      <c r="K2377" s="1"/>
      <c r="L2377" s="1"/>
      <c r="M2377" s="1"/>
      <c r="N2377" s="1"/>
      <c r="O2377" s="1"/>
      <c r="P2377" s="1"/>
      <c r="Q2377" s="1"/>
      <c r="R2377" s="1"/>
      <c r="S2377" s="1"/>
    </row>
    <row r="2378" ht="10.5" customHeight="1">
      <c r="A2378" s="1"/>
      <c r="B2378" s="1"/>
      <c r="C2378" s="612"/>
      <c r="D2378" s="612"/>
      <c r="E2378" s="612"/>
      <c r="F2378" s="612"/>
      <c r="G2378" s="612"/>
      <c r="H2378" s="612"/>
      <c r="I2378" s="1"/>
      <c r="J2378" s="1"/>
      <c r="K2378" s="1"/>
      <c r="L2378" s="1"/>
      <c r="M2378" s="1"/>
      <c r="N2378" s="1"/>
      <c r="O2378" s="1"/>
      <c r="P2378" s="1"/>
      <c r="Q2378" s="1"/>
      <c r="R2378" s="1"/>
      <c r="S2378" s="1"/>
    </row>
    <row r="2379" ht="10.5" customHeight="1">
      <c r="A2379" s="1"/>
      <c r="B2379" s="1"/>
      <c r="C2379" s="1"/>
      <c r="D2379" s="1"/>
      <c r="E2379" s="1"/>
      <c r="F2379" s="1"/>
      <c r="G2379" s="1"/>
      <c r="H2379" s="1"/>
      <c r="I2379" s="1"/>
      <c r="J2379" s="1"/>
      <c r="K2379" s="1"/>
      <c r="L2379" s="1"/>
      <c r="M2379" s="1"/>
      <c r="N2379" s="1"/>
      <c r="O2379" s="1"/>
      <c r="P2379" s="1"/>
      <c r="Q2379" s="1"/>
      <c r="R2379" s="1"/>
      <c r="S2379" s="1"/>
    </row>
    <row r="2380" ht="10.5" customHeight="1">
      <c r="A2380" s="1"/>
      <c r="B2380" s="1"/>
      <c r="C2380" s="1"/>
      <c r="D2380" s="1"/>
      <c r="E2380" s="1"/>
      <c r="F2380" s="1"/>
      <c r="G2380" s="1"/>
      <c r="H2380" s="1"/>
      <c r="I2380" s="1"/>
      <c r="J2380" s="1"/>
      <c r="K2380" s="1"/>
      <c r="L2380" s="1"/>
      <c r="M2380" s="1"/>
      <c r="N2380" s="1"/>
      <c r="O2380" s="1"/>
      <c r="P2380" s="1"/>
      <c r="Q2380" s="1"/>
      <c r="R2380" s="1"/>
      <c r="S2380" s="1"/>
    </row>
    <row r="2381" ht="10.5" customHeight="1">
      <c r="A2381" s="1"/>
      <c r="B2381" s="1"/>
      <c r="C2381" s="1"/>
      <c r="D2381" s="1"/>
      <c r="E2381" s="1"/>
      <c r="F2381" s="1"/>
      <c r="G2381" s="1"/>
      <c r="H2381" s="1"/>
      <c r="I2381" s="1"/>
      <c r="J2381" s="1"/>
      <c r="K2381" s="1"/>
      <c r="L2381" s="1"/>
      <c r="M2381" s="1"/>
      <c r="N2381" s="1"/>
      <c r="O2381" s="1"/>
      <c r="P2381" s="1"/>
      <c r="Q2381" s="1"/>
      <c r="R2381" s="1"/>
      <c r="S2381" s="1"/>
    </row>
    <row r="2382" ht="10.5" customHeight="1">
      <c r="A2382" s="1"/>
      <c r="B2382" s="1"/>
      <c r="C2382" s="1"/>
      <c r="D2382" s="1"/>
      <c r="E2382" s="1"/>
      <c r="F2382" s="1"/>
      <c r="G2382" s="1"/>
      <c r="H2382" s="1"/>
      <c r="I2382" s="1"/>
      <c r="J2382" s="1"/>
      <c r="K2382" s="1"/>
      <c r="L2382" s="1"/>
      <c r="M2382" s="1"/>
      <c r="N2382" s="1"/>
      <c r="O2382" s="1"/>
      <c r="P2382" s="1"/>
      <c r="Q2382" s="1"/>
      <c r="R2382" s="1"/>
      <c r="S2382" s="1"/>
    </row>
    <row r="2383" ht="10.5" customHeight="1">
      <c r="A2383" s="1"/>
      <c r="B2383" s="1"/>
      <c r="C2383" s="1"/>
      <c r="D2383" s="1"/>
      <c r="E2383" s="1"/>
      <c r="F2383" s="1"/>
      <c r="G2383" s="1"/>
      <c r="H2383" s="1"/>
      <c r="I2383" s="1"/>
      <c r="J2383" s="1"/>
      <c r="K2383" s="1"/>
      <c r="L2383" s="1"/>
      <c r="M2383" s="1"/>
      <c r="N2383" s="1"/>
      <c r="O2383" s="1"/>
      <c r="P2383" s="1"/>
      <c r="Q2383" s="1"/>
      <c r="R2383" s="1"/>
      <c r="S2383" s="1"/>
    </row>
    <row r="2384" ht="10.5" customHeight="1">
      <c r="A2384" s="1"/>
      <c r="B2384" s="1"/>
      <c r="C2384" s="1"/>
      <c r="D2384" s="1"/>
      <c r="E2384" s="1"/>
      <c r="F2384" s="1"/>
      <c r="G2384" s="1"/>
      <c r="H2384" s="1"/>
      <c r="I2384" s="1"/>
      <c r="J2384" s="1"/>
      <c r="K2384" s="1"/>
      <c r="L2384" s="1"/>
      <c r="M2384" s="1"/>
      <c r="N2384" s="1"/>
      <c r="O2384" s="1"/>
      <c r="P2384" s="1"/>
      <c r="Q2384" s="1"/>
      <c r="R2384" s="1"/>
      <c r="S2384" s="1"/>
    </row>
    <row r="2385" ht="10.5" customHeight="1">
      <c r="A2385" s="1"/>
      <c r="B2385" s="1"/>
      <c r="C2385" s="1"/>
      <c r="D2385" s="1"/>
      <c r="E2385" s="1"/>
      <c r="F2385" s="1"/>
      <c r="G2385" s="1"/>
      <c r="H2385" s="1"/>
      <c r="I2385" s="1"/>
      <c r="J2385" s="1"/>
      <c r="K2385" s="1"/>
      <c r="L2385" s="1"/>
      <c r="M2385" s="1"/>
      <c r="N2385" s="1"/>
      <c r="O2385" s="1"/>
      <c r="P2385" s="1"/>
      <c r="Q2385" s="1"/>
      <c r="R2385" s="1"/>
      <c r="S2385" s="1"/>
    </row>
    <row r="2386" ht="10.5" customHeight="1">
      <c r="A2386" s="1"/>
      <c r="B2386" s="1"/>
      <c r="C2386" s="1"/>
      <c r="D2386" s="1"/>
      <c r="E2386" s="1"/>
      <c r="F2386" s="1"/>
      <c r="G2386" s="1"/>
      <c r="H2386" s="1"/>
      <c r="I2386" s="1"/>
      <c r="J2386" s="1"/>
      <c r="K2386" s="1"/>
      <c r="L2386" s="1"/>
      <c r="M2386" s="1"/>
      <c r="N2386" s="1"/>
      <c r="O2386" s="1"/>
      <c r="P2386" s="1"/>
      <c r="Q2386" s="1"/>
      <c r="R2386" s="1"/>
      <c r="S2386" s="1"/>
    </row>
    <row r="2387" ht="10.5" customHeight="1">
      <c r="A2387" s="1"/>
      <c r="B2387" s="1"/>
      <c r="C2387" s="1"/>
      <c r="D2387" s="1"/>
      <c r="E2387" s="1"/>
      <c r="F2387" s="1"/>
      <c r="G2387" s="1"/>
      <c r="H2387" s="1"/>
      <c r="I2387" s="1"/>
      <c r="J2387" s="1"/>
      <c r="K2387" s="1"/>
      <c r="L2387" s="1"/>
      <c r="M2387" s="1"/>
      <c r="N2387" s="1"/>
      <c r="O2387" s="1"/>
      <c r="P2387" s="1"/>
      <c r="Q2387" s="1"/>
      <c r="R2387" s="1"/>
      <c r="S2387" s="1"/>
    </row>
    <row r="2388" ht="10.5" customHeight="1">
      <c r="A2388" s="1"/>
      <c r="B2388" s="1"/>
      <c r="C2388" s="1"/>
      <c r="D2388" s="1"/>
      <c r="E2388" s="1"/>
      <c r="F2388" s="1"/>
      <c r="G2388" s="1"/>
      <c r="H2388" s="1"/>
      <c r="I2388" s="1"/>
      <c r="J2388" s="1"/>
      <c r="K2388" s="1"/>
      <c r="L2388" s="1"/>
      <c r="M2388" s="1"/>
      <c r="N2388" s="1"/>
      <c r="O2388" s="1"/>
      <c r="P2388" s="1"/>
      <c r="Q2388" s="1"/>
      <c r="R2388" s="1"/>
      <c r="S2388" s="1"/>
    </row>
    <row r="2389" ht="10.5" customHeight="1">
      <c r="A2389" s="1"/>
      <c r="B2389" s="1"/>
      <c r="C2389" s="1"/>
      <c r="D2389" s="1"/>
      <c r="E2389" s="1"/>
      <c r="F2389" s="1"/>
      <c r="G2389" s="1"/>
      <c r="H2389" s="1"/>
      <c r="I2389" s="1"/>
      <c r="J2389" s="1"/>
      <c r="K2389" s="1"/>
      <c r="L2389" s="1"/>
      <c r="M2389" s="1"/>
      <c r="N2389" s="1"/>
      <c r="O2389" s="1"/>
      <c r="P2389" s="1"/>
      <c r="Q2389" s="1"/>
      <c r="R2389" s="1"/>
      <c r="S2389" s="1"/>
    </row>
    <row r="2390" ht="10.5" customHeight="1">
      <c r="A2390" s="1"/>
      <c r="B2390" s="1"/>
      <c r="C2390" s="1"/>
      <c r="D2390" s="1"/>
      <c r="E2390" s="1"/>
      <c r="F2390" s="1"/>
      <c r="G2390" s="1"/>
      <c r="H2390" s="1"/>
      <c r="I2390" s="1"/>
      <c r="J2390" s="1"/>
      <c r="K2390" s="1"/>
      <c r="L2390" s="1"/>
      <c r="M2390" s="1"/>
      <c r="N2390" s="1"/>
      <c r="O2390" s="1"/>
      <c r="P2390" s="1"/>
      <c r="Q2390" s="1"/>
      <c r="R2390" s="1"/>
      <c r="S2390" s="1"/>
    </row>
    <row r="2391" ht="10.5" customHeight="1">
      <c r="A2391" s="1"/>
      <c r="B2391" s="1"/>
      <c r="C2391" s="1"/>
      <c r="D2391" s="1"/>
      <c r="E2391" s="1"/>
      <c r="F2391" s="1"/>
      <c r="G2391" s="1"/>
      <c r="H2391" s="1"/>
      <c r="I2391" s="1"/>
      <c r="J2391" s="1"/>
      <c r="K2391" s="1"/>
      <c r="L2391" s="1"/>
      <c r="M2391" s="1"/>
      <c r="N2391" s="1"/>
      <c r="O2391" s="1"/>
      <c r="P2391" s="1"/>
      <c r="Q2391" s="1"/>
      <c r="R2391" s="1"/>
      <c r="S2391" s="1"/>
    </row>
    <row r="2392" ht="10.5" customHeight="1">
      <c r="A2392" s="1"/>
      <c r="B2392" s="1"/>
      <c r="C2392" s="1"/>
      <c r="D2392" s="1"/>
      <c r="E2392" s="1"/>
      <c r="F2392" s="1"/>
      <c r="G2392" s="1"/>
      <c r="H2392" s="1"/>
      <c r="I2392" s="1"/>
      <c r="J2392" s="1"/>
      <c r="K2392" s="1"/>
      <c r="L2392" s="1"/>
      <c r="M2392" s="1"/>
      <c r="N2392" s="1"/>
      <c r="O2392" s="1"/>
      <c r="P2392" s="1"/>
      <c r="Q2392" s="1"/>
      <c r="R2392" s="1"/>
      <c r="S2392" s="1"/>
    </row>
    <row r="2393" ht="10.5" customHeight="1">
      <c r="A2393" s="1"/>
      <c r="B2393" s="1"/>
      <c r="C2393" s="1"/>
      <c r="D2393" s="1"/>
      <c r="E2393" s="1"/>
      <c r="F2393" s="1"/>
      <c r="G2393" s="1"/>
      <c r="H2393" s="1"/>
      <c r="I2393" s="1"/>
      <c r="J2393" s="1"/>
      <c r="K2393" s="1"/>
      <c r="L2393" s="1"/>
      <c r="M2393" s="1"/>
      <c r="N2393" s="1"/>
      <c r="O2393" s="1"/>
      <c r="P2393" s="1"/>
      <c r="Q2393" s="1"/>
      <c r="R2393" s="1"/>
      <c r="S2393" s="1"/>
    </row>
    <row r="2394" ht="10.5" customHeight="1">
      <c r="A2394" s="1"/>
      <c r="B2394" s="1"/>
      <c r="C2394" s="1"/>
      <c r="D2394" s="1"/>
      <c r="E2394" s="1"/>
      <c r="F2394" s="1"/>
      <c r="G2394" s="1"/>
      <c r="H2394" s="1"/>
      <c r="I2394" s="1"/>
      <c r="J2394" s="1"/>
      <c r="K2394" s="1"/>
      <c r="L2394" s="1"/>
      <c r="M2394" s="1"/>
      <c r="N2394" s="1"/>
      <c r="O2394" s="1"/>
      <c r="P2394" s="1"/>
      <c r="Q2394" s="1"/>
      <c r="R2394" s="1"/>
      <c r="S2394" s="1"/>
    </row>
    <row r="2395" ht="11.25" customHeight="1">
      <c r="A2395" s="1"/>
      <c r="B2395" s="1"/>
      <c r="C2395" s="1"/>
      <c r="D2395" s="1"/>
      <c r="E2395" s="1"/>
      <c r="F2395" s="1"/>
      <c r="G2395" s="1"/>
      <c r="H2395" s="1"/>
      <c r="I2395" s="1"/>
      <c r="J2395" s="1"/>
      <c r="K2395" s="1"/>
      <c r="L2395" s="1"/>
      <c r="M2395" s="1"/>
      <c r="N2395" s="1"/>
      <c r="O2395" s="1"/>
      <c r="P2395" s="1"/>
      <c r="Q2395" s="1"/>
      <c r="R2395" s="1"/>
      <c r="S2395" s="1"/>
    </row>
    <row r="2396" ht="11.25" customHeight="1">
      <c r="A2396" s="1"/>
      <c r="B2396" s="1"/>
      <c r="C2396" s="1"/>
      <c r="D2396" s="1"/>
      <c r="E2396" s="1"/>
      <c r="F2396" s="1"/>
      <c r="G2396" s="1"/>
      <c r="H2396" s="1"/>
      <c r="I2396" s="1"/>
      <c r="J2396" s="1"/>
      <c r="K2396" s="1"/>
      <c r="L2396" s="1"/>
      <c r="M2396" s="1"/>
      <c r="N2396" s="1"/>
      <c r="O2396" s="1"/>
      <c r="P2396" s="1"/>
      <c r="Q2396" s="1"/>
      <c r="R2396" s="1"/>
      <c r="S2396" s="1"/>
    </row>
    <row r="2397" ht="11.25" customHeight="1">
      <c r="A2397" s="1"/>
      <c r="B2397" s="1"/>
      <c r="C2397" s="1"/>
      <c r="D2397" s="1"/>
      <c r="E2397" s="1"/>
      <c r="F2397" s="1"/>
      <c r="G2397" s="110">
        <v>33.0</v>
      </c>
      <c r="H2397" s="1"/>
      <c r="I2397" s="1"/>
      <c r="J2397" s="1"/>
      <c r="K2397" s="1"/>
      <c r="L2397" s="1"/>
      <c r="M2397" s="1"/>
      <c r="N2397" s="1"/>
      <c r="O2397" s="1"/>
      <c r="P2397" s="1"/>
      <c r="Q2397" s="1"/>
      <c r="R2397" s="1"/>
      <c r="S2397" s="1"/>
    </row>
    <row r="2398" ht="11.25" customHeight="1">
      <c r="A2398" s="1"/>
      <c r="B2398" s="1"/>
      <c r="C2398" s="1"/>
      <c r="D2398" s="1"/>
      <c r="E2398" s="1"/>
      <c r="F2398" s="1"/>
      <c r="G2398" s="1"/>
      <c r="H2398" s="1"/>
      <c r="I2398" s="1"/>
      <c r="J2398" s="1"/>
      <c r="K2398" s="1"/>
      <c r="L2398" s="1"/>
      <c r="M2398" s="1"/>
      <c r="N2398" s="1"/>
      <c r="O2398" s="1"/>
      <c r="P2398" s="1"/>
      <c r="Q2398" s="1"/>
      <c r="R2398" s="1"/>
      <c r="S2398" s="1"/>
    </row>
  </sheetData>
  <mergeCells count="390">
    <mergeCell ref="K2322:K2323"/>
    <mergeCell ref="G2324:K2324"/>
    <mergeCell ref="H2339:I2339"/>
    <mergeCell ref="H2340:I2340"/>
    <mergeCell ref="H2341:I2341"/>
    <mergeCell ref="H2342:I2342"/>
    <mergeCell ref="H2343:I2343"/>
    <mergeCell ref="B2321:B2324"/>
    <mergeCell ref="H2352:I2352"/>
    <mergeCell ref="H2351:I2351"/>
    <mergeCell ref="H2347:I2347"/>
    <mergeCell ref="H2348:I2348"/>
    <mergeCell ref="H2349:I2349"/>
    <mergeCell ref="H2350:I2350"/>
    <mergeCell ref="H2368:I2368"/>
    <mergeCell ref="H2371:I2371"/>
    <mergeCell ref="H2367:I2367"/>
    <mergeCell ref="H2358:I2358"/>
    <mergeCell ref="H2359:I2359"/>
    <mergeCell ref="H2361:I2361"/>
    <mergeCell ref="H2363:I2363"/>
    <mergeCell ref="H2364:I2364"/>
    <mergeCell ref="H2362:I2362"/>
    <mergeCell ref="H2365:I2365"/>
    <mergeCell ref="H2344:I2344"/>
    <mergeCell ref="H2345:I2345"/>
    <mergeCell ref="H2346:I2346"/>
    <mergeCell ref="H2353:I2353"/>
    <mergeCell ref="H2355:I2355"/>
    <mergeCell ref="H2356:I2356"/>
    <mergeCell ref="H2357:I2357"/>
    <mergeCell ref="H1518:I1518"/>
    <mergeCell ref="H1519:I1519"/>
    <mergeCell ref="H1525:I1525"/>
    <mergeCell ref="G1766:G1767"/>
    <mergeCell ref="G1674:H1674"/>
    <mergeCell ref="G1858:I1858"/>
    <mergeCell ref="J1858:J1861"/>
    <mergeCell ref="I1859:I1860"/>
    <mergeCell ref="G1859:H1859"/>
    <mergeCell ref="G1861:H1861"/>
    <mergeCell ref="E2280:F2280"/>
    <mergeCell ref="E2284:F2284"/>
    <mergeCell ref="E2281:F2281"/>
    <mergeCell ref="E2282:F2282"/>
    <mergeCell ref="E2271:F2271"/>
    <mergeCell ref="E2272:F2272"/>
    <mergeCell ref="E2275:F2275"/>
    <mergeCell ref="E2274:F2274"/>
    <mergeCell ref="E2287:F2287"/>
    <mergeCell ref="D2229:D2230"/>
    <mergeCell ref="C2228:C2230"/>
    <mergeCell ref="E2264:F2264"/>
    <mergeCell ref="C2137:H2137"/>
    <mergeCell ref="E2260:F2260"/>
    <mergeCell ref="H2229:H2230"/>
    <mergeCell ref="E2276:F2276"/>
    <mergeCell ref="G2322:G2323"/>
    <mergeCell ref="E2321:E2323"/>
    <mergeCell ref="F2321:F2323"/>
    <mergeCell ref="C2321:C2323"/>
    <mergeCell ref="D2321:D2323"/>
    <mergeCell ref="E2044:E2045"/>
    <mergeCell ref="D2044:D2045"/>
    <mergeCell ref="E2268:F2268"/>
    <mergeCell ref="E2278:F2278"/>
    <mergeCell ref="L2321:L2324"/>
    <mergeCell ref="H2322:I2322"/>
    <mergeCell ref="J2322:J2323"/>
    <mergeCell ref="E2266:F2266"/>
    <mergeCell ref="E2277:F2277"/>
    <mergeCell ref="E2286:F2286"/>
    <mergeCell ref="E2283:F2283"/>
    <mergeCell ref="E2263:F2263"/>
    <mergeCell ref="E2262:F2262"/>
    <mergeCell ref="D2228:I2228"/>
    <mergeCell ref="J2228:J2231"/>
    <mergeCell ref="I2229:I2230"/>
    <mergeCell ref="D2231:I2231"/>
    <mergeCell ref="B2228:B2231"/>
    <mergeCell ref="C2044:C2045"/>
    <mergeCell ref="F2045:F2046"/>
    <mergeCell ref="F2044:G2044"/>
    <mergeCell ref="B2044:B2046"/>
    <mergeCell ref="I2137:J2137"/>
    <mergeCell ref="K2137:L2137"/>
    <mergeCell ref="B2137:B2139"/>
    <mergeCell ref="E1432:F1432"/>
    <mergeCell ref="E1431:F1431"/>
    <mergeCell ref="B1674:B1676"/>
    <mergeCell ref="B1582:B1583"/>
    <mergeCell ref="E1434:F1434"/>
    <mergeCell ref="B1488:B1491"/>
    <mergeCell ref="D1488:D1490"/>
    <mergeCell ref="C1488:C1490"/>
    <mergeCell ref="B1426:C1426"/>
    <mergeCell ref="B1425:C1425"/>
    <mergeCell ref="B1424:G1424"/>
    <mergeCell ref="B1397:B1399"/>
    <mergeCell ref="C1397:C1398"/>
    <mergeCell ref="B1373:E1373"/>
    <mergeCell ref="C1340:K1340"/>
    <mergeCell ref="B1370:G1370"/>
    <mergeCell ref="E1430:F1430"/>
    <mergeCell ref="E1427:F1427"/>
    <mergeCell ref="F1397:F1398"/>
    <mergeCell ref="E1397:E1398"/>
    <mergeCell ref="E1428:F1428"/>
    <mergeCell ref="B1396:J1396"/>
    <mergeCell ref="D1397:D1398"/>
    <mergeCell ref="F552:G552"/>
    <mergeCell ref="F550:G550"/>
    <mergeCell ref="F560:G560"/>
    <mergeCell ref="F714:G714"/>
    <mergeCell ref="F709:G709"/>
    <mergeCell ref="F710:G710"/>
    <mergeCell ref="F711:G711"/>
    <mergeCell ref="F712:G712"/>
    <mergeCell ref="F713:G713"/>
    <mergeCell ref="F715:G715"/>
    <mergeCell ref="F718:G718"/>
    <mergeCell ref="F717:G717"/>
    <mergeCell ref="F716:G716"/>
    <mergeCell ref="F721:G721"/>
    <mergeCell ref="F722:G722"/>
    <mergeCell ref="F726:G726"/>
    <mergeCell ref="F724:G724"/>
    <mergeCell ref="F725:G725"/>
    <mergeCell ref="F728:G728"/>
    <mergeCell ref="F719:G719"/>
    <mergeCell ref="F720:G720"/>
    <mergeCell ref="F723:G723"/>
    <mergeCell ref="F727:G727"/>
    <mergeCell ref="I1213:I1214"/>
    <mergeCell ref="I1397:I1398"/>
    <mergeCell ref="F559:G559"/>
    <mergeCell ref="F546:G546"/>
    <mergeCell ref="F547:G547"/>
    <mergeCell ref="F545:G545"/>
    <mergeCell ref="I1140:I1141"/>
    <mergeCell ref="H1053:H1055"/>
    <mergeCell ref="C1087:L1087"/>
    <mergeCell ref="I1215:J1215"/>
    <mergeCell ref="I1306:J1306"/>
    <mergeCell ref="C1142:H1142"/>
    <mergeCell ref="B1124:G1124"/>
    <mergeCell ref="D1140:H1140"/>
    <mergeCell ref="B1212:J1212"/>
    <mergeCell ref="G1053:G1054"/>
    <mergeCell ref="H1304:H1305"/>
    <mergeCell ref="E1436:F1436"/>
    <mergeCell ref="E1435:F1435"/>
    <mergeCell ref="E1433:F1433"/>
    <mergeCell ref="E1306:F1306"/>
    <mergeCell ref="H1397:H1398"/>
    <mergeCell ref="E1429:F1429"/>
    <mergeCell ref="G1397:G1398"/>
    <mergeCell ref="E1444:F1444"/>
    <mergeCell ref="E1448:F1448"/>
    <mergeCell ref="E1441:F1441"/>
    <mergeCell ref="E1438:F1438"/>
    <mergeCell ref="E1439:F1439"/>
    <mergeCell ref="F1766:F1767"/>
    <mergeCell ref="E1766:E1767"/>
    <mergeCell ref="G1213:G1214"/>
    <mergeCell ref="H1213:H1214"/>
    <mergeCell ref="J1213:J1214"/>
    <mergeCell ref="I1674:J1674"/>
    <mergeCell ref="H1508:I1508"/>
    <mergeCell ref="H1509:I1509"/>
    <mergeCell ref="B830:F830"/>
    <mergeCell ref="B767:G767"/>
    <mergeCell ref="D786:G786"/>
    <mergeCell ref="H961:H962"/>
    <mergeCell ref="C732:L732"/>
    <mergeCell ref="E876:E877"/>
    <mergeCell ref="G876:G877"/>
    <mergeCell ref="H876:H878"/>
    <mergeCell ref="F876:F877"/>
    <mergeCell ref="C910:L910"/>
    <mergeCell ref="C788:H788"/>
    <mergeCell ref="D961:G961"/>
    <mergeCell ref="C963:H963"/>
    <mergeCell ref="J1488:J1491"/>
    <mergeCell ref="J1397:J1399"/>
    <mergeCell ref="I1582:I1583"/>
    <mergeCell ref="E1583:H1583"/>
    <mergeCell ref="C1674:F1674"/>
    <mergeCell ref="H1520:I1520"/>
    <mergeCell ref="H1526:I1526"/>
    <mergeCell ref="H1766:H1767"/>
    <mergeCell ref="H1533:I1533"/>
    <mergeCell ref="H1536:I1536"/>
    <mergeCell ref="I1767:I1768"/>
    <mergeCell ref="E2269:F2269"/>
    <mergeCell ref="E2270:F2270"/>
    <mergeCell ref="E2259:F2259"/>
    <mergeCell ref="E2258:F2258"/>
    <mergeCell ref="G2229:G2230"/>
    <mergeCell ref="E2229:F2229"/>
    <mergeCell ref="E2265:F2265"/>
    <mergeCell ref="G1951:H1952"/>
    <mergeCell ref="I1951:I1952"/>
    <mergeCell ref="J1951:J1952"/>
    <mergeCell ref="G1953:H1953"/>
    <mergeCell ref="F1858:F1860"/>
    <mergeCell ref="E1858:E1860"/>
    <mergeCell ref="F1489:F1490"/>
    <mergeCell ref="H1489:I1489"/>
    <mergeCell ref="D1213:D1214"/>
    <mergeCell ref="D876:D877"/>
    <mergeCell ref="D1053:D1054"/>
    <mergeCell ref="E1053:E1054"/>
    <mergeCell ref="D699:D700"/>
    <mergeCell ref="F707:G707"/>
    <mergeCell ref="F708:G708"/>
    <mergeCell ref="F703:G703"/>
    <mergeCell ref="F704:G704"/>
    <mergeCell ref="F705:G705"/>
    <mergeCell ref="F706:G706"/>
    <mergeCell ref="H1516:I1516"/>
    <mergeCell ref="H1517:I1517"/>
    <mergeCell ref="K1674:K1676"/>
    <mergeCell ref="H1535:I1535"/>
    <mergeCell ref="H1534:I1534"/>
    <mergeCell ref="E1446:F1446"/>
    <mergeCell ref="E1445:F1445"/>
    <mergeCell ref="E1213:F1213"/>
    <mergeCell ref="E1215:F1215"/>
    <mergeCell ref="B1185:C1185"/>
    <mergeCell ref="B1268:D1268"/>
    <mergeCell ref="B1267:D1267"/>
    <mergeCell ref="C1213:C1214"/>
    <mergeCell ref="B1213:B1215"/>
    <mergeCell ref="K1213:K1215"/>
    <mergeCell ref="C1858:C1860"/>
    <mergeCell ref="C1766:C1767"/>
    <mergeCell ref="D1766:D1767"/>
    <mergeCell ref="B1816:F1816"/>
    <mergeCell ref="B1766:B1768"/>
    <mergeCell ref="D1951:F1951"/>
    <mergeCell ref="D1953:F1953"/>
    <mergeCell ref="C1951:C1952"/>
    <mergeCell ref="K1951:K1953"/>
    <mergeCell ref="B1951:B1953"/>
    <mergeCell ref="B1858:B1861"/>
    <mergeCell ref="D1858:D1860"/>
    <mergeCell ref="E1437:F1437"/>
    <mergeCell ref="B1422:C1422"/>
    <mergeCell ref="B1423:D1423"/>
    <mergeCell ref="H1399:I1399"/>
    <mergeCell ref="G1489:G1490"/>
    <mergeCell ref="E1440:F1440"/>
    <mergeCell ref="E1489:E1490"/>
    <mergeCell ref="E1442:F1442"/>
    <mergeCell ref="E1447:F1447"/>
    <mergeCell ref="E1443:F1443"/>
    <mergeCell ref="B1572:H1572"/>
    <mergeCell ref="F572:G572"/>
    <mergeCell ref="F573:G573"/>
    <mergeCell ref="C577:L577"/>
    <mergeCell ref="F557:G557"/>
    <mergeCell ref="F558:G558"/>
    <mergeCell ref="F553:G553"/>
    <mergeCell ref="F554:G554"/>
    <mergeCell ref="C455:G455"/>
    <mergeCell ref="C487:L487"/>
    <mergeCell ref="F551:G551"/>
    <mergeCell ref="F548:G548"/>
    <mergeCell ref="F549:G549"/>
    <mergeCell ref="F556:G556"/>
    <mergeCell ref="F561:G561"/>
    <mergeCell ref="F555:G555"/>
    <mergeCell ref="F563:G563"/>
    <mergeCell ref="F562:G562"/>
    <mergeCell ref="F564:G564"/>
    <mergeCell ref="F570:G570"/>
    <mergeCell ref="F571:G571"/>
    <mergeCell ref="F565:G565"/>
    <mergeCell ref="F566:G566"/>
    <mergeCell ref="F568:G568"/>
    <mergeCell ref="F569:G569"/>
    <mergeCell ref="F567:G567"/>
    <mergeCell ref="E1488:I1488"/>
    <mergeCell ref="E1491:I1491"/>
    <mergeCell ref="H1510:I1510"/>
    <mergeCell ref="H1511:I1511"/>
    <mergeCell ref="H1512:I1512"/>
    <mergeCell ref="H1513:I1513"/>
    <mergeCell ref="H1514:I1514"/>
    <mergeCell ref="H1523:I1523"/>
    <mergeCell ref="H1524:I1524"/>
    <mergeCell ref="H1532:I1532"/>
    <mergeCell ref="H1531:I1531"/>
    <mergeCell ref="H1527:I1527"/>
    <mergeCell ref="H1528:I1528"/>
    <mergeCell ref="H1515:I1515"/>
    <mergeCell ref="B1537:B1540"/>
    <mergeCell ref="H1529:I1529"/>
    <mergeCell ref="H1530:I1530"/>
    <mergeCell ref="H1521:I1521"/>
    <mergeCell ref="H1522:I1522"/>
    <mergeCell ref="C1540:L1540"/>
    <mergeCell ref="H3:I3"/>
    <mergeCell ref="F5:I5"/>
    <mergeCell ref="F3:G3"/>
    <mergeCell ref="D87:G87"/>
    <mergeCell ref="B84:B87"/>
    <mergeCell ref="D85:E85"/>
    <mergeCell ref="C84:C86"/>
    <mergeCell ref="B55:C55"/>
    <mergeCell ref="B54:C54"/>
    <mergeCell ref="C2:C4"/>
    <mergeCell ref="B2:B5"/>
    <mergeCell ref="D2:D4"/>
    <mergeCell ref="E2:E4"/>
    <mergeCell ref="B53:G53"/>
    <mergeCell ref="H87:J87"/>
    <mergeCell ref="F2:I2"/>
    <mergeCell ref="J2:J4"/>
    <mergeCell ref="K2:K5"/>
    <mergeCell ref="H84:I84"/>
    <mergeCell ref="H85:H86"/>
    <mergeCell ref="B876:B878"/>
    <mergeCell ref="B786:B788"/>
    <mergeCell ref="B907:B910"/>
    <mergeCell ref="C876:C877"/>
    <mergeCell ref="B1053:B1055"/>
    <mergeCell ref="B961:B963"/>
    <mergeCell ref="C699:C700"/>
    <mergeCell ref="B1140:B1142"/>
    <mergeCell ref="B1084:B1087"/>
    <mergeCell ref="C1140:C1141"/>
    <mergeCell ref="C1053:C1054"/>
    <mergeCell ref="B729:B732"/>
    <mergeCell ref="C786:C787"/>
    <mergeCell ref="C961:C962"/>
    <mergeCell ref="C453:G453"/>
    <mergeCell ref="B453:B455"/>
    <mergeCell ref="B360:B362"/>
    <mergeCell ref="C360:C361"/>
    <mergeCell ref="B575:B577"/>
    <mergeCell ref="B545:B546"/>
    <mergeCell ref="H360:I360"/>
    <mergeCell ref="J360:J361"/>
    <mergeCell ref="D362:G362"/>
    <mergeCell ref="H362:J362"/>
    <mergeCell ref="C631:H631"/>
    <mergeCell ref="B630:B631"/>
    <mergeCell ref="B484:B487"/>
    <mergeCell ref="F699:G699"/>
    <mergeCell ref="E699:E700"/>
    <mergeCell ref="F700:G700"/>
    <mergeCell ref="F701:G701"/>
    <mergeCell ref="I699:I701"/>
    <mergeCell ref="H699:H700"/>
    <mergeCell ref="H269:I269"/>
    <mergeCell ref="F271:I271"/>
    <mergeCell ref="C200:L200"/>
    <mergeCell ref="C175:G175"/>
    <mergeCell ref="C177:G177"/>
    <mergeCell ref="E268:E270"/>
    <mergeCell ref="B197:B200"/>
    <mergeCell ref="B175:B177"/>
    <mergeCell ref="D360:G360"/>
    <mergeCell ref="C268:C270"/>
    <mergeCell ref="D268:D270"/>
    <mergeCell ref="F269:G269"/>
    <mergeCell ref="F268:I268"/>
    <mergeCell ref="J268:J270"/>
    <mergeCell ref="K268:K271"/>
    <mergeCell ref="B268:B271"/>
    <mergeCell ref="F85:G85"/>
    <mergeCell ref="D84:G84"/>
    <mergeCell ref="J84:L84"/>
    <mergeCell ref="K85:L85"/>
    <mergeCell ref="I85:I86"/>
    <mergeCell ref="J85:J86"/>
    <mergeCell ref="K87:L87"/>
    <mergeCell ref="F702:G702"/>
    <mergeCell ref="B699:B701"/>
    <mergeCell ref="J1304:J1305"/>
    <mergeCell ref="K1304:K1306"/>
    <mergeCell ref="B1304:B1306"/>
    <mergeCell ref="E1304:F1304"/>
    <mergeCell ref="C1342:K1342"/>
    <mergeCell ref="D1304:D1305"/>
    <mergeCell ref="B1340:B1342"/>
    <mergeCell ref="I1304:I1305"/>
    <mergeCell ref="G1304:G1305"/>
  </mergeCells>
  <printOptions/>
  <pageMargins bottom="0.24" footer="0.0" header="0.0" left="0.43" right="0.28" top="0.46"/>
  <pageSetup paperSize="9" orientation="portrait"/>
  <rowBreaks count="26" manualBreakCount="26">
    <brk id="1856" man="1"/>
    <brk id="451" man="1"/>
    <brk id="1671" man="1"/>
    <brk id="265" man="1"/>
    <brk id="1486" man="1"/>
    <brk id="2319" man="1"/>
    <brk id="784" man="1"/>
    <brk id="82" man="1"/>
    <brk id="1301" man="1"/>
    <brk id="2135" man="1"/>
    <brk id="1051" man="1"/>
    <brk id="1949" man="1"/>
    <brk id="542" man="1"/>
    <brk id="1764" man="1"/>
    <brk id="357" man="1"/>
    <brk id="874" man="1"/>
    <brk id="1579" man="1"/>
    <brk id="172" man="1"/>
    <brk id="2226" man="1"/>
    <brk id="1138" man="1"/>
    <brk id="627" man="1"/>
    <brk id="1395" man="1"/>
    <brk id="696" man="1"/>
    <brk id="2042" man="1"/>
    <brk id="1210" man="1"/>
    <brk id="958"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3" width="9.71"/>
    <col customWidth="1" min="4" max="4" width="10.71"/>
    <col customWidth="1" min="5" max="7" width="9.71"/>
    <col customWidth="1" min="8" max="8" width="10.29"/>
    <col customWidth="1" min="9" max="11" width="9.71"/>
    <col customWidth="1" min="12" max="12" width="10.14"/>
    <col customWidth="1" min="13" max="13" width="9.71"/>
    <col customWidth="1" min="14" max="14" width="10.14"/>
    <col customWidth="1" min="15" max="15" width="10.29"/>
    <col customWidth="1" min="16" max="16" width="9.71"/>
    <col customWidth="1" min="17" max="21" width="9.14"/>
  </cols>
  <sheetData>
    <row r="1" ht="11.25" customHeight="1">
      <c r="A1" s="1"/>
      <c r="B1" s="1" t="s">
        <v>505</v>
      </c>
      <c r="C1" s="1"/>
      <c r="D1" s="111"/>
      <c r="E1" s="111"/>
      <c r="F1" s="1"/>
      <c r="G1" s="1"/>
      <c r="H1" s="1"/>
      <c r="I1" s="1"/>
      <c r="J1" s="1"/>
      <c r="K1" s="1"/>
      <c r="L1" s="1"/>
      <c r="M1" s="1"/>
      <c r="N1" s="1"/>
      <c r="O1" s="1"/>
      <c r="P1" s="1"/>
      <c r="Q1" s="1"/>
      <c r="R1" s="1"/>
      <c r="S1" s="1"/>
      <c r="T1" s="1"/>
      <c r="U1" s="1"/>
    </row>
    <row r="2" ht="11.25" customHeight="1">
      <c r="A2" s="1"/>
      <c r="B2" s="29" t="s">
        <v>506</v>
      </c>
      <c r="C2" s="31" t="s">
        <v>508</v>
      </c>
      <c r="D2" s="128" t="s">
        <v>509</v>
      </c>
      <c r="E2" s="10"/>
      <c r="F2" s="128" t="s">
        <v>243</v>
      </c>
      <c r="G2" s="10"/>
      <c r="H2" s="128" t="s">
        <v>510</v>
      </c>
      <c r="I2" s="10"/>
      <c r="J2" s="273" t="s">
        <v>511</v>
      </c>
      <c r="K2" s="128" t="s">
        <v>512</v>
      </c>
      <c r="L2" s="10"/>
      <c r="M2" s="31" t="s">
        <v>513</v>
      </c>
      <c r="N2" s="1"/>
      <c r="O2" s="1"/>
      <c r="P2" s="1"/>
      <c r="Q2" s="1"/>
      <c r="R2" s="1"/>
      <c r="S2" s="1"/>
      <c r="T2" s="1"/>
      <c r="U2" s="1"/>
    </row>
    <row r="3" ht="24.0" customHeight="1">
      <c r="A3" s="1"/>
      <c r="B3" s="5"/>
      <c r="C3" s="6"/>
      <c r="D3" s="200" t="s">
        <v>514</v>
      </c>
      <c r="E3" s="7" t="s">
        <v>515</v>
      </c>
      <c r="F3" s="7" t="s">
        <v>514</v>
      </c>
      <c r="G3" s="7" t="s">
        <v>516</v>
      </c>
      <c r="H3" s="7" t="s">
        <v>514</v>
      </c>
      <c r="I3" s="7" t="s">
        <v>515</v>
      </c>
      <c r="J3" s="7" t="s">
        <v>517</v>
      </c>
      <c r="K3" s="128" t="s">
        <v>518</v>
      </c>
      <c r="L3" s="128" t="s">
        <v>519</v>
      </c>
      <c r="M3" s="6"/>
      <c r="N3" s="1"/>
      <c r="O3" s="1"/>
      <c r="P3" s="1"/>
      <c r="Q3" s="1"/>
      <c r="R3" s="1"/>
      <c r="S3" s="1"/>
      <c r="T3" s="1"/>
      <c r="U3" s="1"/>
    </row>
    <row r="4" ht="11.25" customHeight="1">
      <c r="A4" s="1"/>
      <c r="B4" s="6"/>
      <c r="C4" s="8" t="s">
        <v>520</v>
      </c>
      <c r="D4" s="10"/>
      <c r="E4" s="134" t="s">
        <v>52</v>
      </c>
      <c r="F4" s="134" t="s">
        <v>520</v>
      </c>
      <c r="G4" s="134" t="s">
        <v>52</v>
      </c>
      <c r="H4" s="134" t="s">
        <v>520</v>
      </c>
      <c r="I4" s="134" t="s">
        <v>52</v>
      </c>
      <c r="J4" s="134" t="s">
        <v>520</v>
      </c>
      <c r="K4" s="8" t="s">
        <v>50</v>
      </c>
      <c r="L4" s="9"/>
      <c r="M4" s="10"/>
      <c r="N4" s="1"/>
      <c r="O4" s="1"/>
      <c r="P4" s="1"/>
      <c r="Q4" s="1"/>
      <c r="R4" s="1"/>
      <c r="S4" s="1"/>
      <c r="T4" s="1"/>
      <c r="U4" s="1"/>
    </row>
    <row r="5" ht="10.5" customHeight="1">
      <c r="A5" s="1"/>
      <c r="B5" s="48" t="s">
        <v>56</v>
      </c>
      <c r="C5" s="244">
        <v>394164.0</v>
      </c>
      <c r="D5" s="217">
        <v>87901.0</v>
      </c>
      <c r="E5" s="228">
        <v>286.0</v>
      </c>
      <c r="F5" s="228">
        <v>169684.0</v>
      </c>
      <c r="G5" s="66">
        <v>211.76</v>
      </c>
      <c r="H5" s="30">
        <v>118299.0</v>
      </c>
      <c r="I5" s="276">
        <v>45.95</v>
      </c>
      <c r="J5" s="136">
        <v>3715.0</v>
      </c>
      <c r="K5" s="136">
        <v>811.0</v>
      </c>
      <c r="L5" s="278">
        <v>65938.0</v>
      </c>
      <c r="M5" s="169">
        <f t="shared" ref="M5:M9" si="1">SUM(K5:L5)</f>
        <v>66749</v>
      </c>
      <c r="N5" s="1"/>
      <c r="O5" s="1"/>
      <c r="P5" s="1"/>
      <c r="Q5" s="1"/>
      <c r="R5" s="1"/>
      <c r="S5" s="1"/>
      <c r="T5" s="1"/>
      <c r="U5" s="1"/>
    </row>
    <row r="6" ht="10.5" customHeight="1">
      <c r="A6" s="1"/>
      <c r="B6" s="48" t="s">
        <v>81</v>
      </c>
      <c r="C6" s="244">
        <v>460987.0</v>
      </c>
      <c r="D6" s="217">
        <v>99361.0</v>
      </c>
      <c r="E6" s="228">
        <v>324.0</v>
      </c>
      <c r="F6" s="228">
        <v>224373.0</v>
      </c>
      <c r="G6" s="66">
        <v>512.32</v>
      </c>
      <c r="H6" s="30">
        <v>115764.0</v>
      </c>
      <c r="I6" s="276">
        <v>61.42</v>
      </c>
      <c r="J6" s="136">
        <v>3704.0</v>
      </c>
      <c r="K6" s="136">
        <v>809.0</v>
      </c>
      <c r="L6" s="278">
        <v>153711.0</v>
      </c>
      <c r="M6" s="169">
        <f t="shared" si="1"/>
        <v>154520</v>
      </c>
      <c r="N6" s="1"/>
      <c r="O6" s="1"/>
      <c r="P6" s="1"/>
      <c r="Q6" s="1"/>
      <c r="R6" s="1"/>
      <c r="S6" s="1"/>
      <c r="T6" s="1"/>
      <c r="U6" s="1"/>
    </row>
    <row r="7" ht="10.5" customHeight="1">
      <c r="A7" s="1"/>
      <c r="B7" s="48" t="s">
        <v>86</v>
      </c>
      <c r="C7" s="244">
        <v>359547.0</v>
      </c>
      <c r="D7" s="217">
        <v>94285.0</v>
      </c>
      <c r="E7" s="228">
        <v>368.0</v>
      </c>
      <c r="F7" s="228">
        <v>145657.0</v>
      </c>
      <c r="G7" s="66">
        <v>392.98</v>
      </c>
      <c r="H7" s="30">
        <v>97373.0</v>
      </c>
      <c r="I7" s="276">
        <v>56.73</v>
      </c>
      <c r="J7" s="136">
        <v>2061.0</v>
      </c>
      <c r="K7" s="136">
        <v>423.0</v>
      </c>
      <c r="L7" s="278">
        <v>98269.0</v>
      </c>
      <c r="M7" s="169">
        <f t="shared" si="1"/>
        <v>98692</v>
      </c>
      <c r="N7" s="1"/>
      <c r="O7" s="1"/>
      <c r="P7" s="1"/>
      <c r="Q7" s="1"/>
      <c r="R7" s="1"/>
      <c r="S7" s="1"/>
      <c r="T7" s="1"/>
      <c r="U7" s="1"/>
    </row>
    <row r="8" ht="10.5" customHeight="1">
      <c r="A8" s="1"/>
      <c r="B8" s="48" t="s">
        <v>87</v>
      </c>
      <c r="C8" s="244">
        <v>483696.0</v>
      </c>
      <c r="D8" s="217">
        <v>104081.0</v>
      </c>
      <c r="E8" s="228">
        <v>405.0</v>
      </c>
      <c r="F8" s="228">
        <v>226557.0</v>
      </c>
      <c r="G8" s="66">
        <v>443.59</v>
      </c>
      <c r="H8" s="30">
        <v>128058.0</v>
      </c>
      <c r="I8" s="276">
        <v>79.72</v>
      </c>
      <c r="J8" s="136">
        <v>3630.0</v>
      </c>
      <c r="K8" s="136">
        <v>1012.0</v>
      </c>
      <c r="L8" s="278">
        <v>153529.0</v>
      </c>
      <c r="M8" s="169">
        <f t="shared" si="1"/>
        <v>154541</v>
      </c>
      <c r="N8" s="1"/>
      <c r="O8" s="1"/>
      <c r="P8" s="1"/>
      <c r="Q8" s="1"/>
      <c r="R8" s="1"/>
      <c r="S8" s="1"/>
      <c r="T8" s="1"/>
      <c r="U8" s="1"/>
    </row>
    <row r="9" ht="10.5" customHeight="1">
      <c r="A9" s="1"/>
      <c r="B9" s="48" t="s">
        <v>90</v>
      </c>
      <c r="C9" s="244">
        <v>402231.0</v>
      </c>
      <c r="D9" s="217">
        <v>93708.0</v>
      </c>
      <c r="E9" s="228">
        <v>488.0</v>
      </c>
      <c r="F9" s="228">
        <v>200085.0</v>
      </c>
      <c r="G9" s="66">
        <v>646.14</v>
      </c>
      <c r="H9" s="30">
        <v>87505.0</v>
      </c>
      <c r="I9" s="276">
        <v>97.1</v>
      </c>
      <c r="J9" s="136">
        <v>2036.0</v>
      </c>
      <c r="K9" s="136">
        <v>946.0</v>
      </c>
      <c r="L9" s="278">
        <v>184112.0</v>
      </c>
      <c r="M9" s="169">
        <f t="shared" si="1"/>
        <v>185058</v>
      </c>
      <c r="N9" s="1"/>
      <c r="O9" s="1"/>
      <c r="P9" s="1"/>
      <c r="Q9" s="1"/>
      <c r="R9" s="1"/>
      <c r="S9" s="1"/>
      <c r="T9" s="1"/>
      <c r="U9" s="1"/>
    </row>
    <row r="10" ht="10.5" customHeight="1">
      <c r="A10" s="1"/>
      <c r="B10" s="48"/>
      <c r="C10" s="280"/>
      <c r="D10" s="217"/>
      <c r="E10" s="228"/>
      <c r="F10" s="228"/>
      <c r="G10" s="66"/>
      <c r="H10" s="30"/>
      <c r="I10" s="276"/>
      <c r="J10" s="136"/>
      <c r="K10" s="136"/>
      <c r="L10" s="278"/>
      <c r="M10" s="169"/>
      <c r="N10" s="1"/>
      <c r="O10" s="1"/>
      <c r="P10" s="1"/>
      <c r="Q10" s="1"/>
      <c r="R10" s="1"/>
      <c r="S10" s="1"/>
      <c r="T10" s="1"/>
      <c r="U10" s="1"/>
    </row>
    <row r="11" ht="10.5" customHeight="1">
      <c r="A11" s="1"/>
      <c r="B11" s="48" t="s">
        <v>93</v>
      </c>
      <c r="C11" s="280">
        <v>439836.0</v>
      </c>
      <c r="D11" s="217">
        <v>101649.0</v>
      </c>
      <c r="E11" s="228">
        <v>517.0</v>
      </c>
      <c r="F11" s="228">
        <v>211815.0</v>
      </c>
      <c r="G11" s="66">
        <v>955.87</v>
      </c>
      <c r="H11" s="30">
        <v>100999.0</v>
      </c>
      <c r="I11" s="276">
        <v>107.25</v>
      </c>
      <c r="J11" s="136">
        <v>4776.0</v>
      </c>
      <c r="K11" s="136">
        <v>2314.0</v>
      </c>
      <c r="L11" s="278">
        <v>266421.0</v>
      </c>
      <c r="M11" s="169">
        <f t="shared" ref="M11:M15" si="2">SUM(K11:L11)</f>
        <v>268735</v>
      </c>
      <c r="N11" s="1"/>
      <c r="O11" s="1"/>
      <c r="P11" s="1"/>
      <c r="Q11" s="1"/>
      <c r="R11" s="1"/>
      <c r="S11" s="1"/>
      <c r="T11" s="1"/>
      <c r="U11" s="1"/>
    </row>
    <row r="12" ht="10.5" customHeight="1">
      <c r="A12" s="1"/>
      <c r="B12" s="48" t="s">
        <v>97</v>
      </c>
      <c r="C12" s="244">
        <v>391556.0</v>
      </c>
      <c r="D12" s="217">
        <v>85638.0</v>
      </c>
      <c r="E12" s="228">
        <v>631.0</v>
      </c>
      <c r="F12" s="228">
        <v>191009.0</v>
      </c>
      <c r="G12" s="66">
        <v>883.77</v>
      </c>
      <c r="H12" s="30">
        <v>91954.0</v>
      </c>
      <c r="I12" s="276">
        <v>103.32</v>
      </c>
      <c r="J12" s="136">
        <v>5148.0</v>
      </c>
      <c r="K12" s="136">
        <v>2162.0</v>
      </c>
      <c r="L12" s="278">
        <v>233200.0</v>
      </c>
      <c r="M12" s="169">
        <f t="shared" si="2"/>
        <v>235362</v>
      </c>
      <c r="N12" s="1"/>
      <c r="O12" s="1"/>
      <c r="P12" s="1"/>
      <c r="Q12" s="1"/>
      <c r="R12" s="1"/>
      <c r="S12" s="1"/>
      <c r="T12" s="1"/>
      <c r="U12" s="1"/>
    </row>
    <row r="13" ht="10.5" customHeight="1">
      <c r="A13" s="1"/>
      <c r="B13" s="48" t="s">
        <v>101</v>
      </c>
      <c r="C13" s="280">
        <v>554742.0</v>
      </c>
      <c r="D13" s="217">
        <v>99695.0</v>
      </c>
      <c r="E13" s="228">
        <v>666.0</v>
      </c>
      <c r="F13" s="228">
        <v>221831.0</v>
      </c>
      <c r="G13" s="66">
        <v>747.23</v>
      </c>
      <c r="H13" s="30">
        <v>124094.0</v>
      </c>
      <c r="I13" s="276">
        <v>115.98</v>
      </c>
      <c r="J13" s="136" t="s">
        <v>40</v>
      </c>
      <c r="K13" s="136" t="s">
        <v>40</v>
      </c>
      <c r="L13" s="278">
        <v>294973.0</v>
      </c>
      <c r="M13" s="169">
        <f t="shared" si="2"/>
        <v>294973</v>
      </c>
      <c r="N13" s="1"/>
      <c r="O13" s="1"/>
      <c r="P13" s="1"/>
      <c r="Q13" s="1"/>
      <c r="R13" s="1"/>
      <c r="S13" s="1"/>
      <c r="T13" s="1"/>
      <c r="U13" s="1"/>
    </row>
    <row r="14" ht="10.5" customHeight="1">
      <c r="A14" s="1"/>
      <c r="B14" s="48" t="s">
        <v>103</v>
      </c>
      <c r="C14" s="280">
        <v>508202.0</v>
      </c>
      <c r="D14" s="217">
        <v>113197.0</v>
      </c>
      <c r="E14" s="228">
        <v>746.0</v>
      </c>
      <c r="F14" s="228">
        <v>227606.0</v>
      </c>
      <c r="G14" s="66">
        <v>924.83</v>
      </c>
      <c r="H14" s="30">
        <v>142058.0</v>
      </c>
      <c r="I14" s="276">
        <v>102.27</v>
      </c>
      <c r="J14" s="136">
        <v>3466.0</v>
      </c>
      <c r="K14" s="136">
        <v>1223.0</v>
      </c>
      <c r="L14" s="278">
        <v>310144.0</v>
      </c>
      <c r="M14" s="169">
        <f t="shared" si="2"/>
        <v>311367</v>
      </c>
      <c r="N14" s="1"/>
      <c r="O14" s="1"/>
      <c r="P14" s="1"/>
      <c r="Q14" s="1"/>
      <c r="R14" s="1"/>
      <c r="S14" s="1"/>
      <c r="T14" s="1"/>
      <c r="U14" s="1"/>
    </row>
    <row r="15" ht="10.5" customHeight="1">
      <c r="A15" s="1"/>
      <c r="B15" s="48" t="s">
        <v>104</v>
      </c>
      <c r="C15" s="280">
        <v>430344.0</v>
      </c>
      <c r="D15" s="217">
        <v>93811.0</v>
      </c>
      <c r="E15" s="228">
        <v>952.0</v>
      </c>
      <c r="F15" s="228">
        <v>220482.0</v>
      </c>
      <c r="G15" s="249">
        <v>1790.97</v>
      </c>
      <c r="H15" s="30">
        <v>93117.0</v>
      </c>
      <c r="I15" s="276">
        <v>193.29</v>
      </c>
      <c r="J15" s="136">
        <v>3828.0</v>
      </c>
      <c r="K15" s="136">
        <v>1413.0</v>
      </c>
      <c r="L15" s="278">
        <v>502747.0</v>
      </c>
      <c r="M15" s="169">
        <f t="shared" si="2"/>
        <v>504160</v>
      </c>
      <c r="N15" s="1"/>
      <c r="O15" s="1"/>
      <c r="P15" s="1"/>
      <c r="Q15" s="1"/>
      <c r="R15" s="1"/>
      <c r="S15" s="1"/>
      <c r="T15" s="1"/>
      <c r="U15" s="1"/>
    </row>
    <row r="16" ht="10.5" customHeight="1">
      <c r="A16" s="1"/>
      <c r="B16" s="48"/>
      <c r="C16" s="280"/>
      <c r="D16" s="217"/>
      <c r="E16" s="228"/>
      <c r="F16" s="228"/>
      <c r="G16" s="249"/>
      <c r="H16" s="30"/>
      <c r="I16" s="276"/>
      <c r="J16" s="136"/>
      <c r="K16" s="136"/>
      <c r="L16" s="278"/>
      <c r="M16" s="169"/>
      <c r="N16" s="1"/>
      <c r="O16" s="1"/>
      <c r="P16" s="1"/>
      <c r="Q16" s="1"/>
      <c r="R16" s="1"/>
      <c r="S16" s="1"/>
      <c r="T16" s="1"/>
      <c r="U16" s="1"/>
    </row>
    <row r="17" ht="10.5" customHeight="1">
      <c r="A17" s="1"/>
      <c r="B17" s="48" t="s">
        <v>108</v>
      </c>
      <c r="C17" s="280">
        <v>515074.0</v>
      </c>
      <c r="D17" s="217">
        <v>108061.0</v>
      </c>
      <c r="E17" s="228">
        <v>1033.0</v>
      </c>
      <c r="F17" s="228">
        <v>221423.0</v>
      </c>
      <c r="G17" s="249">
        <v>1913.81</v>
      </c>
      <c r="H17" s="30">
        <v>159526.0</v>
      </c>
      <c r="I17" s="276">
        <v>136.86</v>
      </c>
      <c r="J17" s="136">
        <v>4777.0</v>
      </c>
      <c r="K17" s="136">
        <v>3267.0</v>
      </c>
      <c r="L17" s="278">
        <v>557826.0</v>
      </c>
      <c r="M17" s="169">
        <f t="shared" ref="M17:M21" si="3">SUM(K17:L17)</f>
        <v>561093</v>
      </c>
      <c r="N17" s="1"/>
      <c r="O17" s="1"/>
      <c r="P17" s="1"/>
      <c r="Q17" s="1"/>
      <c r="R17" s="1"/>
      <c r="S17" s="1"/>
      <c r="T17" s="1"/>
      <c r="U17" s="1"/>
    </row>
    <row r="18" ht="10.5" customHeight="1">
      <c r="A18" s="1"/>
      <c r="B18" s="48" t="s">
        <v>111</v>
      </c>
      <c r="C18" s="280">
        <v>518492.0</v>
      </c>
      <c r="D18" s="217">
        <v>85166.0</v>
      </c>
      <c r="E18" s="228">
        <v>1319.0</v>
      </c>
      <c r="F18" s="228">
        <v>254329.0</v>
      </c>
      <c r="G18" s="249">
        <v>1598.44</v>
      </c>
      <c r="H18" s="30">
        <v>159804.0</v>
      </c>
      <c r="I18" s="276">
        <v>323.16</v>
      </c>
      <c r="J18" s="136">
        <v>2827.0</v>
      </c>
      <c r="K18" s="136">
        <v>2666.0</v>
      </c>
      <c r="L18" s="278">
        <v>571516.0</v>
      </c>
      <c r="M18" s="169">
        <f t="shared" si="3"/>
        <v>574182</v>
      </c>
      <c r="N18" s="1"/>
      <c r="O18" s="1"/>
      <c r="P18" s="1"/>
      <c r="Q18" s="1"/>
      <c r="R18" s="1"/>
      <c r="S18" s="1"/>
      <c r="T18" s="1"/>
      <c r="U18" s="1"/>
    </row>
    <row r="19" ht="10.5" customHeight="1">
      <c r="A19" s="1"/>
      <c r="B19" s="48" t="s">
        <v>112</v>
      </c>
      <c r="C19" s="280">
        <v>589037.0</v>
      </c>
      <c r="D19" s="217">
        <v>114199.0</v>
      </c>
      <c r="E19" s="228">
        <v>1202.0</v>
      </c>
      <c r="F19" s="228">
        <v>211258.0</v>
      </c>
      <c r="G19" s="249">
        <v>927.69</v>
      </c>
      <c r="H19" s="30">
        <v>239268.0</v>
      </c>
      <c r="I19" s="276">
        <v>215.01</v>
      </c>
      <c r="J19" s="136">
        <v>3066.0</v>
      </c>
      <c r="K19" s="136">
        <v>3832.0</v>
      </c>
      <c r="L19" s="278">
        <v>385632.0</v>
      </c>
      <c r="M19" s="169">
        <f t="shared" si="3"/>
        <v>389464</v>
      </c>
      <c r="N19" s="1"/>
      <c r="O19" s="1"/>
      <c r="P19" s="1"/>
      <c r="Q19" s="1"/>
      <c r="R19" s="1"/>
      <c r="S19" s="1"/>
      <c r="T19" s="1"/>
      <c r="U19" s="1"/>
    </row>
    <row r="20" ht="10.5" customHeight="1">
      <c r="A20" s="286">
        <v>34.0</v>
      </c>
      <c r="B20" s="48" t="s">
        <v>113</v>
      </c>
      <c r="C20" s="280">
        <v>563473.0</v>
      </c>
      <c r="D20" s="217">
        <v>129068.0</v>
      </c>
      <c r="E20" s="228">
        <v>1230.0</v>
      </c>
      <c r="F20" s="228">
        <v>226761.0</v>
      </c>
      <c r="G20" s="249">
        <v>2130.24</v>
      </c>
      <c r="H20" s="30">
        <v>180790.0</v>
      </c>
      <c r="I20" s="276">
        <v>182.59</v>
      </c>
      <c r="J20" s="136">
        <v>1585.0</v>
      </c>
      <c r="K20" s="136">
        <v>2330.0</v>
      </c>
      <c r="L20" s="278">
        <v>676156.0</v>
      </c>
      <c r="M20" s="169">
        <f t="shared" si="3"/>
        <v>678486</v>
      </c>
      <c r="N20" s="1"/>
      <c r="O20" s="1"/>
      <c r="P20" s="1"/>
      <c r="Q20" s="1"/>
      <c r="R20" s="1"/>
      <c r="S20" s="1"/>
      <c r="T20" s="1"/>
      <c r="U20" s="1"/>
    </row>
    <row r="21" ht="10.5" customHeight="1">
      <c r="A21" s="87"/>
      <c r="B21" s="48" t="s">
        <v>114</v>
      </c>
      <c r="C21" s="280">
        <v>518268.0</v>
      </c>
      <c r="D21" s="217">
        <v>105020.0</v>
      </c>
      <c r="E21" s="228">
        <v>1694.0</v>
      </c>
      <c r="F21" s="228">
        <v>214796.0</v>
      </c>
      <c r="G21" s="249">
        <v>1720.63</v>
      </c>
      <c r="H21" s="30">
        <v>175630.0</v>
      </c>
      <c r="I21" s="276">
        <v>279.82</v>
      </c>
      <c r="J21" s="136">
        <v>1901.0</v>
      </c>
      <c r="K21" s="136">
        <v>1511.0</v>
      </c>
      <c r="L21" s="278">
        <v>598387.0</v>
      </c>
      <c r="M21" s="169">
        <f t="shared" si="3"/>
        <v>599898</v>
      </c>
      <c r="N21" s="1"/>
      <c r="O21" s="1"/>
      <c r="P21" s="1"/>
      <c r="Q21" s="1"/>
      <c r="R21" s="1"/>
      <c r="S21" s="1"/>
      <c r="T21" s="1"/>
      <c r="U21" s="1"/>
    </row>
    <row r="22" ht="10.5" customHeight="1">
      <c r="A22" s="1"/>
      <c r="B22" s="48"/>
      <c r="C22" s="280"/>
      <c r="D22" s="217"/>
      <c r="E22" s="228"/>
      <c r="F22" s="228"/>
      <c r="G22" s="249"/>
      <c r="H22" s="30"/>
      <c r="I22" s="276"/>
      <c r="J22" s="136"/>
      <c r="K22" s="136"/>
      <c r="L22" s="278"/>
      <c r="M22" s="169"/>
      <c r="N22" s="1"/>
      <c r="O22" s="1"/>
      <c r="P22" s="1"/>
      <c r="Q22" s="1"/>
      <c r="R22" s="1"/>
      <c r="S22" s="1"/>
      <c r="T22" s="1"/>
      <c r="U22" s="1"/>
    </row>
    <row r="23" ht="10.5" customHeight="1">
      <c r="A23" s="1"/>
      <c r="B23" s="48" t="s">
        <v>115</v>
      </c>
      <c r="C23" s="244">
        <v>608408.0</v>
      </c>
      <c r="D23" s="217">
        <v>104295.0</v>
      </c>
      <c r="E23" s="228">
        <v>1716.0</v>
      </c>
      <c r="F23" s="228">
        <v>209120.0</v>
      </c>
      <c r="G23" s="249">
        <v>2597.83</v>
      </c>
      <c r="H23" s="30">
        <v>272055.0</v>
      </c>
      <c r="I23" s="276">
        <v>411.09</v>
      </c>
      <c r="J23" s="136">
        <v>2322.0</v>
      </c>
      <c r="K23" s="136">
        <v>2245.0</v>
      </c>
      <c r="L23" s="278">
        <v>835611.0</v>
      </c>
      <c r="M23" s="169">
        <f t="shared" ref="M23:M27" si="4">SUM(K23:L23)</f>
        <v>837856</v>
      </c>
      <c r="N23" s="1"/>
      <c r="O23" s="1"/>
      <c r="P23" s="1"/>
      <c r="Q23" s="1"/>
      <c r="R23" s="1"/>
      <c r="S23" s="1"/>
      <c r="T23" s="1"/>
      <c r="U23" s="1"/>
    </row>
    <row r="24" ht="10.5" customHeight="1">
      <c r="A24" s="1"/>
      <c r="B24" s="48" t="s">
        <v>117</v>
      </c>
      <c r="C24" s="244">
        <v>535126.0</v>
      </c>
      <c r="D24" s="217">
        <v>124422.0</v>
      </c>
      <c r="E24" s="228">
        <v>1623.0</v>
      </c>
      <c r="F24" s="228">
        <v>183957.0</v>
      </c>
      <c r="G24" s="249">
        <v>2191.94</v>
      </c>
      <c r="H24" s="30">
        <v>200977.0</v>
      </c>
      <c r="I24" s="276">
        <v>387.9</v>
      </c>
      <c r="J24" s="136">
        <v>2625.0</v>
      </c>
      <c r="K24" s="136">
        <v>2874.0</v>
      </c>
      <c r="L24" s="278">
        <v>684450.0</v>
      </c>
      <c r="M24" s="169">
        <f t="shared" si="4"/>
        <v>687324</v>
      </c>
      <c r="N24" s="1"/>
      <c r="O24" s="1"/>
      <c r="P24" s="1"/>
      <c r="Q24" s="1"/>
      <c r="R24" s="1"/>
      <c r="S24" s="1"/>
      <c r="T24" s="1"/>
      <c r="U24" s="1"/>
    </row>
    <row r="25" ht="10.5" customHeight="1">
      <c r="A25" s="1"/>
      <c r="B25" s="48" t="s">
        <v>121</v>
      </c>
      <c r="C25" s="244">
        <v>586346.0</v>
      </c>
      <c r="D25" s="217">
        <v>141517.0</v>
      </c>
      <c r="E25" s="228">
        <v>1646.0</v>
      </c>
      <c r="F25" s="228">
        <v>234573.0</v>
      </c>
      <c r="G25" s="249">
        <v>2420.06</v>
      </c>
      <c r="H25" s="30">
        <v>169466.0</v>
      </c>
      <c r="I25" s="276">
        <v>262.72</v>
      </c>
      <c r="J25" s="136">
        <v>3138.0</v>
      </c>
      <c r="K25" s="136">
        <v>3367.0</v>
      </c>
      <c r="L25" s="278">
        <v>862282.0</v>
      </c>
      <c r="M25" s="169">
        <f t="shared" si="4"/>
        <v>865649</v>
      </c>
      <c r="N25" s="1"/>
      <c r="O25" s="1"/>
      <c r="P25" s="1"/>
      <c r="Q25" s="1"/>
      <c r="R25" s="1"/>
      <c r="S25" s="1"/>
      <c r="T25" s="1"/>
      <c r="U25" s="1"/>
    </row>
    <row r="26" ht="10.5" customHeight="1">
      <c r="A26" s="1"/>
      <c r="B26" s="48" t="s">
        <v>122</v>
      </c>
      <c r="C26" s="280">
        <v>565718.0</v>
      </c>
      <c r="D26" s="217">
        <v>141033.0</v>
      </c>
      <c r="E26" s="228">
        <v>1772.0</v>
      </c>
      <c r="F26" s="228">
        <v>185678.0</v>
      </c>
      <c r="G26" s="249">
        <v>1467.75</v>
      </c>
      <c r="H26" s="30">
        <v>199826.0</v>
      </c>
      <c r="I26" s="276">
        <v>271.65</v>
      </c>
      <c r="J26" s="136">
        <v>790.0</v>
      </c>
      <c r="K26" s="136">
        <v>861.0</v>
      </c>
      <c r="L26" s="278">
        <v>594374.0</v>
      </c>
      <c r="M26" s="169">
        <f t="shared" si="4"/>
        <v>595235</v>
      </c>
      <c r="N26" s="1"/>
      <c r="O26" s="1"/>
      <c r="P26" s="1"/>
      <c r="Q26" s="1"/>
      <c r="R26" s="1"/>
      <c r="S26" s="1"/>
      <c r="T26" s="1"/>
      <c r="U26" s="1"/>
    </row>
    <row r="27" ht="10.5" customHeight="1">
      <c r="A27" s="1"/>
      <c r="B27" s="48" t="s">
        <v>123</v>
      </c>
      <c r="C27" s="244">
        <v>593173.0</v>
      </c>
      <c r="D27" s="217">
        <v>155548.0</v>
      </c>
      <c r="E27" s="228">
        <v>1800.0</v>
      </c>
      <c r="F27" s="228">
        <v>165880.0</v>
      </c>
      <c r="G27" s="249">
        <v>2191.49</v>
      </c>
      <c r="H27" s="30">
        <v>229087.0</v>
      </c>
      <c r="I27" s="276">
        <v>397.94</v>
      </c>
      <c r="J27" s="136">
        <v>2000.0</v>
      </c>
      <c r="K27" s="136">
        <v>2220.0</v>
      </c>
      <c r="L27" s="278">
        <v>753509.0</v>
      </c>
      <c r="M27" s="169">
        <f t="shared" si="4"/>
        <v>755729</v>
      </c>
      <c r="N27" s="1"/>
      <c r="O27" s="1"/>
      <c r="P27" s="1"/>
      <c r="Q27" s="1"/>
      <c r="R27" s="1"/>
      <c r="S27" s="1"/>
      <c r="T27" s="1"/>
      <c r="U27" s="1"/>
    </row>
    <row r="28" ht="10.5" customHeight="1">
      <c r="A28" s="1"/>
      <c r="B28" s="48"/>
      <c r="C28" s="244"/>
      <c r="D28" s="217"/>
      <c r="E28" s="228"/>
      <c r="F28" s="228"/>
      <c r="G28" s="249"/>
      <c r="H28" s="30"/>
      <c r="I28" s="276"/>
      <c r="J28" s="136"/>
      <c r="K28" s="136"/>
      <c r="L28" s="278"/>
      <c r="M28" s="169"/>
      <c r="N28" s="1"/>
      <c r="O28" s="1"/>
      <c r="P28" s="1"/>
      <c r="Q28" s="1"/>
      <c r="R28" s="1"/>
      <c r="S28" s="1"/>
      <c r="T28" s="1"/>
      <c r="U28" s="1"/>
    </row>
    <row r="29" ht="10.5" customHeight="1">
      <c r="A29" s="1"/>
      <c r="B29" s="168" t="s">
        <v>125</v>
      </c>
      <c r="C29" s="280">
        <v>608079.0</v>
      </c>
      <c r="D29" s="217">
        <v>144674.0</v>
      </c>
      <c r="E29" s="228">
        <v>1907.0</v>
      </c>
      <c r="F29" s="228">
        <v>228199.0</v>
      </c>
      <c r="G29" s="249">
        <v>2158.96</v>
      </c>
      <c r="H29" s="30">
        <v>195571.0</v>
      </c>
      <c r="I29" s="276">
        <v>387.58</v>
      </c>
      <c r="J29" s="136">
        <v>1100.0</v>
      </c>
      <c r="K29" s="136">
        <v>1410.0</v>
      </c>
      <c r="L29" s="278">
        <v>879244.0</v>
      </c>
      <c r="M29" s="169">
        <f t="shared" ref="M29:M33" si="5">SUM(K29:L29)</f>
        <v>880654</v>
      </c>
      <c r="N29" s="1"/>
      <c r="O29" s="1"/>
      <c r="P29" s="1"/>
      <c r="Q29" s="1"/>
      <c r="R29" s="1"/>
      <c r="S29" s="1"/>
      <c r="T29" s="1"/>
      <c r="U29" s="1"/>
    </row>
    <row r="30" ht="10.5" customHeight="1">
      <c r="A30" s="1"/>
      <c r="B30" s="48" t="s">
        <v>127</v>
      </c>
      <c r="C30" s="280">
        <v>626125.0</v>
      </c>
      <c r="D30" s="217">
        <v>152792.0</v>
      </c>
      <c r="E30" s="228">
        <v>2282.0</v>
      </c>
      <c r="F30" s="217">
        <v>245584.0</v>
      </c>
      <c r="G30" s="252">
        <v>3440.85</v>
      </c>
      <c r="H30" s="33">
        <v>187290.0</v>
      </c>
      <c r="I30" s="289">
        <v>521.89</v>
      </c>
      <c r="J30" s="169">
        <v>800.0</v>
      </c>
      <c r="K30" s="169">
        <v>1068.0</v>
      </c>
      <c r="L30" s="169">
        <v>1316408.0</v>
      </c>
      <c r="M30" s="169">
        <f t="shared" si="5"/>
        <v>1317476</v>
      </c>
      <c r="N30" s="1"/>
      <c r="O30" s="1"/>
      <c r="P30" s="1"/>
      <c r="Q30" s="1"/>
      <c r="R30" s="1"/>
      <c r="S30" s="1"/>
      <c r="T30" s="1"/>
      <c r="U30" s="1"/>
    </row>
    <row r="31" ht="10.5" customHeight="1">
      <c r="A31" s="1"/>
      <c r="B31" s="168" t="s">
        <v>128</v>
      </c>
      <c r="C31" s="280">
        <v>792678.0</v>
      </c>
      <c r="D31" s="217">
        <v>158938.0</v>
      </c>
      <c r="E31" s="228">
        <v>2409.0</v>
      </c>
      <c r="F31" s="217">
        <v>328151.0</v>
      </c>
      <c r="G31" s="252">
        <v>3245.69</v>
      </c>
      <c r="H31" s="33">
        <v>253046.0</v>
      </c>
      <c r="I31" s="289">
        <v>415.19</v>
      </c>
      <c r="J31" s="169">
        <v>890.0</v>
      </c>
      <c r="K31" s="169">
        <v>1356.0</v>
      </c>
      <c r="L31" s="169">
        <v>1601189.0</v>
      </c>
      <c r="M31" s="169">
        <f t="shared" si="5"/>
        <v>1602545</v>
      </c>
      <c r="N31" s="1"/>
      <c r="O31" s="1"/>
      <c r="P31" s="1"/>
      <c r="Q31" s="1"/>
      <c r="R31" s="1"/>
      <c r="S31" s="1"/>
      <c r="T31" s="1"/>
      <c r="U31" s="1"/>
    </row>
    <row r="32" ht="10.5" customHeight="1">
      <c r="A32" s="1"/>
      <c r="B32" s="48" t="s">
        <v>129</v>
      </c>
      <c r="C32" s="280">
        <v>822047.0</v>
      </c>
      <c r="D32" s="217">
        <v>181001.0</v>
      </c>
      <c r="E32" s="228">
        <v>2481.0</v>
      </c>
      <c r="F32" s="217">
        <v>335412.0</v>
      </c>
      <c r="G32" s="252">
        <v>3793.64</v>
      </c>
      <c r="H32" s="33">
        <v>245948.0</v>
      </c>
      <c r="I32" s="289">
        <v>336.07</v>
      </c>
      <c r="J32" s="169">
        <v>860.0</v>
      </c>
      <c r="K32" s="169">
        <v>1367.0</v>
      </c>
      <c r="L32" s="169">
        <v>1860923.0</v>
      </c>
      <c r="M32" s="169">
        <f t="shared" si="5"/>
        <v>1862290</v>
      </c>
      <c r="N32" s="1"/>
      <c r="O32" s="1"/>
      <c r="P32" s="1"/>
      <c r="Q32" s="1"/>
      <c r="R32" s="1"/>
      <c r="S32" s="1"/>
      <c r="T32" s="1"/>
      <c r="U32" s="1"/>
    </row>
    <row r="33" ht="10.5" customHeight="1">
      <c r="A33" s="1"/>
      <c r="B33" s="48" t="s">
        <v>130</v>
      </c>
      <c r="C33" s="280">
        <v>698710.0</v>
      </c>
      <c r="D33" s="217">
        <v>177748.0</v>
      </c>
      <c r="E33" s="228">
        <v>2717.0</v>
      </c>
      <c r="F33" s="217">
        <v>270651.0</v>
      </c>
      <c r="G33" s="252">
        <v>3637.88</v>
      </c>
      <c r="H33" s="33">
        <v>191632.0</v>
      </c>
      <c r="I33" s="289">
        <v>341.18</v>
      </c>
      <c r="J33" s="169">
        <v>910.0</v>
      </c>
      <c r="K33" s="169">
        <v>1463.0</v>
      </c>
      <c r="L33" s="169">
        <v>1593922.0</v>
      </c>
      <c r="M33" s="169">
        <f t="shared" si="5"/>
        <v>1595385</v>
      </c>
      <c r="N33" s="1"/>
      <c r="O33" s="1"/>
      <c r="P33" s="1"/>
      <c r="Q33" s="1"/>
      <c r="R33" s="1"/>
      <c r="S33" s="1"/>
      <c r="T33" s="1"/>
      <c r="U33" s="1"/>
    </row>
    <row r="34" ht="10.5" customHeight="1">
      <c r="A34" s="1"/>
      <c r="B34" s="48"/>
      <c r="C34" s="280"/>
      <c r="D34" s="217"/>
      <c r="E34" s="228"/>
      <c r="F34" s="217"/>
      <c r="G34" s="252"/>
      <c r="H34" s="33"/>
      <c r="I34" s="289"/>
      <c r="J34" s="169"/>
      <c r="K34" s="169"/>
      <c r="L34" s="169"/>
      <c r="M34" s="169"/>
      <c r="N34" s="1"/>
      <c r="O34" s="1"/>
      <c r="P34" s="1"/>
      <c r="Q34" s="1"/>
      <c r="R34" s="1"/>
      <c r="S34" s="1"/>
      <c r="T34" s="1"/>
      <c r="U34" s="1"/>
    </row>
    <row r="35" ht="10.5" customHeight="1">
      <c r="A35" s="1"/>
      <c r="B35" s="48" t="s">
        <v>131</v>
      </c>
      <c r="C35" s="217">
        <v>627091.0</v>
      </c>
      <c r="D35" s="217">
        <v>154055.0</v>
      </c>
      <c r="E35" s="217">
        <v>3035.0</v>
      </c>
      <c r="F35" s="217">
        <v>266413.0</v>
      </c>
      <c r="G35" s="252">
        <v>3790.86</v>
      </c>
      <c r="H35" s="33">
        <v>153003.0</v>
      </c>
      <c r="I35" s="289">
        <v>372.68</v>
      </c>
      <c r="J35" s="169">
        <v>250.0</v>
      </c>
      <c r="K35" s="169">
        <v>438.0</v>
      </c>
      <c r="L35" s="169">
        <v>1606060.0</v>
      </c>
      <c r="M35" s="169">
        <f t="shared" ref="M35:M39" si="6">SUM(K35:L35)</f>
        <v>1606498</v>
      </c>
      <c r="N35" s="1"/>
      <c r="O35" s="1"/>
      <c r="P35" s="1"/>
      <c r="Q35" s="1"/>
      <c r="R35" s="1"/>
      <c r="S35" s="1"/>
      <c r="T35" s="1"/>
      <c r="U35" s="1"/>
    </row>
    <row r="36" ht="10.5" customHeight="1">
      <c r="A36" s="1"/>
      <c r="B36" s="48" t="s">
        <v>557</v>
      </c>
      <c r="C36" s="280">
        <v>710172.0</v>
      </c>
      <c r="D36" s="217">
        <v>168718.0</v>
      </c>
      <c r="E36" s="228">
        <v>3293.0</v>
      </c>
      <c r="F36" s="217">
        <v>296776.0</v>
      </c>
      <c r="G36" s="252">
        <v>4362.81</v>
      </c>
      <c r="H36" s="33">
        <v>188624.0</v>
      </c>
      <c r="I36" s="289">
        <v>447.23</v>
      </c>
      <c r="J36" s="169">
        <v>1220.0</v>
      </c>
      <c r="K36" s="169">
        <v>2972.0</v>
      </c>
      <c r="L36" s="169">
        <v>2004814.0</v>
      </c>
      <c r="M36" s="169">
        <f t="shared" si="6"/>
        <v>2007786</v>
      </c>
      <c r="N36" s="1"/>
      <c r="O36" s="1"/>
      <c r="P36" s="1"/>
      <c r="Q36" s="1"/>
      <c r="R36" s="1"/>
      <c r="S36" s="1"/>
      <c r="T36" s="1"/>
      <c r="U36" s="1"/>
    </row>
    <row r="37" ht="10.5" customHeight="1">
      <c r="A37" s="1"/>
      <c r="B37" s="85" t="s">
        <v>559</v>
      </c>
      <c r="C37" s="280">
        <v>757680.0</v>
      </c>
      <c r="D37" s="217">
        <v>136209.0</v>
      </c>
      <c r="E37" s="228">
        <v>4257.0</v>
      </c>
      <c r="F37" s="217">
        <v>338647.0</v>
      </c>
      <c r="G37" s="252">
        <v>5418.73</v>
      </c>
      <c r="H37" s="33">
        <v>236833.0</v>
      </c>
      <c r="I37" s="289">
        <v>1071.45</v>
      </c>
      <c r="J37" s="169">
        <v>1720.0</v>
      </c>
      <c r="K37" s="169">
        <v>4266.0</v>
      </c>
      <c r="L37" s="169">
        <v>2741771.0</v>
      </c>
      <c r="M37" s="169">
        <f t="shared" si="6"/>
        <v>2746037</v>
      </c>
      <c r="N37" s="1"/>
      <c r="O37" s="1"/>
      <c r="P37" s="1"/>
      <c r="Q37" s="1"/>
      <c r="R37" s="1"/>
      <c r="S37" s="1"/>
      <c r="T37" s="1"/>
      <c r="U37" s="1"/>
    </row>
    <row r="38" ht="10.5" customHeight="1">
      <c r="A38" s="1"/>
      <c r="B38" s="85" t="s">
        <v>563</v>
      </c>
      <c r="C38" s="280">
        <v>800803.0</v>
      </c>
      <c r="D38" s="217">
        <v>155326.0</v>
      </c>
      <c r="E38" s="228">
        <v>4197.0</v>
      </c>
      <c r="F38" s="217">
        <v>332684.0</v>
      </c>
      <c r="G38" s="252">
        <v>5834.04</v>
      </c>
      <c r="H38" s="33">
        <v>261191.0</v>
      </c>
      <c r="I38" s="289">
        <v>786.41</v>
      </c>
      <c r="J38" s="169">
        <v>1120.0</v>
      </c>
      <c r="K38" s="169">
        <v>3136.0</v>
      </c>
      <c r="L38" s="169">
        <v>2880575.0</v>
      </c>
      <c r="M38" s="169">
        <f t="shared" si="6"/>
        <v>2883711</v>
      </c>
      <c r="N38" s="1"/>
      <c r="O38" s="1"/>
      <c r="P38" s="1"/>
      <c r="Q38" s="1"/>
      <c r="R38" s="1"/>
      <c r="S38" s="1"/>
      <c r="T38" s="1"/>
      <c r="U38" s="1"/>
    </row>
    <row r="39" ht="10.5" customHeight="1">
      <c r="A39" s="1"/>
      <c r="B39" s="293">
        <v>40087.0</v>
      </c>
      <c r="C39" s="217">
        <v>753167.0</v>
      </c>
      <c r="D39" s="217">
        <v>161634.0</v>
      </c>
      <c r="E39" s="217">
        <v>4301.0</v>
      </c>
      <c r="F39" s="217">
        <v>298574.0</v>
      </c>
      <c r="G39" s="252">
        <v>5880.7</v>
      </c>
      <c r="H39" s="33">
        <v>232473.0</v>
      </c>
      <c r="I39" s="289">
        <v>534.49</v>
      </c>
      <c r="J39" s="169">
        <v>990.0</v>
      </c>
      <c r="K39" s="169">
        <v>2610.0</v>
      </c>
      <c r="L39" s="169">
        <v>2688532.0</v>
      </c>
      <c r="M39" s="169">
        <f t="shared" si="6"/>
        <v>2691142</v>
      </c>
      <c r="N39" s="1"/>
      <c r="O39" s="1"/>
      <c r="P39" s="1"/>
      <c r="Q39" s="1"/>
      <c r="R39" s="1"/>
      <c r="S39" s="1"/>
      <c r="T39" s="1"/>
      <c r="U39" s="1"/>
    </row>
    <row r="40" ht="10.5" customHeight="1">
      <c r="A40" s="1"/>
      <c r="B40" s="85"/>
      <c r="C40" s="280"/>
      <c r="D40" s="217"/>
      <c r="E40" s="228"/>
      <c r="F40" s="217"/>
      <c r="G40" s="252"/>
      <c r="H40" s="33"/>
      <c r="I40" s="289"/>
      <c r="J40" s="169"/>
      <c r="K40" s="169"/>
      <c r="L40" s="169"/>
      <c r="M40" s="169"/>
      <c r="N40" s="1"/>
      <c r="O40" s="1"/>
      <c r="P40" s="1"/>
      <c r="Q40" s="1"/>
      <c r="R40" s="1"/>
      <c r="S40" s="1"/>
      <c r="T40" s="1"/>
      <c r="U40" s="1"/>
    </row>
    <row r="41" ht="10.5" customHeight="1">
      <c r="A41" s="1"/>
      <c r="B41" s="85" t="s">
        <v>139</v>
      </c>
      <c r="C41" s="217">
        <v>768125.0</v>
      </c>
      <c r="D41" s="217">
        <v>142107.0</v>
      </c>
      <c r="E41" s="228">
        <v>5091.0</v>
      </c>
      <c r="F41" s="217">
        <v>318993.0</v>
      </c>
      <c r="G41" s="252">
        <v>6210.32</v>
      </c>
      <c r="H41" s="33">
        <v>216257.0</v>
      </c>
      <c r="I41" s="289">
        <v>737.22</v>
      </c>
      <c r="J41" s="169">
        <v>1590.0</v>
      </c>
      <c r="K41" s="169">
        <v>5800.0</v>
      </c>
      <c r="L41" s="169">
        <v>3141017.0</v>
      </c>
      <c r="M41" s="169">
        <f t="shared" ref="M41:M44" si="7">SUM(K41:L41)</f>
        <v>3146817</v>
      </c>
      <c r="N41" s="1"/>
      <c r="O41" s="1"/>
      <c r="P41" s="1"/>
      <c r="Q41" s="1"/>
      <c r="R41" s="1"/>
      <c r="S41" s="1"/>
      <c r="T41" s="1"/>
      <c r="U41" s="1"/>
    </row>
    <row r="42" ht="10.5" customHeight="1">
      <c r="A42" s="1"/>
      <c r="B42" s="85" t="s">
        <v>143</v>
      </c>
      <c r="C42" s="217">
        <v>790562.0</v>
      </c>
      <c r="D42" s="217">
        <v>157885.0</v>
      </c>
      <c r="E42" s="217">
        <v>5258.0</v>
      </c>
      <c r="F42" s="217">
        <v>335827.0</v>
      </c>
      <c r="G42" s="252">
        <v>6531.15</v>
      </c>
      <c r="H42" s="33">
        <v>244427.0</v>
      </c>
      <c r="I42" s="289">
        <v>1146.2</v>
      </c>
      <c r="J42" s="169">
        <v>1110.0</v>
      </c>
      <c r="K42" s="169">
        <v>2976.0</v>
      </c>
      <c r="L42" s="169">
        <v>3408525.0</v>
      </c>
      <c r="M42" s="169">
        <f t="shared" si="7"/>
        <v>3411501</v>
      </c>
      <c r="N42" s="1"/>
      <c r="O42" s="1"/>
      <c r="P42" s="1"/>
      <c r="Q42" s="1"/>
      <c r="R42" s="1"/>
      <c r="S42" s="1"/>
      <c r="T42" s="1"/>
      <c r="U42" s="1"/>
    </row>
    <row r="43" ht="10.5" customHeight="1">
      <c r="A43" s="1"/>
      <c r="B43" s="85" t="s">
        <v>149</v>
      </c>
      <c r="C43" s="280">
        <v>883826.0</v>
      </c>
      <c r="D43" s="217">
        <v>153343.0</v>
      </c>
      <c r="E43" s="217">
        <v>5700.0</v>
      </c>
      <c r="F43" s="217">
        <v>410249.0</v>
      </c>
      <c r="G43" s="252">
        <v>8658.44</v>
      </c>
      <c r="H43" s="33">
        <v>267436.0</v>
      </c>
      <c r="I43" s="289">
        <v>1137.49</v>
      </c>
      <c r="J43" s="169">
        <v>2960.0</v>
      </c>
      <c r="K43" s="169">
        <v>7936.0</v>
      </c>
      <c r="L43" s="169">
        <v>4840801.0</v>
      </c>
      <c r="M43" s="169">
        <f t="shared" si="7"/>
        <v>4848737</v>
      </c>
      <c r="N43" s="1"/>
      <c r="O43" s="1"/>
      <c r="P43" s="1"/>
      <c r="Q43" s="1"/>
      <c r="R43" s="1"/>
      <c r="S43" s="1"/>
      <c r="T43" s="1"/>
      <c r="U43" s="1"/>
    </row>
    <row r="44" ht="10.5" customHeight="1">
      <c r="A44" s="1"/>
      <c r="B44" s="85" t="s">
        <v>151</v>
      </c>
      <c r="C44" s="280">
        <v>799524.0</v>
      </c>
      <c r="D44" s="217">
        <v>158718.0</v>
      </c>
      <c r="E44" s="217">
        <v>5817.0</v>
      </c>
      <c r="F44" s="217">
        <v>346296.0</v>
      </c>
      <c r="G44" s="252">
        <v>10136.25</v>
      </c>
      <c r="H44" s="33">
        <v>239765.0</v>
      </c>
      <c r="I44" s="289">
        <v>1140.56</v>
      </c>
      <c r="J44" s="169">
        <v>3160.0</v>
      </c>
      <c r="K44" s="169">
        <v>16119.0</v>
      </c>
      <c r="L44" s="169">
        <v>4823434.0</v>
      </c>
      <c r="M44" s="169">
        <f t="shared" si="7"/>
        <v>4839553</v>
      </c>
      <c r="N44" s="1"/>
      <c r="O44" s="1"/>
      <c r="P44" s="1"/>
      <c r="Q44" s="1"/>
      <c r="R44" s="1"/>
      <c r="S44" s="1"/>
      <c r="T44" s="1"/>
      <c r="U44" s="1"/>
    </row>
    <row r="45" ht="10.5" customHeight="1">
      <c r="A45" s="1"/>
      <c r="B45" s="85" t="s">
        <v>153</v>
      </c>
      <c r="C45" s="280">
        <v>914037.0</v>
      </c>
      <c r="D45" s="217">
        <v>161457.0</v>
      </c>
      <c r="E45" s="217">
        <v>5939.0</v>
      </c>
      <c r="F45" s="217">
        <v>403632.0</v>
      </c>
      <c r="G45" s="252">
        <v>10674.84</v>
      </c>
      <c r="H45" s="33">
        <v>293724.0</v>
      </c>
      <c r="I45" s="289">
        <v>1141.9</v>
      </c>
      <c r="J45" s="169">
        <v>2750.0</v>
      </c>
      <c r="K45" s="169">
        <v>14482.0</v>
      </c>
      <c r="L45" s="169">
        <v>5724084.0</v>
      </c>
      <c r="M45" s="169">
        <v>5738566.0</v>
      </c>
      <c r="N45" s="1"/>
      <c r="O45" s="1"/>
      <c r="P45" s="1"/>
      <c r="Q45" s="1"/>
      <c r="R45" s="1"/>
      <c r="S45" s="1"/>
      <c r="T45" s="1"/>
      <c r="U45" s="1"/>
    </row>
    <row r="46" ht="10.5" customHeight="1">
      <c r="A46" s="1"/>
      <c r="B46" s="85"/>
      <c r="C46" s="280"/>
      <c r="D46" s="217"/>
      <c r="E46" s="217"/>
      <c r="F46" s="217"/>
      <c r="G46" s="252"/>
      <c r="H46" s="33"/>
      <c r="I46" s="289"/>
      <c r="J46" s="169"/>
      <c r="K46" s="169"/>
      <c r="L46" s="169"/>
      <c r="M46" s="169"/>
      <c r="N46" s="1"/>
      <c r="O46" s="1"/>
      <c r="P46" s="1"/>
      <c r="Q46" s="1"/>
      <c r="R46" s="1"/>
      <c r="S46" s="1"/>
      <c r="T46" s="1"/>
      <c r="U46" s="1"/>
    </row>
    <row r="47" ht="10.5" customHeight="1">
      <c r="A47" s="1"/>
      <c r="B47" s="85" t="s">
        <v>155</v>
      </c>
      <c r="C47" s="280">
        <v>900611.0</v>
      </c>
      <c r="D47" s="217">
        <v>159665.0</v>
      </c>
      <c r="E47" s="217">
        <v>6536.0</v>
      </c>
      <c r="F47" s="217">
        <v>423805.0</v>
      </c>
      <c r="G47" s="252">
        <v>10785.94</v>
      </c>
      <c r="H47" s="33">
        <v>265050.0</v>
      </c>
      <c r="I47" s="289">
        <v>1430.59</v>
      </c>
      <c r="J47" s="169">
        <v>200.0</v>
      </c>
      <c r="K47" s="169">
        <v>1053.0</v>
      </c>
      <c r="L47" s="169">
        <v>6125618.0</v>
      </c>
      <c r="M47" s="169">
        <v>6126672.0</v>
      </c>
      <c r="N47" s="1"/>
      <c r="O47" s="1"/>
      <c r="P47" s="1"/>
      <c r="Q47" s="1"/>
      <c r="R47" s="1"/>
      <c r="S47" s="1"/>
      <c r="T47" s="1"/>
      <c r="U47" s="1"/>
    </row>
    <row r="48" ht="10.5" customHeight="1">
      <c r="A48" s="1"/>
      <c r="B48" s="96" t="s">
        <v>572</v>
      </c>
      <c r="C48" s="303">
        <v>952695.0</v>
      </c>
      <c r="D48" s="241">
        <v>158211.0</v>
      </c>
      <c r="E48" s="241">
        <v>6534.0</v>
      </c>
      <c r="F48" s="241">
        <v>424377.0</v>
      </c>
      <c r="G48" s="263">
        <v>9220.37</v>
      </c>
      <c r="H48" s="57">
        <v>318448.0</v>
      </c>
      <c r="I48" s="290">
        <v>1327.23</v>
      </c>
      <c r="J48" s="260">
        <v>240.0</v>
      </c>
      <c r="K48" s="260">
        <v>1522.0</v>
      </c>
      <c r="L48" s="260">
        <v>5499778.0</v>
      </c>
      <c r="M48" s="260">
        <v>5501300.0</v>
      </c>
      <c r="N48" s="1"/>
      <c r="O48" s="1"/>
      <c r="P48" s="1"/>
      <c r="Q48" s="1"/>
      <c r="R48" s="1"/>
      <c r="S48" s="1"/>
      <c r="T48" s="1"/>
      <c r="U48" s="1"/>
    </row>
    <row r="49" ht="6.0" customHeight="1">
      <c r="A49" s="1"/>
      <c r="B49" s="291"/>
      <c r="C49" s="244"/>
      <c r="D49" s="244"/>
      <c r="E49" s="244"/>
      <c r="F49" s="244"/>
      <c r="G49" s="270"/>
      <c r="H49" s="306"/>
      <c r="I49" s="292"/>
      <c r="J49" s="267"/>
      <c r="K49" s="267"/>
      <c r="L49" s="267"/>
      <c r="M49" s="267"/>
      <c r="N49" s="1"/>
      <c r="O49" s="1"/>
      <c r="P49" s="1"/>
      <c r="Q49" s="1"/>
      <c r="R49" s="1"/>
      <c r="S49" s="1"/>
      <c r="T49" s="1"/>
      <c r="U49" s="1"/>
    </row>
    <row r="50" ht="10.5" customHeight="1">
      <c r="A50" s="1"/>
      <c r="B50" s="185" t="s">
        <v>581</v>
      </c>
      <c r="C50" s="185"/>
      <c r="D50" s="185"/>
      <c r="E50" s="185"/>
      <c r="F50" s="185"/>
      <c r="G50" s="185"/>
      <c r="H50" s="185"/>
      <c r="I50" s="1"/>
      <c r="J50" s="1"/>
      <c r="K50" s="1"/>
      <c r="L50" s="1"/>
      <c r="M50" s="1"/>
      <c r="N50" s="1"/>
      <c r="O50" s="1"/>
      <c r="P50" s="1"/>
      <c r="Q50" s="1"/>
      <c r="R50" s="1"/>
      <c r="S50" s="1"/>
      <c r="T50" s="1"/>
      <c r="U50" s="1"/>
    </row>
    <row r="51" ht="10.5" customHeight="1">
      <c r="A51" s="1"/>
      <c r="B51" s="185" t="s">
        <v>586</v>
      </c>
      <c r="C51" s="185"/>
      <c r="D51" s="185"/>
      <c r="E51" s="185"/>
      <c r="F51" s="185"/>
      <c r="G51" s="185"/>
      <c r="H51" s="185"/>
      <c r="I51" s="1"/>
      <c r="J51" s="1"/>
      <c r="K51" s="1"/>
      <c r="L51" s="1"/>
      <c r="M51" s="1"/>
      <c r="N51" s="1"/>
      <c r="O51" s="1"/>
      <c r="P51" s="1"/>
      <c r="Q51" s="1"/>
      <c r="R51" s="1"/>
      <c r="S51" s="1"/>
      <c r="T51" s="1"/>
      <c r="U51" s="1"/>
    </row>
    <row r="52" ht="10.5" customHeight="1">
      <c r="A52" s="1"/>
      <c r="B52" s="185" t="s">
        <v>587</v>
      </c>
      <c r="C52" s="185"/>
      <c r="D52" s="185"/>
      <c r="E52" s="185"/>
      <c r="F52" s="185"/>
      <c r="G52" s="185"/>
      <c r="H52" s="185"/>
      <c r="I52" s="1"/>
      <c r="J52" s="1"/>
      <c r="K52" s="1"/>
      <c r="L52" s="1"/>
      <c r="M52" s="1"/>
      <c r="N52" s="1"/>
      <c r="O52" s="1"/>
      <c r="P52" s="1"/>
      <c r="Q52" s="1"/>
      <c r="R52" s="1"/>
      <c r="S52" s="1"/>
      <c r="T52" s="1"/>
      <c r="U52" s="1"/>
    </row>
    <row r="53" ht="10.5" customHeight="1">
      <c r="A53" s="1"/>
      <c r="B53" s="185" t="s">
        <v>590</v>
      </c>
      <c r="C53" s="185"/>
      <c r="D53" s="185"/>
      <c r="E53" s="185"/>
      <c r="F53" s="185"/>
      <c r="G53" s="185"/>
      <c r="H53" s="185"/>
      <c r="I53" s="1"/>
      <c r="J53" s="1"/>
      <c r="K53" s="1"/>
      <c r="L53" s="1"/>
      <c r="M53" s="1"/>
      <c r="N53" s="1"/>
      <c r="O53" s="1"/>
      <c r="P53" s="1"/>
      <c r="Q53" s="1"/>
      <c r="R53" s="1"/>
      <c r="S53" s="1"/>
      <c r="T53" s="1"/>
      <c r="U53" s="1"/>
    </row>
    <row r="54" ht="10.5" customHeight="1">
      <c r="A54" s="1"/>
      <c r="B54" s="185" t="s">
        <v>591</v>
      </c>
      <c r="C54" s="185"/>
      <c r="D54" s="185"/>
      <c r="E54" s="185"/>
      <c r="F54" s="185"/>
      <c r="G54" s="185"/>
      <c r="H54" s="185"/>
      <c r="I54" s="1"/>
      <c r="J54" s="1"/>
      <c r="K54" s="1"/>
      <c r="L54" s="1"/>
      <c r="M54" s="1"/>
      <c r="N54" s="1"/>
      <c r="O54" s="1"/>
      <c r="P54" s="1"/>
      <c r="Q54" s="1"/>
      <c r="R54" s="1"/>
      <c r="S54" s="1"/>
      <c r="T54" s="1"/>
      <c r="U54" s="1"/>
    </row>
    <row r="55" ht="10.5" customHeight="1">
      <c r="A55" s="1"/>
      <c r="B55" s="311" t="s">
        <v>592</v>
      </c>
      <c r="I55" s="1"/>
      <c r="J55" s="1"/>
      <c r="K55" s="1"/>
      <c r="L55" s="1"/>
      <c r="M55" s="1"/>
      <c r="N55" s="1"/>
      <c r="O55" s="1"/>
      <c r="P55" s="1"/>
      <c r="Q55" s="1"/>
      <c r="R55" s="1"/>
      <c r="S55" s="1"/>
      <c r="T55" s="1"/>
      <c r="U55" s="1"/>
    </row>
    <row r="56" ht="10.5" customHeight="1">
      <c r="A56" s="1"/>
      <c r="B56" s="311" t="s">
        <v>594</v>
      </c>
      <c r="C56" s="311"/>
      <c r="D56" s="311"/>
      <c r="E56" s="311"/>
      <c r="F56" s="311"/>
      <c r="G56" s="311"/>
      <c r="H56" s="311"/>
      <c r="I56" s="1"/>
      <c r="J56" s="1"/>
      <c r="K56" s="1"/>
      <c r="L56" s="1"/>
      <c r="M56" s="1"/>
      <c r="N56" s="1"/>
      <c r="O56" s="1"/>
      <c r="P56" s="1"/>
      <c r="Q56" s="1"/>
      <c r="R56" s="1"/>
      <c r="S56" s="1"/>
      <c r="T56" s="1"/>
      <c r="U56" s="1"/>
    </row>
    <row r="57" ht="10.5" customHeight="1">
      <c r="A57" s="1"/>
      <c r="B57" s="311" t="s">
        <v>595</v>
      </c>
      <c r="C57" s="311"/>
      <c r="D57" s="311"/>
      <c r="E57" s="311"/>
      <c r="F57" s="311"/>
      <c r="G57" s="311"/>
      <c r="H57" s="311"/>
      <c r="I57" s="1"/>
      <c r="J57" s="1"/>
      <c r="K57" s="1"/>
      <c r="L57" s="1"/>
      <c r="M57" s="1"/>
      <c r="N57" s="1"/>
      <c r="O57" s="1"/>
      <c r="P57" s="1"/>
      <c r="Q57" s="1"/>
      <c r="R57" s="1"/>
      <c r="S57" s="1"/>
      <c r="T57" s="1"/>
      <c r="U57" s="1"/>
    </row>
    <row r="58" ht="10.5" customHeight="1">
      <c r="A58" s="1"/>
      <c r="B58" s="185" t="s">
        <v>596</v>
      </c>
      <c r="C58" s="311"/>
      <c r="D58" s="311"/>
      <c r="E58" s="311"/>
      <c r="F58" s="311"/>
      <c r="G58" s="311"/>
      <c r="H58" s="311"/>
      <c r="I58" s="1"/>
      <c r="J58" s="1"/>
      <c r="K58" s="1"/>
      <c r="L58" s="1"/>
      <c r="M58" s="1"/>
      <c r="N58" s="1"/>
      <c r="O58" s="1"/>
      <c r="P58" s="1"/>
      <c r="Q58" s="1"/>
      <c r="R58" s="1"/>
      <c r="S58" s="1"/>
      <c r="T58" s="1"/>
      <c r="U58" s="1"/>
    </row>
    <row r="59" ht="10.5" customHeight="1">
      <c r="A59" s="1"/>
      <c r="B59" s="186"/>
      <c r="C59" s="312"/>
      <c r="D59" s="312"/>
      <c r="E59" s="312"/>
      <c r="F59" s="312"/>
      <c r="G59" s="312"/>
      <c r="H59" s="312"/>
      <c r="I59" s="1"/>
      <c r="J59" s="1"/>
      <c r="K59" s="1"/>
      <c r="L59" s="1"/>
      <c r="M59" s="1"/>
      <c r="N59" s="1"/>
      <c r="O59" s="1"/>
      <c r="P59" s="1"/>
      <c r="Q59" s="1"/>
      <c r="R59" s="1"/>
      <c r="S59" s="1"/>
      <c r="T59" s="1"/>
      <c r="U59" s="1"/>
    </row>
    <row r="60" ht="10.5" customHeight="1">
      <c r="A60" s="1"/>
      <c r="B60" s="186"/>
      <c r="C60" s="312"/>
      <c r="D60" s="312"/>
      <c r="E60" s="312"/>
      <c r="F60" s="312"/>
      <c r="G60" s="312"/>
      <c r="H60" s="312"/>
      <c r="I60" s="1"/>
      <c r="J60" s="1"/>
      <c r="K60" s="1"/>
      <c r="L60" s="1"/>
      <c r="M60" s="1"/>
      <c r="N60" s="1"/>
      <c r="O60" s="1"/>
      <c r="P60" s="1"/>
      <c r="Q60" s="1"/>
      <c r="R60" s="1"/>
      <c r="S60" s="1"/>
      <c r="T60" s="1"/>
      <c r="U60" s="1"/>
    </row>
    <row r="61" ht="10.5" customHeight="1">
      <c r="A61" s="1"/>
      <c r="B61" s="186"/>
      <c r="C61" s="312"/>
      <c r="D61" s="312"/>
      <c r="E61" s="312"/>
      <c r="F61" s="312"/>
      <c r="G61" s="312"/>
      <c r="H61" s="312"/>
      <c r="I61" s="1"/>
      <c r="J61" s="1"/>
      <c r="K61" s="1"/>
      <c r="L61" s="1"/>
      <c r="M61" s="1"/>
      <c r="N61" s="1"/>
      <c r="O61" s="1"/>
      <c r="P61" s="1"/>
      <c r="Q61" s="1"/>
      <c r="R61" s="1"/>
      <c r="S61" s="1"/>
      <c r="T61" s="1"/>
      <c r="U61" s="1"/>
    </row>
    <row r="62" ht="10.5" customHeight="1">
      <c r="A62" s="1"/>
      <c r="B62" s="186"/>
      <c r="C62" s="312"/>
      <c r="D62" s="312"/>
      <c r="E62" s="312"/>
      <c r="F62" s="312"/>
      <c r="G62" s="312"/>
      <c r="H62" s="312"/>
      <c r="I62" s="1"/>
      <c r="J62" s="1"/>
      <c r="K62" s="1"/>
      <c r="L62" s="1"/>
      <c r="M62" s="1"/>
      <c r="N62" s="1"/>
      <c r="O62" s="1"/>
      <c r="P62" s="1"/>
      <c r="Q62" s="1"/>
      <c r="R62" s="1"/>
      <c r="S62" s="1"/>
      <c r="T62" s="1"/>
      <c r="U62" s="1"/>
    </row>
    <row r="63" ht="10.5" customHeight="1">
      <c r="A63" s="1"/>
      <c r="B63" s="1"/>
      <c r="C63" s="316"/>
      <c r="D63" s="316"/>
      <c r="E63" s="316"/>
      <c r="F63" s="316"/>
      <c r="G63" s="316"/>
      <c r="H63" s="316"/>
      <c r="I63" s="316"/>
      <c r="J63" s="316"/>
      <c r="K63" s="316"/>
      <c r="L63" s="316"/>
      <c r="M63" s="316"/>
      <c r="N63" s="1"/>
      <c r="O63" s="1"/>
      <c r="P63" s="1"/>
      <c r="Q63" s="1"/>
      <c r="R63" s="1"/>
      <c r="S63" s="1"/>
      <c r="T63" s="1"/>
      <c r="U63" s="1"/>
    </row>
    <row r="64" ht="11.25" customHeight="1">
      <c r="A64" s="1"/>
      <c r="B64" s="65" t="s">
        <v>597</v>
      </c>
      <c r="C64" s="1"/>
      <c r="D64" s="111"/>
      <c r="E64" s="1"/>
      <c r="F64" s="1"/>
      <c r="G64" s="1"/>
      <c r="H64" s="1"/>
      <c r="I64" s="1"/>
      <c r="J64" s="1"/>
      <c r="K64" s="1"/>
      <c r="L64" s="1"/>
      <c r="M64" s="1"/>
      <c r="N64" s="1"/>
      <c r="O64" s="1"/>
      <c r="P64" s="1"/>
      <c r="Q64" s="1"/>
      <c r="R64" s="1"/>
      <c r="S64" s="1"/>
      <c r="T64" s="1"/>
      <c r="U64" s="1"/>
    </row>
    <row r="65" ht="11.25" customHeight="1">
      <c r="A65" s="1"/>
      <c r="B65" s="29" t="s">
        <v>506</v>
      </c>
      <c r="C65" s="31" t="s">
        <v>508</v>
      </c>
      <c r="D65" s="128" t="s">
        <v>598</v>
      </c>
      <c r="E65" s="10"/>
      <c r="F65" s="128" t="s">
        <v>243</v>
      </c>
      <c r="G65" s="10"/>
      <c r="H65" s="128" t="s">
        <v>510</v>
      </c>
      <c r="I65" s="10"/>
      <c r="J65" s="273" t="s">
        <v>600</v>
      </c>
      <c r="K65" s="128" t="s">
        <v>512</v>
      </c>
      <c r="L65" s="10"/>
      <c r="M65" s="31" t="s">
        <v>513</v>
      </c>
      <c r="N65" s="1"/>
      <c r="O65" s="1"/>
      <c r="P65" s="1"/>
      <c r="Q65" s="1"/>
      <c r="R65" s="1"/>
      <c r="S65" s="1"/>
      <c r="T65" s="1"/>
      <c r="U65" s="1"/>
    </row>
    <row r="66" ht="23.25" customHeight="1">
      <c r="A66" s="1"/>
      <c r="B66" s="5"/>
      <c r="C66" s="6"/>
      <c r="D66" s="190" t="s">
        <v>514</v>
      </c>
      <c r="E66" s="7" t="s">
        <v>515</v>
      </c>
      <c r="F66" s="7" t="s">
        <v>514</v>
      </c>
      <c r="G66" s="7" t="s">
        <v>516</v>
      </c>
      <c r="H66" s="7" t="s">
        <v>514</v>
      </c>
      <c r="I66" s="7" t="s">
        <v>515</v>
      </c>
      <c r="J66" s="7" t="s">
        <v>517</v>
      </c>
      <c r="K66" s="7" t="s">
        <v>602</v>
      </c>
      <c r="L66" s="7" t="s">
        <v>603</v>
      </c>
      <c r="M66" s="6"/>
      <c r="N66" s="1"/>
      <c r="O66" s="1"/>
      <c r="P66" s="1"/>
      <c r="Q66" s="1"/>
      <c r="R66" s="1"/>
      <c r="S66" s="1"/>
      <c r="T66" s="1"/>
      <c r="U66" s="1"/>
    </row>
    <row r="67" ht="11.25" customHeight="1">
      <c r="A67" s="1"/>
      <c r="B67" s="6"/>
      <c r="C67" s="8" t="s">
        <v>520</v>
      </c>
      <c r="D67" s="10"/>
      <c r="E67" s="134" t="s">
        <v>52</v>
      </c>
      <c r="F67" s="134" t="s">
        <v>520</v>
      </c>
      <c r="G67" s="134" t="s">
        <v>52</v>
      </c>
      <c r="H67" s="134" t="s">
        <v>520</v>
      </c>
      <c r="I67" s="134" t="s">
        <v>52</v>
      </c>
      <c r="J67" s="134" t="s">
        <v>520</v>
      </c>
      <c r="K67" s="8" t="s">
        <v>50</v>
      </c>
      <c r="L67" s="9"/>
      <c r="M67" s="10"/>
      <c r="N67" s="1"/>
      <c r="O67" s="1"/>
      <c r="P67" s="1"/>
      <c r="Q67" s="1"/>
      <c r="R67" s="1"/>
      <c r="S67" s="1"/>
      <c r="T67" s="1"/>
      <c r="U67" s="1"/>
    </row>
    <row r="68" ht="10.5" customHeight="1">
      <c r="A68" s="1"/>
      <c r="B68" s="48" t="s">
        <v>56</v>
      </c>
      <c r="C68" s="216">
        <v>38863.0</v>
      </c>
      <c r="D68" s="216">
        <v>2348.0</v>
      </c>
      <c r="E68" s="130">
        <v>257.0</v>
      </c>
      <c r="F68" s="130">
        <v>267.0</v>
      </c>
      <c r="G68" s="249">
        <v>864.66</v>
      </c>
      <c r="H68" s="136">
        <v>25133.0</v>
      </c>
      <c r="I68" s="66">
        <v>121.52</v>
      </c>
      <c r="J68" s="136">
        <v>10029.0</v>
      </c>
      <c r="K68" s="136">
        <v>3864.0</v>
      </c>
      <c r="L68" s="136">
        <v>4026.0</v>
      </c>
      <c r="M68" s="136">
        <f t="shared" ref="M68:M72" si="8">SUM(K68:L68)</f>
        <v>7890</v>
      </c>
      <c r="N68" s="1"/>
      <c r="O68" s="1"/>
      <c r="P68" s="1"/>
      <c r="Q68" s="1"/>
      <c r="R68" s="1"/>
      <c r="S68" s="1"/>
      <c r="T68" s="1"/>
      <c r="U68" s="1"/>
    </row>
    <row r="69" ht="10.5" customHeight="1">
      <c r="A69" s="1"/>
      <c r="B69" s="48" t="s">
        <v>81</v>
      </c>
      <c r="C69" s="216">
        <v>45842.0</v>
      </c>
      <c r="D69" s="216">
        <v>2850.0</v>
      </c>
      <c r="E69" s="130">
        <v>270.0</v>
      </c>
      <c r="F69" s="130">
        <v>309.0</v>
      </c>
      <c r="G69" s="249">
        <v>1148.89</v>
      </c>
      <c r="H69" s="136">
        <v>30475.0</v>
      </c>
      <c r="I69" s="66">
        <v>143.21</v>
      </c>
      <c r="J69" s="136">
        <v>10836.0</v>
      </c>
      <c r="K69" s="136">
        <v>4973.0</v>
      </c>
      <c r="L69" s="136">
        <v>5682.0</v>
      </c>
      <c r="M69" s="136">
        <f t="shared" si="8"/>
        <v>10655</v>
      </c>
      <c r="N69" s="1"/>
      <c r="O69" s="1"/>
      <c r="P69" s="1"/>
      <c r="Q69" s="1"/>
      <c r="R69" s="1"/>
      <c r="S69" s="1"/>
      <c r="T69" s="1"/>
      <c r="U69" s="1"/>
    </row>
    <row r="70" ht="10.5" customHeight="1">
      <c r="A70" s="1"/>
      <c r="B70" s="48" t="s">
        <v>86</v>
      </c>
      <c r="C70" s="216">
        <v>34944.0</v>
      </c>
      <c r="D70" s="216">
        <v>2971.0</v>
      </c>
      <c r="E70" s="130">
        <v>280.0</v>
      </c>
      <c r="F70" s="130">
        <v>281.0</v>
      </c>
      <c r="G70" s="249">
        <v>1148.51</v>
      </c>
      <c r="H70" s="136">
        <v>18482.0</v>
      </c>
      <c r="I70" s="66">
        <v>131.67</v>
      </c>
      <c r="J70" s="136">
        <v>11938.0</v>
      </c>
      <c r="K70" s="136">
        <v>5321.0</v>
      </c>
      <c r="L70" s="136">
        <v>3767.0</v>
      </c>
      <c r="M70" s="136">
        <f t="shared" si="8"/>
        <v>9088</v>
      </c>
      <c r="N70" s="1"/>
      <c r="O70" s="1"/>
      <c r="P70" s="1"/>
      <c r="Q70" s="1"/>
      <c r="R70" s="1"/>
      <c r="S70" s="1"/>
      <c r="T70" s="1"/>
      <c r="U70" s="1"/>
    </row>
    <row r="71" ht="10.5" customHeight="1">
      <c r="A71" s="1"/>
      <c r="B71" s="48" t="s">
        <v>87</v>
      </c>
      <c r="C71" s="216">
        <v>46169.0</v>
      </c>
      <c r="D71" s="216">
        <v>2178.0</v>
      </c>
      <c r="E71" s="130">
        <v>394.0</v>
      </c>
      <c r="F71" s="130">
        <v>399.0</v>
      </c>
      <c r="G71" s="249">
        <v>1191.73</v>
      </c>
      <c r="H71" s="136">
        <v>30570.0</v>
      </c>
      <c r="I71" s="66">
        <v>152.27</v>
      </c>
      <c r="J71" s="136">
        <v>12090.0</v>
      </c>
      <c r="K71" s="136">
        <v>5892.0</v>
      </c>
      <c r="L71" s="136">
        <v>6173.0</v>
      </c>
      <c r="M71" s="136">
        <f t="shared" si="8"/>
        <v>12065</v>
      </c>
      <c r="N71" s="1"/>
      <c r="O71" s="1"/>
      <c r="P71" s="1"/>
      <c r="Q71" s="1"/>
      <c r="R71" s="1"/>
      <c r="S71" s="1"/>
      <c r="T71" s="1"/>
      <c r="U71" s="1"/>
    </row>
    <row r="72" ht="10.5" customHeight="1">
      <c r="A72" s="1"/>
      <c r="B72" s="48" t="s">
        <v>90</v>
      </c>
      <c r="C72" s="216">
        <v>28545.0</v>
      </c>
      <c r="D72" s="216">
        <v>2233.0</v>
      </c>
      <c r="E72" s="130">
        <v>504.0</v>
      </c>
      <c r="F72" s="130">
        <v>170.0</v>
      </c>
      <c r="G72" s="249">
        <v>2110.64</v>
      </c>
      <c r="H72" s="136">
        <v>18956.0</v>
      </c>
      <c r="I72" s="66">
        <v>212.51</v>
      </c>
      <c r="J72" s="136">
        <v>6230.0</v>
      </c>
      <c r="K72" s="136">
        <v>5470.0</v>
      </c>
      <c r="L72" s="136">
        <v>5754.0</v>
      </c>
      <c r="M72" s="136">
        <f t="shared" si="8"/>
        <v>11224</v>
      </c>
      <c r="N72" s="1"/>
      <c r="O72" s="1"/>
      <c r="P72" s="1"/>
      <c r="Q72" s="1"/>
      <c r="R72" s="1"/>
      <c r="S72" s="1"/>
      <c r="T72" s="1"/>
      <c r="U72" s="1"/>
    </row>
    <row r="73" ht="10.5" customHeight="1">
      <c r="A73" s="1"/>
      <c r="B73" s="48"/>
      <c r="C73" s="216"/>
      <c r="D73" s="216"/>
      <c r="E73" s="130"/>
      <c r="F73" s="130"/>
      <c r="G73" s="249"/>
      <c r="H73" s="136"/>
      <c r="I73" s="66"/>
      <c r="J73" s="136"/>
      <c r="K73" s="136"/>
      <c r="L73" s="136"/>
      <c r="M73" s="136"/>
      <c r="N73" s="1"/>
      <c r="O73" s="1"/>
      <c r="P73" s="1"/>
      <c r="Q73" s="1"/>
      <c r="R73" s="1"/>
      <c r="S73" s="1"/>
      <c r="T73" s="1"/>
      <c r="U73" s="1"/>
    </row>
    <row r="74" ht="10.5" customHeight="1">
      <c r="A74" s="1"/>
      <c r="B74" s="48" t="s">
        <v>93</v>
      </c>
      <c r="C74" s="216">
        <v>41304.0</v>
      </c>
      <c r="D74" s="216">
        <v>2481.0</v>
      </c>
      <c r="E74" s="130">
        <v>457.0</v>
      </c>
      <c r="F74" s="130">
        <v>301.0</v>
      </c>
      <c r="G74" s="249">
        <v>2642.42</v>
      </c>
      <c r="H74" s="136">
        <v>26205.0</v>
      </c>
      <c r="I74" s="66">
        <v>163.34</v>
      </c>
      <c r="J74" s="136">
        <v>11255.0</v>
      </c>
      <c r="K74" s="136">
        <v>9219.0</v>
      </c>
      <c r="L74" s="136">
        <v>6451.0</v>
      </c>
      <c r="M74" s="136">
        <f t="shared" ref="M74:M78" si="9">SUM(K74:L74)</f>
        <v>15670</v>
      </c>
      <c r="N74" s="1"/>
      <c r="O74" s="1"/>
      <c r="P74" s="1"/>
      <c r="Q74" s="1"/>
      <c r="R74" s="1"/>
      <c r="S74" s="1"/>
      <c r="T74" s="1"/>
      <c r="U74" s="1"/>
    </row>
    <row r="75" ht="10.5" customHeight="1">
      <c r="A75" s="1"/>
      <c r="B75" s="48" t="s">
        <v>97</v>
      </c>
      <c r="C75" s="216">
        <v>65988.0</v>
      </c>
      <c r="D75" s="216">
        <v>1965.0</v>
      </c>
      <c r="E75" s="130">
        <v>561.0</v>
      </c>
      <c r="F75" s="130">
        <v>625.0</v>
      </c>
      <c r="G75" s="249">
        <v>1803.16</v>
      </c>
      <c r="H75" s="136">
        <v>48000.0</v>
      </c>
      <c r="I75" s="66">
        <v>267.13</v>
      </c>
      <c r="J75" s="136">
        <v>14557.0</v>
      </c>
      <c r="K75" s="136">
        <v>9594.0</v>
      </c>
      <c r="L75" s="136">
        <v>15288.0</v>
      </c>
      <c r="M75" s="136">
        <f t="shared" si="9"/>
        <v>24882</v>
      </c>
      <c r="N75" s="1"/>
      <c r="O75" s="1"/>
      <c r="P75" s="1"/>
      <c r="Q75" s="1"/>
      <c r="R75" s="1"/>
      <c r="S75" s="1"/>
      <c r="T75" s="1"/>
      <c r="U75" s="1"/>
    </row>
    <row r="76" ht="10.5" customHeight="1">
      <c r="A76" s="1"/>
      <c r="B76" s="48" t="s">
        <v>101</v>
      </c>
      <c r="C76" s="216">
        <v>56390.0</v>
      </c>
      <c r="D76" s="216">
        <v>2298.0</v>
      </c>
      <c r="E76" s="130">
        <v>680.0</v>
      </c>
      <c r="F76" s="130">
        <v>482.0</v>
      </c>
      <c r="G76" s="249">
        <v>2683.92</v>
      </c>
      <c r="H76" s="136">
        <v>42412.0</v>
      </c>
      <c r="I76" s="66">
        <v>313.1</v>
      </c>
      <c r="J76" s="136">
        <v>10214.0</v>
      </c>
      <c r="K76" s="136">
        <v>7490.0</v>
      </c>
      <c r="L76" s="136">
        <v>16470.0</v>
      </c>
      <c r="M76" s="136">
        <f t="shared" si="9"/>
        <v>23960</v>
      </c>
      <c r="N76" s="1"/>
      <c r="O76" s="1"/>
      <c r="P76" s="1"/>
      <c r="Q76" s="1"/>
      <c r="R76" s="1"/>
      <c r="S76" s="1"/>
      <c r="T76" s="1"/>
      <c r="U76" s="1"/>
    </row>
    <row r="77" ht="10.5" customHeight="1">
      <c r="A77" s="1"/>
      <c r="B77" s="48" t="s">
        <v>103</v>
      </c>
      <c r="C77" s="216">
        <v>57584.0</v>
      </c>
      <c r="D77" s="216">
        <v>2828.0</v>
      </c>
      <c r="E77" s="130">
        <v>678.0</v>
      </c>
      <c r="F77" s="130">
        <v>686.0</v>
      </c>
      <c r="G77" s="249">
        <v>3371.15</v>
      </c>
      <c r="H77" s="136">
        <v>42640.0</v>
      </c>
      <c r="I77" s="66">
        <v>341.1</v>
      </c>
      <c r="J77" s="136">
        <v>10220.0</v>
      </c>
      <c r="K77" s="136">
        <v>7680.0</v>
      </c>
      <c r="L77" s="136">
        <v>19184.0</v>
      </c>
      <c r="M77" s="136">
        <f t="shared" si="9"/>
        <v>26864</v>
      </c>
      <c r="N77" s="1"/>
      <c r="O77" s="1"/>
      <c r="P77" s="1"/>
      <c r="Q77" s="1"/>
      <c r="R77" s="1"/>
      <c r="S77" s="1"/>
      <c r="T77" s="1"/>
      <c r="U77" s="1"/>
    </row>
    <row r="78" ht="10.5" customHeight="1">
      <c r="A78" s="1"/>
      <c r="B78" s="48" t="s">
        <v>104</v>
      </c>
      <c r="C78" s="216">
        <v>55702.0</v>
      </c>
      <c r="D78" s="216">
        <v>3413.0</v>
      </c>
      <c r="E78" s="130">
        <v>880.0</v>
      </c>
      <c r="F78" s="130">
        <v>1090.0</v>
      </c>
      <c r="G78" s="249">
        <v>3739.69</v>
      </c>
      <c r="H78" s="136">
        <v>35794.0</v>
      </c>
      <c r="I78" s="66">
        <v>419.01</v>
      </c>
      <c r="J78" s="136">
        <v>13944.0</v>
      </c>
      <c r="K78" s="136">
        <v>12173.0</v>
      </c>
      <c r="L78" s="136">
        <v>22721.0</v>
      </c>
      <c r="M78" s="136">
        <f t="shared" si="9"/>
        <v>34894</v>
      </c>
      <c r="N78" s="1"/>
      <c r="O78" s="1"/>
      <c r="P78" s="1"/>
      <c r="Q78" s="1"/>
      <c r="R78" s="1"/>
      <c r="S78" s="1"/>
      <c r="T78" s="1"/>
      <c r="U78" s="1"/>
    </row>
    <row r="79" ht="10.5" customHeight="1">
      <c r="A79" s="1"/>
      <c r="B79" s="48"/>
      <c r="C79" s="216"/>
      <c r="D79" s="216"/>
      <c r="E79" s="130"/>
      <c r="F79" s="130"/>
      <c r="G79" s="249"/>
      <c r="H79" s="136"/>
      <c r="I79" s="66"/>
      <c r="J79" s="136"/>
      <c r="K79" s="136"/>
      <c r="L79" s="136"/>
      <c r="M79" s="136"/>
      <c r="N79" s="1"/>
      <c r="O79" s="1"/>
      <c r="P79" s="1"/>
      <c r="Q79" s="1"/>
      <c r="R79" s="1"/>
      <c r="S79" s="1"/>
      <c r="T79" s="1"/>
      <c r="U79" s="1"/>
    </row>
    <row r="80" ht="10.5" customHeight="1">
      <c r="A80" s="1"/>
      <c r="B80" s="48" t="s">
        <v>108</v>
      </c>
      <c r="C80" s="216">
        <v>48469.0</v>
      </c>
      <c r="D80" s="216">
        <v>3471.0</v>
      </c>
      <c r="E80" s="130">
        <v>884.0</v>
      </c>
      <c r="F80" s="130">
        <v>1722.0</v>
      </c>
      <c r="G80" s="249">
        <v>3990.32</v>
      </c>
      <c r="H80" s="136">
        <v>34803.0</v>
      </c>
      <c r="I80" s="66">
        <v>287.63</v>
      </c>
      <c r="J80" s="136">
        <v>6987.0</v>
      </c>
      <c r="K80" s="136">
        <v>9115.0</v>
      </c>
      <c r="L80" s="136">
        <v>20604.0</v>
      </c>
      <c r="M80" s="136">
        <f t="shared" ref="M80:M84" si="10">SUM(K80:L80)</f>
        <v>29719</v>
      </c>
      <c r="N80" s="1"/>
      <c r="O80" s="1"/>
      <c r="P80" s="1"/>
      <c r="Q80" s="1"/>
      <c r="R80" s="1"/>
      <c r="S80" s="1"/>
      <c r="T80" s="1"/>
      <c r="U80" s="1"/>
    </row>
    <row r="81" ht="10.5" customHeight="1">
      <c r="A81" s="1"/>
      <c r="B81" s="48" t="s">
        <v>111</v>
      </c>
      <c r="C81" s="216">
        <v>56346.0</v>
      </c>
      <c r="D81" s="216">
        <v>3291.0</v>
      </c>
      <c r="E81" s="130">
        <v>981.0</v>
      </c>
      <c r="F81" s="130">
        <v>2512.0</v>
      </c>
      <c r="G81" s="249">
        <v>3078.48</v>
      </c>
      <c r="H81" s="136">
        <v>42726.0</v>
      </c>
      <c r="I81" s="66">
        <v>451.0</v>
      </c>
      <c r="J81" s="136">
        <v>6409.0</v>
      </c>
      <c r="K81" s="136">
        <v>9671.0</v>
      </c>
      <c r="L81" s="136">
        <v>30921.0</v>
      </c>
      <c r="M81" s="136">
        <f t="shared" si="10"/>
        <v>40592</v>
      </c>
      <c r="N81" s="1"/>
      <c r="O81" s="1"/>
      <c r="P81" s="1"/>
      <c r="Q81" s="1"/>
      <c r="R81" s="1"/>
      <c r="S81" s="1"/>
      <c r="T81" s="1"/>
      <c r="U81" s="1"/>
    </row>
    <row r="82" ht="10.5" customHeight="1">
      <c r="A82" s="1"/>
      <c r="B82" s="48" t="s">
        <v>112</v>
      </c>
      <c r="C82" s="216">
        <v>56676.0</v>
      </c>
      <c r="D82" s="216">
        <v>3634.0</v>
      </c>
      <c r="E82" s="130">
        <v>1084.0</v>
      </c>
      <c r="F82" s="130">
        <v>1809.0</v>
      </c>
      <c r="G82" s="249">
        <v>4274.52</v>
      </c>
      <c r="H82" s="136">
        <v>39058.0</v>
      </c>
      <c r="I82" s="66">
        <v>468.67</v>
      </c>
      <c r="J82" s="136">
        <v>10620.0</v>
      </c>
      <c r="K82" s="136">
        <v>21227.0</v>
      </c>
      <c r="L82" s="136">
        <v>30822.0</v>
      </c>
      <c r="M82" s="136">
        <f t="shared" si="10"/>
        <v>52049</v>
      </c>
      <c r="N82" s="1"/>
      <c r="O82" s="1"/>
      <c r="P82" s="1"/>
      <c r="Q82" s="1"/>
      <c r="R82" s="1"/>
      <c r="S82" s="1"/>
      <c r="T82" s="1"/>
      <c r="U82" s="1"/>
    </row>
    <row r="83" ht="10.5" customHeight="1">
      <c r="A83" s="1"/>
      <c r="B83" s="48" t="s">
        <v>113</v>
      </c>
      <c r="C83" s="216">
        <v>54232.0</v>
      </c>
      <c r="D83" s="216">
        <v>4591.0</v>
      </c>
      <c r="E83" s="130">
        <v>946.0</v>
      </c>
      <c r="F83" s="130">
        <v>2584.0</v>
      </c>
      <c r="G83" s="249">
        <v>2693.08</v>
      </c>
      <c r="H83" s="136">
        <v>36203.0</v>
      </c>
      <c r="I83" s="66">
        <v>371.74</v>
      </c>
      <c r="J83" s="136">
        <v>8888.0</v>
      </c>
      <c r="K83" s="136">
        <v>14423.0</v>
      </c>
      <c r="L83" s="136">
        <v>25689.0</v>
      </c>
      <c r="M83" s="136">
        <f t="shared" si="10"/>
        <v>40112</v>
      </c>
      <c r="N83" s="1"/>
      <c r="O83" s="1"/>
      <c r="P83" s="1"/>
      <c r="Q83" s="1"/>
      <c r="R83" s="1"/>
      <c r="S83" s="1"/>
      <c r="T83" s="1"/>
      <c r="U83" s="1"/>
    </row>
    <row r="84" ht="10.5" customHeight="1">
      <c r="A84" s="342">
        <v>35.0</v>
      </c>
      <c r="B84" s="48" t="s">
        <v>114</v>
      </c>
      <c r="C84" s="216">
        <v>58187.0</v>
      </c>
      <c r="D84" s="216">
        <v>4038.0</v>
      </c>
      <c r="E84" s="130">
        <v>1261.0</v>
      </c>
      <c r="F84" s="130">
        <v>2340.0</v>
      </c>
      <c r="G84" s="249">
        <v>4325.72</v>
      </c>
      <c r="H84" s="136">
        <v>40037.0</v>
      </c>
      <c r="I84" s="66">
        <v>424.65</v>
      </c>
      <c r="J84" s="136">
        <v>10044.0</v>
      </c>
      <c r="K84" s="136">
        <v>20148.0</v>
      </c>
      <c r="L84" s="136">
        <v>33303.0</v>
      </c>
      <c r="M84" s="136">
        <f t="shared" si="10"/>
        <v>53451</v>
      </c>
      <c r="N84" s="1"/>
      <c r="O84" s="1"/>
      <c r="P84" s="1"/>
      <c r="Q84" s="1"/>
      <c r="R84" s="1"/>
      <c r="S84" s="1"/>
      <c r="T84" s="1"/>
      <c r="U84" s="1"/>
    </row>
    <row r="85" ht="10.5" customHeight="1">
      <c r="A85" s="87"/>
      <c r="B85" s="48"/>
      <c r="C85" s="216"/>
      <c r="D85" s="216"/>
      <c r="E85" s="130"/>
      <c r="F85" s="130"/>
      <c r="G85" s="249"/>
      <c r="H85" s="136"/>
      <c r="I85" s="66"/>
      <c r="J85" s="136"/>
      <c r="K85" s="136"/>
      <c r="L85" s="136"/>
      <c r="M85" s="136"/>
      <c r="N85" s="1"/>
      <c r="O85" s="1"/>
      <c r="P85" s="1"/>
      <c r="Q85" s="1"/>
      <c r="R85" s="1"/>
      <c r="S85" s="1"/>
      <c r="T85" s="1"/>
      <c r="U85" s="1"/>
    </row>
    <row r="86" ht="10.5" customHeight="1">
      <c r="A86" s="1"/>
      <c r="B86" s="48" t="s">
        <v>115</v>
      </c>
      <c r="C86" s="216">
        <v>67570.0</v>
      </c>
      <c r="D86" s="216">
        <v>4208.0</v>
      </c>
      <c r="E86" s="130">
        <v>1317.0</v>
      </c>
      <c r="F86" s="130">
        <v>1939.0</v>
      </c>
      <c r="G86" s="249">
        <v>6758.19</v>
      </c>
      <c r="H86" s="136">
        <v>53568.0</v>
      </c>
      <c r="I86" s="66">
        <v>494.26</v>
      </c>
      <c r="J86" s="136">
        <v>6053.0</v>
      </c>
      <c r="K86" s="136">
        <v>12837.0</v>
      </c>
      <c r="L86" s="136">
        <v>46306.0</v>
      </c>
      <c r="M86" s="136">
        <f t="shared" ref="M86:M90" si="11">SUM(K86:L86)</f>
        <v>59143</v>
      </c>
      <c r="N86" s="1"/>
      <c r="O86" s="1"/>
      <c r="P86" s="1"/>
      <c r="Q86" s="1"/>
      <c r="R86" s="1"/>
      <c r="S86" s="1"/>
      <c r="T86" s="1"/>
      <c r="U86" s="1"/>
    </row>
    <row r="87" ht="10.5" customHeight="1">
      <c r="A87" s="1"/>
      <c r="B87" s="48" t="s">
        <v>117</v>
      </c>
      <c r="C87" s="216">
        <v>95930.0</v>
      </c>
      <c r="D87" s="216">
        <v>3104.0</v>
      </c>
      <c r="E87" s="130">
        <v>1548.0</v>
      </c>
      <c r="F87" s="130">
        <v>2541.0</v>
      </c>
      <c r="G87" s="249">
        <v>5459.54</v>
      </c>
      <c r="H87" s="136">
        <v>80670.0</v>
      </c>
      <c r="I87" s="66">
        <v>590.67</v>
      </c>
      <c r="J87" s="136">
        <v>8287.0</v>
      </c>
      <c r="K87" s="136">
        <v>14399.0</v>
      </c>
      <c r="L87" s="136">
        <v>67353.0</v>
      </c>
      <c r="M87" s="136">
        <f t="shared" si="11"/>
        <v>81752</v>
      </c>
      <c r="N87" s="1"/>
      <c r="O87" s="1"/>
      <c r="P87" s="1"/>
      <c r="Q87" s="1"/>
      <c r="R87" s="1"/>
      <c r="S87" s="1"/>
      <c r="T87" s="1"/>
      <c r="U87" s="1"/>
    </row>
    <row r="88" ht="10.5" customHeight="1">
      <c r="A88" s="1"/>
      <c r="B88" s="48" t="s">
        <v>121</v>
      </c>
      <c r="C88" s="216">
        <v>64217.0</v>
      </c>
      <c r="D88" s="216">
        <v>2605.0</v>
      </c>
      <c r="E88" s="130">
        <v>1658.0</v>
      </c>
      <c r="F88" s="130">
        <v>3108.0</v>
      </c>
      <c r="G88" s="249">
        <v>5908.23</v>
      </c>
      <c r="H88" s="136">
        <v>49887.0</v>
      </c>
      <c r="I88" s="66">
        <v>448.34</v>
      </c>
      <c r="J88" s="136">
        <v>7502.0</v>
      </c>
      <c r="K88" s="136">
        <v>13002.0</v>
      </c>
      <c r="L88" s="136">
        <v>45969.0</v>
      </c>
      <c r="M88" s="136">
        <f t="shared" si="11"/>
        <v>58971</v>
      </c>
      <c r="N88" s="1"/>
      <c r="O88" s="1"/>
      <c r="P88" s="1"/>
      <c r="Q88" s="1"/>
      <c r="R88" s="1"/>
      <c r="S88" s="1"/>
      <c r="T88" s="1"/>
      <c r="U88" s="1"/>
    </row>
    <row r="89" ht="10.5" customHeight="1">
      <c r="A89" s="1"/>
      <c r="B89" s="48" t="s">
        <v>122</v>
      </c>
      <c r="C89" s="216">
        <v>68396.0</v>
      </c>
      <c r="D89" s="216">
        <v>2986.0</v>
      </c>
      <c r="E89" s="130">
        <v>1854.0</v>
      </c>
      <c r="F89" s="130">
        <v>4771.0</v>
      </c>
      <c r="G89" s="249">
        <v>6903.48</v>
      </c>
      <c r="H89" s="136">
        <v>50121.0</v>
      </c>
      <c r="I89" s="66">
        <v>566.32</v>
      </c>
      <c r="J89" s="136">
        <v>9240.0</v>
      </c>
      <c r="K89" s="136">
        <v>16922.0</v>
      </c>
      <c r="L89" s="136">
        <v>68041.0</v>
      </c>
      <c r="M89" s="136">
        <f t="shared" si="11"/>
        <v>84963</v>
      </c>
      <c r="N89" s="1"/>
      <c r="O89" s="1"/>
      <c r="P89" s="1"/>
      <c r="Q89" s="1"/>
      <c r="R89" s="1"/>
      <c r="S89" s="1"/>
      <c r="T89" s="1"/>
      <c r="U89" s="1"/>
    </row>
    <row r="90" ht="10.5" customHeight="1">
      <c r="A90" s="1"/>
      <c r="B90" s="48" t="s">
        <v>123</v>
      </c>
      <c r="C90" s="216">
        <v>57258.0</v>
      </c>
      <c r="D90" s="216">
        <v>2148.0</v>
      </c>
      <c r="E90" s="130">
        <v>1985.0</v>
      </c>
      <c r="F90" s="130">
        <v>3209.0</v>
      </c>
      <c r="G90" s="249">
        <v>10898.9</v>
      </c>
      <c r="H90" s="136">
        <v>45872.0</v>
      </c>
      <c r="I90" s="66">
        <v>525.03</v>
      </c>
      <c r="J90" s="136">
        <v>5110.0</v>
      </c>
      <c r="K90" s="136">
        <v>9369.0</v>
      </c>
      <c r="L90" s="136">
        <v>64235.0</v>
      </c>
      <c r="M90" s="136">
        <f t="shared" si="11"/>
        <v>73604</v>
      </c>
      <c r="N90" s="1"/>
      <c r="O90" s="1"/>
      <c r="P90" s="1"/>
      <c r="Q90" s="1"/>
      <c r="R90" s="1"/>
      <c r="S90" s="1"/>
      <c r="T90" s="1"/>
      <c r="U90" s="1"/>
    </row>
    <row r="91" ht="10.5" customHeight="1">
      <c r="A91" s="1"/>
      <c r="B91" s="48"/>
      <c r="C91" s="216"/>
      <c r="D91" s="216"/>
      <c r="E91" s="130"/>
      <c r="F91" s="130"/>
      <c r="G91" s="249"/>
      <c r="H91" s="136"/>
      <c r="I91" s="66"/>
      <c r="J91" s="136"/>
      <c r="K91" s="136"/>
      <c r="L91" s="136"/>
      <c r="M91" s="136"/>
      <c r="N91" s="1"/>
      <c r="O91" s="1"/>
      <c r="P91" s="1"/>
      <c r="Q91" s="1"/>
      <c r="R91" s="1"/>
      <c r="S91" s="1"/>
      <c r="T91" s="1"/>
      <c r="U91" s="1"/>
    </row>
    <row r="92" ht="10.5" customHeight="1">
      <c r="A92" s="1"/>
      <c r="B92" s="168" t="s">
        <v>125</v>
      </c>
      <c r="C92" s="216">
        <v>62554.0</v>
      </c>
      <c r="D92" s="216">
        <v>2415.0</v>
      </c>
      <c r="E92" s="130">
        <v>2110.0</v>
      </c>
      <c r="F92" s="130">
        <v>5062.0</v>
      </c>
      <c r="G92" s="249">
        <v>10183.92</v>
      </c>
      <c r="H92" s="136">
        <v>45982.0</v>
      </c>
      <c r="I92" s="66">
        <v>703.24</v>
      </c>
      <c r="J92" s="136">
        <v>8060.0</v>
      </c>
      <c r="K92" s="136">
        <v>20190.0</v>
      </c>
      <c r="L92" s="136">
        <v>90075.0</v>
      </c>
      <c r="M92" s="136">
        <f t="shared" ref="M92:M96" si="12">SUM(K92:L92)</f>
        <v>110265</v>
      </c>
      <c r="N92" s="1"/>
      <c r="O92" s="1"/>
      <c r="P92" s="1"/>
      <c r="Q92" s="1"/>
      <c r="R92" s="1"/>
      <c r="S92" s="1"/>
      <c r="T92" s="1"/>
      <c r="U92" s="1"/>
    </row>
    <row r="93" ht="10.5" customHeight="1">
      <c r="A93" s="1"/>
      <c r="B93" s="168" t="s">
        <v>127</v>
      </c>
      <c r="C93" s="216">
        <v>56672.0</v>
      </c>
      <c r="D93" s="216">
        <v>1817.0</v>
      </c>
      <c r="E93" s="130">
        <v>2177.0</v>
      </c>
      <c r="F93" s="216">
        <v>4362.0</v>
      </c>
      <c r="G93" s="252">
        <v>5418.25</v>
      </c>
      <c r="H93" s="169">
        <v>42602.0</v>
      </c>
      <c r="I93" s="82">
        <v>793.04</v>
      </c>
      <c r="J93" s="169">
        <v>7115.0</v>
      </c>
      <c r="K93" s="169">
        <v>14653.0</v>
      </c>
      <c r="L93" s="169">
        <v>62220.0</v>
      </c>
      <c r="M93" s="136">
        <f t="shared" si="12"/>
        <v>76873</v>
      </c>
      <c r="N93" s="1"/>
      <c r="O93" s="1"/>
      <c r="P93" s="1"/>
      <c r="Q93" s="1"/>
      <c r="R93" s="1"/>
      <c r="S93" s="1"/>
      <c r="T93" s="1"/>
      <c r="U93" s="1"/>
    </row>
    <row r="94" ht="10.5" customHeight="1">
      <c r="A94" s="1"/>
      <c r="B94" s="225" t="s">
        <v>128</v>
      </c>
      <c r="C94" s="216">
        <v>50006.0</v>
      </c>
      <c r="D94" s="216">
        <v>1652.0</v>
      </c>
      <c r="E94" s="130">
        <v>2723.0</v>
      </c>
      <c r="F94" s="216">
        <v>4638.0</v>
      </c>
      <c r="G94" s="252">
        <v>7032.99</v>
      </c>
      <c r="H94" s="169">
        <v>35129.0</v>
      </c>
      <c r="I94" s="252">
        <v>1062.69</v>
      </c>
      <c r="J94" s="169">
        <v>7880.0</v>
      </c>
      <c r="K94" s="169">
        <v>27305.0</v>
      </c>
      <c r="L94" s="169">
        <v>75409.0</v>
      </c>
      <c r="M94" s="136">
        <f t="shared" si="12"/>
        <v>102714</v>
      </c>
      <c r="N94" s="1"/>
      <c r="O94" s="1"/>
      <c r="P94" s="1"/>
      <c r="Q94" s="1"/>
      <c r="R94" s="1"/>
      <c r="S94" s="1"/>
      <c r="T94" s="1"/>
      <c r="U94" s="1"/>
    </row>
    <row r="95" ht="10.5" customHeight="1">
      <c r="A95" s="1"/>
      <c r="B95" s="225" t="s">
        <v>129</v>
      </c>
      <c r="C95" s="216">
        <v>96968.0</v>
      </c>
      <c r="D95" s="216">
        <v>2066.0</v>
      </c>
      <c r="E95" s="130">
        <v>3230.0</v>
      </c>
      <c r="F95" s="216">
        <v>5376.0</v>
      </c>
      <c r="G95" s="252">
        <v>5699.49</v>
      </c>
      <c r="H95" s="169">
        <v>80002.0</v>
      </c>
      <c r="I95" s="252">
        <v>1142.07</v>
      </c>
      <c r="J95" s="169">
        <v>8640.0</v>
      </c>
      <c r="K95" s="169">
        <v>26369.0</v>
      </c>
      <c r="L95" s="169">
        <v>130108.0</v>
      </c>
      <c r="M95" s="136">
        <f t="shared" si="12"/>
        <v>156477</v>
      </c>
      <c r="N95" s="1"/>
      <c r="O95" s="1"/>
      <c r="P95" s="1"/>
      <c r="Q95" s="1"/>
      <c r="R95" s="1"/>
      <c r="S95" s="1"/>
      <c r="T95" s="1"/>
      <c r="U95" s="1"/>
    </row>
    <row r="96" ht="10.5" customHeight="1">
      <c r="A96" s="1"/>
      <c r="B96" s="225" t="s">
        <v>130</v>
      </c>
      <c r="C96" s="216">
        <v>43687.0</v>
      </c>
      <c r="D96" s="216">
        <v>1248.0</v>
      </c>
      <c r="E96" s="130">
        <v>3654.0</v>
      </c>
      <c r="F96" s="216">
        <v>3501.0</v>
      </c>
      <c r="G96" s="252">
        <v>7185.67</v>
      </c>
      <c r="H96" s="169">
        <v>31923.0</v>
      </c>
      <c r="I96" s="252">
        <v>1017.44</v>
      </c>
      <c r="J96" s="169">
        <v>6480.0</v>
      </c>
      <c r="K96" s="169">
        <v>19233.0</v>
      </c>
      <c r="L96" s="169">
        <v>63170.0</v>
      </c>
      <c r="M96" s="136">
        <f t="shared" si="12"/>
        <v>82403</v>
      </c>
      <c r="N96" s="1"/>
      <c r="O96" s="1"/>
      <c r="P96" s="1"/>
      <c r="Q96" s="1"/>
      <c r="R96" s="1"/>
      <c r="S96" s="1"/>
      <c r="T96" s="1"/>
      <c r="U96" s="1"/>
    </row>
    <row r="97" ht="10.5" customHeight="1">
      <c r="A97" s="1"/>
      <c r="B97" s="225"/>
      <c r="C97" s="216"/>
      <c r="D97" s="216"/>
      <c r="E97" s="130"/>
      <c r="F97" s="216"/>
      <c r="G97" s="252"/>
      <c r="H97" s="169"/>
      <c r="I97" s="252"/>
      <c r="J97" s="169"/>
      <c r="K97" s="169"/>
      <c r="L97" s="169"/>
      <c r="M97" s="136"/>
      <c r="N97" s="1"/>
      <c r="O97" s="1"/>
      <c r="P97" s="1"/>
      <c r="Q97" s="1"/>
      <c r="R97" s="1"/>
      <c r="S97" s="1"/>
      <c r="T97" s="1"/>
      <c r="U97" s="1"/>
    </row>
    <row r="98" ht="10.5" customHeight="1">
      <c r="A98" s="1"/>
      <c r="B98" s="225" t="s">
        <v>131</v>
      </c>
      <c r="C98" s="216">
        <v>84311.0</v>
      </c>
      <c r="D98" s="130">
        <v>1922.0</v>
      </c>
      <c r="E98" s="130">
        <v>3609.0</v>
      </c>
      <c r="F98" s="216">
        <v>5326.0</v>
      </c>
      <c r="G98" s="252">
        <v>7276.75</v>
      </c>
      <c r="H98" s="169">
        <v>68641.0</v>
      </c>
      <c r="I98" s="252">
        <v>874.67</v>
      </c>
      <c r="J98" s="169">
        <v>7600.0</v>
      </c>
      <c r="K98" s="169">
        <v>22785.0</v>
      </c>
      <c r="L98" s="169">
        <v>107213.0</v>
      </c>
      <c r="M98" s="136">
        <f t="shared" ref="M98:M102" si="13">SUM(K98:L98)</f>
        <v>129998</v>
      </c>
      <c r="N98" s="1"/>
      <c r="O98" s="1"/>
      <c r="P98" s="1"/>
      <c r="Q98" s="1"/>
      <c r="R98" s="1"/>
      <c r="S98" s="1"/>
      <c r="T98" s="1"/>
      <c r="U98" s="1"/>
    </row>
    <row r="99" ht="10.5" customHeight="1">
      <c r="A99" s="1"/>
      <c r="B99" s="225" t="s">
        <v>133</v>
      </c>
      <c r="C99" s="216">
        <v>43212.0</v>
      </c>
      <c r="D99" s="130">
        <v>1116.0</v>
      </c>
      <c r="E99" s="130">
        <v>4499.0</v>
      </c>
      <c r="F99" s="216">
        <v>3114.0</v>
      </c>
      <c r="G99" s="252">
        <v>4033.51</v>
      </c>
      <c r="H99" s="169">
        <v>31749.0</v>
      </c>
      <c r="I99" s="252">
        <v>1057.41</v>
      </c>
      <c r="J99" s="169">
        <v>6755.0</v>
      </c>
      <c r="K99" s="169">
        <v>19941.0</v>
      </c>
      <c r="L99" s="169">
        <v>52227.0</v>
      </c>
      <c r="M99" s="136">
        <f t="shared" si="13"/>
        <v>72168</v>
      </c>
      <c r="N99" s="1"/>
      <c r="O99" s="1"/>
      <c r="P99" s="1"/>
      <c r="Q99" s="1"/>
      <c r="R99" s="1"/>
      <c r="S99" s="1"/>
      <c r="T99" s="1"/>
      <c r="U99" s="1"/>
    </row>
    <row r="100" ht="10.5" customHeight="1">
      <c r="A100" s="1"/>
      <c r="B100" s="293">
        <v>39295.0</v>
      </c>
      <c r="C100" s="216">
        <v>61221.0</v>
      </c>
      <c r="D100" s="130">
        <v>1797.0</v>
      </c>
      <c r="E100" s="130">
        <v>4653.0</v>
      </c>
      <c r="F100" s="216">
        <v>3865.0</v>
      </c>
      <c r="G100" s="252">
        <v>6520.85</v>
      </c>
      <c r="H100" s="169">
        <v>49076.0</v>
      </c>
      <c r="I100" s="252">
        <v>1189.67</v>
      </c>
      <c r="J100" s="169">
        <v>5715.0</v>
      </c>
      <c r="K100" s="169">
        <v>25169.0</v>
      </c>
      <c r="L100" s="169">
        <v>93736.0</v>
      </c>
      <c r="M100" s="136">
        <f t="shared" si="13"/>
        <v>118905</v>
      </c>
      <c r="N100" s="1"/>
      <c r="O100" s="1"/>
      <c r="P100" s="1"/>
      <c r="Q100" s="1"/>
      <c r="R100" s="1"/>
      <c r="S100" s="1"/>
      <c r="T100" s="1"/>
      <c r="U100" s="1"/>
    </row>
    <row r="101" ht="10.5" customHeight="1">
      <c r="A101" s="1"/>
      <c r="B101" s="85" t="s">
        <v>563</v>
      </c>
      <c r="C101" s="216">
        <v>50100.0</v>
      </c>
      <c r="D101" s="130">
        <v>1121.0</v>
      </c>
      <c r="E101" s="130">
        <v>6138.0</v>
      </c>
      <c r="F101" s="216">
        <v>4922.0</v>
      </c>
      <c r="G101" s="252">
        <v>10050.09</v>
      </c>
      <c r="H101" s="169">
        <v>36932.0</v>
      </c>
      <c r="I101" s="252">
        <v>1564.5</v>
      </c>
      <c r="J101" s="169">
        <v>6645.0</v>
      </c>
      <c r="K101" s="169">
        <v>27989.0</v>
      </c>
      <c r="L101" s="169">
        <v>115605.0</v>
      </c>
      <c r="M101" s="136">
        <f t="shared" si="13"/>
        <v>143594</v>
      </c>
      <c r="N101" s="1"/>
      <c r="O101" s="1"/>
      <c r="P101" s="1"/>
      <c r="Q101" s="1"/>
      <c r="R101" s="1"/>
      <c r="S101" s="1"/>
      <c r="T101" s="1"/>
      <c r="U101" s="1"/>
    </row>
    <row r="102" ht="10.5" customHeight="1">
      <c r="A102" s="1"/>
      <c r="B102" s="293">
        <v>40087.0</v>
      </c>
      <c r="C102" s="216">
        <v>56302.0</v>
      </c>
      <c r="D102" s="216">
        <v>1487.0</v>
      </c>
      <c r="E102" s="216">
        <v>6052.0</v>
      </c>
      <c r="F102" s="216">
        <v>4637.0</v>
      </c>
      <c r="G102" s="252">
        <v>10392.78</v>
      </c>
      <c r="H102" s="169">
        <v>39981.0</v>
      </c>
      <c r="I102" s="252">
        <v>1457.21</v>
      </c>
      <c r="J102" s="169">
        <v>9560.0</v>
      </c>
      <c r="K102" s="169">
        <v>27399.0</v>
      </c>
      <c r="L102" s="169">
        <v>117368.0</v>
      </c>
      <c r="M102" s="136">
        <f t="shared" si="13"/>
        <v>144767</v>
      </c>
      <c r="N102" s="1"/>
      <c r="O102" s="1"/>
      <c r="P102" s="1"/>
      <c r="Q102" s="1"/>
      <c r="R102" s="1"/>
      <c r="S102" s="1"/>
      <c r="T102" s="1"/>
      <c r="U102" s="1"/>
    </row>
    <row r="103" ht="10.5" customHeight="1">
      <c r="A103" s="1"/>
      <c r="B103" s="85"/>
      <c r="C103" s="216"/>
      <c r="D103" s="130"/>
      <c r="E103" s="130"/>
      <c r="F103" s="216"/>
      <c r="G103" s="252"/>
      <c r="H103" s="169"/>
      <c r="I103" s="252"/>
      <c r="J103" s="169"/>
      <c r="K103" s="169"/>
      <c r="L103" s="169"/>
      <c r="M103" s="169"/>
      <c r="N103" s="1"/>
      <c r="O103" s="1"/>
      <c r="P103" s="1"/>
      <c r="Q103" s="1"/>
      <c r="R103" s="1"/>
      <c r="S103" s="1"/>
      <c r="T103" s="1"/>
      <c r="U103" s="1"/>
    </row>
    <row r="104" ht="10.5" customHeight="1">
      <c r="A104" s="1"/>
      <c r="B104" s="85" t="s">
        <v>139</v>
      </c>
      <c r="C104" s="216">
        <v>50451.0</v>
      </c>
      <c r="D104" s="216">
        <v>1535.0</v>
      </c>
      <c r="E104" s="216">
        <v>6605.0</v>
      </c>
      <c r="F104" s="216">
        <v>4190.0</v>
      </c>
      <c r="G104" s="252">
        <v>12209.92</v>
      </c>
      <c r="H104" s="169">
        <v>37747.0</v>
      </c>
      <c r="I104" s="252">
        <v>1048.28</v>
      </c>
      <c r="J104" s="169">
        <v>6325.0</v>
      </c>
      <c r="K104" s="169">
        <v>14193.0</v>
      </c>
      <c r="L104" s="169">
        <v>103028.0</v>
      </c>
      <c r="M104" s="136">
        <f t="shared" ref="M104:M106" si="14">SUM(K104:L104)</f>
        <v>117221</v>
      </c>
      <c r="N104" s="1"/>
      <c r="O104" s="1"/>
      <c r="P104" s="1"/>
      <c r="Q104" s="1"/>
      <c r="R104" s="1"/>
      <c r="S104" s="1"/>
      <c r="T104" s="1"/>
      <c r="U104" s="1"/>
    </row>
    <row r="105" ht="10.5" customHeight="1">
      <c r="A105" s="1"/>
      <c r="B105" s="85" t="s">
        <v>143</v>
      </c>
      <c r="C105" s="216">
        <v>66805.0</v>
      </c>
      <c r="D105" s="216">
        <v>2352.0</v>
      </c>
      <c r="E105" s="216">
        <v>6364.0</v>
      </c>
      <c r="F105" s="216">
        <v>5929.0</v>
      </c>
      <c r="G105" s="252">
        <v>12952.15</v>
      </c>
      <c r="H105" s="169">
        <v>48792.0</v>
      </c>
      <c r="I105" s="252">
        <v>2120.6</v>
      </c>
      <c r="J105" s="169">
        <v>8725.0</v>
      </c>
      <c r="K105" s="169">
        <v>38774.0</v>
      </c>
      <c r="L105" s="169">
        <v>198431.0</v>
      </c>
      <c r="M105" s="136">
        <f t="shared" si="14"/>
        <v>237205</v>
      </c>
      <c r="N105" s="1"/>
      <c r="O105" s="1"/>
      <c r="P105" s="1"/>
      <c r="Q105" s="1"/>
      <c r="R105" s="1"/>
      <c r="S105" s="1"/>
      <c r="T105" s="1"/>
      <c r="U105" s="1"/>
    </row>
    <row r="106" ht="10.5" customHeight="1">
      <c r="A106" s="1"/>
      <c r="B106" s="85" t="s">
        <v>149</v>
      </c>
      <c r="C106" s="216">
        <v>60824.0</v>
      </c>
      <c r="D106" s="216">
        <v>2075.0</v>
      </c>
      <c r="E106" s="216">
        <v>6552.0</v>
      </c>
      <c r="F106" s="216">
        <v>5197.0</v>
      </c>
      <c r="G106" s="252">
        <v>12648.77</v>
      </c>
      <c r="H106" s="169">
        <v>44370.0</v>
      </c>
      <c r="I106" s="252">
        <v>1417.79</v>
      </c>
      <c r="J106" s="169">
        <v>8295.0</v>
      </c>
      <c r="K106" s="169">
        <v>35187.0</v>
      </c>
      <c r="L106" s="169">
        <v>145143.0</v>
      </c>
      <c r="M106" s="136">
        <f t="shared" si="14"/>
        <v>180330</v>
      </c>
      <c r="N106" s="1"/>
      <c r="O106" s="1"/>
      <c r="P106" s="1"/>
      <c r="Q106" s="1"/>
      <c r="R106" s="1"/>
      <c r="S106" s="1"/>
      <c r="T106" s="1"/>
      <c r="U106" s="1"/>
    </row>
    <row r="107" ht="10.5" customHeight="1">
      <c r="A107" s="1"/>
      <c r="B107" s="85" t="s">
        <v>151</v>
      </c>
      <c r="C107" s="216">
        <v>48593.0</v>
      </c>
      <c r="D107" s="216">
        <v>1428.0</v>
      </c>
      <c r="E107" s="216">
        <v>8077.0</v>
      </c>
      <c r="F107" s="216">
        <v>4251.0</v>
      </c>
      <c r="G107" s="252">
        <v>16279.96</v>
      </c>
      <c r="H107" s="169">
        <v>35058.0</v>
      </c>
      <c r="I107" s="252">
        <v>1707.18</v>
      </c>
      <c r="J107" s="169">
        <v>7245.0</v>
      </c>
      <c r="K107" s="169">
        <v>31994.0</v>
      </c>
      <c r="L107" s="169">
        <v>143057.0</v>
      </c>
      <c r="M107" s="136">
        <v>175051.0</v>
      </c>
      <c r="N107" s="1"/>
      <c r="O107" s="1"/>
      <c r="P107" s="1"/>
      <c r="Q107" s="1"/>
      <c r="R107" s="1"/>
      <c r="S107" s="1"/>
      <c r="T107" s="1"/>
      <c r="U107" s="1"/>
    </row>
    <row r="108" ht="10.5" customHeight="1">
      <c r="A108" s="1"/>
      <c r="B108" s="85" t="s">
        <v>153</v>
      </c>
      <c r="C108" s="216">
        <v>58214.0</v>
      </c>
      <c r="D108" s="216">
        <v>1390.0</v>
      </c>
      <c r="E108" s="216">
        <v>9314.0</v>
      </c>
      <c r="F108" s="216">
        <v>3850.0</v>
      </c>
      <c r="G108" s="252">
        <v>19725.47</v>
      </c>
      <c r="H108" s="169">
        <v>43468.0</v>
      </c>
      <c r="I108" s="252">
        <v>2314.74</v>
      </c>
      <c r="J108" s="169">
        <v>8910.0</v>
      </c>
      <c r="K108" s="169">
        <v>60909.0</v>
      </c>
      <c r="L108" s="169">
        <v>192275.0</v>
      </c>
      <c r="M108" s="136">
        <v>253184.0</v>
      </c>
      <c r="N108" s="1"/>
      <c r="O108" s="1"/>
      <c r="P108" s="1"/>
      <c r="Q108" s="1"/>
      <c r="R108" s="1"/>
      <c r="S108" s="1"/>
      <c r="T108" s="1"/>
      <c r="U108" s="1"/>
    </row>
    <row r="109" ht="10.5" customHeight="1">
      <c r="A109" s="1"/>
      <c r="B109" s="85"/>
      <c r="C109" s="216"/>
      <c r="D109" s="216"/>
      <c r="E109" s="216"/>
      <c r="F109" s="216"/>
      <c r="G109" s="252"/>
      <c r="H109" s="169"/>
      <c r="I109" s="252"/>
      <c r="J109" s="169"/>
      <c r="K109" s="169"/>
      <c r="L109" s="169"/>
      <c r="M109" s="136"/>
      <c r="N109" s="1"/>
      <c r="O109" s="1"/>
      <c r="P109" s="1"/>
      <c r="Q109" s="1"/>
      <c r="R109" s="1"/>
      <c r="S109" s="1"/>
      <c r="T109" s="1"/>
      <c r="U109" s="1"/>
    </row>
    <row r="110" ht="10.5" customHeight="1">
      <c r="A110" s="1"/>
      <c r="B110" s="85" t="s">
        <v>155</v>
      </c>
      <c r="C110" s="216">
        <v>41036.0</v>
      </c>
      <c r="D110" s="216">
        <v>1453.0</v>
      </c>
      <c r="E110" s="216">
        <v>11882.0</v>
      </c>
      <c r="F110" s="216">
        <v>3708.0</v>
      </c>
      <c r="G110" s="252">
        <v>23503.8</v>
      </c>
      <c r="H110" s="169">
        <v>28630.0</v>
      </c>
      <c r="I110" s="252">
        <v>3043.56</v>
      </c>
      <c r="J110" s="169">
        <v>6625.0</v>
      </c>
      <c r="K110" s="169">
        <v>45434.0</v>
      </c>
      <c r="L110" s="169">
        <v>195245.0</v>
      </c>
      <c r="M110" s="136">
        <v>240679.0</v>
      </c>
      <c r="N110" s="1"/>
      <c r="O110" s="1"/>
      <c r="P110" s="1"/>
      <c r="Q110" s="1"/>
      <c r="R110" s="1"/>
      <c r="S110" s="1"/>
      <c r="T110" s="1"/>
      <c r="U110" s="1"/>
    </row>
    <row r="111" ht="10.5" customHeight="1">
      <c r="A111" s="1"/>
      <c r="B111" s="96" t="s">
        <v>633</v>
      </c>
      <c r="C111" s="240">
        <v>32656.0</v>
      </c>
      <c r="D111" s="240">
        <v>1102.0</v>
      </c>
      <c r="E111" s="240">
        <v>14641.0</v>
      </c>
      <c r="F111" s="240">
        <v>3683.0</v>
      </c>
      <c r="G111" s="263">
        <v>21303.38</v>
      </c>
      <c r="H111" s="260">
        <v>20645.0</v>
      </c>
      <c r="I111" s="263">
        <v>3795.8</v>
      </c>
      <c r="J111" s="260">
        <v>6755.0</v>
      </c>
      <c r="K111" s="260">
        <v>72576.0</v>
      </c>
      <c r="L111" s="260">
        <v>176409.0</v>
      </c>
      <c r="M111" s="260">
        <v>248985.0</v>
      </c>
      <c r="N111" s="1"/>
      <c r="O111" s="1"/>
      <c r="P111" s="1"/>
      <c r="Q111" s="1"/>
      <c r="R111" s="1"/>
      <c r="S111" s="1"/>
      <c r="T111" s="1"/>
      <c r="U111" s="1"/>
    </row>
    <row r="112" ht="6.0" customHeight="1">
      <c r="A112" s="1"/>
      <c r="B112" s="291"/>
      <c r="C112" s="243"/>
      <c r="D112" s="243"/>
      <c r="E112" s="243"/>
      <c r="F112" s="243"/>
      <c r="G112" s="270"/>
      <c r="H112" s="267"/>
      <c r="I112" s="270"/>
      <c r="J112" s="267"/>
      <c r="K112" s="267"/>
      <c r="L112" s="267"/>
      <c r="M112" s="267"/>
      <c r="N112" s="1"/>
      <c r="O112" s="1"/>
      <c r="P112" s="1"/>
      <c r="Q112" s="1"/>
      <c r="R112" s="1"/>
      <c r="S112" s="1"/>
      <c r="T112" s="1"/>
      <c r="U112" s="1"/>
    </row>
    <row r="113" ht="10.5" customHeight="1">
      <c r="A113" s="1"/>
      <c r="B113" s="185" t="s">
        <v>634</v>
      </c>
      <c r="C113" s="185"/>
      <c r="D113" s="185"/>
      <c r="E113" s="185"/>
      <c r="F113" s="185"/>
      <c r="G113" s="185"/>
      <c r="H113" s="185"/>
      <c r="I113" s="1"/>
      <c r="J113" s="1"/>
      <c r="K113" s="1"/>
      <c r="L113" s="1"/>
      <c r="M113" s="1"/>
      <c r="N113" s="1"/>
      <c r="O113" s="1"/>
      <c r="P113" s="1"/>
      <c r="Q113" s="1"/>
      <c r="R113" s="1"/>
      <c r="S113" s="1"/>
      <c r="T113" s="1"/>
      <c r="U113" s="1"/>
    </row>
    <row r="114" ht="10.5" customHeight="1">
      <c r="A114" s="1"/>
      <c r="B114" s="185" t="s">
        <v>586</v>
      </c>
      <c r="C114" s="185"/>
      <c r="D114" s="185"/>
      <c r="E114" s="185"/>
      <c r="F114" s="185"/>
      <c r="G114" s="185"/>
      <c r="H114" s="185"/>
      <c r="I114" s="1"/>
      <c r="J114" s="1"/>
      <c r="K114" s="1"/>
      <c r="L114" s="1"/>
      <c r="M114" s="1"/>
      <c r="N114" s="1"/>
      <c r="O114" s="1"/>
      <c r="P114" s="1"/>
      <c r="Q114" s="1"/>
      <c r="R114" s="1"/>
      <c r="S114" s="1"/>
      <c r="T114" s="1"/>
      <c r="U114" s="1"/>
    </row>
    <row r="115" ht="10.5" customHeight="1">
      <c r="A115" s="1"/>
      <c r="B115" s="185" t="s">
        <v>587</v>
      </c>
      <c r="C115" s="185"/>
      <c r="D115" s="185"/>
      <c r="E115" s="185"/>
      <c r="F115" s="185"/>
      <c r="G115" s="185"/>
      <c r="H115" s="185"/>
      <c r="I115" s="1"/>
      <c r="J115" s="1"/>
      <c r="K115" s="1"/>
      <c r="L115" s="1"/>
      <c r="M115" s="1"/>
      <c r="N115" s="1"/>
      <c r="O115" s="1"/>
      <c r="P115" s="1"/>
      <c r="Q115" s="1"/>
      <c r="R115" s="1"/>
      <c r="S115" s="1"/>
      <c r="T115" s="1"/>
      <c r="U115" s="1"/>
    </row>
    <row r="116" ht="10.5" customHeight="1">
      <c r="A116" s="1"/>
      <c r="B116" s="185" t="s">
        <v>590</v>
      </c>
      <c r="C116" s="185"/>
      <c r="D116" s="185"/>
      <c r="E116" s="185"/>
      <c r="F116" s="185"/>
      <c r="G116" s="185"/>
      <c r="H116" s="185"/>
      <c r="I116" s="1"/>
      <c r="J116" s="1"/>
      <c r="K116" s="1"/>
      <c r="L116" s="1"/>
      <c r="M116" s="1"/>
      <c r="N116" s="1"/>
      <c r="O116" s="1"/>
      <c r="P116" s="1"/>
      <c r="Q116" s="1"/>
      <c r="R116" s="1"/>
      <c r="S116" s="1"/>
      <c r="T116" s="1"/>
      <c r="U116" s="1"/>
    </row>
    <row r="117" ht="10.5" customHeight="1">
      <c r="A117" s="1"/>
      <c r="B117" s="185" t="s">
        <v>591</v>
      </c>
      <c r="C117" s="185"/>
      <c r="D117" s="185"/>
      <c r="E117" s="185"/>
      <c r="F117" s="185"/>
      <c r="G117" s="185"/>
      <c r="H117" s="185"/>
      <c r="I117" s="1"/>
      <c r="J117" s="1"/>
      <c r="K117" s="1"/>
      <c r="L117" s="1"/>
      <c r="M117" s="1"/>
      <c r="N117" s="1"/>
      <c r="O117" s="1"/>
      <c r="P117" s="1"/>
      <c r="Q117" s="1"/>
      <c r="R117" s="1"/>
      <c r="S117" s="1"/>
      <c r="T117" s="1"/>
      <c r="U117" s="1"/>
    </row>
    <row r="118" ht="10.5" customHeight="1">
      <c r="A118" s="1"/>
      <c r="B118" s="311" t="s">
        <v>635</v>
      </c>
      <c r="I118" s="1"/>
      <c r="J118" s="1"/>
      <c r="K118" s="1"/>
      <c r="L118" s="1"/>
      <c r="M118" s="1"/>
      <c r="N118" s="1"/>
      <c r="O118" s="1"/>
      <c r="P118" s="1"/>
      <c r="Q118" s="1"/>
      <c r="R118" s="1"/>
      <c r="S118" s="1"/>
      <c r="T118" s="1"/>
      <c r="U118" s="1"/>
    </row>
    <row r="119" ht="10.5" customHeight="1">
      <c r="A119" s="1"/>
      <c r="B119" s="311" t="s">
        <v>594</v>
      </c>
      <c r="C119" s="311"/>
      <c r="D119" s="311"/>
      <c r="E119" s="311"/>
      <c r="F119" s="311"/>
      <c r="G119" s="311"/>
      <c r="H119" s="311"/>
      <c r="I119" s="1"/>
      <c r="J119" s="1"/>
      <c r="K119" s="1"/>
      <c r="L119" s="1"/>
      <c r="M119" s="1"/>
      <c r="N119" s="1"/>
      <c r="O119" s="1"/>
      <c r="P119" s="1"/>
      <c r="Q119" s="1"/>
      <c r="R119" s="1"/>
      <c r="S119" s="1"/>
      <c r="T119" s="1"/>
      <c r="U119" s="1"/>
    </row>
    <row r="120" ht="10.5" customHeight="1">
      <c r="A120" s="1"/>
      <c r="B120" s="311" t="s">
        <v>595</v>
      </c>
      <c r="C120" s="311"/>
      <c r="D120" s="311"/>
      <c r="E120" s="311"/>
      <c r="F120" s="311"/>
      <c r="G120" s="311"/>
      <c r="H120" s="311"/>
      <c r="I120" s="1"/>
      <c r="J120" s="1"/>
      <c r="K120" s="1"/>
      <c r="L120" s="1"/>
      <c r="M120" s="1"/>
      <c r="N120" s="1"/>
      <c r="O120" s="1"/>
      <c r="P120" s="1"/>
      <c r="Q120" s="1"/>
      <c r="R120" s="1"/>
      <c r="S120" s="1"/>
      <c r="T120" s="1"/>
      <c r="U120" s="1"/>
    </row>
    <row r="121" ht="10.5" customHeight="1">
      <c r="A121" s="1"/>
      <c r="B121" s="185" t="s">
        <v>637</v>
      </c>
      <c r="C121" s="185"/>
      <c r="D121" s="185"/>
      <c r="E121" s="185"/>
      <c r="F121" s="185"/>
      <c r="G121" s="185"/>
      <c r="H121" s="185"/>
      <c r="I121" s="1"/>
      <c r="J121" s="1"/>
      <c r="K121" s="1"/>
      <c r="L121" s="1"/>
      <c r="M121" s="1"/>
      <c r="N121" s="1"/>
      <c r="O121" s="1"/>
      <c r="P121" s="1"/>
      <c r="Q121" s="1"/>
      <c r="R121" s="1"/>
      <c r="S121" s="1"/>
      <c r="T121" s="1"/>
      <c r="U121" s="1"/>
    </row>
    <row r="122" ht="10.5" customHeight="1">
      <c r="A122" s="1"/>
      <c r="B122" s="185" t="s">
        <v>642</v>
      </c>
      <c r="C122" s="185"/>
      <c r="D122" s="185"/>
      <c r="E122" s="185"/>
      <c r="F122" s="185"/>
      <c r="G122" s="185"/>
      <c r="H122" s="185"/>
      <c r="I122" s="1"/>
      <c r="J122" s="1"/>
      <c r="K122" s="1"/>
      <c r="L122" s="1"/>
      <c r="M122" s="1"/>
      <c r="N122" s="1"/>
      <c r="O122" s="1"/>
      <c r="P122" s="1"/>
      <c r="Q122" s="1"/>
      <c r="R122" s="1"/>
      <c r="S122" s="1"/>
      <c r="T122" s="1"/>
      <c r="U122" s="1"/>
    </row>
    <row r="123" ht="10.5" customHeight="1">
      <c r="A123" s="1"/>
      <c r="B123" s="1"/>
      <c r="C123" s="1"/>
      <c r="D123" s="1"/>
      <c r="E123" s="1"/>
      <c r="F123" s="1"/>
      <c r="G123" s="1"/>
      <c r="H123" s="1"/>
      <c r="I123" s="1"/>
      <c r="J123" s="1"/>
      <c r="K123" s="1"/>
      <c r="L123" s="1"/>
      <c r="M123" s="1"/>
      <c r="N123" s="1"/>
      <c r="O123" s="1"/>
      <c r="P123" s="1"/>
      <c r="Q123" s="1"/>
      <c r="R123" s="1"/>
      <c r="S123" s="1"/>
      <c r="T123" s="1"/>
      <c r="U123" s="1"/>
    </row>
    <row r="124" ht="10.5" customHeight="1">
      <c r="A124" s="1"/>
      <c r="B124" s="1"/>
      <c r="C124" s="59"/>
      <c r="D124" s="59"/>
      <c r="E124" s="59"/>
      <c r="F124" s="59"/>
      <c r="G124" s="59"/>
      <c r="H124" s="59"/>
      <c r="I124" s="59"/>
      <c r="J124" s="59"/>
      <c r="K124" s="59"/>
      <c r="L124" s="59"/>
      <c r="M124" s="59"/>
      <c r="N124" s="1"/>
      <c r="O124" s="1"/>
      <c r="P124" s="1"/>
      <c r="Q124" s="1"/>
      <c r="R124" s="1"/>
      <c r="S124" s="1"/>
      <c r="T124" s="1"/>
      <c r="U124" s="1"/>
    </row>
    <row r="125" ht="11.25" customHeight="1">
      <c r="A125" s="1"/>
      <c r="B125" s="65" t="s">
        <v>645</v>
      </c>
      <c r="C125" s="1"/>
      <c r="D125" s="111"/>
      <c r="E125" s="111"/>
      <c r="F125" s="1"/>
      <c r="G125" s="1"/>
      <c r="H125" s="1"/>
      <c r="I125" s="1"/>
      <c r="J125" s="1"/>
      <c r="K125" s="1"/>
      <c r="L125" s="1"/>
      <c r="M125" s="1"/>
      <c r="N125" s="1"/>
      <c r="O125" s="1"/>
      <c r="P125" s="1"/>
      <c r="Q125" s="1"/>
      <c r="R125" s="1"/>
      <c r="S125" s="1"/>
      <c r="T125" s="1"/>
      <c r="U125" s="1"/>
    </row>
    <row r="126" ht="11.25" customHeight="1">
      <c r="A126" s="1"/>
      <c r="B126" s="29" t="s">
        <v>506</v>
      </c>
      <c r="C126" s="31" t="s">
        <v>508</v>
      </c>
      <c r="D126" s="128" t="s">
        <v>647</v>
      </c>
      <c r="E126" s="10"/>
      <c r="F126" s="128" t="s">
        <v>243</v>
      </c>
      <c r="G126" s="10"/>
      <c r="H126" s="128" t="s">
        <v>510</v>
      </c>
      <c r="I126" s="10"/>
      <c r="J126" s="273" t="s">
        <v>511</v>
      </c>
      <c r="K126" s="273" t="s">
        <v>648</v>
      </c>
      <c r="L126" s="128" t="s">
        <v>512</v>
      </c>
      <c r="M126" s="9"/>
      <c r="N126" s="10"/>
      <c r="O126" s="31" t="s">
        <v>513</v>
      </c>
      <c r="P126" s="1"/>
      <c r="Q126" s="1"/>
      <c r="R126" s="1"/>
      <c r="S126" s="1"/>
      <c r="T126" s="1"/>
      <c r="U126" s="1"/>
    </row>
    <row r="127" ht="23.25" customHeight="1">
      <c r="A127" s="1"/>
      <c r="B127" s="5"/>
      <c r="C127" s="6"/>
      <c r="D127" s="190" t="s">
        <v>514</v>
      </c>
      <c r="E127" s="7" t="s">
        <v>515</v>
      </c>
      <c r="F127" s="7" t="s">
        <v>514</v>
      </c>
      <c r="G127" s="7" t="s">
        <v>516</v>
      </c>
      <c r="H127" s="7" t="s">
        <v>514</v>
      </c>
      <c r="I127" s="7" t="s">
        <v>515</v>
      </c>
      <c r="J127" s="7" t="s">
        <v>517</v>
      </c>
      <c r="K127" s="7" t="s">
        <v>517</v>
      </c>
      <c r="L127" s="7" t="s">
        <v>650</v>
      </c>
      <c r="M127" s="7" t="s">
        <v>651</v>
      </c>
      <c r="N127" s="7" t="s">
        <v>652</v>
      </c>
      <c r="O127" s="6"/>
      <c r="P127" s="1"/>
      <c r="Q127" s="1"/>
      <c r="R127" s="1"/>
      <c r="S127" s="1"/>
      <c r="T127" s="1"/>
      <c r="U127" s="1"/>
    </row>
    <row r="128" ht="11.25" customHeight="1">
      <c r="A128" s="1"/>
      <c r="B128" s="6"/>
      <c r="C128" s="8" t="s">
        <v>520</v>
      </c>
      <c r="D128" s="10"/>
      <c r="E128" s="134" t="s">
        <v>52</v>
      </c>
      <c r="F128" s="134" t="s">
        <v>520</v>
      </c>
      <c r="G128" s="134" t="s">
        <v>52</v>
      </c>
      <c r="H128" s="134" t="s">
        <v>520</v>
      </c>
      <c r="I128" s="134" t="s">
        <v>52</v>
      </c>
      <c r="J128" s="8" t="s">
        <v>520</v>
      </c>
      <c r="K128" s="10"/>
      <c r="L128" s="8" t="s">
        <v>50</v>
      </c>
      <c r="M128" s="9"/>
      <c r="N128" s="9"/>
      <c r="O128" s="10"/>
      <c r="P128" s="1"/>
      <c r="Q128" s="1"/>
      <c r="R128" s="1"/>
      <c r="S128" s="1"/>
      <c r="T128" s="1"/>
      <c r="U128" s="1"/>
    </row>
    <row r="129" ht="10.5" customHeight="1">
      <c r="A129" s="1"/>
      <c r="B129" s="48" t="s">
        <v>56</v>
      </c>
      <c r="C129" s="169">
        <v>1031342.0</v>
      </c>
      <c r="D129" s="130">
        <v>14167.0</v>
      </c>
      <c r="E129" s="373">
        <v>426.0</v>
      </c>
      <c r="F129" s="30">
        <v>30922.0</v>
      </c>
      <c r="G129" s="249">
        <v>832.9</v>
      </c>
      <c r="H129" s="30">
        <v>5319.0</v>
      </c>
      <c r="I129" s="66">
        <v>124.23</v>
      </c>
      <c r="J129" s="30">
        <v>103540.0</v>
      </c>
      <c r="K129" s="30">
        <v>864195.0</v>
      </c>
      <c r="L129" s="30">
        <v>160629.0</v>
      </c>
      <c r="M129" s="30">
        <v>21496.0</v>
      </c>
      <c r="N129" s="30">
        <v>36240.0</v>
      </c>
      <c r="O129" s="30">
        <f t="shared" ref="O129:O133" si="15">SUM(L129:N129)</f>
        <v>218365</v>
      </c>
      <c r="P129" s="374"/>
      <c r="Q129" s="1"/>
      <c r="R129" s="1"/>
      <c r="S129" s="1"/>
      <c r="T129" s="1"/>
      <c r="U129" s="1"/>
    </row>
    <row r="130" ht="10.5" customHeight="1">
      <c r="A130" s="1"/>
      <c r="B130" s="48" t="s">
        <v>81</v>
      </c>
      <c r="C130" s="169">
        <v>1176087.0</v>
      </c>
      <c r="D130" s="130">
        <v>18130.0</v>
      </c>
      <c r="E130" s="373">
        <v>476.0</v>
      </c>
      <c r="F130" s="30">
        <v>37483.0</v>
      </c>
      <c r="G130" s="249">
        <v>1037.48</v>
      </c>
      <c r="H130" s="30">
        <v>3763.0</v>
      </c>
      <c r="I130" s="66">
        <v>129.61</v>
      </c>
      <c r="J130" s="30">
        <v>108407.0</v>
      </c>
      <c r="K130" s="30">
        <v>991483.0</v>
      </c>
      <c r="L130" s="30">
        <v>212920.0</v>
      </c>
      <c r="M130" s="30">
        <v>22483.0</v>
      </c>
      <c r="N130" s="30">
        <v>53315.0</v>
      </c>
      <c r="O130" s="30">
        <f t="shared" si="15"/>
        <v>288718</v>
      </c>
      <c r="P130" s="1"/>
      <c r="Q130" s="1"/>
      <c r="R130" s="1"/>
      <c r="S130" s="1"/>
      <c r="T130" s="1"/>
      <c r="U130" s="1"/>
    </row>
    <row r="131" ht="10.5" customHeight="1">
      <c r="A131" s="1"/>
      <c r="B131" s="48" t="s">
        <v>86</v>
      </c>
      <c r="C131" s="169">
        <v>1244793.0</v>
      </c>
      <c r="D131" s="130">
        <v>19936.0</v>
      </c>
      <c r="E131" s="373">
        <v>569.0</v>
      </c>
      <c r="F131" s="30">
        <v>41403.0</v>
      </c>
      <c r="G131" s="249">
        <v>962.73</v>
      </c>
      <c r="H131" s="30">
        <v>4430.0</v>
      </c>
      <c r="I131" s="66">
        <v>148.32</v>
      </c>
      <c r="J131" s="30">
        <v>142396.0</v>
      </c>
      <c r="K131" s="30">
        <v>1022712.0</v>
      </c>
      <c r="L131" s="30">
        <v>217275.0</v>
      </c>
      <c r="M131" s="30">
        <v>24429.0</v>
      </c>
      <c r="N131" s="30">
        <v>56640.0</v>
      </c>
      <c r="O131" s="30">
        <f t="shared" si="15"/>
        <v>298344</v>
      </c>
      <c r="P131" s="1"/>
      <c r="Q131" s="1"/>
      <c r="R131" s="1"/>
      <c r="S131" s="1"/>
      <c r="T131" s="1"/>
      <c r="U131" s="1"/>
    </row>
    <row r="132" ht="10.5" customHeight="1">
      <c r="A132" s="1"/>
      <c r="B132" s="48" t="s">
        <v>87</v>
      </c>
      <c r="C132" s="169">
        <v>1225334.0</v>
      </c>
      <c r="D132" s="130">
        <v>25877.0</v>
      </c>
      <c r="E132" s="30">
        <v>510.0</v>
      </c>
      <c r="F132" s="30">
        <v>42178.0</v>
      </c>
      <c r="G132" s="249">
        <v>7060.75</v>
      </c>
      <c r="H132" s="30">
        <v>4482.0</v>
      </c>
      <c r="I132" s="66">
        <v>174.79</v>
      </c>
      <c r="J132" s="30">
        <v>128832.0</v>
      </c>
      <c r="K132" s="30">
        <v>1005053.0</v>
      </c>
      <c r="L132" s="30">
        <v>242600.0</v>
      </c>
      <c r="M132" s="30">
        <v>26159.0</v>
      </c>
      <c r="N132" s="30">
        <v>64573.0</v>
      </c>
      <c r="O132" s="30">
        <f t="shared" si="15"/>
        <v>333332</v>
      </c>
      <c r="P132" s="1"/>
      <c r="Q132" s="1"/>
      <c r="R132" s="1"/>
      <c r="S132" s="1"/>
      <c r="T132" s="1"/>
      <c r="U132" s="1"/>
    </row>
    <row r="133" ht="10.5" customHeight="1">
      <c r="A133" s="1"/>
      <c r="B133" s="48" t="s">
        <v>90</v>
      </c>
      <c r="C133" s="169">
        <v>1148694.0</v>
      </c>
      <c r="D133" s="130">
        <v>23520.0</v>
      </c>
      <c r="E133" s="30">
        <v>596.0</v>
      </c>
      <c r="F133" s="30">
        <v>50026.0</v>
      </c>
      <c r="G133" s="249">
        <v>1336.88</v>
      </c>
      <c r="H133" s="30">
        <v>3957.0</v>
      </c>
      <c r="I133" s="66">
        <v>173.26</v>
      </c>
      <c r="J133" s="30">
        <v>123072.0</v>
      </c>
      <c r="K133" s="30">
        <v>931034.0</v>
      </c>
      <c r="L133" s="30">
        <v>254400.0</v>
      </c>
      <c r="M133" s="30">
        <v>34210.0</v>
      </c>
      <c r="N133" s="30">
        <v>87671.0</v>
      </c>
      <c r="O133" s="30">
        <f t="shared" si="15"/>
        <v>376281</v>
      </c>
      <c r="P133" s="1"/>
      <c r="Q133" s="1"/>
      <c r="R133" s="1"/>
      <c r="S133" s="1"/>
      <c r="T133" s="1"/>
      <c r="U133" s="1"/>
    </row>
    <row r="134" ht="10.5" customHeight="1">
      <c r="A134" s="1"/>
      <c r="B134" s="48"/>
      <c r="C134" s="169"/>
      <c r="D134" s="130"/>
      <c r="E134" s="30"/>
      <c r="F134" s="30"/>
      <c r="G134" s="249"/>
      <c r="H134" s="30"/>
      <c r="I134" s="66"/>
      <c r="J134" s="30"/>
      <c r="K134" s="30"/>
      <c r="L134" s="30"/>
      <c r="M134" s="30"/>
      <c r="N134" s="30"/>
      <c r="O134" s="30"/>
      <c r="P134" s="1"/>
      <c r="Q134" s="1"/>
      <c r="R134" s="1"/>
      <c r="S134" s="1"/>
      <c r="T134" s="1"/>
      <c r="U134" s="1"/>
    </row>
    <row r="135" ht="10.5" customHeight="1">
      <c r="A135" s="1"/>
      <c r="B135" s="48" t="s">
        <v>93</v>
      </c>
      <c r="C135" s="169">
        <v>1055492.0</v>
      </c>
      <c r="D135" s="130">
        <v>20400.0</v>
      </c>
      <c r="E135" s="30">
        <v>715.0</v>
      </c>
      <c r="F135" s="30">
        <v>31570.0</v>
      </c>
      <c r="G135" s="249">
        <v>2323.53</v>
      </c>
      <c r="H135" s="30">
        <v>3140.0</v>
      </c>
      <c r="I135" s="66">
        <v>192.14</v>
      </c>
      <c r="J135" s="30">
        <v>160341.0</v>
      </c>
      <c r="K135" s="30">
        <v>825687.0</v>
      </c>
      <c r="L135" s="30">
        <v>246463.0</v>
      </c>
      <c r="M135" s="30">
        <v>52425.0</v>
      </c>
      <c r="N135" s="30">
        <v>94559.0</v>
      </c>
      <c r="O135" s="30">
        <f t="shared" ref="O135:O139" si="16">SUM(L135:N135)</f>
        <v>393447</v>
      </c>
      <c r="P135" s="1"/>
      <c r="Q135" s="1"/>
      <c r="R135" s="1"/>
      <c r="S135" s="1"/>
      <c r="T135" s="1"/>
      <c r="U135" s="1"/>
    </row>
    <row r="136" ht="10.5" customHeight="1">
      <c r="A136" s="1"/>
      <c r="B136" s="48" t="s">
        <v>97</v>
      </c>
      <c r="C136" s="169">
        <v>1200799.0</v>
      </c>
      <c r="D136" s="130">
        <v>27102.0</v>
      </c>
      <c r="E136" s="30">
        <v>800.0</v>
      </c>
      <c r="F136" s="30">
        <v>44776.0</v>
      </c>
      <c r="G136" s="249">
        <v>2381.65</v>
      </c>
      <c r="H136" s="30">
        <v>7131.0</v>
      </c>
      <c r="I136" s="66">
        <v>266.27</v>
      </c>
      <c r="J136" s="30">
        <v>133051.0</v>
      </c>
      <c r="K136" s="30">
        <v>969241.0</v>
      </c>
      <c r="L136" s="30">
        <v>301600.0</v>
      </c>
      <c r="M136" s="30">
        <v>46623.0</v>
      </c>
      <c r="N136" s="30">
        <v>139335.0</v>
      </c>
      <c r="O136" s="30">
        <f t="shared" si="16"/>
        <v>487558</v>
      </c>
      <c r="P136" s="1"/>
      <c r="Q136" s="1"/>
      <c r="R136" s="1"/>
      <c r="S136" s="1"/>
      <c r="T136" s="1"/>
      <c r="U136" s="1"/>
    </row>
    <row r="137" ht="10.5" customHeight="1">
      <c r="A137" s="1"/>
      <c r="B137" s="48" t="s">
        <v>101</v>
      </c>
      <c r="C137" s="169">
        <v>1237346.0</v>
      </c>
      <c r="D137" s="130">
        <v>27156.0</v>
      </c>
      <c r="E137" s="30">
        <v>873.0</v>
      </c>
      <c r="F137" s="30">
        <v>50137.0</v>
      </c>
      <c r="G137" s="249">
        <v>2707.76</v>
      </c>
      <c r="H137" s="30">
        <v>4788.0</v>
      </c>
      <c r="I137" s="66">
        <v>304.09</v>
      </c>
      <c r="J137" s="30">
        <v>120547.0</v>
      </c>
      <c r="K137" s="30">
        <v>1015181.0</v>
      </c>
      <c r="L137" s="30">
        <v>423600.0</v>
      </c>
      <c r="M137" s="30">
        <v>44653.0</v>
      </c>
      <c r="N137" s="30">
        <v>170959.0</v>
      </c>
      <c r="O137" s="30">
        <f t="shared" si="16"/>
        <v>639212</v>
      </c>
      <c r="P137" s="1"/>
      <c r="Q137" s="1"/>
      <c r="R137" s="1"/>
      <c r="S137" s="1"/>
      <c r="T137" s="1"/>
      <c r="U137" s="1"/>
    </row>
    <row r="138" ht="10.5" customHeight="1">
      <c r="A138" s="1"/>
      <c r="B138" s="48" t="s">
        <v>103</v>
      </c>
      <c r="C138" s="169">
        <v>1264097.0</v>
      </c>
      <c r="D138" s="130">
        <v>22781.0</v>
      </c>
      <c r="E138" s="30">
        <v>1127.0</v>
      </c>
      <c r="F138" s="30">
        <v>54543.0</v>
      </c>
      <c r="G138" s="249">
        <v>2723.04</v>
      </c>
      <c r="H138" s="30">
        <v>5286.0</v>
      </c>
      <c r="I138" s="66">
        <v>327.97</v>
      </c>
      <c r="J138" s="30">
        <v>92460.0</v>
      </c>
      <c r="K138" s="30">
        <v>1072775.0</v>
      </c>
      <c r="L138" s="30">
        <v>445100.0</v>
      </c>
      <c r="M138" s="30">
        <v>40440.0</v>
      </c>
      <c r="N138" s="30">
        <v>186562.0</v>
      </c>
      <c r="O138" s="30">
        <f t="shared" si="16"/>
        <v>672102</v>
      </c>
      <c r="P138" s="1"/>
      <c r="Q138" s="1"/>
      <c r="R138" s="1"/>
      <c r="S138" s="1"/>
      <c r="T138" s="1"/>
      <c r="U138" s="1"/>
    </row>
    <row r="139" ht="10.5" customHeight="1">
      <c r="A139" s="1"/>
      <c r="B139" s="48" t="s">
        <v>104</v>
      </c>
      <c r="C139" s="169">
        <v>1317920.0</v>
      </c>
      <c r="D139" s="130">
        <v>22845.0</v>
      </c>
      <c r="E139" s="30">
        <v>1311.0</v>
      </c>
      <c r="F139" s="30">
        <v>64551.0</v>
      </c>
      <c r="G139" s="249">
        <v>3031.52</v>
      </c>
      <c r="H139" s="30">
        <v>4591.0</v>
      </c>
      <c r="I139" s="66">
        <v>361.43</v>
      </c>
      <c r="J139" s="30">
        <v>148301.0</v>
      </c>
      <c r="K139" s="30">
        <v>1061257.0</v>
      </c>
      <c r="L139" s="30">
        <v>594152.0</v>
      </c>
      <c r="M139" s="30">
        <v>77885.0</v>
      </c>
      <c r="N139" s="30">
        <v>239639.0</v>
      </c>
      <c r="O139" s="30">
        <f t="shared" si="16"/>
        <v>911676</v>
      </c>
      <c r="P139" s="1"/>
      <c r="Q139" s="1"/>
      <c r="R139" s="1"/>
      <c r="S139" s="1"/>
      <c r="T139" s="1"/>
      <c r="U139" s="1"/>
    </row>
    <row r="140" ht="10.5" customHeight="1">
      <c r="A140" s="1"/>
      <c r="B140" s="48"/>
      <c r="C140" s="169"/>
      <c r="D140" s="130"/>
      <c r="E140" s="30"/>
      <c r="F140" s="30"/>
      <c r="G140" s="249"/>
      <c r="H140" s="30"/>
      <c r="I140" s="66"/>
      <c r="J140" s="30"/>
      <c r="K140" s="30"/>
      <c r="L140" s="30"/>
      <c r="M140" s="30"/>
      <c r="N140" s="30"/>
      <c r="O140" s="30"/>
      <c r="P140" s="1"/>
      <c r="Q140" s="1"/>
      <c r="R140" s="1"/>
      <c r="S140" s="1"/>
      <c r="T140" s="1"/>
      <c r="U140" s="1"/>
    </row>
    <row r="141" ht="10.5" customHeight="1">
      <c r="A141" s="1"/>
      <c r="B141" s="48" t="s">
        <v>108</v>
      </c>
      <c r="C141" s="169">
        <v>1317766.0</v>
      </c>
      <c r="D141" s="130">
        <v>22172.0</v>
      </c>
      <c r="E141" s="30">
        <v>1539.0</v>
      </c>
      <c r="F141" s="30">
        <v>65627.0</v>
      </c>
      <c r="G141" s="249">
        <v>3365.81</v>
      </c>
      <c r="H141" s="30">
        <v>4399.0</v>
      </c>
      <c r="I141" s="66">
        <v>389.96</v>
      </c>
      <c r="J141" s="30">
        <v>136392.0</v>
      </c>
      <c r="K141" s="30">
        <v>1073750.0</v>
      </c>
      <c r="L141" s="30">
        <v>653095.0</v>
      </c>
      <c r="M141" s="30">
        <v>67869.0</v>
      </c>
      <c r="N141" s="30">
        <v>270350.0</v>
      </c>
      <c r="O141" s="30">
        <f t="shared" ref="O141:O145" si="17">SUM(L141:N141)</f>
        <v>991314</v>
      </c>
      <c r="P141" s="1"/>
      <c r="Q141" s="1"/>
      <c r="R141" s="1"/>
      <c r="S141" s="1"/>
      <c r="T141" s="1"/>
      <c r="U141" s="1"/>
    </row>
    <row r="142" ht="10.5" customHeight="1">
      <c r="A142" s="1"/>
      <c r="B142" s="48" t="s">
        <v>111</v>
      </c>
      <c r="C142" s="169">
        <v>1407157.0</v>
      </c>
      <c r="D142" s="130">
        <v>22632.0</v>
      </c>
      <c r="E142" s="30">
        <v>1800.0</v>
      </c>
      <c r="F142" s="30">
        <v>77741.0</v>
      </c>
      <c r="G142" s="249">
        <v>3868.85</v>
      </c>
      <c r="H142" s="30">
        <v>5155.0</v>
      </c>
      <c r="I142" s="66">
        <v>449.47</v>
      </c>
      <c r="J142" s="30">
        <v>174660.0</v>
      </c>
      <c r="K142" s="30">
        <v>1111046.0</v>
      </c>
      <c r="L142" s="30">
        <v>707791.0</v>
      </c>
      <c r="M142" s="30">
        <v>98293.0</v>
      </c>
      <c r="N142" s="30">
        <v>360465.0</v>
      </c>
      <c r="O142" s="30">
        <f t="shared" si="17"/>
        <v>1166549</v>
      </c>
      <c r="P142" s="1"/>
      <c r="Q142" s="1"/>
      <c r="R142" s="1"/>
      <c r="S142" s="1"/>
      <c r="T142" s="1"/>
      <c r="U142" s="1"/>
    </row>
    <row r="143" ht="10.5" customHeight="1">
      <c r="A143" s="1"/>
      <c r="B143" s="48" t="s">
        <v>112</v>
      </c>
      <c r="C143" s="169">
        <v>1248862.0</v>
      </c>
      <c r="D143" s="130">
        <v>21472.0</v>
      </c>
      <c r="E143" s="30">
        <v>1964.0</v>
      </c>
      <c r="F143" s="30">
        <v>67175.0</v>
      </c>
      <c r="G143" s="249">
        <v>4495.95</v>
      </c>
      <c r="H143" s="30">
        <v>2954.0</v>
      </c>
      <c r="I143" s="66">
        <v>601.49</v>
      </c>
      <c r="J143" s="30">
        <v>119093.0</v>
      </c>
      <c r="K143" s="30">
        <v>1023506.0</v>
      </c>
      <c r="L143" s="30">
        <v>692455.0</v>
      </c>
      <c r="M143" s="30">
        <v>95889.0</v>
      </c>
      <c r="N143" s="30">
        <v>362490.0</v>
      </c>
      <c r="O143" s="30">
        <f t="shared" si="17"/>
        <v>1150834</v>
      </c>
      <c r="P143" s="1"/>
      <c r="Q143" s="1"/>
      <c r="R143" s="1"/>
      <c r="S143" s="1"/>
      <c r="T143" s="1"/>
      <c r="U143" s="1"/>
    </row>
    <row r="144" ht="10.5" customHeight="1">
      <c r="A144" s="1"/>
      <c r="B144" s="48" t="s">
        <v>113</v>
      </c>
      <c r="C144" s="169">
        <v>1292201.0</v>
      </c>
      <c r="D144" s="130">
        <v>21964.0</v>
      </c>
      <c r="E144" s="30">
        <v>2024.0</v>
      </c>
      <c r="F144" s="30">
        <v>93972.0</v>
      </c>
      <c r="G144" s="249">
        <v>4556.44</v>
      </c>
      <c r="H144" s="30">
        <v>2699.0</v>
      </c>
      <c r="I144" s="66">
        <v>556.97</v>
      </c>
      <c r="J144" s="30">
        <v>139422.0</v>
      </c>
      <c r="K144" s="30">
        <v>1020337.0</v>
      </c>
      <c r="L144" s="30">
        <v>866400.0</v>
      </c>
      <c r="M144" s="30">
        <v>101014.0</v>
      </c>
      <c r="N144" s="30">
        <v>489530.0</v>
      </c>
      <c r="O144" s="30">
        <f t="shared" si="17"/>
        <v>1456944</v>
      </c>
      <c r="P144" s="1"/>
      <c r="Q144" s="1"/>
      <c r="R144" s="1"/>
      <c r="S144" s="1"/>
      <c r="T144" s="1"/>
      <c r="U144" s="1"/>
    </row>
    <row r="145" ht="10.5" customHeight="1">
      <c r="A145" s="342">
        <v>36.0</v>
      </c>
      <c r="B145" s="48" t="s">
        <v>114</v>
      </c>
      <c r="C145" s="169">
        <v>1362820.0</v>
      </c>
      <c r="D145" s="130">
        <v>23088.0</v>
      </c>
      <c r="E145" s="30">
        <v>2343.0</v>
      </c>
      <c r="F145" s="30">
        <v>98859.0</v>
      </c>
      <c r="G145" s="249">
        <v>4881.09</v>
      </c>
      <c r="H145" s="30">
        <v>2980.0</v>
      </c>
      <c r="I145" s="66">
        <v>589.59</v>
      </c>
      <c r="J145" s="30">
        <v>158629.0</v>
      </c>
      <c r="K145" s="30">
        <v>1063915.0</v>
      </c>
      <c r="L145" s="30">
        <v>963243.0</v>
      </c>
      <c r="M145" s="30">
        <v>115215.0</v>
      </c>
      <c r="N145" s="30">
        <v>558288.0</v>
      </c>
      <c r="O145" s="30">
        <f t="shared" si="17"/>
        <v>1636746</v>
      </c>
      <c r="P145" s="1"/>
      <c r="Q145" s="1"/>
      <c r="R145" s="1"/>
      <c r="S145" s="1"/>
      <c r="T145" s="1"/>
      <c r="U145" s="1"/>
    </row>
    <row r="146" ht="10.5" customHeight="1">
      <c r="A146" s="87"/>
      <c r="B146" s="48"/>
      <c r="C146" s="169"/>
      <c r="D146" s="130"/>
      <c r="E146" s="30"/>
      <c r="F146" s="30"/>
      <c r="G146" s="249"/>
      <c r="H146" s="30"/>
      <c r="I146" s="66"/>
      <c r="J146" s="30"/>
      <c r="K146" s="30"/>
      <c r="L146" s="30"/>
      <c r="M146" s="30"/>
      <c r="N146" s="30"/>
      <c r="O146" s="30"/>
      <c r="P146" s="1"/>
      <c r="Q146" s="1"/>
      <c r="R146" s="1"/>
      <c r="S146" s="1"/>
      <c r="T146" s="1"/>
      <c r="U146" s="1"/>
    </row>
    <row r="147" ht="10.5" customHeight="1">
      <c r="A147" s="1"/>
      <c r="B147" s="48" t="s">
        <v>115</v>
      </c>
      <c r="C147" s="169">
        <v>1411310.0</v>
      </c>
      <c r="D147" s="130">
        <v>22229.0</v>
      </c>
      <c r="E147" s="30">
        <v>2527.0</v>
      </c>
      <c r="F147" s="30">
        <v>103016.0</v>
      </c>
      <c r="G147" s="249">
        <v>5021.04</v>
      </c>
      <c r="H147" s="30">
        <v>3337.0</v>
      </c>
      <c r="I147" s="66">
        <v>782.02</v>
      </c>
      <c r="J147" s="30">
        <v>120309.0</v>
      </c>
      <c r="K147" s="30">
        <v>1148114.0</v>
      </c>
      <c r="L147" s="30">
        <v>1233107.0</v>
      </c>
      <c r="M147" s="30">
        <v>103213.0</v>
      </c>
      <c r="N147" s="30">
        <v>595598.0</v>
      </c>
      <c r="O147" s="30">
        <f t="shared" ref="O147:O151" si="18">SUM(L147:N147)</f>
        <v>1931918</v>
      </c>
      <c r="P147" s="1"/>
      <c r="Q147" s="1"/>
      <c r="R147" s="1"/>
      <c r="S147" s="1"/>
      <c r="T147" s="1"/>
      <c r="U147" s="1"/>
    </row>
    <row r="148" ht="10.5" customHeight="1">
      <c r="A148" s="1"/>
      <c r="B148" s="48" t="s">
        <v>117</v>
      </c>
      <c r="C148" s="169">
        <v>1438550.0</v>
      </c>
      <c r="D148" s="130">
        <v>20972.0</v>
      </c>
      <c r="E148" s="30">
        <v>2321.0</v>
      </c>
      <c r="F148" s="30">
        <v>109907.0</v>
      </c>
      <c r="G148" s="249">
        <v>5698.82</v>
      </c>
      <c r="H148" s="30">
        <v>5370.0</v>
      </c>
      <c r="I148" s="66">
        <v>906.08</v>
      </c>
      <c r="J148" s="30">
        <v>167942.0</v>
      </c>
      <c r="K148" s="30">
        <v>1120603.0</v>
      </c>
      <c r="L148" s="30">
        <v>1462523.0</v>
      </c>
      <c r="M148" s="30">
        <v>136553.0</v>
      </c>
      <c r="N148" s="30">
        <v>703191.0</v>
      </c>
      <c r="O148" s="30">
        <f t="shared" si="18"/>
        <v>2302267</v>
      </c>
      <c r="P148" s="1"/>
      <c r="Q148" s="1"/>
      <c r="R148" s="1"/>
      <c r="S148" s="1"/>
      <c r="T148" s="1"/>
      <c r="U148" s="1"/>
    </row>
    <row r="149" ht="10.5" customHeight="1">
      <c r="A149" s="1"/>
      <c r="B149" s="48" t="s">
        <v>121</v>
      </c>
      <c r="C149" s="169">
        <v>1333481.0</v>
      </c>
      <c r="D149" s="130">
        <v>21659.0</v>
      </c>
      <c r="E149" s="30">
        <v>2992.0</v>
      </c>
      <c r="F149" s="30">
        <v>141591.0</v>
      </c>
      <c r="G149" s="249">
        <v>6935.47</v>
      </c>
      <c r="H149" s="30">
        <v>3308.0</v>
      </c>
      <c r="I149" s="66">
        <v>885.75</v>
      </c>
      <c r="J149" s="30">
        <v>113339.0</v>
      </c>
      <c r="K149" s="30">
        <v>1041004.0</v>
      </c>
      <c r="L149" s="30">
        <v>1412591.0</v>
      </c>
      <c r="M149" s="30">
        <v>123044.0</v>
      </c>
      <c r="N149" s="30">
        <v>1071522.0</v>
      </c>
      <c r="O149" s="30">
        <f t="shared" si="18"/>
        <v>2607157</v>
      </c>
      <c r="P149" s="1"/>
      <c r="Q149" s="1"/>
      <c r="R149" s="1"/>
      <c r="S149" s="1"/>
      <c r="T149" s="1"/>
      <c r="U149" s="1"/>
    </row>
    <row r="150" ht="10.5" customHeight="1">
      <c r="A150" s="1"/>
      <c r="B150" s="48" t="s">
        <v>122</v>
      </c>
      <c r="C150" s="169">
        <v>1555659.0</v>
      </c>
      <c r="D150" s="130">
        <v>23826.0</v>
      </c>
      <c r="E150" s="30">
        <v>2936.0</v>
      </c>
      <c r="F150" s="30">
        <v>167747.0</v>
      </c>
      <c r="G150" s="249">
        <v>7493.87</v>
      </c>
      <c r="H150" s="30">
        <v>4693.0</v>
      </c>
      <c r="I150" s="249">
        <v>1019.56</v>
      </c>
      <c r="J150" s="30">
        <v>170376.0</v>
      </c>
      <c r="K150" s="30">
        <v>1173596.0</v>
      </c>
      <c r="L150" s="30">
        <v>1435912.0</v>
      </c>
      <c r="M150" s="30">
        <v>231366.0</v>
      </c>
      <c r="N150" s="30">
        <v>1355754.0</v>
      </c>
      <c r="O150" s="30">
        <f t="shared" si="18"/>
        <v>3023032</v>
      </c>
      <c r="P150" s="1"/>
      <c r="Q150" s="1"/>
      <c r="R150" s="1"/>
      <c r="S150" s="1"/>
      <c r="T150" s="1"/>
      <c r="U150" s="1"/>
    </row>
    <row r="151" ht="10.5" customHeight="1">
      <c r="A151" s="1"/>
      <c r="B151" s="48" t="s">
        <v>123</v>
      </c>
      <c r="C151" s="169">
        <v>1460677.0</v>
      </c>
      <c r="D151" s="130">
        <v>22910.0</v>
      </c>
      <c r="E151" s="30">
        <v>2785.0</v>
      </c>
      <c r="F151" s="30">
        <v>168327.0</v>
      </c>
      <c r="G151" s="249">
        <v>6340.93</v>
      </c>
      <c r="H151" s="30">
        <v>4082.0</v>
      </c>
      <c r="I151" s="249">
        <v>1027.07</v>
      </c>
      <c r="J151" s="30">
        <v>152568.0</v>
      </c>
      <c r="K151" s="30">
        <v>1098170.0</v>
      </c>
      <c r="L151" s="30">
        <v>1458135.0</v>
      </c>
      <c r="M151" s="30">
        <v>190943.0</v>
      </c>
      <c r="N151" s="30">
        <v>1157131.0</v>
      </c>
      <c r="O151" s="30">
        <f t="shared" si="18"/>
        <v>2806209</v>
      </c>
      <c r="P151" s="1"/>
      <c r="Q151" s="1"/>
      <c r="R151" s="1"/>
      <c r="S151" s="1"/>
      <c r="T151" s="1"/>
      <c r="U151" s="1"/>
    </row>
    <row r="152" ht="10.5" customHeight="1">
      <c r="A152" s="1"/>
      <c r="B152" s="48"/>
      <c r="C152" s="169"/>
      <c r="D152" s="130"/>
      <c r="E152" s="30"/>
      <c r="F152" s="30"/>
      <c r="G152" s="249"/>
      <c r="H152" s="30"/>
      <c r="I152" s="249"/>
      <c r="J152" s="30"/>
      <c r="K152" s="30"/>
      <c r="L152" s="30"/>
      <c r="M152" s="30"/>
      <c r="N152" s="30"/>
      <c r="O152" s="30"/>
      <c r="P152" s="1"/>
      <c r="Q152" s="1"/>
      <c r="R152" s="1"/>
      <c r="S152" s="1"/>
      <c r="T152" s="1"/>
      <c r="U152" s="1"/>
    </row>
    <row r="153" ht="10.5" customHeight="1">
      <c r="A153" s="1"/>
      <c r="B153" s="48" t="s">
        <v>125</v>
      </c>
      <c r="C153" s="169">
        <v>1328635.0</v>
      </c>
      <c r="D153" s="130">
        <v>23566.0</v>
      </c>
      <c r="E153" s="30">
        <v>3210.0</v>
      </c>
      <c r="F153" s="30">
        <v>170379.0</v>
      </c>
      <c r="G153" s="249">
        <v>8386.42</v>
      </c>
      <c r="H153" s="30">
        <v>3044.0</v>
      </c>
      <c r="I153" s="249">
        <v>1069.65</v>
      </c>
      <c r="J153" s="30">
        <v>139372.0</v>
      </c>
      <c r="K153" s="30">
        <v>977461.0</v>
      </c>
      <c r="L153" s="30">
        <v>1595747.0</v>
      </c>
      <c r="M153" s="30">
        <v>147661.0</v>
      </c>
      <c r="N153" s="30">
        <v>1534281.0</v>
      </c>
      <c r="O153" s="30">
        <f t="shared" ref="O153:O157" si="19">SUM(L153:N153)</f>
        <v>3277689</v>
      </c>
      <c r="P153" s="1"/>
      <c r="Q153" s="1"/>
      <c r="R153" s="1"/>
      <c r="S153" s="1"/>
      <c r="T153" s="1"/>
      <c r="U153" s="1"/>
    </row>
    <row r="154" ht="10.5" customHeight="1">
      <c r="A154" s="1"/>
      <c r="B154" s="48" t="s">
        <v>127</v>
      </c>
      <c r="C154" s="169">
        <v>1494345.0</v>
      </c>
      <c r="D154" s="130">
        <v>26980.0</v>
      </c>
      <c r="E154" s="30">
        <v>3418.0</v>
      </c>
      <c r="F154" s="33">
        <v>196906.0</v>
      </c>
      <c r="G154" s="252">
        <v>5789.03</v>
      </c>
      <c r="H154" s="33">
        <v>2915.0</v>
      </c>
      <c r="I154" s="252">
        <v>1115.73</v>
      </c>
      <c r="J154" s="33">
        <v>169420.0</v>
      </c>
      <c r="K154" s="33">
        <v>1079875.0</v>
      </c>
      <c r="L154" s="30">
        <v>2075450.0</v>
      </c>
      <c r="M154" s="30">
        <v>134681.0</v>
      </c>
      <c r="N154" s="30">
        <v>1270091.0</v>
      </c>
      <c r="O154" s="30">
        <f t="shared" si="19"/>
        <v>3480222</v>
      </c>
      <c r="P154" s="1"/>
      <c r="Q154" s="1"/>
      <c r="R154" s="1"/>
      <c r="S154" s="1"/>
      <c r="T154" s="1"/>
      <c r="U154" s="1"/>
    </row>
    <row r="155" ht="10.5" customHeight="1">
      <c r="A155" s="1"/>
      <c r="B155" s="48" t="s">
        <v>128</v>
      </c>
      <c r="C155" s="169">
        <v>1642547.0</v>
      </c>
      <c r="D155" s="130">
        <v>29978.0</v>
      </c>
      <c r="E155" s="30">
        <v>3623.0</v>
      </c>
      <c r="F155" s="33">
        <v>210209.0</v>
      </c>
      <c r="G155" s="252">
        <v>6760.75</v>
      </c>
      <c r="H155" s="33">
        <v>2273.0</v>
      </c>
      <c r="I155" s="252">
        <v>1744.93</v>
      </c>
      <c r="J155" s="33">
        <v>146908.0</v>
      </c>
      <c r="K155" s="33">
        <v>1233689.0</v>
      </c>
      <c r="L155" s="30">
        <v>2576101.0</v>
      </c>
      <c r="M155" s="30">
        <v>170212.0</v>
      </c>
      <c r="N155" s="30">
        <v>1571401.0</v>
      </c>
      <c r="O155" s="30">
        <f t="shared" si="19"/>
        <v>4317714</v>
      </c>
      <c r="P155" s="1"/>
      <c r="Q155" s="1"/>
      <c r="R155" s="1"/>
      <c r="S155" s="1"/>
      <c r="T155" s="1"/>
      <c r="U155" s="1"/>
    </row>
    <row r="156" ht="10.5" customHeight="1">
      <c r="A156" s="1"/>
      <c r="B156" s="48" t="s">
        <v>129</v>
      </c>
      <c r="C156" s="169">
        <v>1761798.0</v>
      </c>
      <c r="D156" s="130">
        <v>29920.0</v>
      </c>
      <c r="E156" s="30">
        <v>3982.0</v>
      </c>
      <c r="F156" s="33">
        <v>239376.0</v>
      </c>
      <c r="G156" s="252">
        <v>7440.62</v>
      </c>
      <c r="H156" s="33">
        <v>3018.0</v>
      </c>
      <c r="I156" s="252">
        <v>1216.72</v>
      </c>
      <c r="J156" s="33">
        <v>158064.0</v>
      </c>
      <c r="K156" s="12">
        <v>1312184.0</v>
      </c>
      <c r="L156" s="33">
        <v>2810649.0</v>
      </c>
      <c r="M156" s="33">
        <v>168043.0</v>
      </c>
      <c r="N156" s="33">
        <v>1944463.0</v>
      </c>
      <c r="O156" s="30">
        <f t="shared" si="19"/>
        <v>4923155</v>
      </c>
      <c r="P156" s="1"/>
      <c r="Q156" s="1"/>
      <c r="R156" s="1"/>
      <c r="S156" s="1"/>
      <c r="T156" s="1"/>
      <c r="U156" s="1"/>
    </row>
    <row r="157" ht="10.5" customHeight="1">
      <c r="A157" s="1"/>
      <c r="B157" s="48" t="s">
        <v>130</v>
      </c>
      <c r="C157" s="169">
        <v>1548143.0</v>
      </c>
      <c r="D157" s="130">
        <v>25743.0</v>
      </c>
      <c r="E157" s="30">
        <v>4152.0</v>
      </c>
      <c r="F157" s="33">
        <v>210401.0</v>
      </c>
      <c r="G157" s="252">
        <v>7698.03</v>
      </c>
      <c r="H157" s="33">
        <v>2632.0</v>
      </c>
      <c r="I157" s="252">
        <v>1491.37</v>
      </c>
      <c r="J157" s="33">
        <v>121664.0</v>
      </c>
      <c r="K157" s="12">
        <v>1171632.0</v>
      </c>
      <c r="L157" s="33">
        <v>2643812.0</v>
      </c>
      <c r="M157" s="33">
        <v>169065.0</v>
      </c>
      <c r="N157" s="33">
        <v>1764282.0</v>
      </c>
      <c r="O157" s="30">
        <f t="shared" si="19"/>
        <v>4577159</v>
      </c>
      <c r="P157" s="1"/>
      <c r="Q157" s="1"/>
      <c r="R157" s="1"/>
      <c r="S157" s="1"/>
      <c r="T157" s="1"/>
      <c r="U157" s="1"/>
    </row>
    <row r="158" ht="10.5" customHeight="1">
      <c r="A158" s="1"/>
      <c r="B158" s="48"/>
      <c r="C158" s="169"/>
      <c r="D158" s="130"/>
      <c r="E158" s="30"/>
      <c r="F158" s="33"/>
      <c r="G158" s="252"/>
      <c r="H158" s="33"/>
      <c r="I158" s="252"/>
      <c r="J158" s="33"/>
      <c r="K158" s="12"/>
      <c r="L158" s="33"/>
      <c r="M158" s="33"/>
      <c r="N158" s="33"/>
      <c r="O158" s="30"/>
      <c r="P158" s="1"/>
      <c r="Q158" s="1"/>
      <c r="R158" s="1"/>
      <c r="S158" s="1"/>
      <c r="T158" s="1"/>
      <c r="U158" s="1"/>
    </row>
    <row r="159" ht="10.5" customHeight="1">
      <c r="A159" s="1"/>
      <c r="B159" s="48" t="s">
        <v>131</v>
      </c>
      <c r="C159" s="169">
        <v>1757447.0</v>
      </c>
      <c r="D159" s="216">
        <v>29110.0</v>
      </c>
      <c r="E159" s="30">
        <v>4587.0</v>
      </c>
      <c r="F159" s="33">
        <v>240656.0</v>
      </c>
      <c r="G159" s="252">
        <v>6071.72</v>
      </c>
      <c r="H159" s="33">
        <v>3151.0</v>
      </c>
      <c r="I159" s="252">
        <v>1470.12</v>
      </c>
      <c r="J159" s="33">
        <v>164916.0</v>
      </c>
      <c r="K159" s="33">
        <v>1301578.0</v>
      </c>
      <c r="L159" s="33">
        <v>2636879.0</v>
      </c>
      <c r="M159" s="33">
        <v>216280.0</v>
      </c>
      <c r="N159" s="33">
        <v>1639635.0</v>
      </c>
      <c r="O159" s="30">
        <f t="shared" ref="O159:O163" si="20">SUM(L159:N159)</f>
        <v>4492794</v>
      </c>
      <c r="P159" s="1"/>
      <c r="Q159" s="1"/>
      <c r="R159" s="1"/>
      <c r="S159" s="1"/>
      <c r="T159" s="1"/>
      <c r="U159" s="1"/>
    </row>
    <row r="160" ht="10.5" customHeight="1">
      <c r="A160" s="1"/>
      <c r="B160" s="48" t="s">
        <v>133</v>
      </c>
      <c r="C160" s="169">
        <v>1812410.0</v>
      </c>
      <c r="D160" s="216">
        <v>26974.0</v>
      </c>
      <c r="E160" s="30">
        <v>5117.0</v>
      </c>
      <c r="F160" s="33">
        <v>237394.0</v>
      </c>
      <c r="G160" s="252">
        <v>7786.81</v>
      </c>
      <c r="H160" s="33">
        <v>3468.0</v>
      </c>
      <c r="I160" s="252">
        <v>1589.73</v>
      </c>
      <c r="J160" s="33">
        <v>176128.0</v>
      </c>
      <c r="K160" s="33">
        <v>1351447.0</v>
      </c>
      <c r="L160" s="33">
        <v>2852543.0</v>
      </c>
      <c r="M160" s="33">
        <v>267993.0</v>
      </c>
      <c r="N160" s="33">
        <v>2039444.0</v>
      </c>
      <c r="O160" s="30">
        <f t="shared" si="20"/>
        <v>5159980</v>
      </c>
      <c r="P160" s="1"/>
      <c r="Q160" s="1"/>
      <c r="R160" s="1"/>
      <c r="S160" s="1"/>
      <c r="T160" s="1"/>
      <c r="U160" s="1"/>
    </row>
    <row r="161" ht="10.5" customHeight="1">
      <c r="A161" s="1"/>
      <c r="B161" s="293">
        <v>39295.0</v>
      </c>
      <c r="C161" s="169">
        <v>1865282.0</v>
      </c>
      <c r="D161" s="216">
        <v>25663.0</v>
      </c>
      <c r="E161" s="30">
        <v>5719.0</v>
      </c>
      <c r="F161" s="33">
        <v>224872.0</v>
      </c>
      <c r="G161" s="252">
        <v>9629.16</v>
      </c>
      <c r="H161" s="33">
        <v>2762.0</v>
      </c>
      <c r="I161" s="252">
        <v>1632.11</v>
      </c>
      <c r="J161" s="33">
        <v>169760.0</v>
      </c>
      <c r="K161" s="33">
        <v>1425612.0</v>
      </c>
      <c r="L161" s="33">
        <v>3319899.0</v>
      </c>
      <c r="M161" s="33">
        <v>317762.0</v>
      </c>
      <c r="N161" s="33">
        <v>2364875.0</v>
      </c>
      <c r="O161" s="30">
        <f t="shared" si="20"/>
        <v>6002536</v>
      </c>
      <c r="P161" s="1"/>
      <c r="Q161" s="1"/>
      <c r="R161" s="1"/>
      <c r="S161" s="1"/>
      <c r="T161" s="1"/>
      <c r="U161" s="1"/>
    </row>
    <row r="162" ht="10.5" customHeight="1">
      <c r="A162" s="1"/>
      <c r="B162" s="293">
        <v>39692.0</v>
      </c>
      <c r="C162" s="169">
        <v>1748590.0</v>
      </c>
      <c r="D162" s="216">
        <v>23835.0</v>
      </c>
      <c r="E162" s="33">
        <v>6680.0</v>
      </c>
      <c r="F162" s="33">
        <v>228050.0</v>
      </c>
      <c r="G162" s="252">
        <v>11122.51</v>
      </c>
      <c r="H162" s="33">
        <v>3010.0</v>
      </c>
      <c r="I162" s="252">
        <v>1707.42</v>
      </c>
      <c r="J162" s="33">
        <v>130876.0</v>
      </c>
      <c r="K162" s="33">
        <v>1347620.0</v>
      </c>
      <c r="L162" s="33">
        <v>3648903.0</v>
      </c>
      <c r="M162" s="33">
        <v>443913.0</v>
      </c>
      <c r="N162" s="33">
        <v>2753557.0</v>
      </c>
      <c r="O162" s="30">
        <f t="shared" si="20"/>
        <v>6846373</v>
      </c>
      <c r="P162" s="1"/>
      <c r="Q162" s="1"/>
      <c r="R162" s="1"/>
      <c r="S162" s="1"/>
      <c r="T162" s="1"/>
      <c r="U162" s="1"/>
    </row>
    <row r="163" ht="10.5" customHeight="1">
      <c r="A163" s="1"/>
      <c r="B163" s="293">
        <v>40087.0</v>
      </c>
      <c r="C163" s="169">
        <v>1743496.0</v>
      </c>
      <c r="D163" s="216">
        <v>23499.0</v>
      </c>
      <c r="E163" s="33">
        <v>6962.0</v>
      </c>
      <c r="F163" s="33">
        <v>239343.0</v>
      </c>
      <c r="G163" s="252">
        <v>11783.68</v>
      </c>
      <c r="H163" s="33">
        <v>1752.0</v>
      </c>
      <c r="I163" s="252">
        <v>1749.82</v>
      </c>
      <c r="J163" s="33">
        <v>202512.0</v>
      </c>
      <c r="K163" s="33">
        <v>1261309.0</v>
      </c>
      <c r="L163" s="33">
        <v>3619398.0</v>
      </c>
      <c r="M163" s="33">
        <v>509348.0</v>
      </c>
      <c r="N163" s="33">
        <v>3042947.0</v>
      </c>
      <c r="O163" s="30">
        <f t="shared" si="20"/>
        <v>7171693</v>
      </c>
      <c r="P163" s="1"/>
      <c r="Q163" s="1"/>
      <c r="R163" s="1"/>
      <c r="S163" s="1"/>
      <c r="T163" s="1"/>
      <c r="U163" s="1"/>
    </row>
    <row r="164" ht="10.5" customHeight="1">
      <c r="A164" s="1"/>
      <c r="B164" s="293"/>
      <c r="C164" s="169"/>
      <c r="D164" s="216"/>
      <c r="E164" s="33"/>
      <c r="F164" s="33"/>
      <c r="G164" s="252"/>
      <c r="H164" s="33"/>
      <c r="I164" s="252"/>
      <c r="J164" s="33"/>
      <c r="K164" s="33"/>
      <c r="L164" s="33"/>
      <c r="M164" s="33"/>
      <c r="N164" s="33"/>
      <c r="O164" s="33"/>
      <c r="P164" s="1"/>
      <c r="Q164" s="1"/>
      <c r="R164" s="1"/>
      <c r="S164" s="1"/>
      <c r="T164" s="1"/>
      <c r="U164" s="1"/>
    </row>
    <row r="165" ht="10.5" customHeight="1">
      <c r="A165" s="1"/>
      <c r="B165" s="85" t="s">
        <v>139</v>
      </c>
      <c r="C165" s="169">
        <v>1680436.0</v>
      </c>
      <c r="D165" s="216">
        <v>23215.0</v>
      </c>
      <c r="E165" s="33">
        <v>7600.0</v>
      </c>
      <c r="F165" s="33">
        <v>222715.0</v>
      </c>
      <c r="G165" s="252">
        <v>12281.94</v>
      </c>
      <c r="H165" s="33">
        <v>2375.0</v>
      </c>
      <c r="I165" s="252">
        <v>2010.0</v>
      </c>
      <c r="J165" s="33">
        <v>114800.0</v>
      </c>
      <c r="K165" s="33">
        <v>1302530.0</v>
      </c>
      <c r="L165" s="33">
        <v>3553496.0</v>
      </c>
      <c r="M165" s="33">
        <v>371106.0</v>
      </c>
      <c r="N165" s="33">
        <v>2975656.0</v>
      </c>
      <c r="O165" s="30">
        <f t="shared" ref="O165:O167" si="21">SUM(L165:N165)</f>
        <v>6900258</v>
      </c>
      <c r="P165" s="1"/>
      <c r="Q165" s="1"/>
      <c r="R165" s="1"/>
      <c r="S165" s="1"/>
      <c r="T165" s="1"/>
      <c r="U165" s="1"/>
    </row>
    <row r="166" ht="10.5" customHeight="1">
      <c r="A166" s="1"/>
      <c r="B166" s="85" t="s">
        <v>143</v>
      </c>
      <c r="C166" s="169">
        <v>1841385.0</v>
      </c>
      <c r="D166" s="216">
        <v>24118.0</v>
      </c>
      <c r="E166" s="33">
        <v>7937.0</v>
      </c>
      <c r="F166" s="33">
        <v>232902.0</v>
      </c>
      <c r="G166" s="252">
        <v>13261.61</v>
      </c>
      <c r="H166" s="33">
        <v>1649.0</v>
      </c>
      <c r="I166" s="252">
        <v>2529.69</v>
      </c>
      <c r="J166" s="33">
        <v>151628.0</v>
      </c>
      <c r="K166" s="33">
        <v>1414483.0</v>
      </c>
      <c r="L166" s="33">
        <v>4131387.0</v>
      </c>
      <c r="M166" s="33">
        <v>546813.0</v>
      </c>
      <c r="N166" s="33">
        <v>3354300.0</v>
      </c>
      <c r="O166" s="30">
        <f t="shared" si="21"/>
        <v>8032500</v>
      </c>
      <c r="P166" s="1"/>
      <c r="Q166" s="1"/>
      <c r="R166" s="1"/>
      <c r="S166" s="1"/>
      <c r="T166" s="1"/>
      <c r="U166" s="1"/>
    </row>
    <row r="167" ht="10.5" customHeight="1">
      <c r="A167" s="1"/>
      <c r="B167" s="85" t="s">
        <v>149</v>
      </c>
      <c r="C167" s="169">
        <v>1979872.0</v>
      </c>
      <c r="D167" s="216">
        <v>21473.0</v>
      </c>
      <c r="E167" s="33">
        <v>9135.0</v>
      </c>
      <c r="F167" s="33">
        <v>219926.0</v>
      </c>
      <c r="G167" s="252">
        <v>15025.43</v>
      </c>
      <c r="H167" s="33">
        <v>2458.0</v>
      </c>
      <c r="I167" s="252">
        <v>2613.5</v>
      </c>
      <c r="J167" s="33">
        <v>223156.0</v>
      </c>
      <c r="K167" s="33">
        <v>1498243.0</v>
      </c>
      <c r="L167" s="33">
        <v>4820691.0</v>
      </c>
      <c r="M167" s="33">
        <v>754914.0</v>
      </c>
      <c r="N167" s="33">
        <v>3577107.0</v>
      </c>
      <c r="O167" s="30">
        <f t="shared" si="21"/>
        <v>9152712</v>
      </c>
      <c r="P167" s="1"/>
      <c r="Q167" s="1"/>
      <c r="R167" s="1"/>
      <c r="S167" s="1"/>
      <c r="T167" s="1"/>
      <c r="U167" s="1"/>
    </row>
    <row r="168" ht="10.5" customHeight="1">
      <c r="A168" s="1"/>
      <c r="B168" s="85" t="s">
        <v>151</v>
      </c>
      <c r="C168" s="169">
        <v>1949264.0</v>
      </c>
      <c r="D168" s="216">
        <v>19397.0</v>
      </c>
      <c r="E168" s="33">
        <v>10602.0</v>
      </c>
      <c r="F168" s="33">
        <v>210597.0</v>
      </c>
      <c r="G168" s="252">
        <v>18069.16</v>
      </c>
      <c r="H168" s="33">
        <v>2876.0</v>
      </c>
      <c r="I168" s="252">
        <v>2888.02</v>
      </c>
      <c r="J168" s="33">
        <v>184204.0</v>
      </c>
      <c r="K168" s="33">
        <v>1519708.0</v>
      </c>
      <c r="L168" s="33">
        <v>4727031.0</v>
      </c>
      <c r="M168" s="33">
        <v>653886.0</v>
      </c>
      <c r="N168" s="33">
        <v>4094282.0</v>
      </c>
      <c r="O168" s="30">
        <v>9475199.0</v>
      </c>
      <c r="P168" s="1"/>
      <c r="Q168" s="1"/>
      <c r="R168" s="1"/>
      <c r="S168" s="1"/>
      <c r="T168" s="1"/>
      <c r="U168" s="1"/>
    </row>
    <row r="169" ht="10.5" customHeight="1">
      <c r="A169" s="1"/>
      <c r="B169" s="85" t="s">
        <v>153</v>
      </c>
      <c r="C169" s="169">
        <v>2007336.0</v>
      </c>
      <c r="D169" s="216">
        <v>20403.0</v>
      </c>
      <c r="E169" s="33">
        <v>11399.0</v>
      </c>
      <c r="F169" s="33">
        <v>253211.0</v>
      </c>
      <c r="G169" s="252">
        <v>18458.86</v>
      </c>
      <c r="H169" s="33">
        <v>1123.0</v>
      </c>
      <c r="I169" s="252">
        <v>3582.18</v>
      </c>
      <c r="J169" s="33">
        <v>242148.0</v>
      </c>
      <c r="K169" s="33">
        <v>1477091.0</v>
      </c>
      <c r="L169" s="33">
        <v>4792934.0</v>
      </c>
      <c r="M169" s="33">
        <v>748655.0</v>
      </c>
      <c r="N169" s="33">
        <v>4993837.0</v>
      </c>
      <c r="O169" s="30">
        <v>1.0535427E7</v>
      </c>
      <c r="P169" s="1"/>
      <c r="Q169" s="1"/>
      <c r="R169" s="1"/>
      <c r="S169" s="1"/>
      <c r="T169" s="1"/>
      <c r="U169" s="1"/>
    </row>
    <row r="170" ht="10.5" customHeight="1">
      <c r="A170" s="1"/>
      <c r="B170" s="85"/>
      <c r="C170" s="169"/>
      <c r="D170" s="216"/>
      <c r="E170" s="33"/>
      <c r="F170" s="33"/>
      <c r="G170" s="252"/>
      <c r="H170" s="33"/>
      <c r="I170" s="252"/>
      <c r="J170" s="33"/>
      <c r="K170" s="33"/>
      <c r="L170" s="33"/>
      <c r="M170" s="33"/>
      <c r="N170" s="33"/>
      <c r="O170" s="30"/>
      <c r="P170" s="1"/>
      <c r="Q170" s="1"/>
      <c r="R170" s="1"/>
      <c r="S170" s="1"/>
      <c r="T170" s="1"/>
      <c r="U170" s="1"/>
    </row>
    <row r="171" ht="10.5" customHeight="1">
      <c r="A171" s="1"/>
      <c r="B171" s="85" t="s">
        <v>155</v>
      </c>
      <c r="C171" s="169">
        <v>1966291.0</v>
      </c>
      <c r="D171" s="216">
        <v>21304.0</v>
      </c>
      <c r="E171" s="33">
        <v>12359.0</v>
      </c>
      <c r="F171" s="33">
        <v>305512.0</v>
      </c>
      <c r="G171" s="252">
        <v>22085.74</v>
      </c>
      <c r="H171" s="33">
        <v>2382.0</v>
      </c>
      <c r="I171" s="252">
        <v>4026.54</v>
      </c>
      <c r="J171" s="33">
        <v>218516.0</v>
      </c>
      <c r="K171" s="33">
        <v>1405401.0</v>
      </c>
      <c r="L171" s="33">
        <v>5030088.0</v>
      </c>
      <c r="M171" s="33">
        <v>871874.0</v>
      </c>
      <c r="N171" s="33">
        <v>7110120.0</v>
      </c>
      <c r="O171" s="30">
        <v>1.3012082E7</v>
      </c>
      <c r="P171" s="1"/>
      <c r="Q171" s="1"/>
      <c r="R171" s="1"/>
      <c r="S171" s="1"/>
      <c r="T171" s="1"/>
      <c r="U171" s="1"/>
    </row>
    <row r="172" ht="12.75" customHeight="1">
      <c r="A172" s="1"/>
      <c r="B172" s="96" t="s">
        <v>660</v>
      </c>
      <c r="C172" s="260">
        <v>2032582.0</v>
      </c>
      <c r="D172" s="240">
        <v>20713.0</v>
      </c>
      <c r="E172" s="57">
        <v>13162.0</v>
      </c>
      <c r="F172" s="57">
        <v>329009.0</v>
      </c>
      <c r="G172" s="263">
        <v>20413.79</v>
      </c>
      <c r="H172" s="57">
        <v>2146.0</v>
      </c>
      <c r="I172" s="263">
        <v>4541.21</v>
      </c>
      <c r="J172" s="57">
        <v>262356.0</v>
      </c>
      <c r="K172" s="57" t="s">
        <v>10</v>
      </c>
      <c r="L172" s="57" t="s">
        <v>10</v>
      </c>
      <c r="M172" s="57" t="s">
        <v>10</v>
      </c>
      <c r="N172" s="57">
        <v>7089960.0</v>
      </c>
      <c r="O172" s="57">
        <v>1.2991923E7</v>
      </c>
      <c r="P172" s="1"/>
      <c r="Q172" s="1"/>
      <c r="R172" s="1"/>
      <c r="S172" s="1"/>
      <c r="T172" s="1"/>
      <c r="U172" s="1"/>
    </row>
    <row r="173" ht="6.0" customHeight="1">
      <c r="A173" s="1"/>
      <c r="B173" s="291"/>
      <c r="C173" s="267"/>
      <c r="D173" s="243"/>
      <c r="E173" s="306"/>
      <c r="F173" s="306"/>
      <c r="G173" s="270"/>
      <c r="H173" s="306"/>
      <c r="I173" s="270"/>
      <c r="J173" s="306"/>
      <c r="K173" s="306"/>
      <c r="L173" s="306"/>
      <c r="M173" s="306"/>
      <c r="N173" s="306"/>
      <c r="O173" s="306"/>
      <c r="P173" s="1"/>
      <c r="Q173" s="1"/>
      <c r="R173" s="1"/>
      <c r="S173" s="1"/>
      <c r="T173" s="1"/>
      <c r="U173" s="1"/>
    </row>
    <row r="174" ht="10.5" customHeight="1">
      <c r="A174" s="1"/>
      <c r="B174" s="185" t="s">
        <v>661</v>
      </c>
      <c r="C174" s="185"/>
      <c r="D174" s="185"/>
      <c r="E174" s="185"/>
      <c r="F174" s="185"/>
      <c r="G174" s="185"/>
      <c r="H174" s="185"/>
      <c r="I174" s="1"/>
      <c r="J174" s="1"/>
      <c r="K174" s="1"/>
      <c r="L174" s="1"/>
      <c r="M174" s="1"/>
      <c r="N174" s="1"/>
      <c r="O174" s="1"/>
      <c r="P174" s="1"/>
      <c r="Q174" s="1"/>
      <c r="R174" s="1"/>
      <c r="S174" s="1"/>
      <c r="T174" s="1"/>
      <c r="U174" s="1"/>
    </row>
    <row r="175" ht="10.5" customHeight="1">
      <c r="A175" s="1"/>
      <c r="B175" s="185" t="s">
        <v>662</v>
      </c>
      <c r="C175" s="185"/>
      <c r="D175" s="185"/>
      <c r="E175" s="185"/>
      <c r="F175" s="185"/>
      <c r="G175" s="185"/>
      <c r="H175" s="185"/>
      <c r="I175" s="1"/>
      <c r="J175" s="1"/>
      <c r="K175" s="1"/>
      <c r="L175" s="1"/>
      <c r="M175" s="1"/>
      <c r="N175" s="1"/>
      <c r="O175" s="1"/>
      <c r="P175" s="1"/>
      <c r="Q175" s="1"/>
      <c r="R175" s="1"/>
      <c r="S175" s="1"/>
      <c r="T175" s="1"/>
      <c r="U175" s="1"/>
    </row>
    <row r="176" ht="10.5" customHeight="1">
      <c r="A176" s="1"/>
      <c r="B176" s="185" t="s">
        <v>663</v>
      </c>
      <c r="C176" s="185"/>
      <c r="D176" s="185"/>
      <c r="E176" s="185"/>
      <c r="F176" s="185"/>
      <c r="G176" s="185"/>
      <c r="H176" s="185"/>
      <c r="I176" s="1"/>
      <c r="J176" s="1"/>
      <c r="K176" s="1"/>
      <c r="L176" s="1"/>
      <c r="M176" s="1"/>
      <c r="N176" s="1"/>
      <c r="O176" s="1"/>
      <c r="P176" s="1"/>
      <c r="Q176" s="1"/>
      <c r="R176" s="1"/>
      <c r="S176" s="1"/>
      <c r="T176" s="1"/>
      <c r="U176" s="1"/>
    </row>
    <row r="177" ht="10.5" customHeight="1">
      <c r="A177" s="1"/>
      <c r="B177" s="185" t="s">
        <v>664</v>
      </c>
      <c r="C177" s="185"/>
      <c r="D177" s="185"/>
      <c r="E177" s="185"/>
      <c r="F177" s="185"/>
      <c r="G177" s="185"/>
      <c r="H177" s="185"/>
      <c r="I177" s="1"/>
      <c r="J177" s="1"/>
      <c r="K177" s="1"/>
      <c r="L177" s="1"/>
      <c r="M177" s="1"/>
      <c r="N177" s="1"/>
      <c r="O177" s="1"/>
      <c r="P177" s="1"/>
      <c r="Q177" s="1"/>
      <c r="R177" s="1"/>
      <c r="S177" s="1"/>
      <c r="T177" s="1"/>
      <c r="U177" s="1"/>
    </row>
    <row r="178" ht="10.5" customHeight="1">
      <c r="A178" s="1"/>
      <c r="B178" s="185" t="s">
        <v>665</v>
      </c>
      <c r="C178" s="185"/>
      <c r="D178" s="185"/>
      <c r="E178" s="185"/>
      <c r="F178" s="185"/>
      <c r="G178" s="185"/>
      <c r="H178" s="185"/>
      <c r="I178" s="1"/>
      <c r="J178" s="1"/>
      <c r="K178" s="1"/>
      <c r="L178" s="1"/>
      <c r="M178" s="1"/>
      <c r="N178" s="1"/>
      <c r="O178" s="1"/>
      <c r="P178" s="1"/>
      <c r="Q178" s="1"/>
      <c r="R178" s="1"/>
      <c r="S178" s="1"/>
      <c r="T178" s="1"/>
      <c r="U178" s="1"/>
    </row>
    <row r="179" ht="10.5" customHeight="1">
      <c r="A179" s="1"/>
      <c r="B179" s="311" t="s">
        <v>666</v>
      </c>
      <c r="I179" s="1"/>
      <c r="J179" s="1"/>
      <c r="K179" s="1"/>
      <c r="L179" s="1"/>
      <c r="M179" s="1"/>
      <c r="N179" s="1"/>
      <c r="O179" s="1"/>
      <c r="P179" s="1"/>
      <c r="Q179" s="1"/>
      <c r="R179" s="1"/>
      <c r="S179" s="1"/>
      <c r="T179" s="1"/>
      <c r="U179" s="1"/>
    </row>
    <row r="180" ht="10.5" customHeight="1">
      <c r="A180" s="1"/>
      <c r="B180" s="311" t="s">
        <v>667</v>
      </c>
      <c r="C180" s="311"/>
      <c r="D180" s="311"/>
      <c r="E180" s="311"/>
      <c r="F180" s="311"/>
      <c r="G180" s="311"/>
      <c r="H180" s="311"/>
      <c r="I180" s="1"/>
      <c r="J180" s="1"/>
      <c r="K180" s="1"/>
      <c r="L180" s="1"/>
      <c r="M180" s="1"/>
      <c r="N180" s="1"/>
      <c r="O180" s="1"/>
      <c r="P180" s="1"/>
      <c r="Q180" s="1"/>
      <c r="R180" s="1"/>
      <c r="S180" s="1"/>
      <c r="T180" s="1"/>
      <c r="U180" s="1"/>
    </row>
    <row r="181" ht="10.5" customHeight="1">
      <c r="A181" s="1"/>
      <c r="B181" s="311" t="s">
        <v>669</v>
      </c>
      <c r="C181" s="311"/>
      <c r="D181" s="311"/>
      <c r="E181" s="311"/>
      <c r="F181" s="311"/>
      <c r="G181" s="311"/>
      <c r="H181" s="311"/>
      <c r="I181" s="1"/>
      <c r="J181" s="1"/>
      <c r="K181" s="1"/>
      <c r="L181" s="1"/>
      <c r="M181" s="1"/>
      <c r="N181" s="1"/>
      <c r="O181" s="1"/>
      <c r="P181" s="1"/>
      <c r="Q181" s="1"/>
      <c r="R181" s="1"/>
      <c r="S181" s="1"/>
      <c r="T181" s="1"/>
      <c r="U181" s="1"/>
    </row>
    <row r="182" ht="10.5" customHeight="1">
      <c r="A182" s="1"/>
      <c r="B182" s="185" t="s">
        <v>670</v>
      </c>
      <c r="C182" s="185"/>
      <c r="D182" s="185"/>
      <c r="E182" s="185"/>
      <c r="F182" s="185"/>
      <c r="G182" s="185"/>
      <c r="H182" s="185"/>
      <c r="I182" s="1"/>
      <c r="J182" s="1"/>
      <c r="K182" s="1"/>
      <c r="L182" s="1"/>
      <c r="M182" s="1"/>
      <c r="N182" s="1"/>
      <c r="O182" s="1"/>
      <c r="P182" s="1"/>
      <c r="Q182" s="1"/>
      <c r="R182" s="1"/>
      <c r="S182" s="1"/>
      <c r="T182" s="1"/>
      <c r="U182" s="1"/>
    </row>
    <row r="183" ht="10.5" customHeight="1">
      <c r="A183" s="1"/>
      <c r="B183" s="185"/>
      <c r="C183" s="185"/>
      <c r="D183" s="185"/>
      <c r="E183" s="185"/>
      <c r="F183" s="185"/>
      <c r="G183" s="185"/>
      <c r="H183" s="185"/>
      <c r="I183" s="1"/>
      <c r="J183" s="1"/>
      <c r="K183" s="1"/>
      <c r="L183" s="1"/>
      <c r="M183" s="1"/>
      <c r="N183" s="1"/>
      <c r="O183" s="1"/>
      <c r="P183" s="1"/>
      <c r="Q183" s="1"/>
      <c r="R183" s="1"/>
      <c r="S183" s="1"/>
      <c r="T183" s="1"/>
      <c r="U183" s="1"/>
    </row>
    <row r="184" ht="10.5" customHeight="1">
      <c r="A184" s="1"/>
      <c r="B184" s="185"/>
      <c r="C184" s="185"/>
      <c r="D184" s="185"/>
      <c r="E184" s="185"/>
      <c r="F184" s="185"/>
      <c r="G184" s="185"/>
      <c r="H184" s="185"/>
      <c r="I184" s="1"/>
      <c r="J184" s="1"/>
      <c r="K184" s="1"/>
      <c r="L184" s="1"/>
      <c r="M184" s="1"/>
      <c r="N184" s="1"/>
      <c r="O184" s="1"/>
      <c r="P184" s="1"/>
      <c r="Q184" s="1"/>
      <c r="R184" s="1"/>
      <c r="S184" s="1"/>
      <c r="T184" s="1"/>
      <c r="U184" s="1"/>
    </row>
    <row r="185" ht="10.5" customHeight="1">
      <c r="A185" s="1"/>
      <c r="B185" s="1"/>
      <c r="C185" s="59"/>
      <c r="D185" s="59"/>
      <c r="E185" s="59"/>
      <c r="F185" s="59"/>
      <c r="G185" s="59"/>
      <c r="H185" s="59"/>
      <c r="I185" s="59"/>
      <c r="J185" s="59"/>
      <c r="K185" s="59"/>
      <c r="L185" s="59"/>
      <c r="M185" s="59"/>
      <c r="N185" s="59"/>
      <c r="O185" s="59"/>
      <c r="P185" s="1"/>
      <c r="Q185" s="1"/>
      <c r="R185" s="1"/>
      <c r="S185" s="1"/>
      <c r="T185" s="1"/>
      <c r="U185" s="1"/>
    </row>
    <row r="186" ht="10.5" customHeight="1">
      <c r="A186" s="1"/>
      <c r="B186" s="1"/>
      <c r="C186" s="1"/>
      <c r="D186" s="1"/>
      <c r="E186" s="1"/>
      <c r="F186" s="1"/>
      <c r="G186" s="1"/>
      <c r="H186" s="1"/>
      <c r="I186" s="1"/>
      <c r="J186" s="1"/>
      <c r="K186" s="1"/>
      <c r="L186" s="1"/>
      <c r="M186" s="1"/>
      <c r="N186" s="1"/>
      <c r="O186" s="1"/>
      <c r="P186" s="1"/>
      <c r="Q186" s="1"/>
      <c r="R186" s="1"/>
      <c r="S186" s="1"/>
      <c r="T186" s="1"/>
      <c r="U186" s="1"/>
    </row>
    <row r="187" ht="11.25" customHeight="1">
      <c r="A187" s="1"/>
      <c r="B187" s="1" t="s">
        <v>671</v>
      </c>
      <c r="C187" s="1"/>
      <c r="D187" s="111"/>
      <c r="E187" s="111"/>
      <c r="F187" s="1"/>
      <c r="G187" s="1"/>
      <c r="H187" s="1"/>
      <c r="I187" s="1"/>
      <c r="J187" s="1"/>
      <c r="K187" s="1"/>
      <c r="L187" s="1"/>
      <c r="M187" s="1"/>
      <c r="N187" s="1"/>
      <c r="O187" s="1"/>
      <c r="P187" s="1"/>
      <c r="Q187" s="1"/>
      <c r="R187" s="1"/>
      <c r="S187" s="1"/>
      <c r="T187" s="1"/>
      <c r="U187" s="1"/>
    </row>
    <row r="188" ht="11.25" customHeight="1">
      <c r="A188" s="1"/>
      <c r="B188" s="29" t="s">
        <v>506</v>
      </c>
      <c r="C188" s="31" t="s">
        <v>508</v>
      </c>
      <c r="D188" s="128" t="s">
        <v>673</v>
      </c>
      <c r="E188" s="10"/>
      <c r="F188" s="128" t="s">
        <v>243</v>
      </c>
      <c r="G188" s="10"/>
      <c r="H188" s="128" t="s">
        <v>510</v>
      </c>
      <c r="I188" s="10"/>
      <c r="J188" s="273" t="s">
        <v>511</v>
      </c>
      <c r="K188" s="128" t="s">
        <v>512</v>
      </c>
      <c r="L188" s="10"/>
      <c r="M188" s="31" t="s">
        <v>513</v>
      </c>
      <c r="N188" s="1"/>
      <c r="O188" s="1"/>
      <c r="P188" s="1"/>
      <c r="Q188" s="1"/>
      <c r="R188" s="1"/>
      <c r="S188" s="1"/>
      <c r="T188" s="1"/>
      <c r="U188" s="1"/>
    </row>
    <row r="189" ht="23.25" customHeight="1">
      <c r="A189" s="1"/>
      <c r="B189" s="5"/>
      <c r="C189" s="6"/>
      <c r="D189" s="190" t="s">
        <v>514</v>
      </c>
      <c r="E189" s="7" t="s">
        <v>515</v>
      </c>
      <c r="F189" s="7" t="s">
        <v>514</v>
      </c>
      <c r="G189" s="7" t="s">
        <v>516</v>
      </c>
      <c r="H189" s="7" t="s">
        <v>514</v>
      </c>
      <c r="I189" s="7" t="s">
        <v>515</v>
      </c>
      <c r="J189" s="7" t="s">
        <v>517</v>
      </c>
      <c r="K189" s="7" t="s">
        <v>677</v>
      </c>
      <c r="L189" s="7" t="s">
        <v>678</v>
      </c>
      <c r="M189" s="6"/>
      <c r="N189" s="1"/>
      <c r="O189" s="1"/>
      <c r="P189" s="1"/>
      <c r="Q189" s="1"/>
      <c r="R189" s="1"/>
      <c r="S189" s="1"/>
      <c r="T189" s="1"/>
      <c r="U189" s="1"/>
    </row>
    <row r="190" ht="11.25" customHeight="1">
      <c r="A190" s="1"/>
      <c r="B190" s="6"/>
      <c r="C190" s="8" t="s">
        <v>520</v>
      </c>
      <c r="D190" s="10"/>
      <c r="E190" s="134" t="s">
        <v>52</v>
      </c>
      <c r="F190" s="134" t="s">
        <v>520</v>
      </c>
      <c r="G190" s="134" t="s">
        <v>52</v>
      </c>
      <c r="H190" s="134" t="s">
        <v>520</v>
      </c>
      <c r="I190" s="134" t="s">
        <v>52</v>
      </c>
      <c r="J190" s="134" t="s">
        <v>520</v>
      </c>
      <c r="K190" s="8" t="s">
        <v>50</v>
      </c>
      <c r="L190" s="9"/>
      <c r="M190" s="10"/>
      <c r="N190" s="1"/>
      <c r="O190" s="1"/>
      <c r="P190" s="1"/>
      <c r="Q190" s="1"/>
      <c r="R190" s="1"/>
      <c r="S190" s="1"/>
      <c r="T190" s="1"/>
      <c r="U190" s="1"/>
    </row>
    <row r="191" ht="10.5" customHeight="1">
      <c r="A191" s="1"/>
      <c r="B191" s="48" t="s">
        <v>56</v>
      </c>
      <c r="C191" s="216">
        <v>136208.0</v>
      </c>
      <c r="D191" s="130">
        <v>13108.0</v>
      </c>
      <c r="E191" s="373">
        <v>296.0</v>
      </c>
      <c r="F191" s="228">
        <v>46803.0</v>
      </c>
      <c r="G191" s="276">
        <v>411.01</v>
      </c>
      <c r="H191" s="130">
        <v>61664.0</v>
      </c>
      <c r="I191" s="66">
        <v>104.85</v>
      </c>
      <c r="J191" s="130">
        <v>12976.0</v>
      </c>
      <c r="K191" s="130">
        <v>1747.0</v>
      </c>
      <c r="L191" s="130">
        <v>29381.0</v>
      </c>
      <c r="M191" s="130">
        <f t="shared" ref="M191:M195" si="22">SUM(K191:L191)</f>
        <v>31128</v>
      </c>
      <c r="N191" s="1"/>
      <c r="O191" s="1"/>
      <c r="P191" s="1"/>
      <c r="Q191" s="1"/>
      <c r="R191" s="1"/>
      <c r="S191" s="1"/>
      <c r="T191" s="1"/>
      <c r="U191" s="1"/>
    </row>
    <row r="192" ht="10.5" customHeight="1">
      <c r="A192" s="1"/>
      <c r="B192" s="48" t="s">
        <v>81</v>
      </c>
      <c r="C192" s="216">
        <v>138647.0</v>
      </c>
      <c r="D192" s="130">
        <v>17773.0</v>
      </c>
      <c r="E192" s="373">
        <v>327.0</v>
      </c>
      <c r="F192" s="228">
        <v>45871.0</v>
      </c>
      <c r="G192" s="276">
        <v>601.01</v>
      </c>
      <c r="H192" s="130">
        <v>64942.0</v>
      </c>
      <c r="I192" s="66">
        <v>89.68</v>
      </c>
      <c r="J192" s="130">
        <v>7383.0</v>
      </c>
      <c r="K192" s="130">
        <v>1271.0</v>
      </c>
      <c r="L192" s="130">
        <v>38975.0</v>
      </c>
      <c r="M192" s="130">
        <f t="shared" si="22"/>
        <v>40246</v>
      </c>
      <c r="N192" s="1"/>
      <c r="O192" s="1"/>
      <c r="P192" s="1"/>
      <c r="Q192" s="1"/>
      <c r="R192" s="1"/>
      <c r="S192" s="1"/>
      <c r="T192" s="1"/>
      <c r="U192" s="1"/>
    </row>
    <row r="193" ht="10.5" customHeight="1">
      <c r="A193" s="1"/>
      <c r="B193" s="48" t="s">
        <v>86</v>
      </c>
      <c r="C193" s="216">
        <v>155987.0</v>
      </c>
      <c r="D193" s="130">
        <v>17819.0</v>
      </c>
      <c r="E193" s="373">
        <v>347.0</v>
      </c>
      <c r="F193" s="228">
        <v>54785.0</v>
      </c>
      <c r="G193" s="276">
        <v>369.48</v>
      </c>
      <c r="H193" s="130">
        <v>69790.0</v>
      </c>
      <c r="I193" s="66">
        <v>76.65</v>
      </c>
      <c r="J193" s="130">
        <v>10833.0</v>
      </c>
      <c r="K193" s="130">
        <v>1666.0</v>
      </c>
      <c r="L193" s="130">
        <v>31618.0</v>
      </c>
      <c r="M193" s="130">
        <f t="shared" si="22"/>
        <v>33284</v>
      </c>
      <c r="N193" s="1"/>
      <c r="O193" s="1"/>
      <c r="P193" s="1"/>
      <c r="Q193" s="1"/>
      <c r="R193" s="1"/>
      <c r="S193" s="1"/>
      <c r="T193" s="1"/>
      <c r="U193" s="1"/>
    </row>
    <row r="194" ht="10.5" customHeight="1">
      <c r="A194" s="1"/>
      <c r="B194" s="48" t="s">
        <v>87</v>
      </c>
      <c r="C194" s="216">
        <v>150102.0</v>
      </c>
      <c r="D194" s="130">
        <v>16267.0</v>
      </c>
      <c r="E194" s="373">
        <v>436.0</v>
      </c>
      <c r="F194" s="228">
        <v>42163.0</v>
      </c>
      <c r="G194" s="276">
        <v>551.5</v>
      </c>
      <c r="H194" s="130">
        <v>77975.0</v>
      </c>
      <c r="I194" s="66">
        <v>100.83</v>
      </c>
      <c r="J194" s="130">
        <v>11112.0</v>
      </c>
      <c r="K194" s="130">
        <v>2364.0</v>
      </c>
      <c r="L194" s="130">
        <v>38029.0</v>
      </c>
      <c r="M194" s="130">
        <f t="shared" si="22"/>
        <v>40393</v>
      </c>
      <c r="N194" s="1"/>
      <c r="O194" s="1"/>
      <c r="P194" s="1"/>
      <c r="Q194" s="1"/>
      <c r="R194" s="1"/>
      <c r="S194" s="1"/>
      <c r="T194" s="1"/>
      <c r="U194" s="1"/>
    </row>
    <row r="195" ht="10.5" customHeight="1">
      <c r="A195" s="1"/>
      <c r="B195" s="48" t="s">
        <v>90</v>
      </c>
      <c r="C195" s="216">
        <v>161661.0</v>
      </c>
      <c r="D195" s="130">
        <v>19809.0</v>
      </c>
      <c r="E195" s="373">
        <v>479.0</v>
      </c>
      <c r="F195" s="228">
        <v>48531.0</v>
      </c>
      <c r="G195" s="276">
        <v>805.31</v>
      </c>
      <c r="H195" s="130">
        <v>73513.0</v>
      </c>
      <c r="I195" s="66">
        <v>131.65</v>
      </c>
      <c r="J195" s="130">
        <v>9792.0</v>
      </c>
      <c r="K195" s="130">
        <v>3267.0</v>
      </c>
      <c r="L195" s="130">
        <v>58372.0</v>
      </c>
      <c r="M195" s="130">
        <f t="shared" si="22"/>
        <v>61639</v>
      </c>
      <c r="N195" s="1"/>
      <c r="O195" s="1"/>
      <c r="P195" s="1"/>
      <c r="Q195" s="1"/>
      <c r="R195" s="1"/>
      <c r="S195" s="1"/>
      <c r="T195" s="1"/>
      <c r="U195" s="1"/>
    </row>
    <row r="196" ht="10.5" customHeight="1">
      <c r="A196" s="1"/>
      <c r="B196" s="48"/>
      <c r="C196" s="216"/>
      <c r="D196" s="130"/>
      <c r="E196" s="373"/>
      <c r="F196" s="228"/>
      <c r="G196" s="276"/>
      <c r="H196" s="130"/>
      <c r="I196" s="66"/>
      <c r="J196" s="130"/>
      <c r="K196" s="130"/>
      <c r="L196" s="130"/>
      <c r="M196" s="130"/>
      <c r="N196" s="1"/>
      <c r="O196" s="1"/>
      <c r="P196" s="1"/>
      <c r="Q196" s="1"/>
      <c r="R196" s="1"/>
      <c r="S196" s="1"/>
      <c r="T196" s="1"/>
      <c r="U196" s="1"/>
    </row>
    <row r="197" ht="10.5" customHeight="1">
      <c r="A197" s="1"/>
      <c r="B197" s="48" t="s">
        <v>93</v>
      </c>
      <c r="C197" s="216">
        <v>135720.0</v>
      </c>
      <c r="D197" s="130">
        <v>17017.0</v>
      </c>
      <c r="E197" s="373">
        <v>591.0</v>
      </c>
      <c r="F197" s="228">
        <v>46944.0</v>
      </c>
      <c r="G197" s="276">
        <v>1250.4</v>
      </c>
      <c r="H197" s="130">
        <v>58249.0</v>
      </c>
      <c r="I197" s="66">
        <v>152.93</v>
      </c>
      <c r="J197" s="130">
        <v>10864.0</v>
      </c>
      <c r="K197" s="130">
        <v>3849.0</v>
      </c>
      <c r="L197" s="130">
        <v>77334.0</v>
      </c>
      <c r="M197" s="130">
        <f t="shared" ref="M197:M201" si="23">SUM(K197:L197)</f>
        <v>81183</v>
      </c>
      <c r="N197" s="1"/>
      <c r="O197" s="1"/>
      <c r="P197" s="1"/>
      <c r="Q197" s="1"/>
      <c r="R197" s="1"/>
      <c r="S197" s="1"/>
      <c r="T197" s="1"/>
      <c r="U197" s="1"/>
    </row>
    <row r="198" ht="10.5" customHeight="1">
      <c r="A198" s="1"/>
      <c r="B198" s="48" t="s">
        <v>97</v>
      </c>
      <c r="C198" s="216">
        <v>189449.0</v>
      </c>
      <c r="D198" s="130">
        <v>21556.0</v>
      </c>
      <c r="E198" s="373">
        <v>596.0</v>
      </c>
      <c r="F198" s="228">
        <v>68150.0</v>
      </c>
      <c r="G198" s="276">
        <v>1033.41</v>
      </c>
      <c r="H198" s="130">
        <v>81072.0</v>
      </c>
      <c r="I198" s="66">
        <v>180.86</v>
      </c>
      <c r="J198" s="130">
        <v>15664.0</v>
      </c>
      <c r="K198" s="130">
        <v>4703.0</v>
      </c>
      <c r="L198" s="130">
        <v>97443.0</v>
      </c>
      <c r="M198" s="130">
        <f t="shared" si="23"/>
        <v>102146</v>
      </c>
      <c r="N198" s="1"/>
      <c r="O198" s="1"/>
      <c r="P198" s="1"/>
      <c r="Q198" s="1"/>
      <c r="R198" s="1"/>
      <c r="S198" s="1"/>
      <c r="T198" s="1"/>
      <c r="U198" s="1"/>
    </row>
    <row r="199" ht="10.5" customHeight="1">
      <c r="A199" s="1"/>
      <c r="B199" s="48" t="s">
        <v>101</v>
      </c>
      <c r="C199" s="216">
        <v>200479.0</v>
      </c>
      <c r="D199" s="130">
        <v>24813.0</v>
      </c>
      <c r="E199" s="373">
        <v>677.0</v>
      </c>
      <c r="F199" s="228">
        <v>80552.0</v>
      </c>
      <c r="G199" s="276">
        <v>1024.15</v>
      </c>
      <c r="H199" s="130">
        <v>79733.0</v>
      </c>
      <c r="I199" s="66">
        <v>176.66</v>
      </c>
      <c r="J199" s="130">
        <v>8180.0</v>
      </c>
      <c r="K199" s="130">
        <v>2330.0</v>
      </c>
      <c r="L199" s="130">
        <v>114892.0</v>
      </c>
      <c r="M199" s="130">
        <f t="shared" si="23"/>
        <v>117222</v>
      </c>
      <c r="N199" s="1"/>
      <c r="O199" s="1"/>
      <c r="P199" s="1"/>
      <c r="Q199" s="1"/>
      <c r="R199" s="1"/>
      <c r="S199" s="1"/>
      <c r="T199" s="1"/>
      <c r="U199" s="1"/>
    </row>
    <row r="200" ht="10.5" customHeight="1">
      <c r="A200" s="1"/>
      <c r="B200" s="48" t="s">
        <v>103</v>
      </c>
      <c r="C200" s="216">
        <v>196982.0</v>
      </c>
      <c r="D200" s="130">
        <v>26892.0</v>
      </c>
      <c r="E200" s="373">
        <v>737.0</v>
      </c>
      <c r="F200" s="228">
        <v>67567.0</v>
      </c>
      <c r="G200" s="276">
        <v>1649.69</v>
      </c>
      <c r="H200" s="130">
        <v>89870.0</v>
      </c>
      <c r="I200" s="66">
        <v>219.05</v>
      </c>
      <c r="J200" s="130">
        <v>8576.0</v>
      </c>
      <c r="K200" s="130">
        <v>2691.0</v>
      </c>
      <c r="L200" s="130">
        <v>150313.0</v>
      </c>
      <c r="M200" s="130">
        <f t="shared" si="23"/>
        <v>153004</v>
      </c>
      <c r="N200" s="1"/>
      <c r="O200" s="1"/>
      <c r="P200" s="1"/>
      <c r="Q200" s="1"/>
      <c r="R200" s="1"/>
      <c r="S200" s="1"/>
      <c r="T200" s="1"/>
      <c r="U200" s="1"/>
    </row>
    <row r="201" ht="10.5" customHeight="1">
      <c r="A201" s="1"/>
      <c r="B201" s="48" t="s">
        <v>104</v>
      </c>
      <c r="C201" s="216">
        <v>195237.0</v>
      </c>
      <c r="D201" s="130">
        <v>25967.0</v>
      </c>
      <c r="E201" s="373">
        <v>833.0</v>
      </c>
      <c r="F201" s="228">
        <v>87531.0</v>
      </c>
      <c r="G201" s="276">
        <v>1790.8</v>
      </c>
      <c r="H201" s="130">
        <v>73933.0</v>
      </c>
      <c r="I201" s="66">
        <v>242.63</v>
      </c>
      <c r="J201" s="130">
        <v>3841.0</v>
      </c>
      <c r="K201" s="130">
        <v>1434.0</v>
      </c>
      <c r="L201" s="130">
        <v>195566.0</v>
      </c>
      <c r="M201" s="130">
        <f t="shared" si="23"/>
        <v>197000</v>
      </c>
      <c r="N201" s="1"/>
      <c r="O201" s="1"/>
      <c r="P201" s="1"/>
      <c r="Q201" s="1"/>
      <c r="R201" s="1"/>
      <c r="S201" s="1"/>
      <c r="T201" s="1"/>
      <c r="U201" s="1"/>
    </row>
    <row r="202" ht="10.5" customHeight="1">
      <c r="A202" s="1"/>
      <c r="B202" s="48"/>
      <c r="C202" s="216"/>
      <c r="D202" s="130"/>
      <c r="E202" s="373"/>
      <c r="F202" s="228"/>
      <c r="G202" s="276"/>
      <c r="H202" s="130"/>
      <c r="I202" s="66"/>
      <c r="J202" s="130"/>
      <c r="K202" s="130"/>
      <c r="L202" s="130"/>
      <c r="M202" s="130"/>
      <c r="N202" s="1"/>
      <c r="O202" s="1"/>
      <c r="P202" s="1"/>
      <c r="Q202" s="1"/>
      <c r="R202" s="1"/>
      <c r="S202" s="1"/>
      <c r="T202" s="1"/>
      <c r="U202" s="1"/>
    </row>
    <row r="203" ht="10.5" customHeight="1">
      <c r="A203" s="1"/>
      <c r="B203" s="48" t="s">
        <v>108</v>
      </c>
      <c r="C203" s="216">
        <v>208900.0</v>
      </c>
      <c r="D203" s="130">
        <v>24886.0</v>
      </c>
      <c r="E203" s="373">
        <v>1000.0</v>
      </c>
      <c r="F203" s="228">
        <v>94445.0</v>
      </c>
      <c r="G203" s="276">
        <v>1688.37</v>
      </c>
      <c r="H203" s="130">
        <v>77484.0</v>
      </c>
      <c r="I203" s="66">
        <v>266.92</v>
      </c>
      <c r="J203" s="130">
        <v>8369.0</v>
      </c>
      <c r="K203" s="130">
        <v>4435.0</v>
      </c>
      <c r="L203" s="130">
        <v>204055.0</v>
      </c>
      <c r="M203" s="130">
        <f t="shared" ref="M203:M207" si="24">SUM(K203:L203)</f>
        <v>208490</v>
      </c>
      <c r="N203" s="1"/>
      <c r="O203" s="1"/>
      <c r="P203" s="1"/>
      <c r="Q203" s="1"/>
      <c r="R203" s="1"/>
      <c r="S203" s="1"/>
      <c r="T203" s="1"/>
      <c r="U203" s="1"/>
    </row>
    <row r="204" ht="10.5" customHeight="1">
      <c r="A204" s="1"/>
      <c r="B204" s="48" t="s">
        <v>111</v>
      </c>
      <c r="C204" s="216">
        <v>212901.0</v>
      </c>
      <c r="D204" s="130">
        <v>23177.0</v>
      </c>
      <c r="E204" s="373">
        <v>1188.0</v>
      </c>
      <c r="F204" s="228">
        <v>100588.0</v>
      </c>
      <c r="G204" s="276">
        <v>2064.54</v>
      </c>
      <c r="H204" s="130">
        <v>80153.0</v>
      </c>
      <c r="I204" s="66">
        <v>347.25</v>
      </c>
      <c r="J204" s="130">
        <v>5858.0</v>
      </c>
      <c r="K204" s="130">
        <v>4095.0</v>
      </c>
      <c r="L204" s="130">
        <v>261809.0</v>
      </c>
      <c r="M204" s="130">
        <f t="shared" si="24"/>
        <v>265904</v>
      </c>
      <c r="N204" s="1"/>
      <c r="O204" s="1"/>
      <c r="P204" s="1"/>
      <c r="Q204" s="1"/>
      <c r="R204" s="1"/>
      <c r="S204" s="1"/>
      <c r="T204" s="1"/>
      <c r="U204" s="1"/>
    </row>
    <row r="205" ht="10.5" customHeight="1">
      <c r="A205" s="1"/>
      <c r="B205" s="48" t="s">
        <v>112</v>
      </c>
      <c r="C205" s="216">
        <v>247460.0</v>
      </c>
      <c r="D205" s="130">
        <v>37794.0</v>
      </c>
      <c r="E205" s="373">
        <v>972.0</v>
      </c>
      <c r="F205" s="228">
        <v>115338.0</v>
      </c>
      <c r="G205" s="276">
        <v>1113.2</v>
      </c>
      <c r="H205" s="130">
        <v>81457.0</v>
      </c>
      <c r="I205" s="66">
        <v>241.88</v>
      </c>
      <c r="J205" s="130">
        <v>8126.0</v>
      </c>
      <c r="K205" s="130">
        <v>4957.0</v>
      </c>
      <c r="L205" s="130">
        <v>183116.0</v>
      </c>
      <c r="M205" s="130">
        <f t="shared" si="24"/>
        <v>188073</v>
      </c>
      <c r="N205" s="1"/>
      <c r="O205" s="1"/>
      <c r="P205" s="1"/>
      <c r="Q205" s="1"/>
      <c r="R205" s="1"/>
      <c r="S205" s="1"/>
      <c r="T205" s="1"/>
      <c r="U205" s="1"/>
    </row>
    <row r="206" ht="10.5" customHeight="1">
      <c r="A206" s="342">
        <v>37.0</v>
      </c>
      <c r="B206" s="48" t="s">
        <v>113</v>
      </c>
      <c r="C206" s="216">
        <v>222589.0</v>
      </c>
      <c r="D206" s="130">
        <v>39867.0</v>
      </c>
      <c r="E206" s="373">
        <v>1119.0</v>
      </c>
      <c r="F206" s="228">
        <v>87796.0</v>
      </c>
      <c r="G206" s="276">
        <v>1881.7</v>
      </c>
      <c r="H206" s="130">
        <v>83621.0</v>
      </c>
      <c r="I206" s="66">
        <v>298.97</v>
      </c>
      <c r="J206" s="130">
        <v>5548.0</v>
      </c>
      <c r="K206" s="130">
        <v>3821.0</v>
      </c>
      <c r="L206" s="130">
        <v>233119.0</v>
      </c>
      <c r="M206" s="130">
        <f t="shared" si="24"/>
        <v>236940</v>
      </c>
      <c r="N206" s="1"/>
      <c r="O206" s="1"/>
      <c r="P206" s="1"/>
      <c r="Q206" s="1"/>
      <c r="R206" s="1"/>
      <c r="S206" s="1"/>
      <c r="T206" s="1"/>
      <c r="U206" s="1"/>
    </row>
    <row r="207" ht="10.5" customHeight="1">
      <c r="A207" s="87"/>
      <c r="B207" s="48" t="s">
        <v>114</v>
      </c>
      <c r="C207" s="216">
        <v>225489.0</v>
      </c>
      <c r="D207" s="130">
        <v>32420.0</v>
      </c>
      <c r="E207" s="373">
        <v>1505.0</v>
      </c>
      <c r="F207" s="228">
        <v>100340.0</v>
      </c>
      <c r="G207" s="276">
        <v>2218.61</v>
      </c>
      <c r="H207" s="130">
        <v>83978.0</v>
      </c>
      <c r="I207" s="66">
        <v>329.52</v>
      </c>
      <c r="J207" s="130">
        <v>4052.0</v>
      </c>
      <c r="K207" s="130">
        <v>3150.0</v>
      </c>
      <c r="L207" s="130">
        <v>297150.0</v>
      </c>
      <c r="M207" s="130">
        <f t="shared" si="24"/>
        <v>300300</v>
      </c>
      <c r="N207" s="1"/>
      <c r="O207" s="1"/>
      <c r="P207" s="1"/>
      <c r="Q207" s="1"/>
      <c r="R207" s="1"/>
      <c r="S207" s="1"/>
      <c r="T207" s="1"/>
      <c r="U207" s="1"/>
    </row>
    <row r="208" ht="10.5" customHeight="1">
      <c r="A208" s="1"/>
      <c r="B208" s="48"/>
      <c r="C208" s="216"/>
      <c r="D208" s="130"/>
      <c r="E208" s="373"/>
      <c r="F208" s="228"/>
      <c r="G208" s="276"/>
      <c r="H208" s="130"/>
      <c r="I208" s="66"/>
      <c r="J208" s="130"/>
      <c r="K208" s="130"/>
      <c r="L208" s="130"/>
      <c r="M208" s="130"/>
      <c r="N208" s="1"/>
      <c r="O208" s="1"/>
      <c r="P208" s="1"/>
      <c r="Q208" s="1"/>
      <c r="R208" s="1"/>
      <c r="S208" s="1"/>
      <c r="T208" s="1"/>
      <c r="U208" s="1"/>
    </row>
    <row r="209" ht="10.5" customHeight="1">
      <c r="A209" s="1"/>
      <c r="B209" s="48" t="s">
        <v>115</v>
      </c>
      <c r="C209" s="216">
        <v>228705.0</v>
      </c>
      <c r="D209" s="130">
        <v>37517.0</v>
      </c>
      <c r="E209" s="373">
        <v>1454.0</v>
      </c>
      <c r="F209" s="228">
        <v>85088.0</v>
      </c>
      <c r="G209" s="276">
        <v>2783.85</v>
      </c>
      <c r="H209" s="130">
        <v>98208.0</v>
      </c>
      <c r="I209" s="66">
        <v>565.14</v>
      </c>
      <c r="J209" s="130">
        <v>3167.0</v>
      </c>
      <c r="K209" s="130">
        <v>3250.0</v>
      </c>
      <c r="L209" s="130">
        <v>344247.0</v>
      </c>
      <c r="M209" s="130">
        <f t="shared" ref="M209:M213" si="25">SUM(K209:L209)</f>
        <v>347497</v>
      </c>
      <c r="N209" s="1"/>
      <c r="O209" s="1"/>
      <c r="P209" s="1"/>
      <c r="Q209" s="1"/>
      <c r="R209" s="1"/>
      <c r="S209" s="1"/>
      <c r="T209" s="1"/>
      <c r="U209" s="1"/>
    </row>
    <row r="210" ht="10.5" customHeight="1">
      <c r="A210" s="1"/>
      <c r="B210" s="48" t="s">
        <v>117</v>
      </c>
      <c r="C210" s="216">
        <v>296979.0</v>
      </c>
      <c r="D210" s="130">
        <v>48149.0</v>
      </c>
      <c r="E210" s="373">
        <v>1314.0</v>
      </c>
      <c r="F210" s="228">
        <v>119159.0</v>
      </c>
      <c r="G210" s="276">
        <v>1663.55</v>
      </c>
      <c r="H210" s="130">
        <v>118372.0</v>
      </c>
      <c r="I210" s="66">
        <v>443.24</v>
      </c>
      <c r="J210" s="130">
        <v>5693.0</v>
      </c>
      <c r="K210" s="130">
        <v>4519.0</v>
      </c>
      <c r="L210" s="130">
        <v>310396.0</v>
      </c>
      <c r="M210" s="130">
        <f t="shared" si="25"/>
        <v>314915</v>
      </c>
      <c r="N210" s="1"/>
      <c r="O210" s="1"/>
      <c r="P210" s="1"/>
      <c r="Q210" s="1"/>
      <c r="R210" s="1"/>
      <c r="S210" s="1"/>
      <c r="T210" s="1"/>
      <c r="U210" s="1"/>
    </row>
    <row r="211" ht="10.5" customHeight="1">
      <c r="A211" s="1"/>
      <c r="B211" s="48" t="s">
        <v>121</v>
      </c>
      <c r="C211" s="216">
        <v>264842.0</v>
      </c>
      <c r="D211" s="130">
        <v>47798.0</v>
      </c>
      <c r="E211" s="373">
        <v>1497.0</v>
      </c>
      <c r="F211" s="228">
        <v>122364.0</v>
      </c>
      <c r="G211" s="276">
        <v>2532.91</v>
      </c>
      <c r="H211" s="130">
        <v>81124.0</v>
      </c>
      <c r="I211" s="66">
        <v>482.77</v>
      </c>
      <c r="J211" s="130">
        <v>6125.0</v>
      </c>
      <c r="K211" s="130">
        <v>4831.0</v>
      </c>
      <c r="L211" s="130">
        <v>419225.0</v>
      </c>
      <c r="M211" s="130">
        <f t="shared" si="25"/>
        <v>424056</v>
      </c>
      <c r="N211" s="1"/>
      <c r="O211" s="1"/>
      <c r="P211" s="1"/>
      <c r="Q211" s="1"/>
      <c r="R211" s="1"/>
      <c r="S211" s="1"/>
      <c r="T211" s="1"/>
      <c r="U211" s="1"/>
    </row>
    <row r="212" ht="10.5" customHeight="1">
      <c r="A212" s="1"/>
      <c r="B212" s="48" t="s">
        <v>122</v>
      </c>
      <c r="C212" s="216">
        <v>283943.0</v>
      </c>
      <c r="D212" s="130">
        <v>46982.0</v>
      </c>
      <c r="E212" s="373">
        <v>1428.0</v>
      </c>
      <c r="F212" s="228">
        <v>115042.0</v>
      </c>
      <c r="G212" s="276">
        <v>2438.13</v>
      </c>
      <c r="H212" s="130">
        <v>108059.0</v>
      </c>
      <c r="I212" s="66">
        <v>396.63</v>
      </c>
      <c r="J212" s="130">
        <v>5576.0</v>
      </c>
      <c r="K212" s="130">
        <v>4398.0</v>
      </c>
      <c r="L212" s="130">
        <v>389997.0</v>
      </c>
      <c r="M212" s="130">
        <f t="shared" si="25"/>
        <v>394395</v>
      </c>
      <c r="N212" s="1"/>
      <c r="O212" s="1"/>
      <c r="P212" s="1"/>
      <c r="Q212" s="1"/>
      <c r="R212" s="1"/>
      <c r="S212" s="1"/>
      <c r="T212" s="1"/>
      <c r="U212" s="1"/>
    </row>
    <row r="213" ht="10.5" customHeight="1">
      <c r="A213" s="1"/>
      <c r="B213" s="48" t="s">
        <v>123</v>
      </c>
      <c r="C213" s="216">
        <v>307249.0</v>
      </c>
      <c r="D213" s="130">
        <v>60153.0</v>
      </c>
      <c r="E213" s="373">
        <v>1337.0</v>
      </c>
      <c r="F213" s="228">
        <v>101237.0</v>
      </c>
      <c r="G213" s="276">
        <v>2863.14</v>
      </c>
      <c r="H213" s="130">
        <v>126237.0</v>
      </c>
      <c r="I213" s="66">
        <v>246.04</v>
      </c>
      <c r="J213" s="130">
        <v>9440.0</v>
      </c>
      <c r="K213" s="130">
        <v>8378.0</v>
      </c>
      <c r="L213" s="130">
        <v>400289.0</v>
      </c>
      <c r="M213" s="130">
        <f t="shared" si="25"/>
        <v>408667</v>
      </c>
      <c r="N213" s="1"/>
      <c r="O213" s="1"/>
      <c r="P213" s="1"/>
      <c r="Q213" s="1"/>
      <c r="R213" s="1"/>
      <c r="S213" s="1"/>
      <c r="T213" s="1"/>
      <c r="U213" s="1"/>
    </row>
    <row r="214" ht="10.5" customHeight="1">
      <c r="A214" s="1"/>
      <c r="B214" s="48"/>
      <c r="C214" s="216"/>
      <c r="D214" s="130"/>
      <c r="E214" s="373"/>
      <c r="F214" s="228"/>
      <c r="G214" s="276"/>
      <c r="H214" s="130"/>
      <c r="I214" s="66"/>
      <c r="J214" s="130"/>
      <c r="K214" s="130"/>
      <c r="L214" s="130"/>
      <c r="M214" s="130"/>
      <c r="N214" s="1"/>
      <c r="O214" s="1"/>
      <c r="P214" s="1"/>
      <c r="Q214" s="1"/>
      <c r="R214" s="1"/>
      <c r="S214" s="1"/>
      <c r="T214" s="1"/>
      <c r="U214" s="1"/>
    </row>
    <row r="215" ht="10.5" customHeight="1">
      <c r="A215" s="1"/>
      <c r="B215" s="168" t="s">
        <v>125</v>
      </c>
      <c r="C215" s="216">
        <v>271241.0</v>
      </c>
      <c r="D215" s="130">
        <v>55777.0</v>
      </c>
      <c r="E215" s="373">
        <v>1507.0</v>
      </c>
      <c r="F215" s="228">
        <v>101228.0</v>
      </c>
      <c r="G215" s="276">
        <v>2965.23</v>
      </c>
      <c r="H215" s="130">
        <v>102959.0</v>
      </c>
      <c r="I215" s="66">
        <v>420.31</v>
      </c>
      <c r="J215" s="130">
        <v>3840.0</v>
      </c>
      <c r="K215" s="130">
        <v>2429.0</v>
      </c>
      <c r="L215" s="130">
        <v>426569.0</v>
      </c>
      <c r="M215" s="130">
        <f t="shared" ref="M215:M219" si="26">SUM(K215:L215)</f>
        <v>428998</v>
      </c>
      <c r="N215" s="1"/>
      <c r="O215" s="1"/>
      <c r="P215" s="1"/>
      <c r="Q215" s="1"/>
      <c r="R215" s="1"/>
      <c r="S215" s="1"/>
      <c r="T215" s="1"/>
      <c r="U215" s="1"/>
    </row>
    <row r="216" ht="10.5" customHeight="1">
      <c r="A216" s="1"/>
      <c r="B216" s="168" t="s">
        <v>127</v>
      </c>
      <c r="C216" s="216">
        <v>337329.0</v>
      </c>
      <c r="D216" s="130">
        <v>53782.0</v>
      </c>
      <c r="E216" s="373">
        <v>1712.0</v>
      </c>
      <c r="F216" s="217">
        <v>132407.0</v>
      </c>
      <c r="G216" s="289">
        <v>3226.84</v>
      </c>
      <c r="H216" s="216">
        <v>137219.0</v>
      </c>
      <c r="I216" s="82">
        <v>606.59</v>
      </c>
      <c r="J216" s="216">
        <v>4768.0</v>
      </c>
      <c r="K216" s="216">
        <v>2610.0</v>
      </c>
      <c r="L216" s="216">
        <v>603207.0</v>
      </c>
      <c r="M216" s="130">
        <f t="shared" si="26"/>
        <v>605817</v>
      </c>
      <c r="N216" s="1"/>
      <c r="O216" s="1"/>
      <c r="P216" s="1"/>
      <c r="Q216" s="1"/>
      <c r="R216" s="1"/>
      <c r="S216" s="1"/>
      <c r="T216" s="1"/>
      <c r="U216" s="1"/>
    </row>
    <row r="217" ht="10.5" customHeight="1">
      <c r="A217" s="1"/>
      <c r="B217" s="48" t="s">
        <v>128</v>
      </c>
      <c r="C217" s="216">
        <v>325274.0</v>
      </c>
      <c r="D217" s="130">
        <v>51980.0</v>
      </c>
      <c r="E217" s="373">
        <v>1996.0</v>
      </c>
      <c r="F217" s="217">
        <v>115022.0</v>
      </c>
      <c r="G217" s="289">
        <v>3187.2</v>
      </c>
      <c r="H217" s="216">
        <v>143554.0</v>
      </c>
      <c r="I217" s="82">
        <v>548.66</v>
      </c>
      <c r="J217" s="216">
        <v>5696.0</v>
      </c>
      <c r="K217" s="216">
        <v>6536.0</v>
      </c>
      <c r="L217" s="216">
        <v>549811.0</v>
      </c>
      <c r="M217" s="130">
        <f t="shared" si="26"/>
        <v>556347</v>
      </c>
      <c r="N217" s="1"/>
      <c r="O217" s="1"/>
      <c r="P217" s="1"/>
      <c r="Q217" s="1"/>
      <c r="R217" s="1"/>
      <c r="S217" s="1"/>
      <c r="T217" s="1"/>
      <c r="U217" s="1"/>
    </row>
    <row r="218" ht="10.5" customHeight="1">
      <c r="A218" s="1"/>
      <c r="B218" s="48" t="s">
        <v>129</v>
      </c>
      <c r="C218" s="216">
        <v>328538.0</v>
      </c>
      <c r="D218" s="130">
        <v>45152.0</v>
      </c>
      <c r="E218" s="373">
        <v>2302.0</v>
      </c>
      <c r="F218" s="217">
        <v>152333.0</v>
      </c>
      <c r="G218" s="289">
        <v>4059.1</v>
      </c>
      <c r="H218" s="216">
        <v>118922.0</v>
      </c>
      <c r="I218" s="82">
        <v>495.46</v>
      </c>
      <c r="J218" s="216">
        <v>4344.0</v>
      </c>
      <c r="K218" s="216">
        <v>4968.0</v>
      </c>
      <c r="L218" s="216">
        <v>781904.0</v>
      </c>
      <c r="M218" s="130">
        <f t="shared" si="26"/>
        <v>786872</v>
      </c>
      <c r="N218" s="1"/>
      <c r="O218" s="1"/>
      <c r="P218" s="1"/>
      <c r="Q218" s="1"/>
      <c r="R218" s="1"/>
      <c r="S218" s="1"/>
      <c r="T218" s="1"/>
      <c r="U218" s="1"/>
    </row>
    <row r="219" ht="10.5" customHeight="1">
      <c r="A219" s="1"/>
      <c r="B219" s="48" t="s">
        <v>130</v>
      </c>
      <c r="C219" s="216">
        <v>315244.0</v>
      </c>
      <c r="D219" s="130">
        <v>48545.0</v>
      </c>
      <c r="E219" s="373">
        <v>2469.0</v>
      </c>
      <c r="F219" s="217">
        <v>141157.0</v>
      </c>
      <c r="G219" s="289">
        <v>3861.49</v>
      </c>
      <c r="H219" s="216">
        <v>111935.0</v>
      </c>
      <c r="I219" s="82">
        <v>490.71</v>
      </c>
      <c r="J219" s="216">
        <v>5440.0</v>
      </c>
      <c r="K219" s="216">
        <v>5331.0</v>
      </c>
      <c r="L219" s="216">
        <v>720685.0</v>
      </c>
      <c r="M219" s="130">
        <f t="shared" si="26"/>
        <v>726016</v>
      </c>
      <c r="N219" s="1"/>
      <c r="O219" s="1"/>
      <c r="P219" s="1"/>
      <c r="Q219" s="1"/>
      <c r="R219" s="1"/>
      <c r="S219" s="1"/>
      <c r="T219" s="1"/>
      <c r="U219" s="1"/>
    </row>
    <row r="220" ht="10.5" customHeight="1">
      <c r="A220" s="1"/>
      <c r="B220" s="48"/>
      <c r="C220" s="216"/>
      <c r="D220" s="130"/>
      <c r="E220" s="373"/>
      <c r="F220" s="217"/>
      <c r="G220" s="289"/>
      <c r="H220" s="216"/>
      <c r="I220" s="82"/>
      <c r="J220" s="216"/>
      <c r="K220" s="216"/>
      <c r="L220" s="216"/>
      <c r="M220" s="216"/>
      <c r="N220" s="1"/>
      <c r="O220" s="1"/>
      <c r="P220" s="1"/>
      <c r="Q220" s="1"/>
      <c r="R220" s="1"/>
      <c r="S220" s="1"/>
      <c r="T220" s="1"/>
      <c r="U220" s="1"/>
    </row>
    <row r="221" ht="10.5" customHeight="1">
      <c r="A221" s="1"/>
      <c r="B221" s="48" t="s">
        <v>131</v>
      </c>
      <c r="C221" s="216">
        <v>323777.0</v>
      </c>
      <c r="D221" s="216">
        <v>49254.0</v>
      </c>
      <c r="E221" s="373">
        <v>2657.0</v>
      </c>
      <c r="F221" s="217">
        <v>124692.0</v>
      </c>
      <c r="G221" s="289">
        <v>3785.82</v>
      </c>
      <c r="H221" s="216">
        <v>134386.0</v>
      </c>
      <c r="I221" s="82">
        <v>573.49</v>
      </c>
      <c r="J221" s="216">
        <v>7504.0</v>
      </c>
      <c r="K221" s="216">
        <v>8723.0</v>
      </c>
      <c r="L221" s="169">
        <v>680887.0</v>
      </c>
      <c r="M221" s="136">
        <f t="shared" ref="M221:M225" si="27">SUM(K221:L221)</f>
        <v>689610</v>
      </c>
      <c r="N221" s="1"/>
      <c r="O221" s="1"/>
      <c r="P221" s="1"/>
      <c r="Q221" s="1"/>
      <c r="R221" s="1"/>
      <c r="S221" s="1"/>
      <c r="T221" s="1"/>
      <c r="U221" s="1"/>
    </row>
    <row r="222" ht="10.5" customHeight="1">
      <c r="A222" s="1"/>
      <c r="B222" s="85" t="s">
        <v>133</v>
      </c>
      <c r="C222" s="216">
        <v>346403.0</v>
      </c>
      <c r="D222" s="216">
        <v>48334.0</v>
      </c>
      <c r="E222" s="373">
        <v>3078.0</v>
      </c>
      <c r="F222" s="217">
        <v>162067.0</v>
      </c>
      <c r="G222" s="289">
        <v>4680.14</v>
      </c>
      <c r="H222" s="216">
        <v>119516.0</v>
      </c>
      <c r="I222" s="82">
        <v>714.75</v>
      </c>
      <c r="J222" s="216">
        <v>8592.0</v>
      </c>
      <c r="K222" s="216">
        <v>9398.0</v>
      </c>
      <c r="L222" s="169">
        <v>993706.0</v>
      </c>
      <c r="M222" s="136">
        <f t="shared" si="27"/>
        <v>1003104</v>
      </c>
      <c r="N222" s="1"/>
      <c r="O222" s="1"/>
      <c r="P222" s="1"/>
      <c r="Q222" s="1"/>
      <c r="R222" s="1"/>
      <c r="S222" s="1"/>
      <c r="T222" s="1"/>
      <c r="U222" s="1"/>
    </row>
    <row r="223" ht="10.5" customHeight="1">
      <c r="A223" s="1"/>
      <c r="B223" s="85" t="s">
        <v>134</v>
      </c>
      <c r="C223" s="216">
        <v>345276.0</v>
      </c>
      <c r="D223" s="216">
        <v>41165.0</v>
      </c>
      <c r="E223" s="373">
        <v>3727.0</v>
      </c>
      <c r="F223" s="217">
        <v>164635.0</v>
      </c>
      <c r="G223" s="289">
        <v>5704.29</v>
      </c>
      <c r="H223" s="216">
        <v>124018.0</v>
      </c>
      <c r="I223" s="82">
        <v>973.16</v>
      </c>
      <c r="J223" s="216">
        <v>8688.0</v>
      </c>
      <c r="K223" s="216">
        <v>9502.0</v>
      </c>
      <c r="L223" s="169">
        <v>1214271.0</v>
      </c>
      <c r="M223" s="136">
        <f t="shared" si="27"/>
        <v>1223773</v>
      </c>
      <c r="N223" s="1"/>
      <c r="O223" s="1"/>
      <c r="P223" s="1"/>
      <c r="Q223" s="1"/>
      <c r="R223" s="1"/>
      <c r="S223" s="1"/>
      <c r="T223" s="1"/>
      <c r="U223" s="1"/>
    </row>
    <row r="224" ht="10.5" customHeight="1">
      <c r="A224" s="1"/>
      <c r="B224" s="85" t="s">
        <v>135</v>
      </c>
      <c r="C224" s="216">
        <v>348383.0</v>
      </c>
      <c r="D224" s="216">
        <v>38976.0</v>
      </c>
      <c r="E224" s="373">
        <v>3988.0</v>
      </c>
      <c r="F224" s="217">
        <v>180593.0</v>
      </c>
      <c r="G224" s="289">
        <v>6336.06</v>
      </c>
      <c r="H224" s="216">
        <v>114361.0</v>
      </c>
      <c r="I224" s="82">
        <v>1034.61</v>
      </c>
      <c r="J224" s="216">
        <v>8096.0</v>
      </c>
      <c r="K224" s="216">
        <v>15170.0</v>
      </c>
      <c r="L224" s="169">
        <v>1419048.0</v>
      </c>
      <c r="M224" s="136">
        <f t="shared" si="27"/>
        <v>1434218</v>
      </c>
      <c r="N224" s="1"/>
      <c r="O224" s="1"/>
      <c r="P224" s="1"/>
      <c r="Q224" s="1"/>
      <c r="R224" s="1"/>
      <c r="S224" s="1"/>
      <c r="T224" s="1"/>
      <c r="U224" s="1"/>
    </row>
    <row r="225" ht="10.5" customHeight="1">
      <c r="A225" s="1"/>
      <c r="B225" s="85" t="s">
        <v>138</v>
      </c>
      <c r="C225" s="216">
        <v>373722.0</v>
      </c>
      <c r="D225" s="216">
        <v>44357.0</v>
      </c>
      <c r="E225" s="408">
        <v>4008.0</v>
      </c>
      <c r="F225" s="217">
        <v>183096.0</v>
      </c>
      <c r="G225" s="289">
        <v>6143.64</v>
      </c>
      <c r="H225" s="216">
        <v>130723.0</v>
      </c>
      <c r="I225" s="82">
        <v>809.52</v>
      </c>
      <c r="J225" s="216">
        <v>8072.0</v>
      </c>
      <c r="K225" s="216">
        <v>16568.0</v>
      </c>
      <c r="L225" s="169">
        <v>1409712.0</v>
      </c>
      <c r="M225" s="136">
        <f t="shared" si="27"/>
        <v>1426280</v>
      </c>
      <c r="N225" s="1"/>
      <c r="O225" s="1"/>
      <c r="P225" s="1"/>
      <c r="Q225" s="1"/>
      <c r="R225" s="1"/>
      <c r="S225" s="1"/>
      <c r="T225" s="1"/>
      <c r="U225" s="1"/>
    </row>
    <row r="226" ht="10.5" customHeight="1">
      <c r="A226" s="1"/>
      <c r="B226" s="85"/>
      <c r="C226" s="216"/>
      <c r="D226" s="216"/>
      <c r="E226" s="373"/>
      <c r="F226" s="217"/>
      <c r="G226" s="289"/>
      <c r="H226" s="216"/>
      <c r="I226" s="82"/>
      <c r="J226" s="216"/>
      <c r="K226" s="216"/>
      <c r="L226" s="169"/>
      <c r="M226" s="136"/>
      <c r="N226" s="1"/>
      <c r="O226" s="1"/>
      <c r="P226" s="1"/>
      <c r="Q226" s="1"/>
      <c r="R226" s="1"/>
      <c r="S226" s="1"/>
      <c r="T226" s="1"/>
      <c r="U226" s="1"/>
    </row>
    <row r="227" ht="10.5" customHeight="1">
      <c r="A227" s="1"/>
      <c r="B227" s="85" t="s">
        <v>139</v>
      </c>
      <c r="C227" s="216">
        <v>359851.0</v>
      </c>
      <c r="D227" s="216">
        <v>45453.0</v>
      </c>
      <c r="E227" s="408">
        <v>4458.0</v>
      </c>
      <c r="F227" s="217">
        <v>176646.0</v>
      </c>
      <c r="G227" s="289">
        <v>6612.3</v>
      </c>
      <c r="H227" s="216">
        <v>107722.0</v>
      </c>
      <c r="I227" s="82">
        <v>895.51</v>
      </c>
      <c r="J227" s="216">
        <v>8104.0</v>
      </c>
      <c r="K227" s="216">
        <v>17636.0</v>
      </c>
      <c r="L227" s="169">
        <v>1524345.0</v>
      </c>
      <c r="M227" s="136">
        <f t="shared" ref="M227:M229" si="28">SUM(K227:L227)</f>
        <v>1541981</v>
      </c>
      <c r="N227" s="1"/>
      <c r="O227" s="1"/>
      <c r="P227" s="1"/>
      <c r="Q227" s="1"/>
      <c r="R227" s="1"/>
      <c r="S227" s="1"/>
      <c r="T227" s="1"/>
      <c r="U227" s="1"/>
    </row>
    <row r="228" ht="10.5" customHeight="1">
      <c r="A228" s="1"/>
      <c r="B228" s="85" t="s">
        <v>143</v>
      </c>
      <c r="C228" s="216">
        <v>346642.0</v>
      </c>
      <c r="D228" s="216">
        <v>44987.0</v>
      </c>
      <c r="E228" s="408">
        <v>4841.0</v>
      </c>
      <c r="F228" s="217">
        <v>163636.0</v>
      </c>
      <c r="G228" s="289">
        <v>6802.77</v>
      </c>
      <c r="H228" s="216">
        <v>120811.0</v>
      </c>
      <c r="I228" s="82">
        <v>1114.83</v>
      </c>
      <c r="J228" s="216">
        <v>9872.0</v>
      </c>
      <c r="K228" s="216">
        <v>23668.0</v>
      </c>
      <c r="L228" s="169">
        <v>1467150.0</v>
      </c>
      <c r="M228" s="136">
        <f t="shared" si="28"/>
        <v>1490818</v>
      </c>
      <c r="N228" s="1"/>
      <c r="O228" s="1"/>
      <c r="P228" s="1"/>
      <c r="Q228" s="1"/>
      <c r="R228" s="1"/>
      <c r="S228" s="1"/>
      <c r="T228" s="1"/>
      <c r="U228" s="1"/>
    </row>
    <row r="229" ht="10.5" customHeight="1">
      <c r="A229" s="1"/>
      <c r="B229" s="85" t="s">
        <v>149</v>
      </c>
      <c r="C229" s="216">
        <v>379546.0</v>
      </c>
      <c r="D229" s="216">
        <v>42580.0</v>
      </c>
      <c r="E229" s="408">
        <v>5351.0</v>
      </c>
      <c r="F229" s="217">
        <v>185202.0</v>
      </c>
      <c r="G229" s="289">
        <v>8834.9</v>
      </c>
      <c r="H229" s="216">
        <v>132963.0</v>
      </c>
      <c r="I229" s="82">
        <v>1315.22</v>
      </c>
      <c r="J229" s="216">
        <v>12048.0</v>
      </c>
      <c r="K229" s="216">
        <v>28885.0</v>
      </c>
      <c r="L229" s="169">
        <v>2040526.0</v>
      </c>
      <c r="M229" s="136">
        <f t="shared" si="28"/>
        <v>2069411</v>
      </c>
      <c r="N229" s="1"/>
      <c r="O229" s="1"/>
      <c r="P229" s="1"/>
      <c r="Q229" s="1"/>
      <c r="R229" s="1"/>
      <c r="S229" s="1"/>
      <c r="T229" s="1"/>
      <c r="U229" s="1"/>
    </row>
    <row r="230" ht="10.5" customHeight="1">
      <c r="A230" s="1"/>
      <c r="B230" s="85" t="s">
        <v>151</v>
      </c>
      <c r="C230" s="216">
        <v>413147.0</v>
      </c>
      <c r="D230" s="216">
        <v>41698.0</v>
      </c>
      <c r="E230" s="408">
        <v>5567.0</v>
      </c>
      <c r="F230" s="217">
        <v>202038.0</v>
      </c>
      <c r="G230" s="289">
        <v>9900.37</v>
      </c>
      <c r="H230" s="216">
        <v>150694.0</v>
      </c>
      <c r="I230" s="82">
        <v>1380.49</v>
      </c>
      <c r="J230" s="216">
        <v>11880.0</v>
      </c>
      <c r="K230" s="216">
        <v>35863.0</v>
      </c>
      <c r="L230" s="169">
        <v>2441996.0</v>
      </c>
      <c r="M230" s="136">
        <v>2477859.0</v>
      </c>
      <c r="N230" s="1"/>
      <c r="O230" s="1"/>
      <c r="P230" s="1"/>
      <c r="Q230" s="1"/>
      <c r="R230" s="1"/>
      <c r="S230" s="1"/>
      <c r="T230" s="1"/>
      <c r="U230" s="1"/>
    </row>
    <row r="231" ht="10.5" customHeight="1">
      <c r="A231" s="1"/>
      <c r="B231" s="85" t="s">
        <v>153</v>
      </c>
      <c r="C231" s="216">
        <v>414672.0</v>
      </c>
      <c r="D231" s="216">
        <v>45038.0</v>
      </c>
      <c r="E231" s="408">
        <v>5952.0</v>
      </c>
      <c r="F231" s="217">
        <v>192190.0</v>
      </c>
      <c r="G231" s="289">
        <v>10036.39</v>
      </c>
      <c r="H231" s="216">
        <v>156738.0</v>
      </c>
      <c r="I231" s="82">
        <v>1524.71</v>
      </c>
      <c r="J231" s="216">
        <v>13480.0</v>
      </c>
      <c r="K231" s="216">
        <v>50466.0</v>
      </c>
      <c r="L231" s="169">
        <v>2437782.0</v>
      </c>
      <c r="M231" s="136">
        <v>2488248.0</v>
      </c>
      <c r="N231" s="1"/>
      <c r="O231" s="1"/>
      <c r="P231" s="1"/>
      <c r="Q231" s="1"/>
      <c r="R231" s="1"/>
      <c r="S231" s="1"/>
      <c r="T231" s="1"/>
      <c r="U231" s="1"/>
    </row>
    <row r="232" ht="10.5" customHeight="1">
      <c r="A232" s="1"/>
      <c r="B232" s="85"/>
      <c r="C232" s="216"/>
      <c r="D232" s="216"/>
      <c r="E232" s="408"/>
      <c r="F232" s="217"/>
      <c r="G232" s="289"/>
      <c r="H232" s="216"/>
      <c r="I232" s="82"/>
      <c r="J232" s="216"/>
      <c r="K232" s="216"/>
      <c r="L232" s="169"/>
      <c r="M232" s="136"/>
      <c r="N232" s="1"/>
      <c r="O232" s="1"/>
      <c r="P232" s="1"/>
      <c r="Q232" s="1"/>
      <c r="R232" s="1"/>
      <c r="S232" s="1"/>
      <c r="T232" s="1"/>
      <c r="U232" s="1"/>
    </row>
    <row r="233" ht="10.5" customHeight="1">
      <c r="A233" s="1"/>
      <c r="B233" s="85" t="s">
        <v>155</v>
      </c>
      <c r="C233" s="216">
        <v>431066.0</v>
      </c>
      <c r="D233" s="216">
        <v>42101.0</v>
      </c>
      <c r="E233" s="408">
        <v>6495.0</v>
      </c>
      <c r="F233" s="217">
        <v>221722.0</v>
      </c>
      <c r="G233" s="289">
        <v>11174.32</v>
      </c>
      <c r="H233" s="216">
        <v>146946.0</v>
      </c>
      <c r="I233" s="82">
        <v>1860.87</v>
      </c>
      <c r="J233" s="216">
        <v>13280.0</v>
      </c>
      <c r="K233" s="216">
        <v>48621.0</v>
      </c>
      <c r="L233" s="169">
        <v>3026341.0</v>
      </c>
      <c r="M233" s="136">
        <v>3074963.0</v>
      </c>
      <c r="N233" s="1"/>
      <c r="O233" s="1"/>
      <c r="P233" s="1"/>
      <c r="Q233" s="1"/>
      <c r="R233" s="1"/>
      <c r="S233" s="1"/>
      <c r="T233" s="1"/>
      <c r="U233" s="1"/>
    </row>
    <row r="234" ht="10.5" customHeight="1">
      <c r="A234" s="1"/>
      <c r="B234" s="96" t="s">
        <v>707</v>
      </c>
      <c r="C234" s="240">
        <v>432590.0</v>
      </c>
      <c r="D234" s="240">
        <v>40302.0</v>
      </c>
      <c r="E234" s="418">
        <v>6561.0</v>
      </c>
      <c r="F234" s="241">
        <v>216351.0</v>
      </c>
      <c r="G234" s="290">
        <v>10094.53</v>
      </c>
      <c r="H234" s="240">
        <v>154940.0</v>
      </c>
      <c r="I234" s="106">
        <v>1587.81</v>
      </c>
      <c r="J234" s="240">
        <v>14408.0</v>
      </c>
      <c r="K234" s="240">
        <v>55867.0</v>
      </c>
      <c r="L234" s="260">
        <v>2696185.0</v>
      </c>
      <c r="M234" s="260">
        <v>2752052.0</v>
      </c>
      <c r="N234" s="1"/>
      <c r="O234" s="1"/>
      <c r="P234" s="1"/>
      <c r="Q234" s="1"/>
      <c r="R234" s="1"/>
      <c r="S234" s="1"/>
      <c r="T234" s="1"/>
      <c r="U234" s="1"/>
    </row>
    <row r="235" ht="6.0" customHeight="1">
      <c r="A235" s="1"/>
      <c r="B235" s="291"/>
      <c r="C235" s="243"/>
      <c r="D235" s="243"/>
      <c r="E235" s="420"/>
      <c r="F235" s="244"/>
      <c r="G235" s="292"/>
      <c r="H235" s="243"/>
      <c r="I235" s="421"/>
      <c r="J235" s="243"/>
      <c r="K235" s="243"/>
      <c r="L235" s="267"/>
      <c r="M235" s="267"/>
      <c r="N235" s="1"/>
      <c r="O235" s="1"/>
      <c r="P235" s="1"/>
      <c r="Q235" s="1"/>
      <c r="R235" s="1"/>
      <c r="S235" s="1"/>
      <c r="T235" s="1"/>
      <c r="U235" s="1"/>
    </row>
    <row r="236" ht="10.5" customHeight="1">
      <c r="A236" s="1"/>
      <c r="B236" s="185" t="s">
        <v>713</v>
      </c>
      <c r="C236" s="185"/>
      <c r="D236" s="185"/>
      <c r="E236" s="185"/>
      <c r="F236" s="185"/>
      <c r="G236" s="185"/>
      <c r="H236" s="185"/>
      <c r="I236" s="1"/>
      <c r="J236" s="1"/>
      <c r="K236" s="1"/>
      <c r="L236" s="1"/>
      <c r="M236" s="1"/>
      <c r="N236" s="1"/>
      <c r="O236" s="1"/>
      <c r="P236" s="1"/>
      <c r="Q236" s="1"/>
      <c r="R236" s="1"/>
      <c r="S236" s="1"/>
      <c r="T236" s="1"/>
      <c r="U236" s="1"/>
    </row>
    <row r="237" ht="10.5" customHeight="1">
      <c r="A237" s="1"/>
      <c r="B237" s="185" t="s">
        <v>662</v>
      </c>
      <c r="C237" s="185"/>
      <c r="D237" s="185"/>
      <c r="E237" s="185"/>
      <c r="F237" s="185"/>
      <c r="G237" s="185"/>
      <c r="H237" s="185"/>
      <c r="I237" s="1"/>
      <c r="J237" s="1"/>
      <c r="K237" s="1"/>
      <c r="L237" s="1"/>
      <c r="M237" s="1"/>
      <c r="N237" s="1"/>
      <c r="O237" s="1"/>
      <c r="P237" s="1"/>
      <c r="Q237" s="1"/>
      <c r="R237" s="1"/>
      <c r="S237" s="1"/>
      <c r="T237" s="1"/>
      <c r="U237" s="1"/>
    </row>
    <row r="238" ht="10.5" customHeight="1">
      <c r="A238" s="1"/>
      <c r="B238" s="185" t="s">
        <v>663</v>
      </c>
      <c r="C238" s="185"/>
      <c r="D238" s="185"/>
      <c r="E238" s="185"/>
      <c r="F238" s="185"/>
      <c r="G238" s="185"/>
      <c r="H238" s="185"/>
      <c r="I238" s="1"/>
      <c r="J238" s="1"/>
      <c r="K238" s="1"/>
      <c r="L238" s="1"/>
      <c r="M238" s="1"/>
      <c r="N238" s="1"/>
      <c r="O238" s="1"/>
      <c r="P238" s="1"/>
      <c r="Q238" s="1"/>
      <c r="R238" s="1"/>
      <c r="S238" s="1"/>
      <c r="T238" s="1"/>
      <c r="U238" s="1"/>
    </row>
    <row r="239" ht="10.5" customHeight="1">
      <c r="A239" s="1"/>
      <c r="B239" s="185" t="s">
        <v>664</v>
      </c>
      <c r="C239" s="185"/>
      <c r="D239" s="185"/>
      <c r="E239" s="185"/>
      <c r="F239" s="185"/>
      <c r="G239" s="185"/>
      <c r="H239" s="185"/>
      <c r="I239" s="1"/>
      <c r="J239" s="1"/>
      <c r="K239" s="1"/>
      <c r="L239" s="1"/>
      <c r="M239" s="1"/>
      <c r="N239" s="1"/>
      <c r="O239" s="1"/>
      <c r="P239" s="1"/>
      <c r="Q239" s="1"/>
      <c r="R239" s="1"/>
      <c r="S239" s="1"/>
      <c r="T239" s="1"/>
      <c r="U239" s="1"/>
    </row>
    <row r="240" ht="10.5" customHeight="1">
      <c r="A240" s="1"/>
      <c r="B240" s="185" t="s">
        <v>665</v>
      </c>
      <c r="C240" s="185"/>
      <c r="D240" s="185"/>
      <c r="E240" s="185"/>
      <c r="F240" s="185"/>
      <c r="G240" s="185"/>
      <c r="H240" s="185"/>
      <c r="I240" s="1"/>
      <c r="J240" s="1"/>
      <c r="K240" s="1"/>
      <c r="L240" s="1"/>
      <c r="M240" s="1"/>
      <c r="N240" s="1"/>
      <c r="O240" s="1"/>
      <c r="P240" s="1"/>
      <c r="Q240" s="1"/>
      <c r="R240" s="1"/>
      <c r="S240" s="1"/>
      <c r="T240" s="1"/>
      <c r="U240" s="1"/>
    </row>
    <row r="241" ht="10.5" customHeight="1">
      <c r="A241" s="1"/>
      <c r="B241" s="311" t="s">
        <v>666</v>
      </c>
      <c r="I241" s="1"/>
      <c r="J241" s="1"/>
      <c r="K241" s="1"/>
      <c r="L241" s="1"/>
      <c r="M241" s="1"/>
      <c r="N241" s="1"/>
      <c r="O241" s="1"/>
      <c r="P241" s="1"/>
      <c r="Q241" s="1"/>
      <c r="R241" s="1"/>
      <c r="S241" s="1"/>
      <c r="T241" s="1"/>
      <c r="U241" s="1"/>
    </row>
    <row r="242" ht="10.5" customHeight="1">
      <c r="A242" s="1"/>
      <c r="B242" s="311" t="s">
        <v>667</v>
      </c>
      <c r="C242" s="311"/>
      <c r="D242" s="311"/>
      <c r="E242" s="311"/>
      <c r="F242" s="311"/>
      <c r="G242" s="311"/>
      <c r="H242" s="311"/>
      <c r="I242" s="1"/>
      <c r="J242" s="1"/>
      <c r="K242" s="1"/>
      <c r="L242" s="1"/>
      <c r="M242" s="1"/>
      <c r="N242" s="1"/>
      <c r="O242" s="1"/>
      <c r="P242" s="1"/>
      <c r="Q242" s="1"/>
      <c r="R242" s="1"/>
      <c r="S242" s="1"/>
      <c r="T242" s="1"/>
      <c r="U242" s="1"/>
    </row>
    <row r="243" ht="10.5" customHeight="1">
      <c r="A243" s="1"/>
      <c r="B243" s="311" t="s">
        <v>669</v>
      </c>
      <c r="C243" s="311"/>
      <c r="D243" s="311"/>
      <c r="E243" s="311"/>
      <c r="F243" s="311"/>
      <c r="G243" s="311"/>
      <c r="H243" s="311"/>
      <c r="I243" s="1"/>
      <c r="J243" s="1"/>
      <c r="K243" s="1"/>
      <c r="L243" s="1"/>
      <c r="M243" s="1"/>
      <c r="N243" s="1"/>
      <c r="O243" s="1"/>
      <c r="P243" s="1"/>
      <c r="Q243" s="1"/>
      <c r="R243" s="1"/>
      <c r="S243" s="1"/>
      <c r="T243" s="1"/>
      <c r="U243" s="1"/>
    </row>
    <row r="244" ht="10.5" customHeight="1">
      <c r="A244" s="1"/>
      <c r="B244" s="185" t="s">
        <v>715</v>
      </c>
      <c r="C244" s="185"/>
      <c r="D244" s="185"/>
      <c r="E244" s="185"/>
      <c r="F244" s="185"/>
      <c r="G244" s="185"/>
      <c r="H244" s="185"/>
      <c r="I244" s="1"/>
      <c r="J244" s="1"/>
      <c r="K244" s="1"/>
      <c r="L244" s="1"/>
      <c r="M244" s="1"/>
      <c r="N244" s="1"/>
      <c r="O244" s="1"/>
      <c r="P244" s="1"/>
      <c r="Q244" s="1"/>
      <c r="R244" s="1"/>
      <c r="S244" s="1"/>
      <c r="T244" s="1"/>
      <c r="U244" s="1"/>
    </row>
    <row r="245" ht="10.5" customHeight="1">
      <c r="A245" s="1"/>
      <c r="B245" s="185"/>
      <c r="C245" s="185"/>
      <c r="D245" s="185"/>
      <c r="E245" s="185"/>
      <c r="F245" s="185"/>
      <c r="G245" s="185"/>
      <c r="H245" s="185"/>
      <c r="I245" s="1"/>
      <c r="J245" s="1"/>
      <c r="K245" s="1"/>
      <c r="L245" s="1"/>
      <c r="M245" s="1"/>
      <c r="N245" s="1"/>
      <c r="O245" s="1"/>
      <c r="P245" s="1"/>
      <c r="Q245" s="1"/>
      <c r="R245" s="1"/>
      <c r="S245" s="1"/>
      <c r="T245" s="1"/>
      <c r="U245" s="1"/>
    </row>
    <row r="246" ht="10.5" customHeight="1">
      <c r="A246" s="1"/>
      <c r="B246" s="185"/>
      <c r="C246" s="185"/>
      <c r="D246" s="185"/>
      <c r="E246" s="185"/>
      <c r="F246" s="185"/>
      <c r="G246" s="185"/>
      <c r="H246" s="185"/>
      <c r="I246" s="1"/>
      <c r="J246" s="1"/>
      <c r="K246" s="1"/>
      <c r="L246" s="1"/>
      <c r="M246" s="1"/>
      <c r="N246" s="1"/>
      <c r="O246" s="1"/>
      <c r="P246" s="1"/>
      <c r="Q246" s="1"/>
      <c r="R246" s="1"/>
      <c r="S246" s="1"/>
      <c r="T246" s="1"/>
      <c r="U246" s="1"/>
    </row>
    <row r="247" ht="10.5" customHeight="1">
      <c r="A247" s="1"/>
      <c r="B247" s="1"/>
      <c r="C247" s="1"/>
      <c r="D247" s="1"/>
      <c r="E247" s="1"/>
      <c r="F247" s="1"/>
      <c r="G247" s="1"/>
      <c r="H247" s="1"/>
      <c r="I247" s="1"/>
      <c r="J247" s="1"/>
      <c r="K247" s="1"/>
      <c r="L247" s="1"/>
      <c r="M247" s="1"/>
      <c r="N247" s="1"/>
      <c r="O247" s="1"/>
      <c r="P247" s="1"/>
      <c r="Q247" s="1"/>
      <c r="R247" s="1"/>
      <c r="S247" s="1"/>
      <c r="T247" s="1"/>
      <c r="U247" s="1"/>
    </row>
    <row r="248" ht="10.5" customHeight="1">
      <c r="A248" s="1"/>
      <c r="B248" s="65"/>
      <c r="C248" s="430"/>
      <c r="D248" s="430"/>
      <c r="E248" s="430"/>
      <c r="F248" s="430"/>
      <c r="G248" s="430"/>
      <c r="H248" s="430"/>
      <c r="I248" s="430"/>
      <c r="J248" s="430"/>
      <c r="K248" s="430"/>
      <c r="L248" s="430"/>
      <c r="M248" s="430"/>
      <c r="N248" s="1"/>
      <c r="O248" s="1"/>
      <c r="P248" s="1"/>
      <c r="Q248" s="1"/>
      <c r="R248" s="1"/>
      <c r="S248" s="1"/>
      <c r="T248" s="1"/>
      <c r="U248" s="1"/>
    </row>
    <row r="249" ht="11.25" customHeight="1">
      <c r="A249" s="1"/>
      <c r="B249" s="1" t="s">
        <v>716</v>
      </c>
      <c r="C249" s="1"/>
      <c r="D249" s="111"/>
      <c r="E249" s="111"/>
      <c r="F249" s="1"/>
      <c r="G249" s="1"/>
      <c r="H249" s="1"/>
      <c r="I249" s="1"/>
      <c r="J249" s="1"/>
      <c r="K249" s="1"/>
      <c r="L249" s="1"/>
      <c r="M249" s="1"/>
      <c r="N249" s="1"/>
      <c r="O249" s="1"/>
      <c r="P249" s="1"/>
      <c r="Q249" s="1"/>
      <c r="R249" s="1"/>
      <c r="S249" s="1"/>
      <c r="T249" s="1"/>
      <c r="U249" s="1"/>
    </row>
    <row r="250" ht="11.25" customHeight="1">
      <c r="A250" s="1"/>
      <c r="B250" s="29" t="s">
        <v>506</v>
      </c>
      <c r="C250" s="31" t="s">
        <v>508</v>
      </c>
      <c r="D250" s="128" t="s">
        <v>717</v>
      </c>
      <c r="E250" s="10"/>
      <c r="F250" s="128" t="s">
        <v>243</v>
      </c>
      <c r="G250" s="10"/>
      <c r="H250" s="128" t="s">
        <v>510</v>
      </c>
      <c r="I250" s="10"/>
      <c r="J250" s="273" t="s">
        <v>511</v>
      </c>
      <c r="K250" s="128" t="s">
        <v>512</v>
      </c>
      <c r="L250" s="10"/>
      <c r="M250" s="31" t="s">
        <v>513</v>
      </c>
      <c r="N250" s="1"/>
      <c r="O250" s="1"/>
      <c r="P250" s="1"/>
      <c r="Q250" s="1"/>
      <c r="R250" s="1"/>
      <c r="S250" s="1"/>
      <c r="T250" s="1"/>
      <c r="U250" s="1"/>
    </row>
    <row r="251" ht="22.5" customHeight="1">
      <c r="A251" s="1"/>
      <c r="B251" s="5"/>
      <c r="C251" s="6"/>
      <c r="D251" s="200" t="s">
        <v>514</v>
      </c>
      <c r="E251" s="7" t="s">
        <v>515</v>
      </c>
      <c r="F251" s="7" t="s">
        <v>514</v>
      </c>
      <c r="G251" s="7" t="s">
        <v>516</v>
      </c>
      <c r="H251" s="7" t="s">
        <v>514</v>
      </c>
      <c r="I251" s="7" t="s">
        <v>515</v>
      </c>
      <c r="J251" s="7" t="s">
        <v>517</v>
      </c>
      <c r="K251" s="7" t="s">
        <v>719</v>
      </c>
      <c r="L251" s="7" t="s">
        <v>720</v>
      </c>
      <c r="M251" s="6"/>
      <c r="N251" s="1"/>
      <c r="O251" s="1"/>
      <c r="P251" s="1"/>
      <c r="Q251" s="1"/>
      <c r="R251" s="1"/>
      <c r="S251" s="1"/>
      <c r="T251" s="1"/>
      <c r="U251" s="1"/>
    </row>
    <row r="252" ht="11.25" customHeight="1">
      <c r="A252" s="1"/>
      <c r="B252" s="6"/>
      <c r="C252" s="8" t="s">
        <v>520</v>
      </c>
      <c r="D252" s="10"/>
      <c r="E252" s="134" t="s">
        <v>52</v>
      </c>
      <c r="F252" s="134" t="s">
        <v>520</v>
      </c>
      <c r="G252" s="134" t="s">
        <v>52</v>
      </c>
      <c r="H252" s="134" t="s">
        <v>520</v>
      </c>
      <c r="I252" s="134" t="s">
        <v>52</v>
      </c>
      <c r="J252" s="134" t="s">
        <v>520</v>
      </c>
      <c r="K252" s="8" t="s">
        <v>50</v>
      </c>
      <c r="L252" s="9"/>
      <c r="M252" s="10"/>
      <c r="N252" s="1"/>
      <c r="O252" s="1"/>
      <c r="P252" s="1"/>
      <c r="Q252" s="1"/>
      <c r="R252" s="1"/>
      <c r="S252" s="1"/>
      <c r="T252" s="1"/>
      <c r="U252" s="1"/>
    </row>
    <row r="253" ht="10.5" customHeight="1">
      <c r="A253" s="1"/>
      <c r="B253" s="48" t="s">
        <v>56</v>
      </c>
      <c r="C253" s="216">
        <v>165871.0</v>
      </c>
      <c r="D253" s="216">
        <v>28002.0</v>
      </c>
      <c r="E253" s="228">
        <v>279.0</v>
      </c>
      <c r="F253" s="130">
        <v>454.0</v>
      </c>
      <c r="G253" s="249">
        <v>1194.26</v>
      </c>
      <c r="H253" s="130">
        <v>99253.0</v>
      </c>
      <c r="I253" s="276">
        <v>144.14</v>
      </c>
      <c r="J253" s="228">
        <v>17106.0</v>
      </c>
      <c r="K253" s="228">
        <v>2712.0</v>
      </c>
      <c r="L253" s="228">
        <v>26545.0</v>
      </c>
      <c r="M253" s="228">
        <f t="shared" ref="M253:M257" si="29">SUM(K253:L253)</f>
        <v>29257</v>
      </c>
      <c r="N253" s="1"/>
      <c r="O253" s="1"/>
      <c r="P253" s="1"/>
      <c r="Q253" s="1"/>
      <c r="R253" s="1"/>
      <c r="S253" s="1"/>
      <c r="T253" s="1"/>
      <c r="U253" s="1"/>
    </row>
    <row r="254" ht="10.5" customHeight="1">
      <c r="A254" s="1"/>
      <c r="B254" s="48" t="s">
        <v>81</v>
      </c>
      <c r="C254" s="216">
        <v>169566.0</v>
      </c>
      <c r="D254" s="216">
        <v>33208.0</v>
      </c>
      <c r="E254" s="228">
        <v>307.0</v>
      </c>
      <c r="F254" s="130">
        <v>584.0</v>
      </c>
      <c r="G254" s="249">
        <v>1123.76</v>
      </c>
      <c r="H254" s="130">
        <v>92734.0</v>
      </c>
      <c r="I254" s="276">
        <v>151.39</v>
      </c>
      <c r="J254" s="228">
        <v>18133.0</v>
      </c>
      <c r="K254" s="228">
        <v>3660.0</v>
      </c>
      <c r="L254" s="228">
        <v>29935.0</v>
      </c>
      <c r="M254" s="228">
        <f t="shared" si="29"/>
        <v>33595</v>
      </c>
      <c r="N254" s="1"/>
      <c r="O254" s="1"/>
      <c r="P254" s="1"/>
      <c r="Q254" s="1"/>
      <c r="R254" s="1"/>
      <c r="S254" s="1"/>
      <c r="T254" s="1"/>
      <c r="U254" s="1"/>
    </row>
    <row r="255" ht="10.5" customHeight="1">
      <c r="A255" s="1"/>
      <c r="B255" s="48" t="s">
        <v>86</v>
      </c>
      <c r="C255" s="216">
        <v>163854.0</v>
      </c>
      <c r="D255" s="216">
        <v>28574.0</v>
      </c>
      <c r="E255" s="228">
        <v>422.0</v>
      </c>
      <c r="F255" s="130">
        <v>379.0</v>
      </c>
      <c r="G255" s="249">
        <v>873.29</v>
      </c>
      <c r="H255" s="130">
        <v>101222.0</v>
      </c>
      <c r="I255" s="276">
        <v>118.11</v>
      </c>
      <c r="J255" s="228">
        <v>16078.0</v>
      </c>
      <c r="K255" s="228">
        <v>3342.0</v>
      </c>
      <c r="L255" s="228">
        <v>28852.0</v>
      </c>
      <c r="M255" s="228">
        <f t="shared" si="29"/>
        <v>32194</v>
      </c>
      <c r="N255" s="1"/>
      <c r="O255" s="1"/>
      <c r="P255" s="1"/>
      <c r="Q255" s="1"/>
      <c r="R255" s="1"/>
      <c r="S255" s="1"/>
      <c r="T255" s="1"/>
      <c r="U255" s="1"/>
    </row>
    <row r="256" ht="10.5" customHeight="1">
      <c r="A256" s="1"/>
      <c r="B256" s="48" t="s">
        <v>87</v>
      </c>
      <c r="C256" s="216">
        <v>168545.0</v>
      </c>
      <c r="D256" s="216">
        <v>27515.0</v>
      </c>
      <c r="E256" s="228">
        <v>498.0</v>
      </c>
      <c r="F256" s="130">
        <v>367.0</v>
      </c>
      <c r="G256" s="249">
        <v>1583.5</v>
      </c>
      <c r="H256" s="130">
        <v>109335.0</v>
      </c>
      <c r="I256" s="276">
        <v>172.54</v>
      </c>
      <c r="J256" s="228">
        <v>14380.0</v>
      </c>
      <c r="K256" s="228">
        <v>4308.0</v>
      </c>
      <c r="L256" s="228">
        <v>38259.0</v>
      </c>
      <c r="M256" s="228">
        <f t="shared" si="29"/>
        <v>42567</v>
      </c>
      <c r="N256" s="1"/>
      <c r="O256" s="1"/>
      <c r="P256" s="1"/>
      <c r="Q256" s="1"/>
      <c r="R256" s="1"/>
      <c r="S256" s="1"/>
      <c r="T256" s="1"/>
      <c r="U256" s="1"/>
    </row>
    <row r="257" ht="10.5" customHeight="1">
      <c r="A257" s="1"/>
      <c r="B257" s="48" t="s">
        <v>90</v>
      </c>
      <c r="C257" s="216">
        <v>136324.0</v>
      </c>
      <c r="D257" s="216">
        <v>24428.0</v>
      </c>
      <c r="E257" s="228">
        <v>638.0</v>
      </c>
      <c r="F257" s="130">
        <v>623.0</v>
      </c>
      <c r="G257" s="249">
        <v>1738.87</v>
      </c>
      <c r="H257" s="130">
        <v>86565.0</v>
      </c>
      <c r="I257" s="276">
        <v>232.66</v>
      </c>
      <c r="J257" s="228">
        <v>9661.0</v>
      </c>
      <c r="K257" s="228">
        <v>3155.0</v>
      </c>
      <c r="L257" s="228">
        <v>42629.0</v>
      </c>
      <c r="M257" s="228">
        <f t="shared" si="29"/>
        <v>45784</v>
      </c>
      <c r="N257" s="1"/>
      <c r="O257" s="1"/>
      <c r="P257" s="1"/>
      <c r="Q257" s="1"/>
      <c r="R257" s="1"/>
      <c r="S257" s="1"/>
      <c r="T257" s="1"/>
      <c r="U257" s="1"/>
    </row>
    <row r="258" ht="10.5" customHeight="1">
      <c r="A258" s="1"/>
      <c r="B258" s="48"/>
      <c r="C258" s="216"/>
      <c r="D258" s="216"/>
      <c r="E258" s="228"/>
      <c r="F258" s="130"/>
      <c r="G258" s="249"/>
      <c r="H258" s="130"/>
      <c r="I258" s="276"/>
      <c r="J258" s="228"/>
      <c r="K258" s="228"/>
      <c r="L258" s="228"/>
      <c r="M258" s="228"/>
      <c r="N258" s="1"/>
      <c r="O258" s="1"/>
      <c r="P258" s="1"/>
      <c r="Q258" s="1"/>
      <c r="R258" s="1"/>
      <c r="S258" s="1"/>
      <c r="T258" s="1"/>
      <c r="U258" s="1"/>
    </row>
    <row r="259" ht="10.5" customHeight="1">
      <c r="A259" s="1"/>
      <c r="B259" s="48" t="s">
        <v>93</v>
      </c>
      <c r="C259" s="216">
        <v>147132.0</v>
      </c>
      <c r="D259" s="216">
        <v>25183.0</v>
      </c>
      <c r="E259" s="228">
        <v>689.0</v>
      </c>
      <c r="F259" s="130">
        <v>694.0</v>
      </c>
      <c r="G259" s="249">
        <v>2359.05</v>
      </c>
      <c r="H259" s="130">
        <v>90222.0</v>
      </c>
      <c r="I259" s="276">
        <v>314.2</v>
      </c>
      <c r="J259" s="228">
        <v>15522.0</v>
      </c>
      <c r="K259" s="228">
        <v>7419.0</v>
      </c>
      <c r="L259" s="228">
        <v>53821.0</v>
      </c>
      <c r="M259" s="228">
        <f t="shared" ref="M259:M263" si="30">SUM(K259:L259)</f>
        <v>61240</v>
      </c>
      <c r="N259" s="1"/>
      <c r="O259" s="1"/>
      <c r="P259" s="1"/>
      <c r="Q259" s="1"/>
      <c r="R259" s="1"/>
      <c r="S259" s="1"/>
      <c r="T259" s="1"/>
      <c r="U259" s="1"/>
    </row>
    <row r="260" ht="10.5" customHeight="1">
      <c r="A260" s="1"/>
      <c r="B260" s="48" t="s">
        <v>97</v>
      </c>
      <c r="C260" s="216">
        <v>169356.0</v>
      </c>
      <c r="D260" s="216">
        <v>29775.0</v>
      </c>
      <c r="E260" s="228">
        <v>779.0</v>
      </c>
      <c r="F260" s="130">
        <v>1629.0</v>
      </c>
      <c r="G260" s="249">
        <v>1948.13</v>
      </c>
      <c r="H260" s="130">
        <v>102983.0</v>
      </c>
      <c r="I260" s="276">
        <v>314.76</v>
      </c>
      <c r="J260" s="228">
        <v>16628.0</v>
      </c>
      <c r="K260" s="228">
        <v>8276.0</v>
      </c>
      <c r="L260" s="228">
        <v>67444.0</v>
      </c>
      <c r="M260" s="228">
        <f t="shared" si="30"/>
        <v>75720</v>
      </c>
      <c r="N260" s="1"/>
      <c r="O260" s="1"/>
      <c r="P260" s="1"/>
      <c r="Q260" s="1"/>
      <c r="R260" s="1"/>
      <c r="S260" s="1"/>
      <c r="T260" s="1"/>
      <c r="U260" s="1"/>
    </row>
    <row r="261" ht="10.5" customHeight="1">
      <c r="A261" s="1"/>
      <c r="B261" s="48" t="s">
        <v>101</v>
      </c>
      <c r="C261" s="216">
        <v>154962.0</v>
      </c>
      <c r="D261" s="216">
        <v>30733.0</v>
      </c>
      <c r="E261" s="228">
        <v>814.0</v>
      </c>
      <c r="F261" s="130">
        <v>326.0</v>
      </c>
      <c r="G261" s="249">
        <v>7454.92</v>
      </c>
      <c r="H261" s="130">
        <v>82856.0</v>
      </c>
      <c r="I261" s="276">
        <v>349.37</v>
      </c>
      <c r="J261" s="228">
        <v>14372.0</v>
      </c>
      <c r="K261" s="228">
        <v>5715.0</v>
      </c>
      <c r="L261" s="228">
        <v>69506.0</v>
      </c>
      <c r="M261" s="228">
        <f t="shared" si="30"/>
        <v>75221</v>
      </c>
      <c r="N261" s="1"/>
      <c r="O261" s="1"/>
      <c r="P261" s="1"/>
      <c r="Q261" s="1"/>
      <c r="R261" s="1"/>
      <c r="S261" s="1"/>
      <c r="T261" s="1"/>
      <c r="U261" s="1"/>
    </row>
    <row r="262" ht="10.5" customHeight="1">
      <c r="A262" s="1"/>
      <c r="B262" s="48" t="s">
        <v>103</v>
      </c>
      <c r="C262" s="216">
        <v>170747.0</v>
      </c>
      <c r="D262" s="216">
        <v>30368.0</v>
      </c>
      <c r="E262" s="228">
        <v>949.0</v>
      </c>
      <c r="F262" s="130">
        <v>1008.0</v>
      </c>
      <c r="G262" s="249">
        <v>3465.47</v>
      </c>
      <c r="H262" s="130">
        <v>108670.0</v>
      </c>
      <c r="I262" s="276">
        <v>419.95</v>
      </c>
      <c r="J262" s="228">
        <v>11994.0</v>
      </c>
      <c r="K262" s="228">
        <v>5330.0</v>
      </c>
      <c r="L262" s="228">
        <v>88707.0</v>
      </c>
      <c r="M262" s="228">
        <f t="shared" si="30"/>
        <v>94037</v>
      </c>
      <c r="N262" s="1"/>
      <c r="O262" s="1"/>
      <c r="P262" s="1"/>
      <c r="Q262" s="1"/>
      <c r="R262" s="1"/>
      <c r="S262" s="1"/>
      <c r="T262" s="1"/>
      <c r="U262" s="1"/>
    </row>
    <row r="263" ht="10.5" customHeight="1">
      <c r="A263" s="1"/>
      <c r="B263" s="48" t="s">
        <v>104</v>
      </c>
      <c r="C263" s="216">
        <v>145332.0</v>
      </c>
      <c r="D263" s="216">
        <v>27163.0</v>
      </c>
      <c r="E263" s="228">
        <v>1317.0</v>
      </c>
      <c r="F263" s="130">
        <v>1606.0</v>
      </c>
      <c r="G263" s="249">
        <v>4198.34</v>
      </c>
      <c r="H263" s="130">
        <v>89589.0</v>
      </c>
      <c r="I263" s="276">
        <v>443.46</v>
      </c>
      <c r="J263" s="228">
        <v>10242.0</v>
      </c>
      <c r="K263" s="228">
        <v>5472.0</v>
      </c>
      <c r="L263" s="228">
        <v>95600.0</v>
      </c>
      <c r="M263" s="228">
        <f t="shared" si="30"/>
        <v>101072</v>
      </c>
      <c r="N263" s="1"/>
      <c r="O263" s="1"/>
      <c r="P263" s="1"/>
      <c r="Q263" s="1"/>
      <c r="R263" s="1"/>
      <c r="S263" s="1"/>
      <c r="T263" s="1"/>
      <c r="U263" s="1"/>
    </row>
    <row r="264" ht="10.5" customHeight="1">
      <c r="A264" s="1"/>
      <c r="B264" s="48"/>
      <c r="C264" s="216"/>
      <c r="D264" s="216"/>
      <c r="E264" s="228"/>
      <c r="F264" s="130"/>
      <c r="G264" s="249"/>
      <c r="H264" s="130"/>
      <c r="I264" s="276"/>
      <c r="J264" s="228"/>
      <c r="K264" s="228"/>
      <c r="L264" s="228"/>
      <c r="M264" s="228"/>
      <c r="N264" s="1"/>
      <c r="O264" s="1"/>
      <c r="P264" s="1"/>
      <c r="Q264" s="1"/>
      <c r="R264" s="1"/>
      <c r="S264" s="1"/>
      <c r="T264" s="1"/>
      <c r="U264" s="1"/>
    </row>
    <row r="265" ht="10.5" customHeight="1">
      <c r="A265" s="1"/>
      <c r="B265" s="48" t="s">
        <v>108</v>
      </c>
      <c r="C265" s="216">
        <v>157100.0</v>
      </c>
      <c r="D265" s="216">
        <v>30054.0</v>
      </c>
      <c r="E265" s="228">
        <v>1302.0</v>
      </c>
      <c r="F265" s="130">
        <v>1971.0</v>
      </c>
      <c r="G265" s="249">
        <v>4660.96</v>
      </c>
      <c r="H265" s="130">
        <v>97500.0</v>
      </c>
      <c r="I265" s="276">
        <v>544.72</v>
      </c>
      <c r="J265" s="228">
        <v>9062.0</v>
      </c>
      <c r="K265" s="228">
        <v>6849.0</v>
      </c>
      <c r="L265" s="228">
        <v>116043.0</v>
      </c>
      <c r="M265" s="228">
        <f t="shared" ref="M265:M269" si="31">SUM(K265:L265)</f>
        <v>122892</v>
      </c>
      <c r="N265" s="1"/>
      <c r="O265" s="1"/>
      <c r="P265" s="1"/>
      <c r="Q265" s="1"/>
      <c r="R265" s="1"/>
      <c r="S265" s="1"/>
      <c r="T265" s="1"/>
      <c r="U265" s="1"/>
    </row>
    <row r="266" ht="10.5" customHeight="1">
      <c r="A266" s="1"/>
      <c r="B266" s="48" t="s">
        <v>111</v>
      </c>
      <c r="C266" s="216">
        <v>169792.0</v>
      </c>
      <c r="D266" s="216">
        <v>30265.0</v>
      </c>
      <c r="E266" s="228">
        <v>1555.0</v>
      </c>
      <c r="F266" s="130">
        <v>3173.0</v>
      </c>
      <c r="G266" s="249">
        <v>4675.38</v>
      </c>
      <c r="H266" s="130">
        <v>108116.0</v>
      </c>
      <c r="I266" s="276">
        <v>610.77</v>
      </c>
      <c r="J266" s="228">
        <v>9595.0</v>
      </c>
      <c r="K266" s="228">
        <v>8980.0</v>
      </c>
      <c r="L266" s="228">
        <v>145530.0</v>
      </c>
      <c r="M266" s="228">
        <f t="shared" si="31"/>
        <v>154510</v>
      </c>
      <c r="N266" s="1"/>
      <c r="O266" s="1"/>
      <c r="P266" s="1"/>
      <c r="Q266" s="1"/>
      <c r="R266" s="1"/>
      <c r="S266" s="1"/>
      <c r="T266" s="1"/>
      <c r="U266" s="1"/>
    </row>
    <row r="267" ht="10.5" customHeight="1">
      <c r="A267" s="1"/>
      <c r="B267" s="48" t="s">
        <v>112</v>
      </c>
      <c r="C267" s="216">
        <v>169314.0</v>
      </c>
      <c r="D267" s="216">
        <v>31967.0</v>
      </c>
      <c r="E267" s="228">
        <v>1557.0</v>
      </c>
      <c r="F267" s="130">
        <v>2507.0</v>
      </c>
      <c r="G267" s="249">
        <v>4537.53</v>
      </c>
      <c r="H267" s="130">
        <v>104051.0</v>
      </c>
      <c r="I267" s="276">
        <v>615.35</v>
      </c>
      <c r="J267" s="228">
        <v>11097.0</v>
      </c>
      <c r="K267" s="228">
        <v>9742.0</v>
      </c>
      <c r="L267" s="228">
        <v>143759.0</v>
      </c>
      <c r="M267" s="228">
        <f t="shared" si="31"/>
        <v>153501</v>
      </c>
      <c r="N267" s="1"/>
      <c r="O267" s="1"/>
      <c r="P267" s="1"/>
      <c r="Q267" s="1"/>
      <c r="R267" s="1"/>
      <c r="S267" s="1"/>
      <c r="T267" s="1"/>
      <c r="U267" s="1"/>
    </row>
    <row r="268" ht="10.5" customHeight="1">
      <c r="A268" s="1"/>
      <c r="B268" s="48" t="s">
        <v>113</v>
      </c>
      <c r="C268" s="216">
        <v>151530.0</v>
      </c>
      <c r="D268" s="216">
        <v>36609.0</v>
      </c>
      <c r="E268" s="228">
        <v>1446.0</v>
      </c>
      <c r="F268" s="130">
        <v>3413.0</v>
      </c>
      <c r="G268" s="249">
        <v>3287.46</v>
      </c>
      <c r="H268" s="130">
        <v>80287.0</v>
      </c>
      <c r="I268" s="276">
        <v>583.59</v>
      </c>
      <c r="J268" s="228">
        <v>8670.0</v>
      </c>
      <c r="K268" s="228">
        <v>12164.0</v>
      </c>
      <c r="L268" s="228">
        <v>130785.0</v>
      </c>
      <c r="M268" s="228">
        <f t="shared" si="31"/>
        <v>142949</v>
      </c>
      <c r="N268" s="1"/>
      <c r="O268" s="1"/>
      <c r="P268" s="1"/>
      <c r="Q268" s="1"/>
      <c r="R268" s="1"/>
      <c r="S268" s="1"/>
      <c r="T268" s="1"/>
      <c r="U268" s="1"/>
    </row>
    <row r="269" ht="10.5" customHeight="1">
      <c r="A269" s="342">
        <v>38.0</v>
      </c>
      <c r="B269" s="48" t="s">
        <v>114</v>
      </c>
      <c r="C269" s="216">
        <v>184737.0</v>
      </c>
      <c r="D269" s="216">
        <v>38868.0</v>
      </c>
      <c r="E269" s="228">
        <v>1695.0</v>
      </c>
      <c r="F269" s="130">
        <v>3498.0</v>
      </c>
      <c r="G269" s="249">
        <v>5169.91</v>
      </c>
      <c r="H269" s="130">
        <v>110213.0</v>
      </c>
      <c r="I269" s="276">
        <v>636.05</v>
      </c>
      <c r="J269" s="228">
        <v>8216.0</v>
      </c>
      <c r="K269" s="228">
        <v>8179.0</v>
      </c>
      <c r="L269" s="228">
        <v>178694.0</v>
      </c>
      <c r="M269" s="228">
        <f t="shared" si="31"/>
        <v>186873</v>
      </c>
      <c r="N269" s="1"/>
      <c r="O269" s="1"/>
      <c r="P269" s="1"/>
      <c r="Q269" s="1"/>
      <c r="R269" s="1"/>
      <c r="S269" s="1"/>
      <c r="T269" s="1"/>
      <c r="U269" s="1"/>
    </row>
    <row r="270" ht="10.5" customHeight="1">
      <c r="A270" s="87"/>
      <c r="B270" s="48"/>
      <c r="C270" s="216"/>
      <c r="D270" s="216"/>
      <c r="E270" s="228"/>
      <c r="F270" s="130"/>
      <c r="G270" s="249"/>
      <c r="H270" s="130"/>
      <c r="I270" s="276"/>
      <c r="J270" s="228"/>
      <c r="K270" s="228"/>
      <c r="L270" s="228"/>
      <c r="M270" s="228"/>
      <c r="N270" s="1"/>
      <c r="O270" s="1"/>
      <c r="P270" s="1"/>
      <c r="Q270" s="1"/>
      <c r="R270" s="1"/>
      <c r="S270" s="1"/>
      <c r="T270" s="1"/>
      <c r="U270" s="1"/>
    </row>
    <row r="271" ht="10.5" customHeight="1">
      <c r="A271" s="1"/>
      <c r="B271" s="48" t="s">
        <v>115</v>
      </c>
      <c r="C271" s="216">
        <v>182801.0</v>
      </c>
      <c r="D271" s="216">
        <v>32949.0</v>
      </c>
      <c r="E271" s="228">
        <v>1978.0</v>
      </c>
      <c r="F271" s="130">
        <v>3532.0</v>
      </c>
      <c r="G271" s="249">
        <v>4890.26</v>
      </c>
      <c r="H271" s="130">
        <v>119308.0</v>
      </c>
      <c r="I271" s="276">
        <v>782.18</v>
      </c>
      <c r="J271" s="228">
        <v>6715.0</v>
      </c>
      <c r="K271" s="228">
        <v>8662.0</v>
      </c>
      <c r="L271" s="228">
        <v>200120.0</v>
      </c>
      <c r="M271" s="228">
        <f t="shared" ref="M271:M275" si="32">SUM(K271:L271)</f>
        <v>208782</v>
      </c>
      <c r="N271" s="1"/>
      <c r="O271" s="1"/>
      <c r="P271" s="1"/>
      <c r="Q271" s="1"/>
      <c r="R271" s="1"/>
      <c r="S271" s="1"/>
      <c r="T271" s="1"/>
      <c r="U271" s="1"/>
    </row>
    <row r="272" ht="10.5" customHeight="1">
      <c r="A272" s="1"/>
      <c r="B272" s="48" t="s">
        <v>117</v>
      </c>
      <c r="C272" s="216">
        <v>240566.0</v>
      </c>
      <c r="D272" s="216">
        <v>37129.0</v>
      </c>
      <c r="E272" s="228">
        <v>2001.0</v>
      </c>
      <c r="F272" s="130">
        <v>4223.0</v>
      </c>
      <c r="G272" s="249">
        <v>5739.41</v>
      </c>
      <c r="H272" s="130">
        <v>169591.0</v>
      </c>
      <c r="I272" s="276">
        <v>714.53</v>
      </c>
      <c r="J272" s="228">
        <v>6753.0</v>
      </c>
      <c r="K272" s="228">
        <v>6558.0</v>
      </c>
      <c r="L272" s="228">
        <v>247479.0</v>
      </c>
      <c r="M272" s="228">
        <f t="shared" si="32"/>
        <v>254037</v>
      </c>
      <c r="N272" s="1"/>
      <c r="O272" s="1"/>
      <c r="P272" s="1"/>
      <c r="Q272" s="1"/>
      <c r="R272" s="1"/>
      <c r="S272" s="1"/>
      <c r="T272" s="1"/>
      <c r="U272" s="1"/>
    </row>
    <row r="273" ht="10.5" customHeight="1">
      <c r="A273" s="1"/>
      <c r="B273" s="48" t="s">
        <v>121</v>
      </c>
      <c r="C273" s="216">
        <v>214040.0</v>
      </c>
      <c r="D273" s="216">
        <v>29445.0</v>
      </c>
      <c r="E273" s="228">
        <v>2207.0</v>
      </c>
      <c r="F273" s="130">
        <v>4343.0</v>
      </c>
      <c r="G273" s="249">
        <v>7037.92</v>
      </c>
      <c r="H273" s="130">
        <v>153824.0</v>
      </c>
      <c r="I273" s="276">
        <v>729.96</v>
      </c>
      <c r="J273" s="228">
        <v>8289.0</v>
      </c>
      <c r="K273" s="228">
        <v>8480.0</v>
      </c>
      <c r="L273" s="228">
        <v>232112.0</v>
      </c>
      <c r="M273" s="228">
        <f t="shared" si="32"/>
        <v>240592</v>
      </c>
      <c r="N273" s="1"/>
      <c r="O273" s="1"/>
      <c r="P273" s="1"/>
      <c r="Q273" s="1"/>
      <c r="R273" s="1"/>
      <c r="S273" s="1"/>
      <c r="T273" s="1"/>
      <c r="U273" s="1"/>
    </row>
    <row r="274" ht="10.5" customHeight="1">
      <c r="A274" s="1"/>
      <c r="B274" s="48" t="s">
        <v>122</v>
      </c>
      <c r="C274" s="216">
        <v>231549.0</v>
      </c>
      <c r="D274" s="216">
        <v>28550.0</v>
      </c>
      <c r="E274" s="228">
        <v>2619.0</v>
      </c>
      <c r="F274" s="130">
        <v>6277.0</v>
      </c>
      <c r="G274" s="249">
        <v>6429.12</v>
      </c>
      <c r="H274" s="130">
        <v>170657.0</v>
      </c>
      <c r="I274" s="276">
        <v>1006.61</v>
      </c>
      <c r="J274" s="228">
        <v>8478.0</v>
      </c>
      <c r="K274" s="228">
        <v>8757.0</v>
      </c>
      <c r="L274" s="228">
        <v>314835.0</v>
      </c>
      <c r="M274" s="228">
        <f t="shared" si="32"/>
        <v>323592</v>
      </c>
      <c r="N274" s="1"/>
      <c r="O274" s="1"/>
      <c r="P274" s="1"/>
      <c r="Q274" s="1"/>
      <c r="R274" s="1"/>
      <c r="S274" s="1"/>
      <c r="T274" s="1"/>
      <c r="U274" s="1"/>
    </row>
    <row r="275" ht="10.5" customHeight="1">
      <c r="A275" s="1"/>
      <c r="B275" s="48" t="s">
        <v>123</v>
      </c>
      <c r="C275" s="216">
        <v>223064.0</v>
      </c>
      <c r="D275" s="216">
        <v>27726.0</v>
      </c>
      <c r="E275" s="228">
        <v>2632.0</v>
      </c>
      <c r="F275" s="130">
        <v>4464.0</v>
      </c>
      <c r="G275" s="249">
        <v>8756.98</v>
      </c>
      <c r="H275" s="130">
        <v>167051.0</v>
      </c>
      <c r="I275" s="276">
        <v>939.48</v>
      </c>
      <c r="J275" s="228">
        <v>6744.0</v>
      </c>
      <c r="K275" s="228">
        <v>7947.0</v>
      </c>
      <c r="L275" s="228">
        <v>296276.0</v>
      </c>
      <c r="M275" s="228">
        <f t="shared" si="32"/>
        <v>304223</v>
      </c>
      <c r="N275" s="1"/>
      <c r="O275" s="1"/>
      <c r="P275" s="1"/>
      <c r="Q275" s="1"/>
      <c r="R275" s="1"/>
      <c r="S275" s="1"/>
      <c r="T275" s="1"/>
      <c r="U275" s="1"/>
    </row>
    <row r="276" ht="10.5" customHeight="1">
      <c r="A276" s="1"/>
      <c r="B276" s="48"/>
      <c r="C276" s="216"/>
      <c r="D276" s="216"/>
      <c r="E276" s="228"/>
      <c r="F276" s="130"/>
      <c r="G276" s="249"/>
      <c r="H276" s="130"/>
      <c r="I276" s="276"/>
      <c r="J276" s="228"/>
      <c r="K276" s="228"/>
      <c r="L276" s="228"/>
      <c r="M276" s="228"/>
      <c r="N276" s="1"/>
      <c r="O276" s="1"/>
      <c r="P276" s="1"/>
      <c r="Q276" s="1"/>
      <c r="R276" s="1"/>
      <c r="S276" s="1"/>
      <c r="T276" s="1"/>
      <c r="U276" s="1"/>
    </row>
    <row r="277" ht="10.5" customHeight="1">
      <c r="A277" s="1"/>
      <c r="B277" s="168" t="s">
        <v>125</v>
      </c>
      <c r="C277" s="216">
        <v>173868.0</v>
      </c>
      <c r="D277" s="216">
        <v>29999.0</v>
      </c>
      <c r="E277" s="228">
        <v>2694.0</v>
      </c>
      <c r="F277" s="130">
        <v>8688.0</v>
      </c>
      <c r="G277" s="249">
        <v>6730.44</v>
      </c>
      <c r="H277" s="130">
        <v>111146.0</v>
      </c>
      <c r="I277" s="276">
        <v>1041.35</v>
      </c>
      <c r="J277" s="228">
        <v>5556.0</v>
      </c>
      <c r="K277" s="228">
        <v>6232.0</v>
      </c>
      <c r="L277" s="228">
        <v>285243.0</v>
      </c>
      <c r="M277" s="228">
        <f t="shared" ref="M277:M281" si="33">SUM(K277:L277)</f>
        <v>291475</v>
      </c>
      <c r="N277" s="1"/>
      <c r="O277" s="1"/>
      <c r="P277" s="1"/>
      <c r="Q277" s="1"/>
      <c r="R277" s="1"/>
      <c r="S277" s="1"/>
      <c r="T277" s="1"/>
      <c r="U277" s="1"/>
    </row>
    <row r="278" ht="10.5" customHeight="1">
      <c r="A278" s="1"/>
      <c r="B278" s="168" t="s">
        <v>127</v>
      </c>
      <c r="C278" s="216">
        <v>189647.0</v>
      </c>
      <c r="D278" s="216">
        <v>27938.0</v>
      </c>
      <c r="E278" s="228">
        <v>2865.0</v>
      </c>
      <c r="F278" s="216">
        <v>9081.0</v>
      </c>
      <c r="G278" s="252">
        <v>7504.13</v>
      </c>
      <c r="H278" s="216">
        <v>129591.0</v>
      </c>
      <c r="I278" s="289">
        <v>1136.77</v>
      </c>
      <c r="J278" s="217">
        <v>5828.0</v>
      </c>
      <c r="K278" s="217">
        <v>5221.0</v>
      </c>
      <c r="L278" s="217">
        <v>325391.0</v>
      </c>
      <c r="M278" s="228">
        <f t="shared" si="33"/>
        <v>330612</v>
      </c>
      <c r="N278" s="1"/>
      <c r="O278" s="1"/>
      <c r="P278" s="1"/>
      <c r="Q278" s="1"/>
      <c r="R278" s="1"/>
      <c r="S278" s="1"/>
      <c r="T278" s="1"/>
      <c r="U278" s="1"/>
    </row>
    <row r="279" ht="10.5" customHeight="1">
      <c r="A279" s="1"/>
      <c r="B279" s="48" t="s">
        <v>128</v>
      </c>
      <c r="C279" s="216">
        <v>249290.0</v>
      </c>
      <c r="D279" s="216">
        <v>29556.0</v>
      </c>
      <c r="E279" s="228">
        <v>3455.0</v>
      </c>
      <c r="F279" s="216">
        <v>9535.0</v>
      </c>
      <c r="G279" s="252">
        <v>8604.59</v>
      </c>
      <c r="H279" s="216">
        <v>183404.0</v>
      </c>
      <c r="I279" s="289">
        <v>1314.61</v>
      </c>
      <c r="J279" s="217">
        <v>6222.0</v>
      </c>
      <c r="K279" s="217">
        <v>11431.0</v>
      </c>
      <c r="L279" s="217">
        <v>463407.0</v>
      </c>
      <c r="M279" s="228">
        <f t="shared" si="33"/>
        <v>474838</v>
      </c>
      <c r="N279" s="1"/>
      <c r="O279" s="1"/>
      <c r="P279" s="1"/>
      <c r="Q279" s="1"/>
      <c r="R279" s="1"/>
      <c r="S279" s="1"/>
      <c r="T279" s="1"/>
      <c r="U279" s="1"/>
    </row>
    <row r="280" ht="10.5" customHeight="1">
      <c r="A280" s="1"/>
      <c r="B280" s="48" t="s">
        <v>129</v>
      </c>
      <c r="C280" s="216">
        <v>178203.0</v>
      </c>
      <c r="D280" s="216">
        <v>20732.0</v>
      </c>
      <c r="E280" s="228">
        <v>4774.0</v>
      </c>
      <c r="F280" s="216">
        <v>7740.0</v>
      </c>
      <c r="G280" s="252">
        <v>10931.38</v>
      </c>
      <c r="H280" s="216">
        <v>129711.0</v>
      </c>
      <c r="I280" s="289">
        <v>1163.77</v>
      </c>
      <c r="J280" s="217">
        <v>5328.0</v>
      </c>
      <c r="K280" s="217">
        <v>8528.0</v>
      </c>
      <c r="L280" s="217">
        <v>371506.0</v>
      </c>
      <c r="M280" s="228">
        <f t="shared" si="33"/>
        <v>380034</v>
      </c>
      <c r="N280" s="1"/>
      <c r="O280" s="1"/>
      <c r="P280" s="1"/>
      <c r="Q280" s="1"/>
      <c r="R280" s="1"/>
      <c r="S280" s="1"/>
      <c r="T280" s="1"/>
      <c r="U280" s="1"/>
    </row>
    <row r="281" ht="10.5" customHeight="1">
      <c r="A281" s="1"/>
      <c r="B281" s="48" t="s">
        <v>130</v>
      </c>
      <c r="C281" s="216">
        <v>183610.0</v>
      </c>
      <c r="D281" s="216">
        <v>24122.0</v>
      </c>
      <c r="E281" s="228">
        <v>4449.0</v>
      </c>
      <c r="F281" s="216">
        <v>7477.0</v>
      </c>
      <c r="G281" s="252">
        <v>8256.77</v>
      </c>
      <c r="H281" s="216">
        <v>130441.0</v>
      </c>
      <c r="I281" s="289">
        <v>1032.82</v>
      </c>
      <c r="J281" s="217">
        <v>6711.0</v>
      </c>
      <c r="K281" s="217">
        <v>11548.0</v>
      </c>
      <c r="L281" s="217">
        <v>343890.0</v>
      </c>
      <c r="M281" s="228">
        <f t="shared" si="33"/>
        <v>355438</v>
      </c>
      <c r="N281" s="1"/>
      <c r="O281" s="1"/>
      <c r="P281" s="1"/>
      <c r="Q281" s="1"/>
      <c r="R281" s="1"/>
      <c r="S281" s="1"/>
      <c r="T281" s="1"/>
      <c r="U281" s="1"/>
    </row>
    <row r="282" ht="10.5" customHeight="1">
      <c r="A282" s="1"/>
      <c r="B282" s="48"/>
      <c r="C282" s="216"/>
      <c r="D282" s="216"/>
      <c r="E282" s="228"/>
      <c r="F282" s="216"/>
      <c r="G282" s="252"/>
      <c r="H282" s="216"/>
      <c r="I282" s="289"/>
      <c r="J282" s="217"/>
      <c r="K282" s="217"/>
      <c r="L282" s="217"/>
      <c r="M282" s="228"/>
      <c r="N282" s="1"/>
      <c r="O282" s="1"/>
      <c r="P282" s="1"/>
      <c r="Q282" s="1"/>
      <c r="R282" s="1"/>
      <c r="S282" s="1"/>
      <c r="T282" s="1"/>
      <c r="U282" s="1"/>
    </row>
    <row r="283" ht="10.5" customHeight="1">
      <c r="A283" s="1"/>
      <c r="B283" s="85" t="s">
        <v>131</v>
      </c>
      <c r="C283" s="216">
        <v>175430.0</v>
      </c>
      <c r="D283" s="216">
        <v>22499.0</v>
      </c>
      <c r="E283" s="228">
        <v>5943.0</v>
      </c>
      <c r="F283" s="216">
        <v>5524.0</v>
      </c>
      <c r="G283" s="252">
        <v>7955.73</v>
      </c>
      <c r="H283" s="216">
        <v>126041.0</v>
      </c>
      <c r="I283" s="289">
        <v>975.69</v>
      </c>
      <c r="J283" s="217">
        <v>7261.0</v>
      </c>
      <c r="K283" s="217">
        <v>15200.0</v>
      </c>
      <c r="L283" s="217">
        <v>350576.0</v>
      </c>
      <c r="M283" s="228">
        <f t="shared" ref="M283:M287" si="34">SUM(K283:L283)</f>
        <v>365776</v>
      </c>
      <c r="N283" s="1"/>
      <c r="O283" s="1"/>
      <c r="P283" s="1"/>
      <c r="Q283" s="1"/>
      <c r="R283" s="1"/>
      <c r="S283" s="1"/>
      <c r="T283" s="1"/>
      <c r="U283" s="1"/>
    </row>
    <row r="284" ht="10.5" customHeight="1">
      <c r="A284" s="1"/>
      <c r="B284" s="85" t="s">
        <v>133</v>
      </c>
      <c r="C284" s="216">
        <v>177571.0</v>
      </c>
      <c r="D284" s="216">
        <v>23109.0</v>
      </c>
      <c r="E284" s="228">
        <v>5943.0</v>
      </c>
      <c r="F284" s="216">
        <v>6745.0</v>
      </c>
      <c r="G284" s="252">
        <v>9098.74</v>
      </c>
      <c r="H284" s="216">
        <v>124860.0</v>
      </c>
      <c r="I284" s="289">
        <v>1356.05</v>
      </c>
      <c r="J284" s="217">
        <v>8622.0</v>
      </c>
      <c r="K284" s="217">
        <v>22768.0</v>
      </c>
      <c r="L284" s="217">
        <v>404982.0</v>
      </c>
      <c r="M284" s="228">
        <f t="shared" si="34"/>
        <v>427750</v>
      </c>
      <c r="N284" s="1"/>
      <c r="O284" s="1"/>
      <c r="P284" s="1"/>
      <c r="Q284" s="1"/>
      <c r="R284" s="1"/>
      <c r="S284" s="1"/>
      <c r="T284" s="1"/>
      <c r="U284" s="1"/>
    </row>
    <row r="285" ht="10.5" customHeight="1">
      <c r="A285" s="1"/>
      <c r="B285" s="85" t="s">
        <v>134</v>
      </c>
      <c r="C285" s="216">
        <v>182785.0</v>
      </c>
      <c r="D285" s="216">
        <v>24104.0</v>
      </c>
      <c r="E285" s="228">
        <v>6158.0</v>
      </c>
      <c r="F285" s="216">
        <v>7416.0</v>
      </c>
      <c r="G285" s="252">
        <v>10187.9</v>
      </c>
      <c r="H285" s="216">
        <v>128045.0</v>
      </c>
      <c r="I285" s="289">
        <v>1428.73</v>
      </c>
      <c r="J285" s="217">
        <v>8372.0</v>
      </c>
      <c r="K285" s="217">
        <v>23773.0</v>
      </c>
      <c r="L285" s="217">
        <v>462380.0</v>
      </c>
      <c r="M285" s="228">
        <f t="shared" si="34"/>
        <v>486153</v>
      </c>
      <c r="N285" s="1"/>
      <c r="O285" s="1"/>
      <c r="P285" s="1"/>
      <c r="Q285" s="1"/>
      <c r="R285" s="1"/>
      <c r="S285" s="1"/>
      <c r="T285" s="1"/>
      <c r="U285" s="1"/>
    </row>
    <row r="286" ht="10.5" customHeight="1">
      <c r="A286" s="1"/>
      <c r="B286" s="85" t="s">
        <v>135</v>
      </c>
      <c r="C286" s="458">
        <v>164286.0</v>
      </c>
      <c r="D286" s="458">
        <v>20219.0</v>
      </c>
      <c r="E286" s="459">
        <v>7485.0</v>
      </c>
      <c r="F286" s="458">
        <v>7359.0</v>
      </c>
      <c r="G286" s="461">
        <v>12696.22</v>
      </c>
      <c r="H286" s="458">
        <v>112487.0</v>
      </c>
      <c r="I286" s="463">
        <v>1767.39</v>
      </c>
      <c r="J286" s="465">
        <v>11767.0</v>
      </c>
      <c r="K286" s="465">
        <v>37891.0</v>
      </c>
      <c r="L286" s="465">
        <v>500124.0</v>
      </c>
      <c r="M286" s="228">
        <f t="shared" si="34"/>
        <v>538015</v>
      </c>
      <c r="N286" s="1"/>
      <c r="O286" s="1"/>
      <c r="P286" s="1"/>
      <c r="Q286" s="1"/>
      <c r="R286" s="1"/>
      <c r="S286" s="1"/>
      <c r="T286" s="1"/>
      <c r="U286" s="1"/>
    </row>
    <row r="287" ht="10.5" customHeight="1">
      <c r="A287" s="1"/>
      <c r="B287" s="85" t="s">
        <v>138</v>
      </c>
      <c r="C287" s="216">
        <v>167352.0</v>
      </c>
      <c r="D287" s="216">
        <v>24351.0</v>
      </c>
      <c r="E287" s="217">
        <v>7065.0</v>
      </c>
      <c r="F287" s="216">
        <v>9350.0</v>
      </c>
      <c r="G287" s="252">
        <v>13856.38</v>
      </c>
      <c r="H287" s="216">
        <v>106773.0</v>
      </c>
      <c r="I287" s="289">
        <v>1479.68</v>
      </c>
      <c r="J287" s="217">
        <v>11878.0</v>
      </c>
      <c r="K287" s="217">
        <v>37244.0</v>
      </c>
      <c r="L287" s="217">
        <v>523864.0</v>
      </c>
      <c r="M287" s="228">
        <f t="shared" si="34"/>
        <v>561108</v>
      </c>
      <c r="N287" s="1"/>
      <c r="O287" s="1"/>
      <c r="P287" s="1"/>
      <c r="Q287" s="1"/>
      <c r="R287" s="1"/>
      <c r="S287" s="1"/>
      <c r="T287" s="1"/>
      <c r="U287" s="1"/>
    </row>
    <row r="288" ht="10.5" customHeight="1">
      <c r="A288" s="1"/>
      <c r="B288" s="85"/>
      <c r="C288" s="216"/>
      <c r="D288" s="216"/>
      <c r="E288" s="228"/>
      <c r="F288" s="216"/>
      <c r="G288" s="252"/>
      <c r="H288" s="216"/>
      <c r="I288" s="289"/>
      <c r="J288" s="217"/>
      <c r="K288" s="217"/>
      <c r="L288" s="217"/>
      <c r="M288" s="217"/>
      <c r="N288" s="1"/>
      <c r="O288" s="1"/>
      <c r="P288" s="1"/>
      <c r="Q288" s="1"/>
      <c r="R288" s="1"/>
      <c r="S288" s="1"/>
      <c r="T288" s="1"/>
      <c r="U288" s="1"/>
    </row>
    <row r="289" ht="10.5" customHeight="1">
      <c r="A289" s="1"/>
      <c r="B289" s="85" t="s">
        <v>139</v>
      </c>
      <c r="C289" s="216">
        <v>171104.0</v>
      </c>
      <c r="D289" s="216">
        <v>26378.0</v>
      </c>
      <c r="E289" s="217">
        <v>7873.0</v>
      </c>
      <c r="F289" s="216">
        <v>8815.0</v>
      </c>
      <c r="G289" s="252">
        <v>14200.81</v>
      </c>
      <c r="H289" s="216">
        <v>108912.0</v>
      </c>
      <c r="I289" s="289">
        <v>1575.45</v>
      </c>
      <c r="J289" s="217">
        <v>10750.0</v>
      </c>
      <c r="K289" s="217">
        <v>28715.0</v>
      </c>
      <c r="L289" s="217">
        <v>582010.0</v>
      </c>
      <c r="M289" s="228">
        <f t="shared" ref="M289:M292" si="35">SUM(K289:L289)</f>
        <v>610725</v>
      </c>
      <c r="N289" s="1"/>
      <c r="O289" s="1"/>
      <c r="P289" s="1"/>
      <c r="Q289" s="1"/>
      <c r="R289" s="1"/>
      <c r="S289" s="1"/>
      <c r="T289" s="1"/>
      <c r="U289" s="1"/>
    </row>
    <row r="290" ht="10.5" customHeight="1">
      <c r="A290" s="1"/>
      <c r="B290" s="85" t="s">
        <v>143</v>
      </c>
      <c r="C290" s="216">
        <v>191294.0</v>
      </c>
      <c r="D290" s="216">
        <v>28208.0</v>
      </c>
      <c r="E290" s="217">
        <v>8165.73</v>
      </c>
      <c r="F290" s="216">
        <v>11009.0</v>
      </c>
      <c r="G290" s="252">
        <v>15314.25</v>
      </c>
      <c r="H290" s="216">
        <v>125706.0</v>
      </c>
      <c r="I290" s="289">
        <v>1919.79</v>
      </c>
      <c r="J290" s="217">
        <v>8994.0</v>
      </c>
      <c r="K290" s="217">
        <v>24852.0</v>
      </c>
      <c r="L290" s="217">
        <v>726320.0</v>
      </c>
      <c r="M290" s="228">
        <f t="shared" si="35"/>
        <v>751172</v>
      </c>
      <c r="N290" s="1"/>
      <c r="O290" s="1"/>
      <c r="P290" s="1"/>
      <c r="Q290" s="1"/>
      <c r="R290" s="1"/>
      <c r="S290" s="1"/>
      <c r="T290" s="1"/>
      <c r="U290" s="1"/>
    </row>
    <row r="291" ht="10.5" customHeight="1">
      <c r="A291" s="1"/>
      <c r="B291" s="85" t="s">
        <v>149</v>
      </c>
      <c r="C291" s="216">
        <v>183676.0</v>
      </c>
      <c r="D291" s="216">
        <v>25170.0</v>
      </c>
      <c r="E291" s="217">
        <v>9444.0</v>
      </c>
      <c r="F291" s="216">
        <v>10834.0</v>
      </c>
      <c r="G291" s="252">
        <v>16743.03</v>
      </c>
      <c r="H291" s="216">
        <v>121539.0</v>
      </c>
      <c r="I291" s="289">
        <v>2204.98</v>
      </c>
      <c r="J291" s="217">
        <v>10628.0</v>
      </c>
      <c r="K291" s="217">
        <v>28274.0</v>
      </c>
      <c r="L291" s="217">
        <v>775895.0</v>
      </c>
      <c r="M291" s="228">
        <f t="shared" si="35"/>
        <v>804169</v>
      </c>
      <c r="N291" s="1"/>
      <c r="O291" s="1"/>
      <c r="P291" s="1"/>
      <c r="Q291" s="1"/>
      <c r="R291" s="1"/>
      <c r="S291" s="1"/>
      <c r="T291" s="1"/>
      <c r="U291" s="1"/>
    </row>
    <row r="292" ht="10.5" customHeight="1">
      <c r="A292" s="1"/>
      <c r="B292" s="85" t="s">
        <v>151</v>
      </c>
      <c r="C292" s="216">
        <v>155142.0</v>
      </c>
      <c r="D292" s="216">
        <v>21001.0</v>
      </c>
      <c r="E292" s="217">
        <v>11054.0</v>
      </c>
      <c r="F292" s="216">
        <v>10578.0</v>
      </c>
      <c r="G292" s="252">
        <v>19403.34</v>
      </c>
      <c r="H292" s="216">
        <v>102347.0</v>
      </c>
      <c r="I292" s="289">
        <v>2653.32</v>
      </c>
      <c r="J292" s="217">
        <v>8278.0</v>
      </c>
      <c r="K292" s="217">
        <v>32884.0</v>
      </c>
      <c r="L292" s="217">
        <v>795697.0</v>
      </c>
      <c r="M292" s="228">
        <f t="shared" si="35"/>
        <v>828581</v>
      </c>
      <c r="N292" s="1"/>
      <c r="O292" s="1"/>
      <c r="P292" s="1"/>
      <c r="Q292" s="1"/>
      <c r="R292" s="1"/>
      <c r="S292" s="1"/>
      <c r="T292" s="1"/>
      <c r="U292" s="1"/>
    </row>
    <row r="293" ht="10.5" customHeight="1">
      <c r="A293" s="1"/>
      <c r="B293" s="85" t="s">
        <v>153</v>
      </c>
      <c r="C293" s="216">
        <v>211603.0</v>
      </c>
      <c r="D293" s="216">
        <v>23069.0</v>
      </c>
      <c r="E293" s="217">
        <v>11737.0</v>
      </c>
      <c r="F293" s="216">
        <v>14314.0</v>
      </c>
      <c r="G293" s="252" t="s">
        <v>735</v>
      </c>
      <c r="H293" s="216">
        <v>146148.0</v>
      </c>
      <c r="I293" s="289" t="s">
        <v>736</v>
      </c>
      <c r="J293" s="217">
        <v>13861.0</v>
      </c>
      <c r="K293" s="217">
        <v>71781.0</v>
      </c>
      <c r="L293" s="169">
        <v>1122726.0</v>
      </c>
      <c r="M293" s="136">
        <v>1194507.0</v>
      </c>
      <c r="N293" s="1"/>
      <c r="O293" s="1"/>
      <c r="P293" s="1"/>
      <c r="Q293" s="1"/>
      <c r="R293" s="1"/>
      <c r="S293" s="1"/>
      <c r="T293" s="1"/>
      <c r="U293" s="1"/>
    </row>
    <row r="294" ht="10.5" customHeight="1">
      <c r="A294" s="1"/>
      <c r="B294" s="85"/>
      <c r="C294" s="216"/>
      <c r="D294" s="216"/>
      <c r="E294" s="217"/>
      <c r="F294" s="216"/>
      <c r="G294" s="252"/>
      <c r="H294" s="216"/>
      <c r="I294" s="289"/>
      <c r="J294" s="217"/>
      <c r="K294" s="217"/>
      <c r="L294" s="217"/>
      <c r="M294" s="228"/>
      <c r="N294" s="1"/>
      <c r="O294" s="1"/>
      <c r="P294" s="1"/>
      <c r="Q294" s="1"/>
      <c r="R294" s="1"/>
      <c r="S294" s="1"/>
      <c r="T294" s="1"/>
      <c r="U294" s="1"/>
    </row>
    <row r="295" ht="10.5" customHeight="1">
      <c r="A295" s="1"/>
      <c r="B295" s="85" t="s">
        <v>155</v>
      </c>
      <c r="C295" s="216">
        <v>204891.0</v>
      </c>
      <c r="D295" s="216">
        <v>22658.0</v>
      </c>
      <c r="E295" s="217">
        <v>13067.0</v>
      </c>
      <c r="F295" s="216">
        <v>15582.0</v>
      </c>
      <c r="G295" s="252" t="s">
        <v>739</v>
      </c>
      <c r="H295" s="216">
        <v>137733.0</v>
      </c>
      <c r="I295" s="289" t="s">
        <v>740</v>
      </c>
      <c r="J295" s="217">
        <v>14961.0</v>
      </c>
      <c r="K295" s="217">
        <v>73169.0</v>
      </c>
      <c r="L295" s="217">
        <v>1310979.0</v>
      </c>
      <c r="M295" s="228">
        <v>1384147.0</v>
      </c>
      <c r="N295" s="1"/>
      <c r="O295" s="1"/>
      <c r="P295" s="1"/>
      <c r="Q295" s="1"/>
      <c r="R295" s="1"/>
      <c r="S295" s="1"/>
      <c r="T295" s="1"/>
      <c r="U295" s="1"/>
    </row>
    <row r="296" ht="10.5" customHeight="1">
      <c r="A296" s="1"/>
      <c r="B296" s="96" t="s">
        <v>741</v>
      </c>
      <c r="C296" s="240">
        <v>199981.0</v>
      </c>
      <c r="D296" s="240">
        <v>23024.0</v>
      </c>
      <c r="E296" s="241">
        <v>13235.0</v>
      </c>
      <c r="F296" s="240">
        <v>15396.0</v>
      </c>
      <c r="G296" s="263" t="s">
        <v>742</v>
      </c>
      <c r="H296" s="240">
        <v>134368.0</v>
      </c>
      <c r="I296" s="290" t="s">
        <v>743</v>
      </c>
      <c r="J296" s="241">
        <v>13011.0</v>
      </c>
      <c r="K296" s="241">
        <v>58409.0</v>
      </c>
      <c r="L296" s="57">
        <v>1213830.0</v>
      </c>
      <c r="M296" s="57">
        <v>1272240.0</v>
      </c>
      <c r="N296" s="253"/>
      <c r="O296" s="1"/>
      <c r="P296" s="1"/>
      <c r="Q296" s="1"/>
      <c r="R296" s="1"/>
      <c r="S296" s="1"/>
      <c r="T296" s="1"/>
      <c r="U296" s="1"/>
    </row>
    <row r="297" ht="6.0" customHeight="1">
      <c r="A297" s="1"/>
      <c r="B297" s="291"/>
      <c r="C297" s="243"/>
      <c r="D297" s="243"/>
      <c r="E297" s="244"/>
      <c r="F297" s="243"/>
      <c r="G297" s="270"/>
      <c r="H297" s="243"/>
      <c r="I297" s="292"/>
      <c r="J297" s="244"/>
      <c r="K297" s="244"/>
      <c r="L297" s="306"/>
      <c r="M297" s="306"/>
      <c r="N297" s="1"/>
      <c r="O297" s="1"/>
      <c r="P297" s="1"/>
      <c r="Q297" s="1"/>
      <c r="R297" s="1"/>
      <c r="S297" s="1"/>
      <c r="T297" s="1"/>
      <c r="U297" s="1"/>
    </row>
    <row r="298" ht="10.5" customHeight="1">
      <c r="A298" s="1"/>
      <c r="B298" s="185" t="s">
        <v>746</v>
      </c>
      <c r="C298" s="185"/>
      <c r="D298" s="185"/>
      <c r="E298" s="185"/>
      <c r="F298" s="185"/>
      <c r="G298" s="185"/>
      <c r="H298" s="185"/>
      <c r="I298" s="1"/>
      <c r="J298" s="1"/>
      <c r="K298" s="1"/>
      <c r="L298" s="1"/>
      <c r="M298" s="1"/>
      <c r="N298" s="1"/>
      <c r="O298" s="1"/>
      <c r="P298" s="1"/>
      <c r="Q298" s="1"/>
      <c r="R298" s="1"/>
      <c r="S298" s="1"/>
      <c r="T298" s="1"/>
      <c r="U298" s="1"/>
    </row>
    <row r="299" ht="10.5" customHeight="1">
      <c r="A299" s="1"/>
      <c r="B299" s="185" t="s">
        <v>662</v>
      </c>
      <c r="C299" s="185"/>
      <c r="D299" s="185"/>
      <c r="E299" s="185"/>
      <c r="F299" s="185"/>
      <c r="G299" s="185"/>
      <c r="H299" s="185"/>
      <c r="I299" s="1"/>
      <c r="J299" s="1"/>
      <c r="K299" s="1"/>
      <c r="L299" s="1"/>
      <c r="M299" s="1"/>
      <c r="N299" s="1"/>
      <c r="O299" s="1"/>
      <c r="P299" s="1"/>
      <c r="Q299" s="1"/>
      <c r="R299" s="1"/>
      <c r="S299" s="1"/>
      <c r="T299" s="1"/>
      <c r="U299" s="1"/>
    </row>
    <row r="300" ht="10.5" customHeight="1">
      <c r="A300" s="1"/>
      <c r="B300" s="185" t="s">
        <v>663</v>
      </c>
      <c r="C300" s="185"/>
      <c r="D300" s="185"/>
      <c r="E300" s="185"/>
      <c r="F300" s="185"/>
      <c r="G300" s="185"/>
      <c r="H300" s="185"/>
      <c r="I300" s="1"/>
      <c r="J300" s="1"/>
      <c r="K300" s="1"/>
      <c r="L300" s="1"/>
      <c r="M300" s="1"/>
      <c r="N300" s="1"/>
      <c r="O300" s="1"/>
      <c r="P300" s="1"/>
      <c r="Q300" s="1"/>
      <c r="R300" s="1"/>
      <c r="S300" s="1"/>
      <c r="T300" s="1"/>
      <c r="U300" s="1"/>
    </row>
    <row r="301" ht="10.5" customHeight="1">
      <c r="A301" s="1"/>
      <c r="B301" s="185" t="s">
        <v>664</v>
      </c>
      <c r="C301" s="185"/>
      <c r="D301" s="185"/>
      <c r="E301" s="185"/>
      <c r="F301" s="185"/>
      <c r="G301" s="185"/>
      <c r="H301" s="185"/>
      <c r="I301" s="1"/>
      <c r="J301" s="1"/>
      <c r="K301" s="1"/>
      <c r="L301" s="1"/>
      <c r="M301" s="1"/>
      <c r="N301" s="1"/>
      <c r="O301" s="1"/>
      <c r="P301" s="1"/>
      <c r="Q301" s="1"/>
      <c r="R301" s="1"/>
      <c r="S301" s="1"/>
      <c r="T301" s="1"/>
      <c r="U301" s="1"/>
    </row>
    <row r="302" ht="10.5" customHeight="1">
      <c r="A302" s="1"/>
      <c r="B302" s="185" t="s">
        <v>665</v>
      </c>
      <c r="C302" s="185"/>
      <c r="D302" s="185"/>
      <c r="E302" s="185"/>
      <c r="F302" s="185"/>
      <c r="G302" s="185"/>
      <c r="H302" s="185"/>
      <c r="I302" s="1"/>
      <c r="J302" s="1"/>
      <c r="K302" s="1"/>
      <c r="L302" s="1"/>
      <c r="M302" s="1"/>
      <c r="N302" s="1"/>
      <c r="O302" s="1"/>
      <c r="P302" s="1"/>
      <c r="Q302" s="1"/>
      <c r="R302" s="1"/>
      <c r="S302" s="1"/>
      <c r="T302" s="1"/>
      <c r="U302" s="1"/>
    </row>
    <row r="303" ht="10.5" customHeight="1">
      <c r="A303" s="1"/>
      <c r="B303" s="311" t="s">
        <v>666</v>
      </c>
      <c r="I303" s="1"/>
      <c r="J303" s="1"/>
      <c r="K303" s="1"/>
      <c r="L303" s="1"/>
      <c r="M303" s="1"/>
      <c r="N303" s="1"/>
      <c r="O303" s="1"/>
      <c r="P303" s="1"/>
      <c r="Q303" s="1"/>
      <c r="R303" s="1"/>
      <c r="S303" s="1"/>
      <c r="T303" s="1"/>
      <c r="U303" s="1"/>
    </row>
    <row r="304" ht="10.5" customHeight="1">
      <c r="A304" s="1"/>
      <c r="B304" s="311" t="s">
        <v>667</v>
      </c>
      <c r="C304" s="311"/>
      <c r="D304" s="311"/>
      <c r="E304" s="311"/>
      <c r="F304" s="311"/>
      <c r="G304" s="311"/>
      <c r="H304" s="311"/>
      <c r="I304" s="1"/>
      <c r="J304" s="1"/>
      <c r="K304" s="1"/>
      <c r="L304" s="1"/>
      <c r="M304" s="1"/>
      <c r="N304" s="1"/>
      <c r="O304" s="1"/>
      <c r="P304" s="1"/>
      <c r="Q304" s="1"/>
      <c r="R304" s="1"/>
      <c r="S304" s="1"/>
      <c r="T304" s="1"/>
      <c r="U304" s="1"/>
    </row>
    <row r="305" ht="10.5" customHeight="1">
      <c r="A305" s="1"/>
      <c r="B305" s="311" t="s">
        <v>669</v>
      </c>
      <c r="C305" s="311"/>
      <c r="D305" s="311"/>
      <c r="E305" s="311"/>
      <c r="F305" s="311"/>
      <c r="G305" s="311"/>
      <c r="H305" s="311"/>
      <c r="I305" s="1"/>
      <c r="J305" s="1"/>
      <c r="K305" s="1"/>
      <c r="L305" s="1"/>
      <c r="M305" s="1"/>
      <c r="N305" s="1"/>
      <c r="O305" s="1"/>
      <c r="P305" s="1"/>
      <c r="Q305" s="1"/>
      <c r="R305" s="1"/>
      <c r="S305" s="1"/>
      <c r="T305" s="1"/>
      <c r="U305" s="1"/>
    </row>
    <row r="306" ht="10.5" customHeight="1">
      <c r="A306" s="1"/>
      <c r="B306" s="185" t="s">
        <v>749</v>
      </c>
      <c r="C306" s="185"/>
      <c r="D306" s="185"/>
      <c r="E306" s="185"/>
      <c r="F306" s="185"/>
      <c r="G306" s="185"/>
      <c r="H306" s="185"/>
      <c r="I306" s="1"/>
      <c r="J306" s="1"/>
      <c r="K306" s="1"/>
      <c r="L306" s="1"/>
      <c r="M306" s="1"/>
      <c r="N306" s="1"/>
      <c r="O306" s="1"/>
      <c r="P306" s="1"/>
      <c r="Q306" s="1"/>
      <c r="R306" s="1"/>
      <c r="S306" s="1"/>
      <c r="T306" s="1"/>
      <c r="U306" s="1"/>
    </row>
    <row r="307" ht="10.5" customHeight="1">
      <c r="A307" s="1"/>
      <c r="B307" s="60"/>
      <c r="C307" s="60"/>
      <c r="D307" s="60"/>
      <c r="E307" s="60"/>
      <c r="F307" s="60"/>
      <c r="G307" s="60"/>
      <c r="H307" s="60"/>
      <c r="I307" s="1"/>
      <c r="J307" s="1"/>
      <c r="K307" s="1"/>
      <c r="L307" s="1"/>
      <c r="M307" s="1"/>
      <c r="N307" s="1"/>
      <c r="O307" s="1"/>
      <c r="P307" s="1"/>
      <c r="Q307" s="1"/>
      <c r="R307" s="1"/>
      <c r="S307" s="1"/>
      <c r="T307" s="1"/>
      <c r="U307" s="1"/>
    </row>
    <row r="308" ht="10.5" customHeight="1">
      <c r="A308" s="1"/>
      <c r="B308" s="60"/>
      <c r="C308" s="60"/>
      <c r="D308" s="60"/>
      <c r="E308" s="60"/>
      <c r="F308" s="60"/>
      <c r="G308" s="60"/>
      <c r="H308" s="60"/>
      <c r="I308" s="1"/>
      <c r="J308" s="1"/>
      <c r="K308" s="1"/>
      <c r="L308" s="1"/>
      <c r="M308" s="1"/>
      <c r="N308" s="1"/>
      <c r="O308" s="1"/>
      <c r="P308" s="1"/>
      <c r="Q308" s="1"/>
      <c r="R308" s="1"/>
      <c r="S308" s="1"/>
      <c r="T308" s="1"/>
      <c r="U308" s="1"/>
    </row>
    <row r="309" ht="10.5" customHeight="1">
      <c r="A309" s="1"/>
      <c r="B309" s="1"/>
      <c r="C309" s="1"/>
      <c r="D309" s="1"/>
      <c r="E309" s="1"/>
      <c r="F309" s="1"/>
      <c r="G309" s="1"/>
      <c r="H309" s="1"/>
      <c r="I309" s="1"/>
      <c r="J309" s="1"/>
      <c r="K309" s="1"/>
      <c r="L309" s="1"/>
      <c r="M309" s="1"/>
      <c r="N309" s="1"/>
      <c r="O309" s="1"/>
      <c r="P309" s="1"/>
      <c r="Q309" s="1"/>
      <c r="R309" s="1"/>
      <c r="S309" s="1"/>
      <c r="T309" s="1"/>
      <c r="U309" s="1"/>
    </row>
    <row r="310" ht="10.5" customHeight="1">
      <c r="A310" s="1"/>
      <c r="B310" s="1"/>
      <c r="C310" s="15"/>
      <c r="D310" s="15"/>
      <c r="E310" s="15"/>
      <c r="F310" s="15"/>
      <c r="G310" s="15"/>
      <c r="H310" s="15"/>
      <c r="I310" s="15"/>
      <c r="J310" s="15"/>
      <c r="K310" s="15"/>
      <c r="L310" s="15"/>
      <c r="M310" s="15"/>
      <c r="N310" s="1"/>
      <c r="O310" s="1"/>
      <c r="P310" s="1"/>
      <c r="Q310" s="1"/>
      <c r="R310" s="1"/>
      <c r="S310" s="1"/>
      <c r="T310" s="1"/>
      <c r="U310" s="1"/>
    </row>
    <row r="311" ht="11.25" customHeight="1">
      <c r="A311" s="1"/>
      <c r="B311" s="1" t="s">
        <v>750</v>
      </c>
      <c r="C311" s="1"/>
      <c r="D311" s="111"/>
      <c r="E311" s="111"/>
      <c r="F311" s="1"/>
      <c r="G311" s="1"/>
      <c r="H311" s="1"/>
      <c r="I311" s="1"/>
      <c r="J311" s="1"/>
      <c r="K311" s="1"/>
      <c r="L311" s="1"/>
      <c r="M311" s="1"/>
      <c r="N311" s="1"/>
      <c r="O311" s="1"/>
      <c r="P311" s="1"/>
      <c r="Q311" s="1"/>
      <c r="R311" s="1"/>
      <c r="S311" s="1"/>
      <c r="T311" s="1"/>
      <c r="U311" s="1"/>
    </row>
    <row r="312" ht="11.25" customHeight="1">
      <c r="A312" s="1"/>
      <c r="B312" s="29" t="s">
        <v>506</v>
      </c>
      <c r="C312" s="31" t="s">
        <v>508</v>
      </c>
      <c r="D312" s="128" t="s">
        <v>752</v>
      </c>
      <c r="E312" s="10"/>
      <c r="F312" s="128" t="s">
        <v>243</v>
      </c>
      <c r="G312" s="10"/>
      <c r="H312" s="128" t="s">
        <v>510</v>
      </c>
      <c r="I312" s="10"/>
      <c r="J312" s="273" t="s">
        <v>511</v>
      </c>
      <c r="K312" s="128" t="s">
        <v>512</v>
      </c>
      <c r="L312" s="10"/>
      <c r="M312" s="31" t="s">
        <v>513</v>
      </c>
      <c r="N312" s="1"/>
      <c r="O312" s="1"/>
      <c r="P312" s="1"/>
      <c r="Q312" s="1"/>
      <c r="R312" s="1"/>
      <c r="S312" s="1"/>
      <c r="T312" s="1"/>
      <c r="U312" s="1"/>
    </row>
    <row r="313" ht="24.0" customHeight="1">
      <c r="A313" s="1"/>
      <c r="B313" s="5"/>
      <c r="C313" s="6"/>
      <c r="D313" s="273" t="s">
        <v>514</v>
      </c>
      <c r="E313" s="7" t="s">
        <v>515</v>
      </c>
      <c r="F313" s="7" t="s">
        <v>514</v>
      </c>
      <c r="G313" s="7" t="s">
        <v>516</v>
      </c>
      <c r="H313" s="7" t="s">
        <v>514</v>
      </c>
      <c r="I313" s="7" t="s">
        <v>515</v>
      </c>
      <c r="J313" s="7" t="s">
        <v>517</v>
      </c>
      <c r="K313" s="7" t="s">
        <v>758</v>
      </c>
      <c r="L313" s="7" t="s">
        <v>759</v>
      </c>
      <c r="M313" s="6"/>
      <c r="N313" s="1"/>
      <c r="O313" s="1"/>
      <c r="P313" s="1"/>
      <c r="Q313" s="1"/>
      <c r="R313" s="1"/>
      <c r="S313" s="1"/>
      <c r="T313" s="1"/>
      <c r="U313" s="1"/>
    </row>
    <row r="314" ht="11.25" customHeight="1">
      <c r="A314" s="1"/>
      <c r="B314" s="6"/>
      <c r="C314" s="8" t="s">
        <v>520</v>
      </c>
      <c r="D314" s="10"/>
      <c r="E314" s="134" t="s">
        <v>52</v>
      </c>
      <c r="F314" s="134" t="s">
        <v>520</v>
      </c>
      <c r="G314" s="134" t="s">
        <v>52</v>
      </c>
      <c r="H314" s="134" t="s">
        <v>520</v>
      </c>
      <c r="I314" s="134" t="s">
        <v>52</v>
      </c>
      <c r="J314" s="134" t="s">
        <v>520</v>
      </c>
      <c r="K314" s="8" t="s">
        <v>50</v>
      </c>
      <c r="L314" s="9"/>
      <c r="M314" s="10"/>
      <c r="N314" s="1"/>
      <c r="O314" s="1"/>
      <c r="P314" s="1"/>
      <c r="Q314" s="1"/>
      <c r="R314" s="1"/>
      <c r="S314" s="1"/>
      <c r="T314" s="1"/>
      <c r="U314" s="1"/>
    </row>
    <row r="315" ht="10.5" customHeight="1">
      <c r="A315" s="1"/>
      <c r="B315" s="238" t="s">
        <v>56</v>
      </c>
      <c r="C315" s="216">
        <v>9539.0</v>
      </c>
      <c r="D315" s="130">
        <v>3536.0</v>
      </c>
      <c r="E315" s="130">
        <v>309.0</v>
      </c>
      <c r="F315" s="130">
        <v>4972.0</v>
      </c>
      <c r="G315" s="276">
        <v>786.15</v>
      </c>
      <c r="H315" s="136">
        <v>367.0</v>
      </c>
      <c r="I315" s="249">
        <v>62.97</v>
      </c>
      <c r="J315" s="136">
        <v>24.0</v>
      </c>
      <c r="K315" s="136">
        <v>1.9</v>
      </c>
      <c r="L315" s="136">
        <v>5023.0</v>
      </c>
      <c r="M315" s="136">
        <f t="shared" ref="M315:M319" si="36">SUM(K315:L315)</f>
        <v>5024.9</v>
      </c>
      <c r="N315" s="1"/>
      <c r="O315" s="1"/>
      <c r="P315" s="1"/>
      <c r="Q315" s="1"/>
      <c r="R315" s="1"/>
      <c r="S315" s="1"/>
      <c r="T315" s="1"/>
      <c r="U315" s="1"/>
    </row>
    <row r="316" ht="10.5" customHeight="1">
      <c r="A316" s="1"/>
      <c r="B316" s="238" t="s">
        <v>81</v>
      </c>
      <c r="C316" s="216">
        <v>12966.0</v>
      </c>
      <c r="D316" s="130">
        <v>3987.0</v>
      </c>
      <c r="E316" s="130">
        <v>333.0</v>
      </c>
      <c r="F316" s="130">
        <v>7266.0</v>
      </c>
      <c r="G316" s="276">
        <v>798.82</v>
      </c>
      <c r="H316" s="136">
        <v>969.0</v>
      </c>
      <c r="I316" s="249">
        <v>64.79</v>
      </c>
      <c r="J316" s="136">
        <v>28.0</v>
      </c>
      <c r="K316" s="136">
        <v>4.0</v>
      </c>
      <c r="L316" s="136">
        <v>7195.0</v>
      </c>
      <c r="M316" s="136">
        <f t="shared" si="36"/>
        <v>7199</v>
      </c>
      <c r="N316" s="1"/>
      <c r="O316" s="1"/>
      <c r="P316" s="1"/>
      <c r="Q316" s="1"/>
      <c r="R316" s="1"/>
      <c r="S316" s="1"/>
      <c r="T316" s="1"/>
      <c r="U316" s="1"/>
    </row>
    <row r="317" ht="10.5" customHeight="1">
      <c r="A317" s="1"/>
      <c r="B317" s="238" t="s">
        <v>86</v>
      </c>
      <c r="C317" s="216">
        <v>17294.0</v>
      </c>
      <c r="D317" s="130">
        <v>5757.0</v>
      </c>
      <c r="E317" s="130">
        <v>297.0</v>
      </c>
      <c r="F317" s="130">
        <v>10061.0</v>
      </c>
      <c r="G317" s="276">
        <v>625.82</v>
      </c>
      <c r="H317" s="136">
        <v>562.0</v>
      </c>
      <c r="I317" s="249">
        <v>61.03</v>
      </c>
      <c r="J317" s="136">
        <v>41.0</v>
      </c>
      <c r="K317" s="136">
        <v>7.1</v>
      </c>
      <c r="L317" s="136">
        <v>8003.0</v>
      </c>
      <c r="M317" s="136">
        <f t="shared" si="36"/>
        <v>8010.1</v>
      </c>
      <c r="N317" s="1"/>
      <c r="O317" s="1"/>
      <c r="P317" s="1"/>
      <c r="Q317" s="1"/>
      <c r="R317" s="1"/>
      <c r="S317" s="1"/>
      <c r="T317" s="1"/>
      <c r="U317" s="1"/>
    </row>
    <row r="318" ht="10.5" customHeight="1">
      <c r="A318" s="1"/>
      <c r="B318" s="238" t="s">
        <v>87</v>
      </c>
      <c r="C318" s="216">
        <v>14963.0</v>
      </c>
      <c r="D318" s="130">
        <v>6102.0</v>
      </c>
      <c r="E318" s="130">
        <v>368.0</v>
      </c>
      <c r="F318" s="130">
        <v>7341.0</v>
      </c>
      <c r="G318" s="276">
        <v>1058.3</v>
      </c>
      <c r="H318" s="136">
        <v>576.0</v>
      </c>
      <c r="I318" s="249">
        <v>61.74</v>
      </c>
      <c r="J318" s="136">
        <v>18.0</v>
      </c>
      <c r="K318" s="136">
        <v>1.4</v>
      </c>
      <c r="L318" s="136">
        <v>10006.0</v>
      </c>
      <c r="M318" s="136">
        <f t="shared" si="36"/>
        <v>10007.4</v>
      </c>
      <c r="N318" s="1"/>
      <c r="O318" s="1"/>
      <c r="P318" s="1"/>
      <c r="Q318" s="1"/>
      <c r="R318" s="1"/>
      <c r="S318" s="1"/>
      <c r="T318" s="1"/>
      <c r="U318" s="1"/>
    </row>
    <row r="319" ht="10.5" customHeight="1">
      <c r="A319" s="1"/>
      <c r="B319" s="238" t="s">
        <v>90</v>
      </c>
      <c r="C319" s="216">
        <v>12616.0</v>
      </c>
      <c r="D319" s="130">
        <v>4084.0</v>
      </c>
      <c r="E319" s="130">
        <v>501.0</v>
      </c>
      <c r="F319" s="130">
        <v>7276.0</v>
      </c>
      <c r="G319" s="276">
        <v>1459.35</v>
      </c>
      <c r="H319" s="136">
        <v>564.0</v>
      </c>
      <c r="I319" s="249">
        <v>37.81</v>
      </c>
      <c r="J319" s="136">
        <v>72.0</v>
      </c>
      <c r="K319" s="136">
        <v>9.4</v>
      </c>
      <c r="L319" s="136">
        <v>12644.0</v>
      </c>
      <c r="M319" s="136">
        <f t="shared" si="36"/>
        <v>12653.4</v>
      </c>
      <c r="N319" s="1"/>
      <c r="O319" s="1"/>
      <c r="P319" s="1"/>
      <c r="Q319" s="1"/>
      <c r="R319" s="1"/>
      <c r="S319" s="1"/>
      <c r="T319" s="1"/>
      <c r="U319" s="1"/>
    </row>
    <row r="320" ht="10.5" customHeight="1">
      <c r="A320" s="1"/>
      <c r="B320" s="238"/>
      <c r="C320" s="216"/>
      <c r="D320" s="130"/>
      <c r="E320" s="130"/>
      <c r="F320" s="130"/>
      <c r="G320" s="276"/>
      <c r="H320" s="136"/>
      <c r="I320" s="249"/>
      <c r="J320" s="136"/>
      <c r="K320" s="136"/>
      <c r="L320" s="136"/>
      <c r="M320" s="136"/>
      <c r="N320" s="1"/>
      <c r="O320" s="1"/>
      <c r="P320" s="1"/>
      <c r="Q320" s="1"/>
      <c r="R320" s="1"/>
      <c r="S320" s="1"/>
      <c r="T320" s="1"/>
      <c r="U320" s="1"/>
    </row>
    <row r="321" ht="10.5" customHeight="1">
      <c r="A321" s="1"/>
      <c r="B321" s="238" t="s">
        <v>93</v>
      </c>
      <c r="C321" s="216">
        <v>14400.0</v>
      </c>
      <c r="D321" s="130">
        <v>4570.0</v>
      </c>
      <c r="E321" s="130">
        <v>509.0</v>
      </c>
      <c r="F321" s="130">
        <v>7599.0</v>
      </c>
      <c r="G321" s="276">
        <v>1633.16</v>
      </c>
      <c r="H321" s="136">
        <v>1465.0</v>
      </c>
      <c r="I321" s="249">
        <v>53.68</v>
      </c>
      <c r="J321" s="136">
        <v>72.0</v>
      </c>
      <c r="K321" s="136">
        <v>9.8</v>
      </c>
      <c r="L321" s="136">
        <v>14768.0</v>
      </c>
      <c r="M321" s="136">
        <f t="shared" ref="M321:M325" si="37">SUM(K321:L321)</f>
        <v>14777.8</v>
      </c>
      <c r="N321" s="1"/>
      <c r="O321" s="1"/>
      <c r="P321" s="1"/>
      <c r="Q321" s="1"/>
      <c r="R321" s="1"/>
      <c r="S321" s="1"/>
      <c r="T321" s="1"/>
      <c r="U321" s="1"/>
    </row>
    <row r="322" ht="10.5" customHeight="1">
      <c r="A322" s="1"/>
      <c r="B322" s="238" t="s">
        <v>97</v>
      </c>
      <c r="C322" s="216">
        <v>15259.0</v>
      </c>
      <c r="D322" s="130">
        <v>4360.0</v>
      </c>
      <c r="E322" s="130">
        <v>666.0</v>
      </c>
      <c r="F322" s="130">
        <v>9459.0</v>
      </c>
      <c r="G322" s="276">
        <v>1486.61</v>
      </c>
      <c r="H322" s="136">
        <v>755.0</v>
      </c>
      <c r="I322" s="249">
        <v>36.72</v>
      </c>
      <c r="J322" s="136">
        <v>22.0</v>
      </c>
      <c r="K322" s="136">
        <v>3.3</v>
      </c>
      <c r="L322" s="136">
        <v>16933.0</v>
      </c>
      <c r="M322" s="136">
        <f t="shared" si="37"/>
        <v>16936.3</v>
      </c>
      <c r="N322" s="1"/>
      <c r="O322" s="1"/>
      <c r="P322" s="1"/>
      <c r="Q322" s="1"/>
      <c r="R322" s="1"/>
      <c r="S322" s="1"/>
      <c r="T322" s="1"/>
      <c r="U322" s="1"/>
    </row>
    <row r="323" ht="10.5" customHeight="1">
      <c r="A323" s="1"/>
      <c r="B323" s="238" t="s">
        <v>101</v>
      </c>
      <c r="C323" s="216">
        <v>16841.0</v>
      </c>
      <c r="D323" s="130">
        <v>5821.0</v>
      </c>
      <c r="E323" s="130">
        <v>730.0</v>
      </c>
      <c r="F323" s="130">
        <v>9377.0</v>
      </c>
      <c r="G323" s="276">
        <v>2302.37</v>
      </c>
      <c r="H323" s="136">
        <v>759.0</v>
      </c>
      <c r="I323" s="249">
        <v>50.7</v>
      </c>
      <c r="J323" s="136" t="s">
        <v>40</v>
      </c>
      <c r="K323" s="136" t="s">
        <v>40</v>
      </c>
      <c r="L323" s="136">
        <v>25787.0</v>
      </c>
      <c r="M323" s="136">
        <f t="shared" si="37"/>
        <v>25787</v>
      </c>
      <c r="N323" s="1"/>
      <c r="O323" s="1"/>
      <c r="P323" s="1"/>
      <c r="Q323" s="1"/>
      <c r="R323" s="1"/>
      <c r="S323" s="1"/>
      <c r="T323" s="1"/>
      <c r="U323" s="1"/>
    </row>
    <row r="324" ht="10.5" customHeight="1">
      <c r="A324" s="1"/>
      <c r="B324" s="238" t="s">
        <v>103</v>
      </c>
      <c r="C324" s="216">
        <v>17180.0</v>
      </c>
      <c r="D324" s="130">
        <v>5685.0</v>
      </c>
      <c r="E324" s="130">
        <v>773.0</v>
      </c>
      <c r="F324" s="130">
        <v>10215.0</v>
      </c>
      <c r="G324" s="276">
        <v>2799.07</v>
      </c>
      <c r="H324" s="136">
        <v>417.0</v>
      </c>
      <c r="I324" s="249">
        <v>35.44</v>
      </c>
      <c r="J324" s="136" t="s">
        <v>40</v>
      </c>
      <c r="K324" s="136" t="s">
        <v>40</v>
      </c>
      <c r="L324" s="136">
        <v>32912.0</v>
      </c>
      <c r="M324" s="136">
        <f t="shared" si="37"/>
        <v>32912</v>
      </c>
      <c r="N324" s="1"/>
      <c r="O324" s="1"/>
      <c r="P324" s="1"/>
      <c r="Q324" s="1"/>
      <c r="R324" s="1"/>
      <c r="S324" s="1"/>
      <c r="T324" s="1"/>
      <c r="U324" s="1"/>
    </row>
    <row r="325" ht="10.5" customHeight="1">
      <c r="A325" s="1"/>
      <c r="B325" s="238" t="s">
        <v>104</v>
      </c>
      <c r="C325" s="216">
        <v>16938.0</v>
      </c>
      <c r="D325" s="130">
        <v>4397.0</v>
      </c>
      <c r="E325" s="130">
        <v>1111.0</v>
      </c>
      <c r="F325" s="130">
        <v>11662.0</v>
      </c>
      <c r="G325" s="276">
        <v>3385.6</v>
      </c>
      <c r="H325" s="136">
        <v>211.0</v>
      </c>
      <c r="I325" s="249">
        <v>46.52</v>
      </c>
      <c r="J325" s="136" t="s">
        <v>40</v>
      </c>
      <c r="K325" s="136" t="s">
        <v>40</v>
      </c>
      <c r="L325" s="136">
        <v>44275.0</v>
      </c>
      <c r="M325" s="136">
        <f t="shared" si="37"/>
        <v>44275</v>
      </c>
      <c r="N325" s="1"/>
      <c r="O325" s="1"/>
      <c r="P325" s="1"/>
      <c r="Q325" s="1"/>
      <c r="R325" s="1"/>
      <c r="S325" s="1"/>
      <c r="T325" s="1"/>
      <c r="U325" s="1"/>
    </row>
    <row r="326" ht="10.5" customHeight="1">
      <c r="A326" s="1"/>
      <c r="B326" s="238"/>
      <c r="C326" s="216"/>
      <c r="D326" s="130"/>
      <c r="E326" s="130"/>
      <c r="F326" s="130"/>
      <c r="G326" s="276"/>
      <c r="H326" s="136"/>
      <c r="I326" s="249"/>
      <c r="J326" s="136"/>
      <c r="K326" s="136"/>
      <c r="L326" s="136"/>
      <c r="M326" s="136"/>
      <c r="N326" s="1"/>
      <c r="O326" s="1"/>
      <c r="P326" s="1"/>
      <c r="Q326" s="1"/>
      <c r="R326" s="1"/>
      <c r="S326" s="1"/>
      <c r="T326" s="1"/>
      <c r="U326" s="1"/>
    </row>
    <row r="327" ht="10.5" customHeight="1">
      <c r="A327" s="1"/>
      <c r="B327" s="238" t="s">
        <v>108</v>
      </c>
      <c r="C327" s="216">
        <v>19376.0</v>
      </c>
      <c r="D327" s="130">
        <v>4751.0</v>
      </c>
      <c r="E327" s="130">
        <v>1095.0</v>
      </c>
      <c r="F327" s="130">
        <v>13102.0</v>
      </c>
      <c r="G327" s="276">
        <v>3502.98</v>
      </c>
      <c r="H327" s="136">
        <v>802.0</v>
      </c>
      <c r="I327" s="249">
        <v>116.51</v>
      </c>
      <c r="J327" s="136" t="s">
        <v>40</v>
      </c>
      <c r="K327" s="136" t="s">
        <v>40</v>
      </c>
      <c r="L327" s="136">
        <v>51081.0</v>
      </c>
      <c r="M327" s="136">
        <f t="shared" ref="M327:M331" si="38">SUM(K327:L327)</f>
        <v>51081</v>
      </c>
      <c r="N327" s="1"/>
      <c r="O327" s="1"/>
      <c r="P327" s="1"/>
      <c r="Q327" s="1"/>
      <c r="R327" s="1"/>
      <c r="S327" s="1"/>
      <c r="T327" s="1"/>
      <c r="U327" s="1"/>
    </row>
    <row r="328" ht="10.5" customHeight="1">
      <c r="A328" s="1"/>
      <c r="B328" s="238" t="s">
        <v>111</v>
      </c>
      <c r="C328" s="216">
        <v>18151.0</v>
      </c>
      <c r="D328" s="130">
        <v>3516.0</v>
      </c>
      <c r="E328" s="130">
        <v>1409.0</v>
      </c>
      <c r="F328" s="130">
        <v>13081.0</v>
      </c>
      <c r="G328" s="276">
        <v>3791.76</v>
      </c>
      <c r="H328" s="136">
        <v>1020.0</v>
      </c>
      <c r="I328" s="249">
        <v>185.63</v>
      </c>
      <c r="J328" s="136" t="s">
        <v>40</v>
      </c>
      <c r="K328" s="136" t="s">
        <v>40</v>
      </c>
      <c r="L328" s="136">
        <v>54639.0</v>
      </c>
      <c r="M328" s="136">
        <f t="shared" si="38"/>
        <v>54639</v>
      </c>
      <c r="N328" s="1"/>
      <c r="O328" s="1"/>
      <c r="P328" s="1"/>
      <c r="Q328" s="1"/>
      <c r="R328" s="1"/>
      <c r="S328" s="1"/>
      <c r="T328" s="1"/>
      <c r="U328" s="1"/>
    </row>
    <row r="329" ht="10.5" customHeight="1">
      <c r="A329" s="1"/>
      <c r="B329" s="238" t="s">
        <v>112</v>
      </c>
      <c r="C329" s="216">
        <v>18583.0</v>
      </c>
      <c r="D329" s="130">
        <v>5110.0</v>
      </c>
      <c r="E329" s="130">
        <v>1340.0</v>
      </c>
      <c r="F329" s="130">
        <v>11939.0</v>
      </c>
      <c r="G329" s="276">
        <v>3887.88</v>
      </c>
      <c r="H329" s="136">
        <v>758.0</v>
      </c>
      <c r="I329" s="249">
        <v>181.1</v>
      </c>
      <c r="J329" s="136" t="s">
        <v>40</v>
      </c>
      <c r="K329" s="136" t="s">
        <v>40</v>
      </c>
      <c r="L329" s="136">
        <v>53258.0</v>
      </c>
      <c r="M329" s="136">
        <f t="shared" si="38"/>
        <v>53258</v>
      </c>
      <c r="N329" s="1"/>
      <c r="O329" s="1"/>
      <c r="P329" s="1"/>
      <c r="Q329" s="1"/>
      <c r="R329" s="1"/>
      <c r="S329" s="1"/>
      <c r="T329" s="1"/>
      <c r="U329" s="1"/>
    </row>
    <row r="330" ht="10.5" customHeight="1">
      <c r="A330" s="1"/>
      <c r="B330" s="238" t="s">
        <v>113</v>
      </c>
      <c r="C330" s="216">
        <v>27862.0</v>
      </c>
      <c r="D330" s="130">
        <v>5622.0</v>
      </c>
      <c r="E330" s="130">
        <v>1238.0</v>
      </c>
      <c r="F330" s="130">
        <v>18130.0</v>
      </c>
      <c r="G330" s="276">
        <v>3888.43</v>
      </c>
      <c r="H330" s="136">
        <v>3256.0</v>
      </c>
      <c r="I330" s="249">
        <v>283.96</v>
      </c>
      <c r="J330" s="136" t="s">
        <v>40</v>
      </c>
      <c r="K330" s="136" t="s">
        <v>40</v>
      </c>
      <c r="L330" s="136">
        <v>78237.0</v>
      </c>
      <c r="M330" s="136">
        <f t="shared" si="38"/>
        <v>78237</v>
      </c>
      <c r="N330" s="1"/>
      <c r="O330" s="1"/>
      <c r="P330" s="1"/>
      <c r="Q330" s="1"/>
      <c r="R330" s="1"/>
      <c r="S330" s="1"/>
      <c r="T330" s="1"/>
      <c r="U330" s="1"/>
    </row>
    <row r="331" ht="10.5" customHeight="1">
      <c r="A331" s="342">
        <v>39.0</v>
      </c>
      <c r="B331" s="238" t="s">
        <v>114</v>
      </c>
      <c r="C331" s="216">
        <v>29417.0</v>
      </c>
      <c r="D331" s="130">
        <v>5936.0</v>
      </c>
      <c r="E331" s="130">
        <v>1466.0</v>
      </c>
      <c r="F331" s="130">
        <v>22000.0</v>
      </c>
      <c r="G331" s="276">
        <v>3361.7</v>
      </c>
      <c r="H331" s="136">
        <v>579.0</v>
      </c>
      <c r="I331" s="249">
        <v>246.07</v>
      </c>
      <c r="J331" s="136" t="s">
        <v>40</v>
      </c>
      <c r="K331" s="136" t="s">
        <v>40</v>
      </c>
      <c r="L331" s="136">
        <v>82621.0</v>
      </c>
      <c r="M331" s="136">
        <f t="shared" si="38"/>
        <v>82621</v>
      </c>
      <c r="N331" s="1"/>
      <c r="O331" s="1"/>
      <c r="P331" s="1"/>
      <c r="Q331" s="1"/>
      <c r="R331" s="1"/>
      <c r="S331" s="1"/>
      <c r="T331" s="1"/>
      <c r="U331" s="1"/>
    </row>
    <row r="332" ht="10.5" customHeight="1">
      <c r="A332" s="87"/>
      <c r="B332" s="238"/>
      <c r="C332" s="216"/>
      <c r="D332" s="130"/>
      <c r="E332" s="130"/>
      <c r="F332" s="130"/>
      <c r="G332" s="276"/>
      <c r="H332" s="136"/>
      <c r="I332" s="249"/>
      <c r="J332" s="136"/>
      <c r="K332" s="136"/>
      <c r="L332" s="136"/>
      <c r="M332" s="136"/>
      <c r="N332" s="1"/>
      <c r="O332" s="1"/>
      <c r="P332" s="1"/>
      <c r="Q332" s="1"/>
      <c r="R332" s="1"/>
      <c r="S332" s="1"/>
      <c r="T332" s="1"/>
      <c r="U332" s="1"/>
    </row>
    <row r="333" ht="10.5" customHeight="1">
      <c r="A333" s="1"/>
      <c r="B333" s="238" t="s">
        <v>115</v>
      </c>
      <c r="C333" s="216">
        <v>33640.0</v>
      </c>
      <c r="D333" s="130">
        <v>7749.0</v>
      </c>
      <c r="E333" s="130">
        <v>1471.0</v>
      </c>
      <c r="F333" s="130">
        <v>24358.0</v>
      </c>
      <c r="G333" s="276">
        <v>3946.8</v>
      </c>
      <c r="H333" s="136">
        <v>357.0</v>
      </c>
      <c r="I333" s="249">
        <v>249.66</v>
      </c>
      <c r="J333" s="136" t="s">
        <v>40</v>
      </c>
      <c r="K333" s="136" t="s">
        <v>40</v>
      </c>
      <c r="L333" s="136">
        <v>107384.0</v>
      </c>
      <c r="M333" s="136">
        <f t="shared" ref="M333:M337" si="39">SUM(K333:L333)</f>
        <v>107384</v>
      </c>
      <c r="N333" s="1"/>
      <c r="O333" s="1"/>
      <c r="P333" s="1"/>
      <c r="Q333" s="1"/>
      <c r="R333" s="1"/>
      <c r="S333" s="1"/>
      <c r="T333" s="1"/>
      <c r="U333" s="1"/>
    </row>
    <row r="334" ht="10.5" customHeight="1">
      <c r="A334" s="1"/>
      <c r="B334" s="238" t="s">
        <v>117</v>
      </c>
      <c r="C334" s="216">
        <v>36317.0</v>
      </c>
      <c r="D334" s="130">
        <v>6556.0</v>
      </c>
      <c r="E334" s="130">
        <v>1620.0</v>
      </c>
      <c r="F334" s="130">
        <v>28459.0</v>
      </c>
      <c r="G334" s="276">
        <v>3782.79</v>
      </c>
      <c r="H334" s="136">
        <v>307.0</v>
      </c>
      <c r="I334" s="249">
        <v>230.57</v>
      </c>
      <c r="J334" s="136" t="s">
        <v>40</v>
      </c>
      <c r="K334" s="136" t="s">
        <v>40</v>
      </c>
      <c r="L334" s="136">
        <v>118123.0</v>
      </c>
      <c r="M334" s="136">
        <f t="shared" si="39"/>
        <v>118123</v>
      </c>
      <c r="N334" s="1"/>
      <c r="O334" s="1"/>
      <c r="P334" s="1"/>
      <c r="Q334" s="1"/>
      <c r="R334" s="1"/>
      <c r="S334" s="1"/>
      <c r="T334" s="1"/>
      <c r="U334" s="1"/>
    </row>
    <row r="335" ht="10.5" customHeight="1">
      <c r="A335" s="1"/>
      <c r="B335" s="238" t="s">
        <v>121</v>
      </c>
      <c r="C335" s="216">
        <v>37011.0</v>
      </c>
      <c r="D335" s="130">
        <v>5826.0</v>
      </c>
      <c r="E335" s="130">
        <v>1772.0</v>
      </c>
      <c r="F335" s="130">
        <v>30258.0</v>
      </c>
      <c r="G335" s="276">
        <v>4447.67</v>
      </c>
      <c r="H335" s="136">
        <v>42.0</v>
      </c>
      <c r="I335" s="249">
        <v>269.52</v>
      </c>
      <c r="J335" s="136" t="s">
        <v>40</v>
      </c>
      <c r="K335" s="136" t="s">
        <v>40</v>
      </c>
      <c r="L335" s="136">
        <v>144698.0</v>
      </c>
      <c r="M335" s="136">
        <f t="shared" si="39"/>
        <v>144698</v>
      </c>
      <c r="N335" s="1"/>
      <c r="O335" s="1"/>
      <c r="P335" s="1"/>
      <c r="Q335" s="1"/>
      <c r="R335" s="1"/>
      <c r="S335" s="1"/>
      <c r="T335" s="1"/>
      <c r="U335" s="1"/>
    </row>
    <row r="336" ht="10.5" customHeight="1">
      <c r="A336" s="1"/>
      <c r="B336" s="238" t="s">
        <v>122</v>
      </c>
      <c r="C336" s="216">
        <v>47282.0</v>
      </c>
      <c r="D336" s="130">
        <v>8325.0</v>
      </c>
      <c r="E336" s="130">
        <v>1850.0</v>
      </c>
      <c r="F336" s="130">
        <v>37623.0</v>
      </c>
      <c r="G336" s="276">
        <v>4244.4</v>
      </c>
      <c r="H336" s="136">
        <v>69.0</v>
      </c>
      <c r="I336" s="249">
        <v>179.92</v>
      </c>
      <c r="J336" s="136" t="s">
        <v>40</v>
      </c>
      <c r="K336" s="136" t="s">
        <v>40</v>
      </c>
      <c r="L336" s="136">
        <v>174781.0</v>
      </c>
      <c r="M336" s="136">
        <f t="shared" si="39"/>
        <v>174781</v>
      </c>
      <c r="N336" s="1"/>
      <c r="O336" s="1"/>
      <c r="P336" s="1"/>
      <c r="Q336" s="1"/>
      <c r="R336" s="1"/>
      <c r="S336" s="1"/>
      <c r="T336" s="1"/>
      <c r="U336" s="1"/>
    </row>
    <row r="337" ht="10.5" customHeight="1">
      <c r="A337" s="1"/>
      <c r="B337" s="238" t="s">
        <v>123</v>
      </c>
      <c r="C337" s="216">
        <v>32911.0</v>
      </c>
      <c r="D337" s="130">
        <v>6822.0</v>
      </c>
      <c r="E337" s="130">
        <v>2061.0</v>
      </c>
      <c r="F337" s="130">
        <v>25014.0</v>
      </c>
      <c r="G337" s="276">
        <v>8077.49</v>
      </c>
      <c r="H337" s="136">
        <v>39.0</v>
      </c>
      <c r="I337" s="249">
        <v>379.1</v>
      </c>
      <c r="J337" s="136" t="s">
        <v>40</v>
      </c>
      <c r="K337" s="136" t="s">
        <v>40</v>
      </c>
      <c r="L337" s="136">
        <v>215830.0</v>
      </c>
      <c r="M337" s="136">
        <f t="shared" si="39"/>
        <v>215830</v>
      </c>
      <c r="N337" s="1"/>
      <c r="O337" s="1"/>
      <c r="P337" s="1"/>
      <c r="Q337" s="1"/>
      <c r="R337" s="1"/>
      <c r="S337" s="1"/>
      <c r="T337" s="1"/>
      <c r="U337" s="1"/>
    </row>
    <row r="338" ht="10.5" customHeight="1">
      <c r="A338" s="1"/>
      <c r="B338" s="238"/>
      <c r="C338" s="216"/>
      <c r="D338" s="130"/>
      <c r="E338" s="130"/>
      <c r="F338" s="130"/>
      <c r="G338" s="276"/>
      <c r="H338" s="136"/>
      <c r="I338" s="249"/>
      <c r="J338" s="136"/>
      <c r="K338" s="136"/>
      <c r="L338" s="136"/>
      <c r="M338" s="136"/>
      <c r="N338" s="1"/>
      <c r="O338" s="1"/>
      <c r="P338" s="1"/>
      <c r="Q338" s="1"/>
      <c r="R338" s="1"/>
      <c r="S338" s="1"/>
      <c r="T338" s="1"/>
      <c r="U338" s="1"/>
    </row>
    <row r="339" ht="10.5" customHeight="1">
      <c r="A339" s="1"/>
      <c r="B339" s="437" t="s">
        <v>125</v>
      </c>
      <c r="C339" s="216">
        <v>38235.0</v>
      </c>
      <c r="D339" s="130">
        <v>6983.0</v>
      </c>
      <c r="E339" s="130">
        <v>2139.0</v>
      </c>
      <c r="F339" s="130">
        <v>30165.0</v>
      </c>
      <c r="G339" s="276">
        <v>8077.33</v>
      </c>
      <c r="H339" s="136">
        <v>27.0</v>
      </c>
      <c r="I339" s="249">
        <v>196.45</v>
      </c>
      <c r="J339" s="136" t="s">
        <v>40</v>
      </c>
      <c r="K339" s="136" t="s">
        <v>40</v>
      </c>
      <c r="L339" s="136">
        <v>258279.0</v>
      </c>
      <c r="M339" s="136">
        <f t="shared" ref="M339:M343" si="40">SUM(K339:L339)</f>
        <v>258279</v>
      </c>
      <c r="N339" s="1"/>
      <c r="O339" s="1"/>
      <c r="P339" s="1"/>
      <c r="Q339" s="1"/>
      <c r="R339" s="1"/>
      <c r="S339" s="1"/>
      <c r="T339" s="1"/>
      <c r="U339" s="1"/>
    </row>
    <row r="340" ht="10.5" customHeight="1">
      <c r="A340" s="1"/>
      <c r="B340" s="437" t="s">
        <v>127</v>
      </c>
      <c r="C340" s="216">
        <v>38728.0</v>
      </c>
      <c r="D340" s="130">
        <v>6830.0</v>
      </c>
      <c r="E340" s="130">
        <v>2369.0</v>
      </c>
      <c r="F340" s="216">
        <v>30861.0</v>
      </c>
      <c r="G340" s="289">
        <v>5595.72</v>
      </c>
      <c r="H340" s="169" t="s">
        <v>40</v>
      </c>
      <c r="I340" s="252" t="s">
        <v>40</v>
      </c>
      <c r="J340" s="169" t="s">
        <v>40</v>
      </c>
      <c r="K340" s="169" t="s">
        <v>40</v>
      </c>
      <c r="L340" s="169">
        <v>188529.0</v>
      </c>
      <c r="M340" s="136">
        <f t="shared" si="40"/>
        <v>188529</v>
      </c>
      <c r="N340" s="1"/>
      <c r="O340" s="1"/>
      <c r="P340" s="1"/>
      <c r="Q340" s="1"/>
      <c r="R340" s="1"/>
      <c r="S340" s="1"/>
      <c r="T340" s="1"/>
      <c r="U340" s="1"/>
    </row>
    <row r="341" ht="10.5" customHeight="1">
      <c r="A341" s="1"/>
      <c r="B341" s="11" t="s">
        <v>128</v>
      </c>
      <c r="C341" s="216">
        <v>58336.0</v>
      </c>
      <c r="D341" s="130">
        <v>12204.0</v>
      </c>
      <c r="E341" s="130">
        <v>2315.0</v>
      </c>
      <c r="F341" s="216">
        <v>41922.0</v>
      </c>
      <c r="G341" s="289">
        <v>5316.03</v>
      </c>
      <c r="H341" s="169">
        <v>2357.0</v>
      </c>
      <c r="I341" s="252">
        <v>101.4</v>
      </c>
      <c r="J341" s="169" t="s">
        <v>40</v>
      </c>
      <c r="K341" s="169" t="s">
        <v>40</v>
      </c>
      <c r="L341" s="169">
        <v>250759.0</v>
      </c>
      <c r="M341" s="136">
        <f t="shared" si="40"/>
        <v>250759</v>
      </c>
      <c r="N341" s="1"/>
      <c r="O341" s="1"/>
      <c r="P341" s="1"/>
      <c r="Q341" s="1"/>
      <c r="R341" s="1"/>
      <c r="S341" s="1"/>
      <c r="T341" s="1"/>
      <c r="U341" s="1"/>
    </row>
    <row r="342" ht="10.5" customHeight="1">
      <c r="A342" s="1"/>
      <c r="B342" s="11" t="s">
        <v>129</v>
      </c>
      <c r="C342" s="216">
        <v>59866.0</v>
      </c>
      <c r="D342" s="130">
        <v>12190.0</v>
      </c>
      <c r="E342" s="130">
        <v>2622.0</v>
      </c>
      <c r="F342" s="216">
        <v>44108.0</v>
      </c>
      <c r="G342" s="289">
        <v>5600.47</v>
      </c>
      <c r="H342" s="169">
        <v>1717.0</v>
      </c>
      <c r="I342" s="252">
        <v>210.88</v>
      </c>
      <c r="J342" s="169" t="s">
        <v>40</v>
      </c>
      <c r="K342" s="169" t="s">
        <v>40</v>
      </c>
      <c r="L342" s="169">
        <v>278687.0</v>
      </c>
      <c r="M342" s="136">
        <f t="shared" si="40"/>
        <v>278687</v>
      </c>
      <c r="N342" s="1"/>
      <c r="O342" s="1"/>
      <c r="P342" s="1"/>
      <c r="Q342" s="1"/>
      <c r="R342" s="1"/>
      <c r="S342" s="1"/>
      <c r="T342" s="1"/>
      <c r="U342" s="1"/>
    </row>
    <row r="343" ht="10.5" customHeight="1">
      <c r="A343" s="1"/>
      <c r="B343" s="11" t="s">
        <v>130</v>
      </c>
      <c r="C343" s="216">
        <v>55221.0</v>
      </c>
      <c r="D343" s="130">
        <v>10928.0</v>
      </c>
      <c r="E343" s="130">
        <v>2657.0</v>
      </c>
      <c r="F343" s="216">
        <v>39663.0</v>
      </c>
      <c r="G343" s="289">
        <v>5553.8</v>
      </c>
      <c r="H343" s="169">
        <v>2299.0</v>
      </c>
      <c r="I343" s="252">
        <v>136.6</v>
      </c>
      <c r="J343" s="169" t="s">
        <v>40</v>
      </c>
      <c r="K343" s="169" t="s">
        <v>40</v>
      </c>
      <c r="L343" s="169">
        <v>248850.0</v>
      </c>
      <c r="M343" s="136">
        <f t="shared" si="40"/>
        <v>248850</v>
      </c>
      <c r="N343" s="1"/>
      <c r="O343" s="1"/>
      <c r="P343" s="1"/>
      <c r="Q343" s="1"/>
      <c r="R343" s="1"/>
      <c r="S343" s="1"/>
      <c r="T343" s="1"/>
      <c r="U343" s="1"/>
    </row>
    <row r="344" ht="10.5" customHeight="1">
      <c r="A344" s="1"/>
      <c r="B344" s="11"/>
      <c r="C344" s="216"/>
      <c r="D344" s="130"/>
      <c r="E344" s="130"/>
      <c r="F344" s="216"/>
      <c r="G344" s="289"/>
      <c r="H344" s="169"/>
      <c r="I344" s="252"/>
      <c r="J344" s="169"/>
      <c r="K344" s="169"/>
      <c r="L344" s="169"/>
      <c r="M344" s="169"/>
      <c r="N344" s="1"/>
      <c r="O344" s="1"/>
      <c r="P344" s="1"/>
      <c r="Q344" s="1"/>
      <c r="R344" s="1"/>
      <c r="S344" s="1"/>
      <c r="T344" s="1"/>
      <c r="U344" s="1"/>
    </row>
    <row r="345" ht="10.5" customHeight="1">
      <c r="A345" s="1"/>
      <c r="B345" s="238" t="s">
        <v>131</v>
      </c>
      <c r="C345" s="216">
        <v>39018.0</v>
      </c>
      <c r="D345" s="216">
        <v>7657.0</v>
      </c>
      <c r="E345" s="130">
        <v>3973.0</v>
      </c>
      <c r="F345" s="216">
        <v>27906.0</v>
      </c>
      <c r="G345" s="289">
        <v>5902.59</v>
      </c>
      <c r="H345" s="169">
        <v>1696.0</v>
      </c>
      <c r="I345" s="252">
        <v>98.94</v>
      </c>
      <c r="J345" s="169" t="s">
        <v>40</v>
      </c>
      <c r="K345" s="169" t="s">
        <v>40</v>
      </c>
      <c r="L345" s="169">
        <v>194671.0</v>
      </c>
      <c r="M345" s="136">
        <f t="shared" ref="M345:M349" si="41">SUM(K345:L345)</f>
        <v>194671</v>
      </c>
      <c r="N345" s="1"/>
      <c r="O345" s="1"/>
      <c r="P345" s="1"/>
      <c r="Q345" s="1"/>
      <c r="R345" s="1"/>
      <c r="S345" s="1"/>
      <c r="T345" s="1"/>
      <c r="U345" s="1"/>
    </row>
    <row r="346" ht="10.5" customHeight="1">
      <c r="A346" s="1"/>
      <c r="B346" s="11" t="s">
        <v>133</v>
      </c>
      <c r="C346" s="216">
        <v>54908.0</v>
      </c>
      <c r="D346" s="216">
        <v>10502.0</v>
      </c>
      <c r="E346" s="130">
        <v>3548.0</v>
      </c>
      <c r="F346" s="216">
        <v>40689.0</v>
      </c>
      <c r="G346" s="289">
        <v>5836.0</v>
      </c>
      <c r="H346" s="169">
        <v>2122.0</v>
      </c>
      <c r="I346" s="252">
        <v>119.74</v>
      </c>
      <c r="J346" s="169" t="s">
        <v>40</v>
      </c>
      <c r="K346" s="169" t="s">
        <v>40</v>
      </c>
      <c r="L346" s="169">
        <v>274198.0</v>
      </c>
      <c r="M346" s="136">
        <f t="shared" si="41"/>
        <v>274198</v>
      </c>
      <c r="N346" s="1"/>
      <c r="O346" s="1"/>
      <c r="P346" s="1"/>
      <c r="Q346" s="1"/>
      <c r="R346" s="1"/>
      <c r="S346" s="1"/>
      <c r="T346" s="1"/>
      <c r="U346" s="1"/>
    </row>
    <row r="347" ht="10.5" customHeight="1">
      <c r="A347" s="1"/>
      <c r="B347" s="11" t="s">
        <v>134</v>
      </c>
      <c r="C347" s="216">
        <v>62720.0</v>
      </c>
      <c r="D347" s="216">
        <v>12914.0</v>
      </c>
      <c r="E347" s="130">
        <v>3614.0</v>
      </c>
      <c r="F347" s="216">
        <v>46639.0</v>
      </c>
      <c r="G347" s="289">
        <v>6243.32</v>
      </c>
      <c r="H347" s="169">
        <v>1206.0</v>
      </c>
      <c r="I347" s="252">
        <v>150.0</v>
      </c>
      <c r="J347" s="169" t="s">
        <v>40</v>
      </c>
      <c r="K347" s="169" t="s">
        <v>40</v>
      </c>
      <c r="L347" s="169">
        <v>337057.0</v>
      </c>
      <c r="M347" s="136">
        <f t="shared" si="41"/>
        <v>337057</v>
      </c>
      <c r="N347" s="1"/>
      <c r="O347" s="1"/>
      <c r="P347" s="1"/>
      <c r="Q347" s="1"/>
      <c r="R347" s="1"/>
      <c r="S347" s="1"/>
      <c r="T347" s="1"/>
      <c r="U347" s="1"/>
    </row>
    <row r="348" ht="10.5" customHeight="1">
      <c r="A348" s="1"/>
      <c r="B348" s="11" t="s">
        <v>135</v>
      </c>
      <c r="C348" s="216">
        <v>59961.0</v>
      </c>
      <c r="D348" s="216">
        <v>10166.0</v>
      </c>
      <c r="E348" s="130">
        <v>4622.0</v>
      </c>
      <c r="F348" s="216">
        <v>46713.0</v>
      </c>
      <c r="G348" s="289">
        <v>7739.36</v>
      </c>
      <c r="H348" s="169">
        <v>1538.0</v>
      </c>
      <c r="I348" s="252">
        <v>375.22</v>
      </c>
      <c r="J348" s="169" t="s">
        <v>40</v>
      </c>
      <c r="K348" s="169" t="s">
        <v>40</v>
      </c>
      <c r="L348" s="169">
        <v>408115.0</v>
      </c>
      <c r="M348" s="136">
        <f t="shared" si="41"/>
        <v>408115</v>
      </c>
      <c r="N348" s="1"/>
      <c r="O348" s="1"/>
      <c r="P348" s="1"/>
      <c r="Q348" s="1"/>
      <c r="R348" s="1"/>
      <c r="S348" s="1"/>
      <c r="T348" s="1"/>
      <c r="U348" s="1"/>
    </row>
    <row r="349" ht="10.5" customHeight="1">
      <c r="A349" s="1"/>
      <c r="B349" s="293">
        <v>40087.0</v>
      </c>
      <c r="C349" s="216">
        <v>56009.0</v>
      </c>
      <c r="D349" s="216">
        <v>11669.0</v>
      </c>
      <c r="E349" s="216">
        <v>4531.0</v>
      </c>
      <c r="F349" s="216">
        <v>41353.0</v>
      </c>
      <c r="G349" s="289">
        <v>8112.28</v>
      </c>
      <c r="H349" s="169">
        <v>1215.0</v>
      </c>
      <c r="I349" s="252">
        <v>202.64</v>
      </c>
      <c r="J349" s="169" t="s">
        <v>40</v>
      </c>
      <c r="K349" s="169" t="s">
        <v>40</v>
      </c>
      <c r="L349" s="169">
        <v>387484.0</v>
      </c>
      <c r="M349" s="136">
        <f t="shared" si="41"/>
        <v>387484</v>
      </c>
      <c r="N349" s="1"/>
      <c r="O349" s="1"/>
      <c r="P349" s="1"/>
      <c r="Q349" s="1"/>
      <c r="R349" s="1"/>
      <c r="S349" s="1"/>
      <c r="T349" s="1"/>
      <c r="U349" s="1"/>
    </row>
    <row r="350" ht="10.5" customHeight="1">
      <c r="A350" s="1"/>
      <c r="B350" s="11"/>
      <c r="C350" s="216"/>
      <c r="D350" s="216"/>
      <c r="E350" s="216"/>
      <c r="F350" s="216"/>
      <c r="G350" s="289"/>
      <c r="H350" s="169"/>
      <c r="I350" s="252"/>
      <c r="J350" s="169"/>
      <c r="K350" s="169"/>
      <c r="L350" s="169"/>
      <c r="M350" s="169"/>
      <c r="N350" s="1"/>
      <c r="O350" s="1"/>
      <c r="P350" s="1"/>
      <c r="Q350" s="1"/>
      <c r="R350" s="1"/>
      <c r="S350" s="1"/>
      <c r="T350" s="1"/>
      <c r="U350" s="1"/>
    </row>
    <row r="351" ht="10.5" customHeight="1">
      <c r="A351" s="1"/>
      <c r="B351" s="85" t="s">
        <v>139</v>
      </c>
      <c r="C351" s="216">
        <v>67087.0</v>
      </c>
      <c r="D351" s="216">
        <v>13599.0</v>
      </c>
      <c r="E351" s="216">
        <v>4747.0</v>
      </c>
      <c r="F351" s="216">
        <v>49331.0</v>
      </c>
      <c r="G351" s="289">
        <v>9709.44</v>
      </c>
      <c r="H351" s="169">
        <v>2156.0</v>
      </c>
      <c r="I351" s="252">
        <v>292.73</v>
      </c>
      <c r="J351" s="169" t="s">
        <v>40</v>
      </c>
      <c r="K351" s="169" t="s">
        <v>40</v>
      </c>
      <c r="L351" s="169">
        <v>543269.0</v>
      </c>
      <c r="M351" s="136">
        <f t="shared" ref="M351:M354" si="42">SUM(K351:L351)</f>
        <v>543269</v>
      </c>
      <c r="N351" s="1"/>
      <c r="O351" s="1"/>
      <c r="P351" s="1"/>
      <c r="Q351" s="1"/>
      <c r="R351" s="1"/>
      <c r="S351" s="1"/>
      <c r="T351" s="1"/>
      <c r="U351" s="1"/>
    </row>
    <row r="352" ht="10.5" customHeight="1">
      <c r="A352" s="1"/>
      <c r="B352" s="85" t="s">
        <v>143</v>
      </c>
      <c r="C352" s="216">
        <v>61176.0</v>
      </c>
      <c r="D352" s="216">
        <v>13249.0</v>
      </c>
      <c r="E352" s="216">
        <v>5194.0</v>
      </c>
      <c r="F352" s="216">
        <v>44203.0</v>
      </c>
      <c r="G352" s="289">
        <v>10383.85</v>
      </c>
      <c r="H352" s="169">
        <v>1712.0</v>
      </c>
      <c r="I352" s="252">
        <v>274.5</v>
      </c>
      <c r="J352" s="169" t="s">
        <v>40</v>
      </c>
      <c r="K352" s="169" t="s">
        <v>40</v>
      </c>
      <c r="L352" s="169">
        <v>526845.0</v>
      </c>
      <c r="M352" s="136">
        <f t="shared" si="42"/>
        <v>526845</v>
      </c>
      <c r="N352" s="1"/>
      <c r="O352" s="1"/>
      <c r="P352" s="1"/>
      <c r="Q352" s="1"/>
      <c r="R352" s="1"/>
      <c r="S352" s="1"/>
      <c r="T352" s="1"/>
      <c r="U352" s="1"/>
    </row>
    <row r="353" ht="10.5" customHeight="1">
      <c r="A353" s="1"/>
      <c r="B353" s="85" t="s">
        <v>149</v>
      </c>
      <c r="C353" s="216">
        <v>75733.0</v>
      </c>
      <c r="D353" s="216">
        <v>16447.0</v>
      </c>
      <c r="E353" s="216">
        <v>4984.0</v>
      </c>
      <c r="F353" s="216">
        <v>53467.0</v>
      </c>
      <c r="G353" s="289">
        <v>10861.41</v>
      </c>
      <c r="H353" s="169">
        <v>3322.0</v>
      </c>
      <c r="I353" s="252">
        <v>316.68</v>
      </c>
      <c r="J353" s="169" t="s">
        <v>40</v>
      </c>
      <c r="K353" s="169" t="s">
        <v>40</v>
      </c>
      <c r="L353" s="169">
        <v>662032.0</v>
      </c>
      <c r="M353" s="136">
        <f t="shared" si="42"/>
        <v>662032</v>
      </c>
      <c r="N353" s="1"/>
      <c r="O353" s="1"/>
      <c r="P353" s="1"/>
      <c r="Q353" s="1"/>
      <c r="R353" s="1"/>
      <c r="S353" s="1"/>
      <c r="T353" s="1"/>
      <c r="U353" s="1"/>
    </row>
    <row r="354" ht="10.5" customHeight="1">
      <c r="A354" s="1"/>
      <c r="B354" s="85" t="s">
        <v>151</v>
      </c>
      <c r="C354" s="216">
        <v>69833.0</v>
      </c>
      <c r="D354" s="216">
        <v>14766.0</v>
      </c>
      <c r="E354" s="216">
        <v>5881.0</v>
      </c>
      <c r="F354" s="216">
        <v>50786.0</v>
      </c>
      <c r="G354" s="289">
        <v>15389.98</v>
      </c>
      <c r="H354" s="169">
        <v>2038.0</v>
      </c>
      <c r="I354" s="252">
        <v>310.02</v>
      </c>
      <c r="J354" s="169" t="s">
        <v>40</v>
      </c>
      <c r="K354" s="169" t="s">
        <v>40</v>
      </c>
      <c r="L354" s="169">
        <v>867248.0</v>
      </c>
      <c r="M354" s="136">
        <f t="shared" si="42"/>
        <v>867248</v>
      </c>
      <c r="N354" s="1"/>
      <c r="O354" s="1"/>
      <c r="P354" s="1"/>
      <c r="Q354" s="1"/>
      <c r="R354" s="1"/>
      <c r="S354" s="1"/>
      <c r="T354" s="1"/>
      <c r="U354" s="1"/>
    </row>
    <row r="355" ht="10.5" customHeight="1">
      <c r="A355" s="1"/>
      <c r="B355" s="85" t="s">
        <v>153</v>
      </c>
      <c r="C355" s="216">
        <v>81458.0</v>
      </c>
      <c r="D355" s="216">
        <v>16469.0</v>
      </c>
      <c r="E355" s="216">
        <v>6516.0</v>
      </c>
      <c r="F355" s="216">
        <v>60413.0</v>
      </c>
      <c r="G355" s="289" t="s">
        <v>778</v>
      </c>
      <c r="H355" s="169">
        <v>2074.0</v>
      </c>
      <c r="I355" s="252" t="s">
        <v>779</v>
      </c>
      <c r="J355" s="169" t="s">
        <v>40</v>
      </c>
      <c r="K355" s="169" t="s">
        <v>40</v>
      </c>
      <c r="L355" s="169">
        <v>943450.0</v>
      </c>
      <c r="M355" s="136">
        <v>943450.0</v>
      </c>
      <c r="N355" s="1"/>
      <c r="O355" s="1"/>
      <c r="P355" s="1"/>
      <c r="Q355" s="1"/>
      <c r="R355" s="1"/>
      <c r="S355" s="1"/>
      <c r="T355" s="1"/>
      <c r="U355" s="1"/>
    </row>
    <row r="356" ht="10.5" customHeight="1">
      <c r="A356" s="1"/>
      <c r="B356" s="85"/>
      <c r="C356" s="216"/>
      <c r="D356" s="216"/>
      <c r="E356" s="216"/>
      <c r="F356" s="216"/>
      <c r="G356" s="289"/>
      <c r="H356" s="169"/>
      <c r="I356" s="252"/>
      <c r="J356" s="169"/>
      <c r="K356" s="169"/>
      <c r="L356" s="169"/>
      <c r="M356" s="136"/>
      <c r="N356" s="1"/>
      <c r="O356" s="1"/>
      <c r="P356" s="1"/>
      <c r="Q356" s="1"/>
      <c r="R356" s="1"/>
      <c r="S356" s="1"/>
      <c r="T356" s="1"/>
      <c r="U356" s="1"/>
    </row>
    <row r="357" ht="10.5" customHeight="1">
      <c r="A357" s="1"/>
      <c r="B357" s="85" t="s">
        <v>155</v>
      </c>
      <c r="C357" s="216">
        <v>79826.0</v>
      </c>
      <c r="D357" s="216">
        <v>16440.0</v>
      </c>
      <c r="E357" s="216">
        <v>7713.0</v>
      </c>
      <c r="F357" s="216">
        <v>58413.0</v>
      </c>
      <c r="G357" s="289" t="s">
        <v>780</v>
      </c>
      <c r="H357" s="169">
        <v>2476.0</v>
      </c>
      <c r="I357" s="252" t="s">
        <v>781</v>
      </c>
      <c r="J357" s="169" t="s">
        <v>40</v>
      </c>
      <c r="K357" s="169" t="s">
        <v>40</v>
      </c>
      <c r="L357" s="169">
        <v>1226654.0</v>
      </c>
      <c r="M357" s="136">
        <v>1226654.0</v>
      </c>
      <c r="N357" s="1"/>
      <c r="O357" s="1"/>
      <c r="P357" s="1"/>
      <c r="Q357" s="1"/>
      <c r="R357" s="1"/>
      <c r="S357" s="1"/>
      <c r="T357" s="1"/>
      <c r="U357" s="1"/>
    </row>
    <row r="358" ht="10.5" customHeight="1">
      <c r="A358" s="1"/>
      <c r="B358" s="96" t="s">
        <v>782</v>
      </c>
      <c r="C358" s="240">
        <v>82891.0</v>
      </c>
      <c r="D358" s="240">
        <v>16338.0</v>
      </c>
      <c r="E358" s="240">
        <v>7778.0</v>
      </c>
      <c r="F358" s="240">
        <v>61248.0</v>
      </c>
      <c r="G358" s="290" t="s">
        <v>783</v>
      </c>
      <c r="H358" s="260">
        <v>2824.0</v>
      </c>
      <c r="I358" s="263" t="s">
        <v>784</v>
      </c>
      <c r="J358" s="260" t="s">
        <v>40</v>
      </c>
      <c r="K358" s="260" t="s">
        <v>40</v>
      </c>
      <c r="L358" s="260">
        <v>1132631.0</v>
      </c>
      <c r="M358" s="260">
        <v>1132631.0</v>
      </c>
      <c r="N358" s="1"/>
      <c r="O358" s="1"/>
      <c r="P358" s="1"/>
      <c r="Q358" s="1"/>
      <c r="R358" s="1"/>
      <c r="S358" s="1"/>
      <c r="T358" s="1"/>
      <c r="U358" s="1"/>
    </row>
    <row r="359" ht="6.0" customHeight="1">
      <c r="A359" s="1"/>
      <c r="B359" s="291"/>
      <c r="C359" s="243"/>
      <c r="D359" s="243"/>
      <c r="E359" s="243"/>
      <c r="F359" s="243"/>
      <c r="G359" s="292"/>
      <c r="H359" s="267"/>
      <c r="I359" s="270"/>
      <c r="J359" s="267"/>
      <c r="K359" s="267"/>
      <c r="L359" s="267"/>
      <c r="M359" s="267"/>
      <c r="N359" s="1"/>
      <c r="O359" s="1"/>
      <c r="P359" s="1"/>
      <c r="Q359" s="1"/>
      <c r="R359" s="1"/>
      <c r="S359" s="1"/>
      <c r="T359" s="1"/>
      <c r="U359" s="1"/>
    </row>
    <row r="360" ht="10.5" customHeight="1">
      <c r="A360" s="1"/>
      <c r="B360" s="185" t="s">
        <v>785</v>
      </c>
      <c r="C360" s="185"/>
      <c r="D360" s="185"/>
      <c r="E360" s="185"/>
      <c r="F360" s="185"/>
      <c r="G360" s="185"/>
      <c r="H360" s="185"/>
      <c r="I360" s="481"/>
      <c r="J360" s="1"/>
      <c r="K360" s="1"/>
      <c r="L360" s="1"/>
      <c r="M360" s="1"/>
      <c r="N360" s="1"/>
      <c r="O360" s="1"/>
      <c r="P360" s="1"/>
      <c r="Q360" s="1"/>
      <c r="R360" s="1"/>
      <c r="S360" s="1"/>
      <c r="T360" s="1"/>
      <c r="U360" s="1"/>
    </row>
    <row r="361" ht="10.5" customHeight="1">
      <c r="A361" s="1"/>
      <c r="B361" s="185" t="s">
        <v>662</v>
      </c>
      <c r="C361" s="185"/>
      <c r="D361" s="185"/>
      <c r="E361" s="185"/>
      <c r="F361" s="185"/>
      <c r="G361" s="185"/>
      <c r="H361" s="185"/>
      <c r="I361" s="1"/>
      <c r="J361" s="1"/>
      <c r="K361" s="1"/>
      <c r="L361" s="1"/>
      <c r="M361" s="1"/>
      <c r="N361" s="1"/>
      <c r="O361" s="1"/>
      <c r="P361" s="1"/>
      <c r="Q361" s="1"/>
      <c r="R361" s="1"/>
      <c r="S361" s="1"/>
      <c r="T361" s="1"/>
      <c r="U361" s="1"/>
    </row>
    <row r="362" ht="10.5" customHeight="1">
      <c r="A362" s="1"/>
      <c r="B362" s="185" t="s">
        <v>663</v>
      </c>
      <c r="C362" s="185"/>
      <c r="D362" s="185"/>
      <c r="E362" s="185"/>
      <c r="F362" s="185"/>
      <c r="G362" s="185"/>
      <c r="H362" s="185"/>
      <c r="I362" s="1"/>
      <c r="J362" s="1"/>
      <c r="K362" s="1"/>
      <c r="L362" s="1"/>
      <c r="M362" s="1"/>
      <c r="N362" s="1"/>
      <c r="O362" s="1"/>
      <c r="P362" s="1"/>
      <c r="Q362" s="1"/>
      <c r="R362" s="1"/>
      <c r="S362" s="1"/>
      <c r="T362" s="1"/>
      <c r="U362" s="1"/>
    </row>
    <row r="363" ht="10.5" customHeight="1">
      <c r="A363" s="1"/>
      <c r="B363" s="185" t="s">
        <v>664</v>
      </c>
      <c r="C363" s="185"/>
      <c r="D363" s="185"/>
      <c r="E363" s="185"/>
      <c r="F363" s="185"/>
      <c r="G363" s="185"/>
      <c r="H363" s="185"/>
      <c r="I363" s="1"/>
      <c r="J363" s="1"/>
      <c r="K363" s="1"/>
      <c r="L363" s="1"/>
      <c r="M363" s="1"/>
      <c r="N363" s="1"/>
      <c r="O363" s="1"/>
      <c r="P363" s="1"/>
      <c r="Q363" s="1"/>
      <c r="R363" s="1"/>
      <c r="S363" s="1"/>
      <c r="T363" s="1"/>
      <c r="U363" s="1"/>
    </row>
    <row r="364" ht="10.5" customHeight="1">
      <c r="A364" s="1"/>
      <c r="B364" s="185" t="s">
        <v>665</v>
      </c>
      <c r="C364" s="185"/>
      <c r="D364" s="185"/>
      <c r="E364" s="185"/>
      <c r="F364" s="185"/>
      <c r="G364" s="185"/>
      <c r="H364" s="185"/>
      <c r="I364" s="1"/>
      <c r="J364" s="1"/>
      <c r="K364" s="1"/>
      <c r="L364" s="1"/>
      <c r="M364" s="1"/>
      <c r="N364" s="1"/>
      <c r="O364" s="1"/>
      <c r="P364" s="1"/>
      <c r="Q364" s="1"/>
      <c r="R364" s="1"/>
      <c r="S364" s="1"/>
      <c r="T364" s="1"/>
      <c r="U364" s="1"/>
    </row>
    <row r="365" ht="10.5" customHeight="1">
      <c r="A365" s="1"/>
      <c r="B365" s="311" t="s">
        <v>666</v>
      </c>
      <c r="I365" s="1"/>
      <c r="J365" s="1"/>
      <c r="K365" s="1"/>
      <c r="L365" s="1"/>
      <c r="M365" s="1"/>
      <c r="N365" s="1"/>
      <c r="O365" s="1"/>
      <c r="P365" s="1"/>
      <c r="Q365" s="1"/>
      <c r="R365" s="1"/>
      <c r="S365" s="1"/>
      <c r="T365" s="1"/>
      <c r="U365" s="1"/>
    </row>
    <row r="366" ht="10.5" customHeight="1">
      <c r="A366" s="1"/>
      <c r="B366" s="311" t="s">
        <v>667</v>
      </c>
      <c r="C366" s="311"/>
      <c r="D366" s="311"/>
      <c r="E366" s="311"/>
      <c r="F366" s="311"/>
      <c r="G366" s="311"/>
      <c r="H366" s="311"/>
      <c r="I366" s="1"/>
      <c r="J366" s="1"/>
      <c r="K366" s="1"/>
      <c r="L366" s="1"/>
      <c r="M366" s="1"/>
      <c r="N366" s="1"/>
      <c r="O366" s="1"/>
      <c r="P366" s="1"/>
      <c r="Q366" s="1"/>
      <c r="R366" s="1"/>
      <c r="S366" s="1"/>
      <c r="T366" s="1"/>
      <c r="U366" s="1"/>
    </row>
    <row r="367" ht="10.5" customHeight="1">
      <c r="A367" s="1"/>
      <c r="B367" s="311" t="s">
        <v>669</v>
      </c>
      <c r="C367" s="311"/>
      <c r="D367" s="311"/>
      <c r="E367" s="311"/>
      <c r="F367" s="311"/>
      <c r="G367" s="311"/>
      <c r="H367" s="311"/>
      <c r="I367" s="1"/>
      <c r="J367" s="1"/>
      <c r="K367" s="1"/>
      <c r="L367" s="1"/>
      <c r="M367" s="1"/>
      <c r="N367" s="1"/>
      <c r="O367" s="1"/>
      <c r="P367" s="1"/>
      <c r="Q367" s="1"/>
      <c r="R367" s="1"/>
      <c r="S367" s="1"/>
      <c r="T367" s="1"/>
      <c r="U367" s="1"/>
    </row>
    <row r="368" ht="10.5" customHeight="1">
      <c r="A368" s="1"/>
      <c r="B368" s="185" t="s">
        <v>787</v>
      </c>
      <c r="C368" s="185"/>
      <c r="D368" s="185"/>
      <c r="E368" s="185"/>
      <c r="F368" s="185"/>
      <c r="G368" s="185"/>
      <c r="H368" s="185"/>
      <c r="I368" s="1"/>
      <c r="J368" s="1"/>
      <c r="K368" s="1"/>
      <c r="L368" s="1"/>
      <c r="M368" s="1"/>
      <c r="N368" s="1"/>
      <c r="O368" s="1"/>
      <c r="P368" s="1"/>
      <c r="Q368" s="1"/>
      <c r="R368" s="1"/>
      <c r="S368" s="1"/>
      <c r="T368" s="1"/>
      <c r="U368" s="1"/>
    </row>
    <row r="369" ht="10.5" customHeight="1">
      <c r="A369" s="1"/>
      <c r="B369" s="1"/>
      <c r="C369" s="1"/>
      <c r="D369" s="1"/>
      <c r="E369" s="1"/>
      <c r="F369" s="1"/>
      <c r="G369" s="1"/>
      <c r="H369" s="1"/>
      <c r="I369" s="1"/>
      <c r="J369" s="1"/>
      <c r="K369" s="1"/>
      <c r="L369" s="1"/>
      <c r="M369" s="1"/>
      <c r="N369" s="1"/>
      <c r="O369" s="1"/>
      <c r="P369" s="1"/>
      <c r="Q369" s="1"/>
      <c r="R369" s="1"/>
      <c r="S369" s="1"/>
      <c r="T369" s="1"/>
      <c r="U369" s="1"/>
    </row>
    <row r="370" ht="10.5" customHeight="1">
      <c r="A370" s="1"/>
      <c r="B370" s="1"/>
      <c r="C370" s="15"/>
      <c r="D370" s="15"/>
      <c r="E370" s="15"/>
      <c r="F370" s="15"/>
      <c r="G370" s="15"/>
      <c r="H370" s="15"/>
      <c r="I370" s="15"/>
      <c r="J370" s="15"/>
      <c r="K370" s="15"/>
      <c r="L370" s="15"/>
      <c r="M370" s="15"/>
      <c r="N370" s="1"/>
      <c r="O370" s="1"/>
      <c r="P370" s="1"/>
      <c r="Q370" s="1"/>
      <c r="R370" s="1"/>
      <c r="S370" s="1"/>
      <c r="T370" s="1"/>
      <c r="U370" s="1"/>
    </row>
    <row r="371" ht="11.25" customHeight="1">
      <c r="A371" s="1"/>
      <c r="B371" s="1" t="s">
        <v>791</v>
      </c>
      <c r="C371" s="1"/>
      <c r="D371" s="1"/>
      <c r="E371" s="1"/>
      <c r="F371" s="1"/>
      <c r="G371" s="1"/>
      <c r="H371" s="1"/>
      <c r="I371" s="1"/>
      <c r="J371" s="1"/>
      <c r="K371" s="1"/>
      <c r="L371" s="1"/>
      <c r="M371" s="1"/>
      <c r="N371" s="1"/>
      <c r="O371" s="1"/>
      <c r="P371" s="1"/>
      <c r="Q371" s="1"/>
      <c r="R371" s="1"/>
      <c r="S371" s="1"/>
      <c r="T371" s="1"/>
      <c r="U371" s="1"/>
    </row>
    <row r="372" ht="11.25" customHeight="1">
      <c r="A372" s="1"/>
      <c r="B372" s="189" t="s">
        <v>506</v>
      </c>
      <c r="C372" s="128" t="s">
        <v>793</v>
      </c>
      <c r="D372" s="9"/>
      <c r="E372" s="9"/>
      <c r="F372" s="10"/>
      <c r="G372" s="128" t="s">
        <v>794</v>
      </c>
      <c r="H372" s="10"/>
      <c r="I372" s="128" t="s">
        <v>795</v>
      </c>
      <c r="J372" s="10"/>
      <c r="K372" s="1"/>
      <c r="L372" s="1"/>
      <c r="M372" s="1"/>
      <c r="N372" s="1"/>
      <c r="O372" s="1"/>
      <c r="P372" s="1"/>
      <c r="Q372" s="1"/>
      <c r="R372" s="1"/>
      <c r="S372" s="1"/>
      <c r="T372" s="1"/>
      <c r="U372" s="1"/>
    </row>
    <row r="373" ht="11.25" customHeight="1">
      <c r="A373" s="1"/>
      <c r="B373" s="5"/>
      <c r="C373" s="31" t="s">
        <v>508</v>
      </c>
      <c r="D373" s="128" t="s">
        <v>640</v>
      </c>
      <c r="E373" s="10"/>
      <c r="F373" s="31" t="s">
        <v>513</v>
      </c>
      <c r="G373" s="31" t="s">
        <v>508</v>
      </c>
      <c r="H373" s="31" t="s">
        <v>640</v>
      </c>
      <c r="I373" s="31" t="s">
        <v>508</v>
      </c>
      <c r="J373" s="31" t="s">
        <v>640</v>
      </c>
      <c r="K373" s="1"/>
      <c r="L373" s="1"/>
      <c r="M373" s="1"/>
      <c r="N373" s="1"/>
      <c r="O373" s="1"/>
      <c r="P373" s="1"/>
      <c r="Q373" s="1"/>
      <c r="R373" s="1"/>
      <c r="S373" s="1"/>
      <c r="T373" s="1"/>
      <c r="U373" s="1"/>
    </row>
    <row r="374" ht="22.5" customHeight="1">
      <c r="A374" s="1"/>
      <c r="B374" s="5"/>
      <c r="C374" s="6"/>
      <c r="D374" s="200" t="s">
        <v>796</v>
      </c>
      <c r="E374" s="7" t="s">
        <v>797</v>
      </c>
      <c r="F374" s="6"/>
      <c r="G374" s="6"/>
      <c r="H374" s="6"/>
      <c r="I374" s="6"/>
      <c r="J374" s="6"/>
      <c r="K374" s="1"/>
      <c r="L374" s="1"/>
      <c r="M374" s="1"/>
      <c r="N374" s="1"/>
      <c r="O374" s="1"/>
      <c r="P374" s="1"/>
      <c r="Q374" s="1"/>
      <c r="R374" s="1"/>
      <c r="S374" s="1"/>
      <c r="T374" s="1"/>
      <c r="U374" s="1"/>
    </row>
    <row r="375" ht="11.25" customHeight="1">
      <c r="A375" s="1"/>
      <c r="B375" s="6"/>
      <c r="C375" s="486" t="s">
        <v>520</v>
      </c>
      <c r="D375" s="487">
        <v>1000.0</v>
      </c>
      <c r="E375" s="9"/>
      <c r="F375" s="10"/>
      <c r="G375" s="134" t="s">
        <v>520</v>
      </c>
      <c r="H375" s="134" t="s">
        <v>50</v>
      </c>
      <c r="I375" s="134" t="s">
        <v>520</v>
      </c>
      <c r="J375" s="134" t="s">
        <v>50</v>
      </c>
      <c r="K375" s="1"/>
      <c r="L375" s="1"/>
      <c r="M375" s="1"/>
      <c r="N375" s="1"/>
      <c r="O375" s="1"/>
      <c r="P375" s="1"/>
      <c r="Q375" s="1"/>
      <c r="R375" s="1"/>
      <c r="S375" s="1"/>
      <c r="T375" s="1"/>
      <c r="U375" s="1"/>
    </row>
    <row r="376" ht="10.5" customHeight="1">
      <c r="A376" s="1"/>
      <c r="B376" s="238" t="s">
        <v>56</v>
      </c>
      <c r="C376" s="267">
        <v>5150.0</v>
      </c>
      <c r="D376" s="217">
        <v>1575.0</v>
      </c>
      <c r="E376" s="136">
        <v>139.0</v>
      </c>
      <c r="F376" s="136">
        <f t="shared" ref="F376:F380" si="43">SUM(D376:E376)</f>
        <v>1714</v>
      </c>
      <c r="G376" s="136">
        <v>439.0</v>
      </c>
      <c r="H376" s="136">
        <v>484.0</v>
      </c>
      <c r="I376" s="136">
        <v>831.0</v>
      </c>
      <c r="J376" s="136">
        <v>119.0</v>
      </c>
      <c r="K376" s="1"/>
      <c r="L376" s="1"/>
      <c r="M376" s="1"/>
      <c r="N376" s="1"/>
      <c r="O376" s="1"/>
      <c r="P376" s="1"/>
      <c r="Q376" s="1"/>
      <c r="R376" s="1"/>
      <c r="S376" s="1"/>
      <c r="T376" s="1"/>
      <c r="U376" s="1"/>
    </row>
    <row r="377" ht="10.5" customHeight="1">
      <c r="A377" s="1"/>
      <c r="B377" s="238" t="s">
        <v>81</v>
      </c>
      <c r="C377" s="267">
        <v>6000.0</v>
      </c>
      <c r="D377" s="217">
        <v>1726.0</v>
      </c>
      <c r="E377" s="136">
        <v>275.0</v>
      </c>
      <c r="F377" s="136">
        <f t="shared" si="43"/>
        <v>2001</v>
      </c>
      <c r="G377" s="136">
        <v>577.0</v>
      </c>
      <c r="H377" s="136">
        <v>684.0</v>
      </c>
      <c r="I377" s="136">
        <v>726.0</v>
      </c>
      <c r="J377" s="136">
        <v>141.0</v>
      </c>
      <c r="K377" s="1"/>
      <c r="L377" s="1"/>
      <c r="M377" s="1"/>
      <c r="N377" s="1"/>
      <c r="O377" s="1"/>
      <c r="P377" s="1"/>
      <c r="Q377" s="1"/>
      <c r="R377" s="1"/>
      <c r="S377" s="1"/>
      <c r="T377" s="1"/>
      <c r="U377" s="1"/>
    </row>
    <row r="378" ht="10.5" customHeight="1">
      <c r="A378" s="1"/>
      <c r="B378" s="238" t="s">
        <v>86</v>
      </c>
      <c r="C378" s="267">
        <v>7675.0</v>
      </c>
      <c r="D378" s="217">
        <v>2408.0</v>
      </c>
      <c r="E378" s="136">
        <v>287.0</v>
      </c>
      <c r="F378" s="136">
        <f t="shared" si="43"/>
        <v>2695</v>
      </c>
      <c r="G378" s="136">
        <v>810.0</v>
      </c>
      <c r="H378" s="136">
        <v>697.0</v>
      </c>
      <c r="I378" s="136">
        <v>682.0</v>
      </c>
      <c r="J378" s="136">
        <v>143.0</v>
      </c>
      <c r="K378" s="1"/>
      <c r="L378" s="1"/>
      <c r="M378" s="1"/>
      <c r="N378" s="1"/>
      <c r="O378" s="1"/>
      <c r="P378" s="1"/>
      <c r="Q378" s="1"/>
      <c r="R378" s="1"/>
      <c r="S378" s="1"/>
      <c r="T378" s="1"/>
      <c r="U378" s="1"/>
    </row>
    <row r="379" ht="10.5" customHeight="1">
      <c r="A379" s="1"/>
      <c r="B379" s="238" t="s">
        <v>87</v>
      </c>
      <c r="C379" s="267">
        <v>8089.0</v>
      </c>
      <c r="D379" s="217">
        <v>3495.0</v>
      </c>
      <c r="E379" s="136">
        <v>359.0</v>
      </c>
      <c r="F379" s="136">
        <f t="shared" si="43"/>
        <v>3854</v>
      </c>
      <c r="G379" s="136">
        <v>297.0</v>
      </c>
      <c r="H379" s="136">
        <v>449.0</v>
      </c>
      <c r="I379" s="136">
        <v>591.0</v>
      </c>
      <c r="J379" s="136">
        <v>142.0</v>
      </c>
      <c r="K379" s="1"/>
      <c r="L379" s="1"/>
      <c r="M379" s="1"/>
      <c r="N379" s="1"/>
      <c r="O379" s="1"/>
      <c r="P379" s="1"/>
      <c r="Q379" s="1"/>
      <c r="R379" s="1"/>
      <c r="S379" s="1"/>
      <c r="T379" s="1"/>
      <c r="U379" s="1"/>
    </row>
    <row r="380" ht="10.5" customHeight="1">
      <c r="A380" s="1"/>
      <c r="B380" s="238" t="s">
        <v>90</v>
      </c>
      <c r="C380" s="267">
        <v>6263.0</v>
      </c>
      <c r="D380" s="217">
        <v>2751.0</v>
      </c>
      <c r="E380" s="136">
        <v>278.0</v>
      </c>
      <c r="F380" s="136">
        <f t="shared" si="43"/>
        <v>3029</v>
      </c>
      <c r="G380" s="136">
        <v>535.0</v>
      </c>
      <c r="H380" s="136">
        <v>666.0</v>
      </c>
      <c r="I380" s="136">
        <v>431.0</v>
      </c>
      <c r="J380" s="136">
        <v>132.0</v>
      </c>
      <c r="K380" s="1"/>
      <c r="L380" s="1"/>
      <c r="M380" s="1"/>
      <c r="N380" s="1"/>
      <c r="O380" s="1"/>
      <c r="P380" s="1"/>
      <c r="Q380" s="1"/>
      <c r="R380" s="1"/>
      <c r="S380" s="1"/>
      <c r="T380" s="1"/>
      <c r="U380" s="1"/>
    </row>
    <row r="381" ht="10.5" customHeight="1">
      <c r="A381" s="1"/>
      <c r="B381" s="238"/>
      <c r="C381" s="267"/>
      <c r="D381" s="217"/>
      <c r="E381" s="136"/>
      <c r="F381" s="136"/>
      <c r="G381" s="136"/>
      <c r="H381" s="136"/>
      <c r="I381" s="136"/>
      <c r="J381" s="136"/>
      <c r="K381" s="1"/>
      <c r="L381" s="1"/>
      <c r="M381" s="1"/>
      <c r="N381" s="1"/>
      <c r="O381" s="1"/>
      <c r="P381" s="1"/>
      <c r="Q381" s="1"/>
      <c r="R381" s="1"/>
      <c r="S381" s="1"/>
      <c r="T381" s="1"/>
      <c r="U381" s="1"/>
    </row>
    <row r="382" ht="10.5" customHeight="1">
      <c r="A382" s="1"/>
      <c r="B382" s="238" t="s">
        <v>93</v>
      </c>
      <c r="C382" s="267">
        <v>8764.0</v>
      </c>
      <c r="D382" s="217">
        <v>4566.0</v>
      </c>
      <c r="E382" s="136">
        <v>401.0</v>
      </c>
      <c r="F382" s="136">
        <f t="shared" ref="F382:F386" si="44">SUM(D382:E382)</f>
        <v>4967</v>
      </c>
      <c r="G382" s="136">
        <v>258.0</v>
      </c>
      <c r="H382" s="136">
        <v>588.0</v>
      </c>
      <c r="I382" s="136">
        <v>383.0</v>
      </c>
      <c r="J382" s="136">
        <v>122.0</v>
      </c>
      <c r="K382" s="1"/>
      <c r="L382" s="1"/>
      <c r="M382" s="1"/>
      <c r="N382" s="1"/>
      <c r="O382" s="1"/>
      <c r="P382" s="1"/>
      <c r="Q382" s="1"/>
      <c r="R382" s="1"/>
      <c r="S382" s="1"/>
      <c r="T382" s="1"/>
      <c r="U382" s="1"/>
    </row>
    <row r="383" ht="10.5" customHeight="1">
      <c r="A383" s="1"/>
      <c r="B383" s="238" t="s">
        <v>97</v>
      </c>
      <c r="C383" s="267">
        <v>8047.0</v>
      </c>
      <c r="D383" s="217">
        <v>4767.0</v>
      </c>
      <c r="E383" s="136">
        <v>521.0</v>
      </c>
      <c r="F383" s="136">
        <f t="shared" si="44"/>
        <v>5288</v>
      </c>
      <c r="G383" s="136">
        <v>281.0</v>
      </c>
      <c r="H383" s="136">
        <v>696.0</v>
      </c>
      <c r="I383" s="136">
        <v>534.0</v>
      </c>
      <c r="J383" s="136">
        <v>171.0</v>
      </c>
      <c r="K383" s="1"/>
      <c r="L383" s="1"/>
      <c r="M383" s="1"/>
      <c r="N383" s="1"/>
      <c r="O383" s="1"/>
      <c r="P383" s="1"/>
      <c r="Q383" s="1"/>
      <c r="R383" s="1"/>
      <c r="S383" s="1"/>
      <c r="T383" s="1"/>
      <c r="U383" s="1"/>
    </row>
    <row r="384" ht="10.5" customHeight="1">
      <c r="A384" s="1"/>
      <c r="B384" s="238" t="s">
        <v>101</v>
      </c>
      <c r="C384" s="267">
        <v>10653.0</v>
      </c>
      <c r="D384" s="217">
        <v>4882.0</v>
      </c>
      <c r="E384" s="136">
        <v>860.0</v>
      </c>
      <c r="F384" s="136">
        <f t="shared" si="44"/>
        <v>5742</v>
      </c>
      <c r="G384" s="136">
        <v>1811.0</v>
      </c>
      <c r="H384" s="136">
        <v>2947.0</v>
      </c>
      <c r="I384" s="136">
        <v>497.0</v>
      </c>
      <c r="J384" s="136">
        <v>170.0</v>
      </c>
      <c r="K384" s="1"/>
      <c r="L384" s="1"/>
      <c r="M384" s="1"/>
      <c r="N384" s="1"/>
      <c r="O384" s="1"/>
      <c r="P384" s="1"/>
      <c r="Q384" s="1"/>
      <c r="R384" s="1"/>
      <c r="S384" s="1"/>
      <c r="T384" s="1"/>
      <c r="U384" s="1"/>
    </row>
    <row r="385" ht="10.5" customHeight="1">
      <c r="A385" s="1"/>
      <c r="B385" s="238" t="s">
        <v>103</v>
      </c>
      <c r="C385" s="267">
        <v>11675.0</v>
      </c>
      <c r="D385" s="217">
        <v>5660.0</v>
      </c>
      <c r="E385" s="136">
        <v>1117.0</v>
      </c>
      <c r="F385" s="136">
        <f t="shared" si="44"/>
        <v>6777</v>
      </c>
      <c r="G385" s="136">
        <v>788.0</v>
      </c>
      <c r="H385" s="136">
        <v>1779.0</v>
      </c>
      <c r="I385" s="136">
        <v>439.0</v>
      </c>
      <c r="J385" s="136">
        <v>162.0</v>
      </c>
      <c r="K385" s="1"/>
      <c r="L385" s="1"/>
      <c r="M385" s="1"/>
      <c r="N385" s="1"/>
      <c r="O385" s="1"/>
      <c r="P385" s="1"/>
      <c r="Q385" s="1"/>
      <c r="R385" s="1"/>
      <c r="S385" s="1"/>
      <c r="T385" s="1"/>
      <c r="U385" s="1"/>
    </row>
    <row r="386" ht="10.5" customHeight="1">
      <c r="A386" s="1"/>
      <c r="B386" s="238" t="s">
        <v>104</v>
      </c>
      <c r="C386" s="267">
        <v>13686.0</v>
      </c>
      <c r="D386" s="217">
        <v>6320.0</v>
      </c>
      <c r="E386" s="136">
        <v>1388.0</v>
      </c>
      <c r="F386" s="136">
        <f t="shared" si="44"/>
        <v>7708</v>
      </c>
      <c r="G386" s="136">
        <v>260.0</v>
      </c>
      <c r="H386" s="136">
        <v>939.0</v>
      </c>
      <c r="I386" s="136">
        <v>443.0</v>
      </c>
      <c r="J386" s="136">
        <v>216.0</v>
      </c>
      <c r="K386" s="1"/>
      <c r="L386" s="1"/>
      <c r="M386" s="1"/>
      <c r="N386" s="1"/>
      <c r="O386" s="1"/>
      <c r="P386" s="1"/>
      <c r="Q386" s="1"/>
      <c r="R386" s="1"/>
      <c r="S386" s="1"/>
      <c r="T386" s="1"/>
      <c r="U386" s="1"/>
    </row>
    <row r="387" ht="10.5" customHeight="1">
      <c r="A387" s="1"/>
      <c r="B387" s="238"/>
      <c r="C387" s="267"/>
      <c r="D387" s="217"/>
      <c r="E387" s="136"/>
      <c r="F387" s="136"/>
      <c r="G387" s="136"/>
      <c r="H387" s="136"/>
      <c r="I387" s="136"/>
      <c r="J387" s="136"/>
      <c r="K387" s="1"/>
      <c r="L387" s="1"/>
      <c r="M387" s="1"/>
      <c r="N387" s="1"/>
      <c r="O387" s="1"/>
      <c r="P387" s="1"/>
      <c r="Q387" s="1"/>
      <c r="R387" s="1"/>
      <c r="S387" s="1"/>
      <c r="T387" s="1"/>
      <c r="U387" s="1"/>
    </row>
    <row r="388" ht="10.5" customHeight="1">
      <c r="A388" s="1"/>
      <c r="B388" s="238" t="s">
        <v>108</v>
      </c>
      <c r="C388" s="267">
        <v>11072.0</v>
      </c>
      <c r="D388" s="217">
        <v>6899.0</v>
      </c>
      <c r="E388" s="136">
        <v>1380.0</v>
      </c>
      <c r="F388" s="136">
        <f t="shared" ref="F388:F392" si="45">SUM(D388:E388)</f>
        <v>8279</v>
      </c>
      <c r="G388" s="136">
        <v>1823.0</v>
      </c>
      <c r="H388" s="136">
        <v>3619.0</v>
      </c>
      <c r="I388" s="136">
        <v>403.0</v>
      </c>
      <c r="J388" s="136">
        <v>276.0</v>
      </c>
      <c r="K388" s="1"/>
      <c r="L388" s="1"/>
      <c r="M388" s="1"/>
      <c r="N388" s="1"/>
      <c r="O388" s="1"/>
      <c r="P388" s="1"/>
      <c r="Q388" s="1"/>
      <c r="R388" s="1"/>
      <c r="S388" s="1"/>
      <c r="T388" s="1"/>
      <c r="U388" s="1"/>
    </row>
    <row r="389" ht="10.5" customHeight="1">
      <c r="A389" s="1"/>
      <c r="B389" s="238" t="s">
        <v>111</v>
      </c>
      <c r="C389" s="267">
        <v>9808.0</v>
      </c>
      <c r="D389" s="217">
        <v>8124.0</v>
      </c>
      <c r="E389" s="136">
        <v>1809.0</v>
      </c>
      <c r="F389" s="136">
        <f t="shared" si="45"/>
        <v>9933</v>
      </c>
      <c r="G389" s="136">
        <v>473.0</v>
      </c>
      <c r="H389" s="136">
        <v>1780.0</v>
      </c>
      <c r="I389" s="136">
        <v>494.0</v>
      </c>
      <c r="J389" s="136">
        <v>306.0</v>
      </c>
      <c r="K389" s="1"/>
      <c r="L389" s="1"/>
      <c r="M389" s="1"/>
      <c r="N389" s="1"/>
      <c r="O389" s="1"/>
      <c r="P389" s="1"/>
      <c r="Q389" s="1"/>
      <c r="R389" s="1"/>
      <c r="S389" s="1"/>
      <c r="T389" s="1"/>
      <c r="U389" s="1"/>
    </row>
    <row r="390" ht="10.5" customHeight="1">
      <c r="A390" s="1"/>
      <c r="B390" s="238" t="s">
        <v>112</v>
      </c>
      <c r="C390" s="267">
        <v>11008.0</v>
      </c>
      <c r="D390" s="217">
        <v>11834.0</v>
      </c>
      <c r="E390" s="136">
        <v>1702.0</v>
      </c>
      <c r="F390" s="136">
        <f t="shared" si="45"/>
        <v>13536</v>
      </c>
      <c r="G390" s="136">
        <v>563.0</v>
      </c>
      <c r="H390" s="136">
        <v>3848.0</v>
      </c>
      <c r="I390" s="136">
        <v>456.0</v>
      </c>
      <c r="J390" s="136">
        <v>336.0</v>
      </c>
      <c r="K390" s="1"/>
      <c r="L390" s="1"/>
      <c r="M390" s="1"/>
      <c r="N390" s="1"/>
      <c r="O390" s="1"/>
      <c r="P390" s="1"/>
      <c r="Q390" s="1"/>
      <c r="R390" s="1"/>
      <c r="S390" s="1"/>
      <c r="T390" s="1"/>
      <c r="U390" s="1"/>
    </row>
    <row r="391" ht="10.5" customHeight="1">
      <c r="A391" s="1"/>
      <c r="B391" s="238" t="s">
        <v>113</v>
      </c>
      <c r="C391" s="267">
        <v>6959.0</v>
      </c>
      <c r="D391" s="217">
        <v>7138.0</v>
      </c>
      <c r="E391" s="136">
        <v>1488.0</v>
      </c>
      <c r="F391" s="136">
        <f t="shared" si="45"/>
        <v>8626</v>
      </c>
      <c r="G391" s="136">
        <v>734.0</v>
      </c>
      <c r="H391" s="136">
        <v>2551.0</v>
      </c>
      <c r="I391" s="136">
        <v>641.0</v>
      </c>
      <c r="J391" s="136">
        <v>358.0</v>
      </c>
      <c r="K391" s="1"/>
      <c r="L391" s="1"/>
      <c r="M391" s="1"/>
      <c r="N391" s="1"/>
      <c r="O391" s="1"/>
      <c r="P391" s="1"/>
      <c r="Q391" s="1"/>
      <c r="R391" s="1"/>
      <c r="S391" s="1"/>
      <c r="T391" s="1"/>
      <c r="U391" s="1"/>
    </row>
    <row r="392" ht="10.5" customHeight="1">
      <c r="A392" s="342">
        <v>40.0</v>
      </c>
      <c r="B392" s="238" t="s">
        <v>114</v>
      </c>
      <c r="C392" s="267">
        <v>6856.0</v>
      </c>
      <c r="D392" s="217">
        <v>7585.0</v>
      </c>
      <c r="E392" s="136">
        <v>1113.0</v>
      </c>
      <c r="F392" s="136">
        <f t="shared" si="45"/>
        <v>8698</v>
      </c>
      <c r="G392" s="136">
        <v>380.0</v>
      </c>
      <c r="H392" s="136">
        <v>1593.0</v>
      </c>
      <c r="I392" s="136">
        <v>277.0</v>
      </c>
      <c r="J392" s="136">
        <v>278.0</v>
      </c>
      <c r="K392" s="1"/>
      <c r="L392" s="1"/>
      <c r="M392" s="1"/>
      <c r="N392" s="1"/>
      <c r="O392" s="1"/>
      <c r="P392" s="1"/>
      <c r="Q392" s="1"/>
      <c r="R392" s="1"/>
      <c r="S392" s="1"/>
      <c r="T392" s="1"/>
      <c r="U392" s="1"/>
    </row>
    <row r="393" ht="10.5" customHeight="1">
      <c r="A393" s="87"/>
      <c r="B393" s="238"/>
      <c r="C393" s="267"/>
      <c r="D393" s="217"/>
      <c r="E393" s="136"/>
      <c r="F393" s="136"/>
      <c r="G393" s="136"/>
      <c r="H393" s="136"/>
      <c r="I393" s="136"/>
      <c r="J393" s="136"/>
      <c r="K393" s="1"/>
      <c r="L393" s="1"/>
      <c r="M393" s="1"/>
      <c r="N393" s="1"/>
      <c r="O393" s="1"/>
      <c r="P393" s="1"/>
      <c r="Q393" s="1"/>
      <c r="R393" s="1"/>
      <c r="S393" s="1"/>
      <c r="T393" s="1"/>
      <c r="U393" s="1"/>
    </row>
    <row r="394" ht="10.5" customHeight="1">
      <c r="A394" s="1"/>
      <c r="B394" s="238" t="s">
        <v>115</v>
      </c>
      <c r="C394" s="267">
        <v>5599.0</v>
      </c>
      <c r="D394" s="217">
        <v>6620.0</v>
      </c>
      <c r="E394" s="136">
        <v>1412.0</v>
      </c>
      <c r="F394" s="136">
        <f t="shared" ref="F394:F398" si="46">SUM(D394:E394)</f>
        <v>8032</v>
      </c>
      <c r="G394" s="136">
        <v>422.0</v>
      </c>
      <c r="H394" s="136">
        <v>2043.0</v>
      </c>
      <c r="I394" s="136">
        <v>300.0</v>
      </c>
      <c r="J394" s="136">
        <v>303.0</v>
      </c>
      <c r="K394" s="1"/>
      <c r="L394" s="1"/>
      <c r="M394" s="1"/>
      <c r="N394" s="1"/>
      <c r="O394" s="1"/>
      <c r="P394" s="1"/>
      <c r="Q394" s="1"/>
      <c r="R394" s="1"/>
      <c r="S394" s="1"/>
      <c r="T394" s="1"/>
      <c r="U394" s="1"/>
    </row>
    <row r="395" ht="10.5" customHeight="1">
      <c r="A395" s="1"/>
      <c r="B395" s="238" t="s">
        <v>117</v>
      </c>
      <c r="C395" s="267">
        <v>8439.0</v>
      </c>
      <c r="D395" s="217">
        <v>9402.0</v>
      </c>
      <c r="E395" s="136">
        <v>1596.0</v>
      </c>
      <c r="F395" s="136">
        <f t="shared" si="46"/>
        <v>10998</v>
      </c>
      <c r="G395" s="136">
        <v>330.0</v>
      </c>
      <c r="H395" s="136">
        <v>2195.0</v>
      </c>
      <c r="I395" s="136">
        <v>335.0</v>
      </c>
      <c r="J395" s="136">
        <v>339.0</v>
      </c>
      <c r="K395" s="1"/>
      <c r="L395" s="1"/>
      <c r="M395" s="1"/>
      <c r="N395" s="1"/>
      <c r="O395" s="1"/>
      <c r="P395" s="1"/>
      <c r="Q395" s="1"/>
      <c r="R395" s="1"/>
      <c r="S395" s="1"/>
      <c r="T395" s="1"/>
      <c r="U395" s="1"/>
    </row>
    <row r="396" ht="10.5" customHeight="1">
      <c r="A396" s="1"/>
      <c r="B396" s="238" t="s">
        <v>121</v>
      </c>
      <c r="C396" s="267">
        <v>6214.0</v>
      </c>
      <c r="D396" s="217">
        <v>6885.0</v>
      </c>
      <c r="E396" s="136">
        <v>1393.0</v>
      </c>
      <c r="F396" s="136">
        <f t="shared" si="46"/>
        <v>8278</v>
      </c>
      <c r="G396" s="136">
        <v>931.0</v>
      </c>
      <c r="H396" s="136">
        <v>4780.0</v>
      </c>
      <c r="I396" s="136">
        <v>286.0</v>
      </c>
      <c r="J396" s="136">
        <v>330.0</v>
      </c>
      <c r="K396" s="1"/>
      <c r="L396" s="1"/>
      <c r="M396" s="1"/>
      <c r="N396" s="1"/>
      <c r="O396" s="1"/>
      <c r="P396" s="1"/>
      <c r="Q396" s="1"/>
      <c r="R396" s="1"/>
      <c r="S396" s="1"/>
      <c r="T396" s="1"/>
      <c r="U396" s="1"/>
    </row>
    <row r="397" ht="10.5" customHeight="1">
      <c r="A397" s="1"/>
      <c r="B397" s="238" t="s">
        <v>122</v>
      </c>
      <c r="C397" s="267">
        <v>7546.0</v>
      </c>
      <c r="D397" s="217">
        <v>10595.0</v>
      </c>
      <c r="E397" s="136">
        <v>1343.0</v>
      </c>
      <c r="F397" s="136">
        <f t="shared" si="46"/>
        <v>11938</v>
      </c>
      <c r="G397" s="136">
        <v>580.0</v>
      </c>
      <c r="H397" s="136">
        <v>2377.0</v>
      </c>
      <c r="I397" s="136">
        <v>310.0</v>
      </c>
      <c r="J397" s="136">
        <v>396.0</v>
      </c>
      <c r="K397" s="1"/>
      <c r="L397" s="1"/>
      <c r="M397" s="1"/>
      <c r="N397" s="1"/>
      <c r="O397" s="1"/>
      <c r="P397" s="1"/>
      <c r="Q397" s="1"/>
      <c r="R397" s="1"/>
      <c r="S397" s="1"/>
      <c r="T397" s="1"/>
      <c r="U397" s="1"/>
    </row>
    <row r="398" ht="10.5" customHeight="1">
      <c r="A398" s="496"/>
      <c r="B398" s="238" t="s">
        <v>123</v>
      </c>
      <c r="C398" s="267">
        <v>4809.0</v>
      </c>
      <c r="D398" s="217">
        <v>7423.0</v>
      </c>
      <c r="E398" s="136">
        <v>1175.0</v>
      </c>
      <c r="F398" s="136">
        <f t="shared" si="46"/>
        <v>8598</v>
      </c>
      <c r="G398" s="136">
        <v>694.0</v>
      </c>
      <c r="H398" s="136">
        <v>1900.0</v>
      </c>
      <c r="I398" s="136">
        <v>321.0</v>
      </c>
      <c r="J398" s="136">
        <v>422.0</v>
      </c>
      <c r="K398" s="1"/>
      <c r="L398" s="1"/>
      <c r="M398" s="1"/>
      <c r="N398" s="1"/>
      <c r="O398" s="1"/>
      <c r="P398" s="1"/>
      <c r="Q398" s="1"/>
      <c r="R398" s="1"/>
      <c r="S398" s="1"/>
      <c r="T398" s="1"/>
      <c r="U398" s="1"/>
    </row>
    <row r="399" ht="10.5" customHeight="1">
      <c r="A399" s="496"/>
      <c r="B399" s="238"/>
      <c r="C399" s="267"/>
      <c r="D399" s="217"/>
      <c r="E399" s="136"/>
      <c r="F399" s="136"/>
      <c r="G399" s="136"/>
      <c r="H399" s="136"/>
      <c r="I399" s="136"/>
      <c r="J399" s="136"/>
      <c r="K399" s="1"/>
      <c r="L399" s="1"/>
      <c r="M399" s="1"/>
      <c r="N399" s="1"/>
      <c r="O399" s="1"/>
      <c r="P399" s="1"/>
      <c r="Q399" s="1"/>
      <c r="R399" s="1"/>
      <c r="S399" s="1"/>
      <c r="T399" s="1"/>
      <c r="U399" s="1"/>
    </row>
    <row r="400" ht="10.5" customHeight="1">
      <c r="A400" s="1"/>
      <c r="B400" s="238" t="s">
        <v>125</v>
      </c>
      <c r="C400" s="278">
        <v>4040.0</v>
      </c>
      <c r="D400" s="217">
        <v>6534.0</v>
      </c>
      <c r="E400" s="136">
        <v>1231.0</v>
      </c>
      <c r="F400" s="136">
        <f t="shared" ref="F400:F404" si="47">SUM(D400:E400)</f>
        <v>7765</v>
      </c>
      <c r="G400" s="169">
        <v>1294.0</v>
      </c>
      <c r="H400" s="169">
        <v>4750.0</v>
      </c>
      <c r="I400" s="169">
        <v>161.0</v>
      </c>
      <c r="J400" s="136">
        <v>307.0</v>
      </c>
      <c r="K400" s="1"/>
      <c r="L400" s="1"/>
      <c r="M400" s="1"/>
      <c r="N400" s="1"/>
      <c r="O400" s="1"/>
      <c r="P400" s="1"/>
      <c r="Q400" s="1"/>
      <c r="R400" s="1"/>
      <c r="S400" s="1"/>
      <c r="T400" s="1"/>
      <c r="U400" s="1"/>
    </row>
    <row r="401" ht="10.5" customHeight="1">
      <c r="A401" s="1"/>
      <c r="B401" s="437" t="s">
        <v>127</v>
      </c>
      <c r="C401" s="267">
        <v>6416.0</v>
      </c>
      <c r="D401" s="217">
        <v>11088.0</v>
      </c>
      <c r="E401" s="136">
        <v>1462.0</v>
      </c>
      <c r="F401" s="136">
        <f t="shared" si="47"/>
        <v>12550</v>
      </c>
      <c r="G401" s="136">
        <v>957.0</v>
      </c>
      <c r="H401" s="136">
        <v>4154.0</v>
      </c>
      <c r="I401" s="136">
        <v>212.0</v>
      </c>
      <c r="J401" s="136">
        <v>471.0</v>
      </c>
      <c r="K401" s="1"/>
      <c r="L401" s="1"/>
      <c r="M401" s="1"/>
      <c r="N401" s="1"/>
      <c r="O401" s="1"/>
      <c r="P401" s="1"/>
      <c r="Q401" s="1"/>
      <c r="R401" s="1"/>
      <c r="S401" s="1"/>
      <c r="T401" s="1"/>
      <c r="U401" s="1"/>
    </row>
    <row r="402" ht="10.5" customHeight="1">
      <c r="A402" s="1"/>
      <c r="B402" s="238" t="s">
        <v>128</v>
      </c>
      <c r="C402" s="267">
        <v>7711.0</v>
      </c>
      <c r="D402" s="217">
        <v>16874.0</v>
      </c>
      <c r="E402" s="136">
        <v>1760.0</v>
      </c>
      <c r="F402" s="136">
        <f t="shared" si="47"/>
        <v>18634</v>
      </c>
      <c r="G402" s="136">
        <v>930.0</v>
      </c>
      <c r="H402" s="136">
        <v>6738.0</v>
      </c>
      <c r="I402" s="136">
        <v>151.0</v>
      </c>
      <c r="J402" s="136">
        <v>400.0</v>
      </c>
      <c r="K402" s="1"/>
      <c r="L402" s="1"/>
      <c r="M402" s="1"/>
      <c r="N402" s="1"/>
      <c r="O402" s="1"/>
      <c r="P402" s="1"/>
      <c r="Q402" s="1"/>
      <c r="R402" s="1"/>
      <c r="S402" s="1"/>
      <c r="T402" s="1"/>
      <c r="U402" s="1"/>
    </row>
    <row r="403" ht="10.5" customHeight="1">
      <c r="A403" s="1"/>
      <c r="B403" s="238" t="s">
        <v>129</v>
      </c>
      <c r="C403" s="278">
        <v>8952.0</v>
      </c>
      <c r="D403" s="217">
        <v>20443.0</v>
      </c>
      <c r="E403" s="136">
        <v>2531.0</v>
      </c>
      <c r="F403" s="136">
        <f t="shared" si="47"/>
        <v>22974</v>
      </c>
      <c r="G403" s="169">
        <v>306.0</v>
      </c>
      <c r="H403" s="169">
        <v>5112.0</v>
      </c>
      <c r="I403" s="169">
        <v>127.0</v>
      </c>
      <c r="J403" s="169">
        <v>442.0</v>
      </c>
      <c r="K403" s="1"/>
      <c r="L403" s="1"/>
      <c r="M403" s="1"/>
      <c r="N403" s="1"/>
      <c r="O403" s="1"/>
      <c r="P403" s="1"/>
      <c r="Q403" s="1"/>
      <c r="R403" s="1"/>
      <c r="S403" s="1"/>
      <c r="T403" s="1"/>
      <c r="U403" s="1"/>
    </row>
    <row r="404" ht="10.5" customHeight="1">
      <c r="A404" s="1"/>
      <c r="B404" s="238" t="s">
        <v>130</v>
      </c>
      <c r="C404" s="278">
        <v>9102.0</v>
      </c>
      <c r="D404" s="217">
        <v>24960.0</v>
      </c>
      <c r="E404" s="136">
        <v>2000.0</v>
      </c>
      <c r="F404" s="136">
        <f t="shared" si="47"/>
        <v>26960</v>
      </c>
      <c r="G404" s="169">
        <v>538.0</v>
      </c>
      <c r="H404" s="169">
        <v>7027.0</v>
      </c>
      <c r="I404" s="169">
        <v>143.0</v>
      </c>
      <c r="J404" s="169">
        <v>429.0</v>
      </c>
      <c r="K404" s="1"/>
      <c r="L404" s="1"/>
      <c r="M404" s="1"/>
      <c r="N404" s="1"/>
      <c r="O404" s="1"/>
      <c r="P404" s="1"/>
      <c r="Q404" s="1"/>
      <c r="R404" s="1"/>
      <c r="S404" s="1"/>
      <c r="T404" s="1"/>
      <c r="U404" s="1"/>
    </row>
    <row r="405" ht="10.5" customHeight="1">
      <c r="A405" s="1"/>
      <c r="B405" s="238"/>
      <c r="C405" s="278"/>
      <c r="D405" s="217"/>
      <c r="E405" s="136"/>
      <c r="F405" s="169"/>
      <c r="G405" s="169"/>
      <c r="H405" s="169"/>
      <c r="I405" s="169"/>
      <c r="J405" s="169"/>
      <c r="K405" s="1"/>
      <c r="L405" s="1"/>
      <c r="M405" s="1"/>
      <c r="N405" s="1"/>
      <c r="O405" s="1"/>
      <c r="P405" s="1"/>
      <c r="Q405" s="1"/>
      <c r="R405" s="1"/>
      <c r="S405" s="1"/>
      <c r="T405" s="1"/>
      <c r="U405" s="1"/>
    </row>
    <row r="406" ht="10.5" customHeight="1">
      <c r="A406" s="1"/>
      <c r="B406" s="238" t="s">
        <v>131</v>
      </c>
      <c r="C406" s="278">
        <v>4143.0</v>
      </c>
      <c r="D406" s="217">
        <v>9427.0</v>
      </c>
      <c r="E406" s="136">
        <v>2658.0</v>
      </c>
      <c r="F406" s="136">
        <f t="shared" ref="F406:F409" si="48">SUM(D406:E406)</f>
        <v>12085</v>
      </c>
      <c r="G406" s="169">
        <v>357.0</v>
      </c>
      <c r="H406" s="169">
        <v>6153.0</v>
      </c>
      <c r="I406" s="169">
        <v>123.0</v>
      </c>
      <c r="J406" s="169">
        <v>398.0</v>
      </c>
      <c r="K406" s="1"/>
      <c r="L406" s="1"/>
      <c r="M406" s="1"/>
      <c r="N406" s="1"/>
      <c r="O406" s="1"/>
      <c r="P406" s="1"/>
      <c r="Q406" s="1"/>
      <c r="R406" s="1"/>
      <c r="S406" s="1"/>
      <c r="T406" s="1"/>
      <c r="U406" s="1"/>
    </row>
    <row r="407" ht="10.5" customHeight="1">
      <c r="A407" s="1"/>
      <c r="B407" s="238" t="s">
        <v>133</v>
      </c>
      <c r="C407" s="278">
        <v>3822.0</v>
      </c>
      <c r="D407" s="217">
        <v>14580.0</v>
      </c>
      <c r="E407" s="136">
        <v>3299.0</v>
      </c>
      <c r="F407" s="136">
        <f t="shared" si="48"/>
        <v>17879</v>
      </c>
      <c r="G407" s="169">
        <v>169.0</v>
      </c>
      <c r="H407" s="169">
        <v>5236.0</v>
      </c>
      <c r="I407" s="169">
        <v>145.0</v>
      </c>
      <c r="J407" s="169">
        <v>514.0</v>
      </c>
      <c r="K407" s="1"/>
      <c r="L407" s="1"/>
      <c r="M407" s="1"/>
      <c r="N407" s="1"/>
      <c r="O407" s="1"/>
      <c r="P407" s="1"/>
      <c r="Q407" s="1"/>
      <c r="R407" s="1"/>
      <c r="S407" s="1"/>
      <c r="T407" s="1"/>
      <c r="U407" s="1"/>
    </row>
    <row r="408" ht="10.5" customHeight="1">
      <c r="A408" s="1"/>
      <c r="B408" s="293">
        <v>39295.0</v>
      </c>
      <c r="C408" s="278">
        <v>3980.0</v>
      </c>
      <c r="D408" s="217">
        <v>16019.0</v>
      </c>
      <c r="E408" s="136">
        <v>2834.0</v>
      </c>
      <c r="F408" s="136">
        <f t="shared" si="48"/>
        <v>18853</v>
      </c>
      <c r="G408" s="169">
        <v>220.0</v>
      </c>
      <c r="H408" s="169">
        <v>5999.0</v>
      </c>
      <c r="I408" s="169">
        <v>174.0</v>
      </c>
      <c r="J408" s="169">
        <v>632.0</v>
      </c>
      <c r="K408" s="1"/>
      <c r="L408" s="1"/>
      <c r="M408" s="1"/>
      <c r="N408" s="1"/>
      <c r="O408" s="1"/>
      <c r="P408" s="1"/>
      <c r="Q408" s="1"/>
      <c r="R408" s="1"/>
      <c r="S408" s="1"/>
      <c r="T408" s="1"/>
      <c r="U408" s="1"/>
    </row>
    <row r="409" ht="10.5" customHeight="1">
      <c r="A409" s="1"/>
      <c r="B409" s="293">
        <v>39692.0</v>
      </c>
      <c r="C409" s="169">
        <v>4120.0</v>
      </c>
      <c r="D409" s="217">
        <v>18877.0</v>
      </c>
      <c r="E409" s="169">
        <v>3451.0</v>
      </c>
      <c r="F409" s="136">
        <f t="shared" si="48"/>
        <v>22328</v>
      </c>
      <c r="G409" s="169">
        <v>311.0</v>
      </c>
      <c r="H409" s="169">
        <v>7945.0</v>
      </c>
      <c r="I409" s="169">
        <v>235.0</v>
      </c>
      <c r="J409" s="169">
        <v>819.0</v>
      </c>
      <c r="K409" s="1"/>
      <c r="L409" s="1"/>
      <c r="M409" s="1"/>
      <c r="N409" s="1"/>
      <c r="O409" s="1"/>
      <c r="P409" s="1"/>
      <c r="Q409" s="1"/>
      <c r="R409" s="1"/>
      <c r="S409" s="1"/>
      <c r="T409" s="1"/>
      <c r="U409" s="1"/>
    </row>
    <row r="410" ht="10.5" customHeight="1">
      <c r="A410" s="1"/>
      <c r="B410" s="293">
        <v>40087.0</v>
      </c>
      <c r="C410" s="169">
        <v>3795.0</v>
      </c>
      <c r="D410" s="217">
        <v>15899.0</v>
      </c>
      <c r="E410" s="169">
        <v>4844.0</v>
      </c>
      <c r="F410" s="169">
        <v>20743.0</v>
      </c>
      <c r="G410" s="169">
        <v>459.0</v>
      </c>
      <c r="H410" s="169">
        <v>11825.0</v>
      </c>
      <c r="I410" s="169">
        <v>207.0</v>
      </c>
      <c r="J410" s="169">
        <v>747.0</v>
      </c>
      <c r="K410" s="1"/>
      <c r="L410" s="1"/>
      <c r="M410" s="1"/>
      <c r="N410" s="1"/>
      <c r="O410" s="1"/>
      <c r="P410" s="1"/>
      <c r="Q410" s="1"/>
      <c r="R410" s="1"/>
      <c r="S410" s="1"/>
      <c r="T410" s="1"/>
      <c r="U410" s="1"/>
    </row>
    <row r="411" ht="10.5" customHeight="1">
      <c r="A411" s="1"/>
      <c r="B411" s="293"/>
      <c r="C411" s="169"/>
      <c r="D411" s="217"/>
      <c r="E411" s="169"/>
      <c r="F411" s="169"/>
      <c r="G411" s="169"/>
      <c r="H411" s="169"/>
      <c r="I411" s="169"/>
      <c r="J411" s="169"/>
      <c r="K411" s="1"/>
      <c r="L411" s="1"/>
      <c r="M411" s="1"/>
      <c r="N411" s="1"/>
      <c r="O411" s="1"/>
      <c r="P411" s="1"/>
      <c r="Q411" s="1"/>
      <c r="R411" s="1"/>
      <c r="S411" s="1"/>
      <c r="T411" s="1"/>
      <c r="U411" s="1"/>
    </row>
    <row r="412" ht="10.5" customHeight="1">
      <c r="A412" s="1"/>
      <c r="B412" s="11" t="s">
        <v>139</v>
      </c>
      <c r="C412" s="169">
        <v>3604.0</v>
      </c>
      <c r="D412" s="217">
        <v>10685.0</v>
      </c>
      <c r="E412" s="169">
        <v>7556.0</v>
      </c>
      <c r="F412" s="169">
        <v>18242.0</v>
      </c>
      <c r="G412" s="169">
        <v>243.0</v>
      </c>
      <c r="H412" s="169">
        <v>7802.0</v>
      </c>
      <c r="I412" s="169">
        <v>182.0</v>
      </c>
      <c r="J412" s="169">
        <v>754.0</v>
      </c>
      <c r="K412" s="1"/>
      <c r="L412" s="1"/>
      <c r="M412" s="1"/>
      <c r="N412" s="1"/>
      <c r="O412" s="1"/>
      <c r="P412" s="1"/>
      <c r="Q412" s="1"/>
      <c r="R412" s="1"/>
      <c r="S412" s="1"/>
      <c r="T412" s="1"/>
      <c r="U412" s="1"/>
    </row>
    <row r="413" ht="10.5" customHeight="1">
      <c r="A413" s="1"/>
      <c r="B413" s="11" t="s">
        <v>143</v>
      </c>
      <c r="C413" s="169">
        <v>3490.0</v>
      </c>
      <c r="D413" s="217">
        <v>11002.0</v>
      </c>
      <c r="E413" s="169">
        <v>5650.0</v>
      </c>
      <c r="F413" s="169">
        <v>16652.0</v>
      </c>
      <c r="G413" s="169">
        <v>407.0</v>
      </c>
      <c r="H413" s="169">
        <v>14798.0</v>
      </c>
      <c r="I413" s="169">
        <v>208.0</v>
      </c>
      <c r="J413" s="169">
        <v>868.0</v>
      </c>
      <c r="K413" s="1"/>
      <c r="L413" s="1"/>
      <c r="M413" s="1"/>
      <c r="N413" s="1"/>
      <c r="O413" s="1"/>
      <c r="P413" s="1"/>
      <c r="Q413" s="1"/>
      <c r="R413" s="1"/>
      <c r="S413" s="1"/>
      <c r="T413" s="1"/>
      <c r="U413" s="1"/>
    </row>
    <row r="414" ht="10.5" customHeight="1">
      <c r="A414" s="1"/>
      <c r="B414" s="11" t="s">
        <v>149</v>
      </c>
      <c r="C414" s="169">
        <v>3185.0</v>
      </c>
      <c r="D414" s="217">
        <v>9992.0</v>
      </c>
      <c r="E414" s="169">
        <v>7611.0</v>
      </c>
      <c r="F414" s="169">
        <v>17603.0</v>
      </c>
      <c r="G414" s="169">
        <v>321.0</v>
      </c>
      <c r="H414" s="169">
        <v>9394.0</v>
      </c>
      <c r="I414" s="169">
        <v>257.0</v>
      </c>
      <c r="J414" s="169">
        <v>1484.0</v>
      </c>
      <c r="K414" s="1"/>
      <c r="L414" s="1"/>
      <c r="M414" s="1"/>
      <c r="N414" s="1"/>
      <c r="O414" s="1"/>
      <c r="P414" s="1"/>
      <c r="Q414" s="1"/>
      <c r="R414" s="1"/>
      <c r="S414" s="1"/>
      <c r="T414" s="1"/>
      <c r="U414" s="1"/>
    </row>
    <row r="415" ht="10.5" customHeight="1">
      <c r="A415" s="1"/>
      <c r="B415" s="11" t="s">
        <v>151</v>
      </c>
      <c r="C415" s="169">
        <v>1832.0</v>
      </c>
      <c r="D415" s="217">
        <v>6566.0</v>
      </c>
      <c r="E415" s="169">
        <v>7473.0</v>
      </c>
      <c r="F415" s="169">
        <v>14038.0</v>
      </c>
      <c r="G415" s="169">
        <v>305.0</v>
      </c>
      <c r="H415" s="169">
        <v>10959.0</v>
      </c>
      <c r="I415" s="169">
        <v>485.0</v>
      </c>
      <c r="J415" s="169">
        <v>3585.0</v>
      </c>
      <c r="K415" s="1"/>
      <c r="L415" s="1"/>
      <c r="M415" s="1"/>
      <c r="N415" s="1"/>
      <c r="O415" s="1"/>
      <c r="P415" s="1"/>
      <c r="Q415" s="1"/>
      <c r="R415" s="1"/>
      <c r="S415" s="1"/>
      <c r="T415" s="1"/>
      <c r="U415" s="1"/>
    </row>
    <row r="416" ht="10.5" customHeight="1">
      <c r="A416" s="1"/>
      <c r="B416" s="11" t="s">
        <v>153</v>
      </c>
      <c r="C416" s="169">
        <v>2234.0</v>
      </c>
      <c r="D416" s="217">
        <v>17031.0</v>
      </c>
      <c r="E416" s="169">
        <v>5643.0</v>
      </c>
      <c r="F416" s="169">
        <v>22673.0</v>
      </c>
      <c r="G416" s="169">
        <v>406.0</v>
      </c>
      <c r="H416" s="169">
        <v>11732.0</v>
      </c>
      <c r="I416" s="169">
        <v>423.0</v>
      </c>
      <c r="J416" s="169">
        <v>2843.0</v>
      </c>
      <c r="K416" s="1"/>
      <c r="L416" s="1"/>
      <c r="M416" s="1"/>
      <c r="N416" s="1"/>
      <c r="O416" s="1"/>
      <c r="P416" s="1"/>
      <c r="Q416" s="1"/>
      <c r="R416" s="1"/>
      <c r="S416" s="1"/>
      <c r="T416" s="1"/>
      <c r="U416" s="1"/>
    </row>
    <row r="417" ht="10.5" customHeight="1">
      <c r="A417" s="1"/>
      <c r="B417" s="11"/>
      <c r="C417" s="169"/>
      <c r="D417" s="217"/>
      <c r="E417" s="169"/>
      <c r="F417" s="169"/>
      <c r="G417" s="169"/>
      <c r="H417" s="169"/>
      <c r="I417" s="169"/>
      <c r="J417" s="169"/>
      <c r="K417" s="1"/>
      <c r="L417" s="1"/>
      <c r="M417" s="1"/>
      <c r="N417" s="1"/>
      <c r="O417" s="1"/>
      <c r="P417" s="1"/>
      <c r="Q417" s="1"/>
      <c r="R417" s="1"/>
      <c r="S417" s="1"/>
      <c r="T417" s="1"/>
      <c r="U417" s="1"/>
    </row>
    <row r="418" ht="10.5" customHeight="1">
      <c r="A418" s="1"/>
      <c r="B418" s="11" t="s">
        <v>155</v>
      </c>
      <c r="C418" s="169">
        <v>3850.0</v>
      </c>
      <c r="D418" s="217">
        <v>29705.0</v>
      </c>
      <c r="E418" s="169">
        <v>7275.0</v>
      </c>
      <c r="F418" s="169">
        <v>36979.0</v>
      </c>
      <c r="G418" s="169">
        <v>530.0</v>
      </c>
      <c r="H418" s="169">
        <v>14121.0</v>
      </c>
      <c r="I418" s="169">
        <v>262.0</v>
      </c>
      <c r="J418" s="169">
        <v>1757.0</v>
      </c>
      <c r="K418" s="1"/>
      <c r="L418" s="1"/>
      <c r="M418" s="1"/>
      <c r="N418" s="1"/>
      <c r="O418" s="1"/>
      <c r="P418" s="1"/>
      <c r="Q418" s="1"/>
      <c r="R418" s="1"/>
      <c r="S418" s="1"/>
      <c r="T418" s="1"/>
      <c r="U418" s="1"/>
    </row>
    <row r="419" ht="10.5" customHeight="1">
      <c r="A419" s="1"/>
      <c r="B419" s="52" t="s">
        <v>803</v>
      </c>
      <c r="C419" s="260">
        <v>2491.0</v>
      </c>
      <c r="D419" s="241">
        <v>21807.0</v>
      </c>
      <c r="E419" s="260">
        <v>8006.0</v>
      </c>
      <c r="F419" s="260">
        <v>29813.0</v>
      </c>
      <c r="G419" s="260">
        <v>338.0</v>
      </c>
      <c r="H419" s="260">
        <v>20142.0</v>
      </c>
      <c r="I419" s="260">
        <v>400.0</v>
      </c>
      <c r="J419" s="260">
        <v>3037.0</v>
      </c>
      <c r="K419" s="1"/>
      <c r="L419" s="1"/>
      <c r="M419" s="1"/>
      <c r="N419" s="1"/>
      <c r="O419" s="1"/>
      <c r="P419" s="1"/>
      <c r="Q419" s="1"/>
      <c r="R419" s="1"/>
      <c r="S419" s="1"/>
      <c r="T419" s="1"/>
      <c r="U419" s="1"/>
    </row>
    <row r="420" ht="6.0" customHeight="1">
      <c r="A420" s="1"/>
      <c r="B420" s="242"/>
      <c r="C420" s="267"/>
      <c r="D420" s="244"/>
      <c r="E420" s="267"/>
      <c r="F420" s="267"/>
      <c r="G420" s="267"/>
      <c r="H420" s="267"/>
      <c r="I420" s="267"/>
      <c r="J420" s="267"/>
      <c r="K420" s="1"/>
      <c r="L420" s="1"/>
      <c r="M420" s="1"/>
      <c r="N420" s="1"/>
      <c r="O420" s="1"/>
      <c r="P420" s="1"/>
      <c r="Q420" s="1"/>
      <c r="R420" s="1"/>
      <c r="S420" s="1"/>
      <c r="T420" s="1"/>
      <c r="U420" s="1"/>
    </row>
    <row r="421" ht="10.5" customHeight="1">
      <c r="A421" s="1"/>
      <c r="B421" s="185" t="s">
        <v>804</v>
      </c>
      <c r="C421" s="1"/>
      <c r="D421" s="1"/>
      <c r="E421" s="1"/>
      <c r="F421" s="1"/>
      <c r="G421" s="1"/>
      <c r="H421" s="1"/>
      <c r="I421" s="1"/>
      <c r="J421" s="1"/>
      <c r="K421" s="1"/>
      <c r="L421" s="1"/>
      <c r="M421" s="1"/>
      <c r="N421" s="1"/>
      <c r="O421" s="1"/>
      <c r="P421" s="1"/>
      <c r="Q421" s="1"/>
      <c r="R421" s="1"/>
      <c r="S421" s="1"/>
      <c r="T421" s="1"/>
      <c r="U421" s="1"/>
    </row>
    <row r="422" ht="10.5" customHeight="1">
      <c r="A422" s="1"/>
      <c r="B422" s="1"/>
      <c r="C422" s="113"/>
      <c r="D422" s="113"/>
      <c r="E422" s="113"/>
      <c r="F422" s="113"/>
      <c r="G422" s="113"/>
      <c r="H422" s="113"/>
      <c r="I422" s="113"/>
      <c r="J422" s="113"/>
      <c r="K422" s="1"/>
      <c r="L422" s="1"/>
      <c r="M422" s="1"/>
      <c r="N422" s="1"/>
      <c r="O422" s="1"/>
      <c r="P422" s="1"/>
      <c r="Q422" s="1"/>
      <c r="R422" s="1"/>
      <c r="S422" s="1"/>
      <c r="T422" s="1"/>
      <c r="U422" s="1"/>
    </row>
    <row r="423" ht="10.5" customHeight="1">
      <c r="A423" s="1"/>
      <c r="B423" s="1"/>
      <c r="C423" s="1"/>
      <c r="D423" s="1"/>
      <c r="E423" s="1"/>
      <c r="F423" s="1"/>
      <c r="G423" s="1"/>
      <c r="H423" s="1"/>
      <c r="I423" s="1"/>
      <c r="J423" s="1"/>
      <c r="K423" s="1"/>
      <c r="L423" s="1"/>
      <c r="M423" s="1"/>
      <c r="N423" s="1"/>
      <c r="O423" s="1"/>
      <c r="P423" s="1"/>
      <c r="Q423" s="1"/>
      <c r="R423" s="1"/>
      <c r="S423" s="1"/>
      <c r="T423" s="1"/>
      <c r="U423" s="1"/>
    </row>
    <row r="424" ht="10.5" customHeight="1">
      <c r="A424" s="1"/>
      <c r="B424" s="1"/>
      <c r="C424" s="1"/>
      <c r="D424" s="1"/>
      <c r="E424" s="1"/>
      <c r="F424" s="1"/>
      <c r="G424" s="1"/>
      <c r="H424" s="1"/>
      <c r="I424" s="1"/>
      <c r="J424" s="1"/>
      <c r="K424" s="1"/>
      <c r="L424" s="1"/>
      <c r="M424" s="1"/>
      <c r="N424" s="1"/>
      <c r="O424" s="1"/>
      <c r="P424" s="1"/>
      <c r="Q424" s="1"/>
      <c r="R424" s="1"/>
      <c r="S424" s="1"/>
      <c r="T424" s="1"/>
      <c r="U424" s="1"/>
    </row>
    <row r="425" ht="10.5" customHeight="1">
      <c r="A425" s="1"/>
      <c r="B425" s="1"/>
      <c r="C425" s="1"/>
      <c r="D425" s="1"/>
      <c r="E425" s="1"/>
      <c r="F425" s="1"/>
      <c r="G425" s="1"/>
      <c r="H425" s="1"/>
      <c r="I425" s="1"/>
      <c r="J425" s="1"/>
      <c r="K425" s="1"/>
      <c r="L425" s="1"/>
      <c r="M425" s="1"/>
      <c r="N425" s="1"/>
      <c r="O425" s="1"/>
      <c r="P425" s="1"/>
      <c r="Q425" s="1"/>
      <c r="R425" s="1"/>
      <c r="S425" s="1"/>
      <c r="T425" s="1"/>
      <c r="U425" s="1"/>
    </row>
    <row r="426" ht="10.5" customHeight="1">
      <c r="A426" s="1"/>
      <c r="B426" s="1"/>
      <c r="C426" s="1"/>
      <c r="D426" s="1"/>
      <c r="E426" s="1"/>
      <c r="F426" s="1"/>
      <c r="G426" s="1"/>
      <c r="H426" s="1"/>
      <c r="I426" s="1"/>
      <c r="J426" s="1"/>
      <c r="K426" s="1"/>
      <c r="L426" s="1"/>
      <c r="M426" s="1"/>
      <c r="N426" s="1"/>
      <c r="O426" s="1"/>
      <c r="P426" s="1"/>
      <c r="Q426" s="1"/>
      <c r="R426" s="1"/>
      <c r="S426" s="1"/>
      <c r="T426" s="1"/>
      <c r="U426" s="1"/>
    </row>
    <row r="427" ht="10.5" customHeight="1">
      <c r="A427" s="1"/>
      <c r="B427" s="1"/>
      <c r="C427" s="1"/>
      <c r="D427" s="1"/>
      <c r="E427" s="1"/>
      <c r="F427" s="1"/>
      <c r="G427" s="1"/>
      <c r="H427" s="1"/>
      <c r="I427" s="1"/>
      <c r="J427" s="1"/>
      <c r="K427" s="1"/>
      <c r="L427" s="1"/>
      <c r="M427" s="1"/>
      <c r="N427" s="1"/>
      <c r="O427" s="1"/>
      <c r="P427" s="1"/>
      <c r="Q427" s="1"/>
      <c r="R427" s="1"/>
      <c r="S427" s="1"/>
      <c r="T427" s="1"/>
      <c r="U427" s="1"/>
    </row>
    <row r="428" ht="10.5" customHeight="1">
      <c r="A428" s="1"/>
      <c r="B428" s="1"/>
      <c r="C428" s="1"/>
      <c r="D428" s="1"/>
      <c r="E428" s="1"/>
      <c r="F428" s="1"/>
      <c r="G428" s="1"/>
      <c r="H428" s="1"/>
      <c r="I428" s="1"/>
      <c r="J428" s="1"/>
      <c r="K428" s="1"/>
      <c r="L428" s="1"/>
      <c r="M428" s="1"/>
      <c r="N428" s="1"/>
      <c r="O428" s="1"/>
      <c r="P428" s="1"/>
      <c r="Q428" s="1"/>
      <c r="R428" s="1"/>
      <c r="S428" s="1"/>
      <c r="T428" s="1"/>
      <c r="U428" s="1"/>
    </row>
    <row r="429" ht="10.5" customHeight="1">
      <c r="A429" s="1"/>
      <c r="B429" s="1"/>
      <c r="C429" s="1"/>
      <c r="D429" s="1"/>
      <c r="E429" s="1"/>
      <c r="F429" s="1"/>
      <c r="G429" s="1"/>
      <c r="H429" s="1"/>
      <c r="I429" s="1"/>
      <c r="J429" s="1"/>
      <c r="K429" s="1"/>
      <c r="L429" s="1"/>
      <c r="M429" s="1"/>
      <c r="N429" s="1"/>
      <c r="O429" s="1"/>
      <c r="P429" s="1"/>
      <c r="Q429" s="1"/>
      <c r="R429" s="1"/>
      <c r="S429" s="1"/>
      <c r="T429" s="1"/>
      <c r="U429" s="1"/>
    </row>
    <row r="430" ht="10.5" customHeight="1">
      <c r="A430" s="1"/>
      <c r="B430" s="1"/>
      <c r="C430" s="1"/>
      <c r="D430" s="1"/>
      <c r="E430" s="1"/>
      <c r="F430" s="1"/>
      <c r="G430" s="1"/>
      <c r="H430" s="1"/>
      <c r="I430" s="1"/>
      <c r="J430" s="1"/>
      <c r="K430" s="1"/>
      <c r="L430" s="1"/>
      <c r="M430" s="1"/>
      <c r="N430" s="1"/>
      <c r="O430" s="1"/>
      <c r="P430" s="1"/>
      <c r="Q430" s="1"/>
      <c r="R430" s="1"/>
      <c r="S430" s="1"/>
      <c r="T430" s="1"/>
      <c r="U430" s="1"/>
    </row>
    <row r="431" ht="10.5" customHeight="1">
      <c r="A431" s="1"/>
      <c r="B431" s="1"/>
      <c r="C431" s="1"/>
      <c r="D431" s="1"/>
      <c r="E431" s="1"/>
      <c r="F431" s="1"/>
      <c r="G431" s="1"/>
      <c r="H431" s="1"/>
      <c r="I431" s="1"/>
      <c r="J431" s="1"/>
      <c r="K431" s="1"/>
      <c r="L431" s="1"/>
      <c r="M431" s="1"/>
      <c r="N431" s="1"/>
      <c r="O431" s="1"/>
      <c r="P431" s="1"/>
      <c r="Q431" s="1"/>
      <c r="R431" s="1"/>
      <c r="S431" s="1"/>
      <c r="T431" s="1"/>
      <c r="U431" s="1"/>
    </row>
    <row r="432" ht="10.5" customHeight="1">
      <c r="A432" s="1"/>
      <c r="B432" s="1"/>
      <c r="C432" s="1"/>
      <c r="D432" s="1"/>
      <c r="E432" s="1"/>
      <c r="F432" s="1"/>
      <c r="G432" s="1"/>
      <c r="H432" s="1"/>
      <c r="I432" s="1"/>
      <c r="J432" s="1"/>
      <c r="K432" s="1"/>
      <c r="L432" s="1"/>
      <c r="M432" s="1"/>
      <c r="N432" s="1"/>
      <c r="O432" s="1"/>
      <c r="P432" s="1"/>
      <c r="Q432" s="1"/>
      <c r="R432" s="1"/>
      <c r="S432" s="1"/>
      <c r="T432" s="1"/>
      <c r="U432" s="1"/>
    </row>
    <row r="433" ht="10.5" customHeight="1">
      <c r="A433" s="1"/>
      <c r="B433" s="1"/>
      <c r="C433" s="1"/>
      <c r="D433" s="1"/>
      <c r="E433" s="1"/>
      <c r="F433" s="1"/>
      <c r="G433" s="1"/>
      <c r="H433" s="1"/>
      <c r="I433" s="1"/>
      <c r="J433" s="1"/>
      <c r="K433" s="1"/>
      <c r="L433" s="1"/>
      <c r="M433" s="1"/>
      <c r="N433" s="1"/>
      <c r="O433" s="1"/>
      <c r="P433" s="1"/>
      <c r="Q433" s="1"/>
      <c r="R433" s="1"/>
      <c r="S433" s="1"/>
      <c r="T433" s="1"/>
      <c r="U433" s="1"/>
    </row>
    <row r="434" ht="10.5" customHeight="1">
      <c r="A434" s="1"/>
      <c r="B434" s="1"/>
      <c r="C434" s="1"/>
      <c r="D434" s="1"/>
      <c r="E434" s="1"/>
      <c r="F434" s="1"/>
      <c r="G434" s="1"/>
      <c r="H434" s="1"/>
      <c r="I434" s="1"/>
      <c r="J434" s="1"/>
      <c r="K434" s="1"/>
      <c r="L434" s="1"/>
      <c r="M434" s="1"/>
      <c r="N434" s="1"/>
      <c r="O434" s="1"/>
      <c r="P434" s="1"/>
      <c r="Q434" s="1"/>
      <c r="R434" s="1"/>
      <c r="S434" s="1"/>
      <c r="T434" s="1"/>
      <c r="U434" s="1"/>
    </row>
    <row r="435" ht="10.5" customHeight="1">
      <c r="A435" s="1"/>
      <c r="B435" s="1"/>
      <c r="C435" s="1"/>
      <c r="D435" s="1"/>
      <c r="E435" s="1"/>
      <c r="F435" s="1"/>
      <c r="G435" s="1"/>
      <c r="H435" s="1"/>
      <c r="I435" s="1"/>
      <c r="J435" s="1"/>
      <c r="K435" s="1"/>
      <c r="L435" s="1"/>
      <c r="M435" s="1"/>
      <c r="N435" s="1"/>
      <c r="O435" s="1"/>
      <c r="P435" s="1"/>
      <c r="Q435" s="1"/>
      <c r="R435" s="1"/>
      <c r="S435" s="1"/>
      <c r="T435" s="1"/>
      <c r="U435" s="1"/>
    </row>
    <row r="436" ht="10.5" customHeight="1">
      <c r="A436" s="1"/>
      <c r="B436" s="1"/>
      <c r="C436" s="1"/>
      <c r="D436" s="1"/>
      <c r="E436" s="1"/>
      <c r="F436" s="1"/>
      <c r="G436" s="1"/>
      <c r="H436" s="1"/>
      <c r="I436" s="1"/>
      <c r="J436" s="1"/>
      <c r="K436" s="1"/>
      <c r="L436" s="1"/>
      <c r="M436" s="1"/>
      <c r="N436" s="1"/>
      <c r="O436" s="1"/>
      <c r="P436" s="1"/>
      <c r="Q436" s="1"/>
      <c r="R436" s="1"/>
      <c r="S436" s="1"/>
      <c r="T436" s="1"/>
      <c r="U436" s="1"/>
    </row>
    <row r="437" ht="10.5" customHeight="1">
      <c r="A437" s="1"/>
      <c r="B437" s="1"/>
      <c r="C437" s="1"/>
      <c r="D437" s="1"/>
      <c r="E437" s="1"/>
      <c r="F437" s="1"/>
      <c r="G437" s="1"/>
      <c r="H437" s="1"/>
      <c r="I437" s="1"/>
      <c r="J437" s="1"/>
      <c r="K437" s="1"/>
      <c r="L437" s="1"/>
      <c r="M437" s="1"/>
      <c r="N437" s="1"/>
      <c r="O437" s="1"/>
      <c r="P437" s="1"/>
      <c r="Q437" s="1"/>
      <c r="R437" s="1"/>
      <c r="S437" s="1"/>
      <c r="T437" s="1"/>
      <c r="U437" s="1"/>
    </row>
    <row r="438" ht="10.5" customHeight="1">
      <c r="A438" s="1"/>
      <c r="B438" s="1"/>
      <c r="C438" s="1"/>
      <c r="D438" s="1"/>
      <c r="E438" s="1"/>
      <c r="F438" s="1"/>
      <c r="G438" s="1"/>
      <c r="H438" s="1"/>
      <c r="I438" s="1"/>
      <c r="J438" s="1"/>
      <c r="K438" s="1"/>
      <c r="L438" s="1"/>
      <c r="M438" s="1"/>
      <c r="N438" s="1"/>
      <c r="O438" s="1"/>
      <c r="P438" s="1"/>
      <c r="Q438" s="1"/>
      <c r="R438" s="1"/>
      <c r="S438" s="1"/>
      <c r="T438" s="1"/>
      <c r="U438" s="1"/>
    </row>
    <row r="439" ht="10.5" customHeight="1">
      <c r="A439" s="1"/>
      <c r="B439" s="1"/>
      <c r="C439" s="1"/>
      <c r="D439" s="1"/>
      <c r="E439" s="1"/>
      <c r="F439" s="1"/>
      <c r="G439" s="1"/>
      <c r="H439" s="1"/>
      <c r="I439" s="1"/>
      <c r="J439" s="1"/>
      <c r="K439" s="1"/>
      <c r="L439" s="1"/>
      <c r="M439" s="1"/>
      <c r="N439" s="1"/>
      <c r="O439" s="1"/>
      <c r="P439" s="1"/>
      <c r="Q439" s="1"/>
      <c r="R439" s="1"/>
      <c r="S439" s="1"/>
      <c r="T439" s="1"/>
      <c r="U439" s="1"/>
    </row>
    <row r="440" ht="10.5" customHeight="1">
      <c r="A440" s="1"/>
      <c r="B440" s="1"/>
      <c r="C440" s="1"/>
      <c r="D440" s="1"/>
      <c r="E440" s="1"/>
      <c r="F440" s="1"/>
      <c r="G440" s="1"/>
      <c r="H440" s="1"/>
      <c r="I440" s="1"/>
      <c r="J440" s="1"/>
      <c r="K440" s="1"/>
      <c r="L440" s="1"/>
      <c r="M440" s="1"/>
      <c r="N440" s="1"/>
      <c r="O440" s="1"/>
      <c r="P440" s="1"/>
      <c r="Q440" s="1"/>
      <c r="R440" s="1"/>
      <c r="S440" s="1"/>
      <c r="T440" s="1"/>
      <c r="U440" s="1"/>
    </row>
    <row r="441" ht="10.5" customHeight="1">
      <c r="A441" s="1"/>
      <c r="B441" s="1"/>
      <c r="C441" s="1"/>
      <c r="D441" s="1"/>
      <c r="E441" s="1"/>
      <c r="F441" s="1"/>
      <c r="G441" s="1"/>
      <c r="H441" s="1"/>
      <c r="I441" s="1"/>
      <c r="J441" s="1"/>
      <c r="K441" s="1"/>
      <c r="L441" s="1"/>
      <c r="M441" s="1"/>
      <c r="N441" s="1"/>
      <c r="O441" s="1"/>
      <c r="P441" s="1"/>
      <c r="Q441" s="1"/>
      <c r="R441" s="1"/>
      <c r="S441" s="1"/>
      <c r="T441" s="1"/>
      <c r="U441" s="1"/>
    </row>
    <row r="442" ht="10.5" customHeight="1">
      <c r="A442" s="1"/>
      <c r="B442" s="1"/>
      <c r="C442" s="1"/>
      <c r="D442" s="1"/>
      <c r="E442" s="1"/>
      <c r="F442" s="1"/>
      <c r="G442" s="1"/>
      <c r="H442" s="1"/>
      <c r="I442" s="1"/>
      <c r="J442" s="1"/>
      <c r="K442" s="1"/>
      <c r="L442" s="1"/>
      <c r="M442" s="1"/>
      <c r="N442" s="1"/>
      <c r="O442" s="1"/>
      <c r="P442" s="1"/>
      <c r="Q442" s="1"/>
      <c r="R442" s="1"/>
      <c r="S442" s="1"/>
      <c r="T442" s="1"/>
      <c r="U442" s="1"/>
    </row>
    <row r="443" ht="10.5" customHeight="1">
      <c r="A443" s="1"/>
      <c r="B443" s="1"/>
      <c r="C443" s="1"/>
      <c r="D443" s="1"/>
      <c r="E443" s="1"/>
      <c r="F443" s="1"/>
      <c r="G443" s="1"/>
      <c r="H443" s="1"/>
      <c r="I443" s="1"/>
      <c r="J443" s="1"/>
      <c r="K443" s="1"/>
      <c r="L443" s="1"/>
      <c r="M443" s="1"/>
      <c r="N443" s="1"/>
      <c r="O443" s="1"/>
      <c r="P443" s="1"/>
      <c r="Q443" s="1"/>
      <c r="R443" s="1"/>
      <c r="S443" s="1"/>
      <c r="T443" s="1"/>
      <c r="U443" s="1"/>
    </row>
    <row r="444" ht="10.5" customHeight="1">
      <c r="A444" s="1"/>
      <c r="B444" s="1"/>
      <c r="C444" s="1"/>
      <c r="D444" s="1"/>
      <c r="E444" s="1"/>
      <c r="F444" s="1"/>
      <c r="G444" s="1"/>
      <c r="H444" s="1"/>
      <c r="I444" s="1"/>
      <c r="J444" s="1"/>
      <c r="K444" s="1"/>
      <c r="L444" s="1"/>
      <c r="M444" s="1"/>
      <c r="N444" s="1"/>
      <c r="O444" s="1"/>
      <c r="P444" s="1"/>
      <c r="Q444" s="1"/>
      <c r="R444" s="1"/>
      <c r="S444" s="1"/>
      <c r="T444" s="1"/>
      <c r="U444" s="1"/>
    </row>
    <row r="445" ht="11.25" customHeight="1">
      <c r="A445" s="1"/>
      <c r="B445" s="1" t="s">
        <v>812</v>
      </c>
      <c r="C445" s="1"/>
      <c r="D445" s="1"/>
      <c r="E445" s="1"/>
      <c r="F445" s="1"/>
      <c r="G445" s="1"/>
      <c r="H445" s="1"/>
      <c r="I445" s="1"/>
      <c r="J445" s="1"/>
      <c r="K445" s="1"/>
      <c r="L445" s="1"/>
      <c r="M445" s="1"/>
      <c r="N445" s="1"/>
      <c r="O445" s="1"/>
      <c r="P445" s="1"/>
      <c r="Q445" s="1"/>
      <c r="R445" s="1"/>
      <c r="S445" s="1"/>
      <c r="T445" s="1"/>
      <c r="U445" s="1"/>
    </row>
    <row r="446" ht="13.5" customHeight="1">
      <c r="A446" s="1"/>
      <c r="B446" s="29" t="s">
        <v>506</v>
      </c>
      <c r="C446" s="31" t="s">
        <v>508</v>
      </c>
      <c r="D446" s="114" t="s">
        <v>814</v>
      </c>
      <c r="E446" s="10"/>
      <c r="F446" s="114" t="s">
        <v>510</v>
      </c>
      <c r="G446" s="10"/>
      <c r="H446" s="505" t="s">
        <v>511</v>
      </c>
      <c r="I446" s="114" t="s">
        <v>640</v>
      </c>
      <c r="J446" s="10"/>
      <c r="K446" s="31" t="s">
        <v>513</v>
      </c>
      <c r="L446" s="1"/>
      <c r="M446" s="1"/>
      <c r="N446" s="1"/>
      <c r="O446" s="1"/>
      <c r="P446" s="1"/>
      <c r="Q446" s="1"/>
      <c r="R446" s="1"/>
      <c r="S446" s="1"/>
      <c r="T446" s="1"/>
      <c r="U446" s="1"/>
    </row>
    <row r="447">
      <c r="A447" s="1"/>
      <c r="B447" s="5"/>
      <c r="C447" s="6"/>
      <c r="D447" s="190" t="s">
        <v>514</v>
      </c>
      <c r="E447" s="7" t="s">
        <v>515</v>
      </c>
      <c r="F447" s="7" t="s">
        <v>514</v>
      </c>
      <c r="G447" s="7" t="s">
        <v>515</v>
      </c>
      <c r="H447" s="7" t="s">
        <v>517</v>
      </c>
      <c r="I447" s="7" t="s">
        <v>817</v>
      </c>
      <c r="J447" s="7" t="s">
        <v>818</v>
      </c>
      <c r="K447" s="6"/>
      <c r="L447" s="1"/>
      <c r="M447" s="1"/>
      <c r="N447" s="1"/>
      <c r="O447" s="1"/>
      <c r="P447" s="1"/>
      <c r="Q447" s="1"/>
      <c r="R447" s="1"/>
      <c r="S447" s="1"/>
      <c r="T447" s="1"/>
      <c r="U447" s="1"/>
    </row>
    <row r="448" ht="13.5" customHeight="1">
      <c r="A448" s="1"/>
      <c r="B448" s="6"/>
      <c r="C448" s="114" t="s">
        <v>520</v>
      </c>
      <c r="D448" s="10"/>
      <c r="E448" s="505" t="s">
        <v>52</v>
      </c>
      <c r="F448" s="506" t="s">
        <v>520</v>
      </c>
      <c r="G448" s="506" t="s">
        <v>52</v>
      </c>
      <c r="H448" s="506" t="s">
        <v>520</v>
      </c>
      <c r="I448" s="114" t="s">
        <v>50</v>
      </c>
      <c r="J448" s="9"/>
      <c r="K448" s="10"/>
      <c r="L448" s="1"/>
      <c r="M448" s="1"/>
      <c r="N448" s="1"/>
      <c r="O448" s="1"/>
      <c r="P448" s="1"/>
      <c r="Q448" s="1"/>
      <c r="R448" s="1"/>
      <c r="S448" s="1"/>
      <c r="T448" s="1"/>
      <c r="U448" s="1"/>
    </row>
    <row r="449" ht="10.5" customHeight="1">
      <c r="A449" s="1"/>
      <c r="B449" s="238" t="s">
        <v>56</v>
      </c>
      <c r="C449" s="278">
        <v>1235.0</v>
      </c>
      <c r="D449" s="507">
        <v>18.0</v>
      </c>
      <c r="E449" s="130">
        <v>369.0</v>
      </c>
      <c r="F449" s="136">
        <v>416.0</v>
      </c>
      <c r="G449" s="249">
        <v>172.65</v>
      </c>
      <c r="H449" s="136">
        <v>51.0</v>
      </c>
      <c r="I449" s="136">
        <v>11.0</v>
      </c>
      <c r="J449" s="136">
        <v>303.0</v>
      </c>
      <c r="K449" s="136">
        <f t="shared" ref="K449:K453" si="49">+I449+J449</f>
        <v>314</v>
      </c>
      <c r="L449" s="1"/>
      <c r="M449" s="1"/>
      <c r="N449" s="1"/>
      <c r="O449" s="1"/>
      <c r="P449" s="1"/>
      <c r="Q449" s="1"/>
      <c r="R449" s="1"/>
      <c r="S449" s="1"/>
      <c r="T449" s="1"/>
      <c r="U449" s="1"/>
    </row>
    <row r="450" ht="10.5" customHeight="1">
      <c r="A450" s="1"/>
      <c r="B450" s="238" t="s">
        <v>81</v>
      </c>
      <c r="C450" s="278">
        <v>1248.0</v>
      </c>
      <c r="D450" s="507">
        <v>9.0</v>
      </c>
      <c r="E450" s="130">
        <v>412.0</v>
      </c>
      <c r="F450" s="136">
        <v>439.0</v>
      </c>
      <c r="G450" s="249">
        <v>183.97</v>
      </c>
      <c r="H450" s="136">
        <v>50.0</v>
      </c>
      <c r="I450" s="136">
        <v>11.0</v>
      </c>
      <c r="J450" s="136">
        <v>397.0</v>
      </c>
      <c r="K450" s="136">
        <f t="shared" si="49"/>
        <v>408</v>
      </c>
      <c r="L450" s="1"/>
      <c r="M450" s="1"/>
      <c r="N450" s="1"/>
      <c r="O450" s="1"/>
      <c r="P450" s="1"/>
      <c r="Q450" s="1"/>
      <c r="R450" s="1"/>
      <c r="S450" s="1"/>
      <c r="T450" s="1"/>
      <c r="U450" s="1"/>
    </row>
    <row r="451" ht="10.5" customHeight="1">
      <c r="A451" s="1"/>
      <c r="B451" s="238" t="s">
        <v>86</v>
      </c>
      <c r="C451" s="278">
        <v>1336.0</v>
      </c>
      <c r="D451" s="507">
        <v>22.0</v>
      </c>
      <c r="E451" s="130">
        <v>517.0</v>
      </c>
      <c r="F451" s="136">
        <v>523.0</v>
      </c>
      <c r="G451" s="249">
        <v>208.19</v>
      </c>
      <c r="H451" s="136">
        <v>41.0</v>
      </c>
      <c r="I451" s="136">
        <v>7.0</v>
      </c>
      <c r="J451" s="136">
        <v>449.0</v>
      </c>
      <c r="K451" s="136">
        <f t="shared" si="49"/>
        <v>456</v>
      </c>
      <c r="L451" s="1"/>
      <c r="M451" s="1"/>
      <c r="N451" s="1"/>
      <c r="O451" s="1"/>
      <c r="P451" s="1"/>
      <c r="Q451" s="1"/>
      <c r="R451" s="1"/>
      <c r="S451" s="1"/>
      <c r="T451" s="1"/>
      <c r="U451" s="1"/>
    </row>
    <row r="452" ht="10.5" customHeight="1">
      <c r="A452" s="1"/>
      <c r="B452" s="238" t="s">
        <v>87</v>
      </c>
      <c r="C452" s="267">
        <v>1231.0</v>
      </c>
      <c r="D452" s="507">
        <v>14.0</v>
      </c>
      <c r="E452" s="130">
        <v>626.0</v>
      </c>
      <c r="F452" s="136">
        <v>436.0</v>
      </c>
      <c r="G452" s="249">
        <v>224.08</v>
      </c>
      <c r="H452" s="136">
        <v>31.0</v>
      </c>
      <c r="I452" s="136">
        <v>10.0</v>
      </c>
      <c r="J452" s="136">
        <v>424.0</v>
      </c>
      <c r="K452" s="136">
        <f t="shared" si="49"/>
        <v>434</v>
      </c>
      <c r="L452" s="1"/>
      <c r="M452" s="1"/>
      <c r="N452" s="1"/>
      <c r="O452" s="1"/>
      <c r="P452" s="1"/>
      <c r="Q452" s="1"/>
      <c r="R452" s="1"/>
      <c r="S452" s="1"/>
      <c r="T452" s="1"/>
      <c r="U452" s="1"/>
    </row>
    <row r="453" ht="10.5" customHeight="1">
      <c r="A453" s="1"/>
      <c r="B453" s="238" t="s">
        <v>90</v>
      </c>
      <c r="C453" s="278">
        <v>1186.0</v>
      </c>
      <c r="D453" s="507">
        <v>15.0</v>
      </c>
      <c r="E453" s="130">
        <v>767.0</v>
      </c>
      <c r="F453" s="136">
        <v>399.0</v>
      </c>
      <c r="G453" s="249">
        <v>262.87</v>
      </c>
      <c r="H453" s="136">
        <v>21.0</v>
      </c>
      <c r="I453" s="136">
        <v>6.0</v>
      </c>
      <c r="J453" s="136">
        <v>549.0</v>
      </c>
      <c r="K453" s="136">
        <f t="shared" si="49"/>
        <v>555</v>
      </c>
      <c r="L453" s="1"/>
      <c r="M453" s="1"/>
      <c r="N453" s="1"/>
      <c r="O453" s="1"/>
      <c r="P453" s="1"/>
      <c r="Q453" s="1"/>
      <c r="R453" s="1"/>
      <c r="S453" s="1"/>
      <c r="T453" s="1"/>
      <c r="U453" s="1"/>
    </row>
    <row r="454" ht="10.5" customHeight="1">
      <c r="A454" s="1"/>
      <c r="B454" s="238"/>
      <c r="C454" s="278"/>
      <c r="D454" s="507"/>
      <c r="E454" s="130"/>
      <c r="F454" s="136"/>
      <c r="G454" s="249"/>
      <c r="H454" s="136"/>
      <c r="I454" s="136"/>
      <c r="J454" s="136"/>
      <c r="K454" s="136"/>
      <c r="L454" s="1"/>
      <c r="M454" s="1"/>
      <c r="N454" s="1"/>
      <c r="O454" s="1"/>
      <c r="P454" s="1"/>
      <c r="Q454" s="1"/>
      <c r="R454" s="1"/>
      <c r="S454" s="1"/>
      <c r="T454" s="1"/>
      <c r="U454" s="1"/>
    </row>
    <row r="455" ht="10.5" customHeight="1">
      <c r="A455" s="1"/>
      <c r="B455" s="238" t="s">
        <v>93</v>
      </c>
      <c r="C455" s="278">
        <v>1190.0</v>
      </c>
      <c r="D455" s="507">
        <v>15.0</v>
      </c>
      <c r="E455" s="130">
        <v>619.0</v>
      </c>
      <c r="F455" s="136">
        <v>400.0</v>
      </c>
      <c r="G455" s="249">
        <v>331.55</v>
      </c>
      <c r="H455" s="136">
        <v>25.0</v>
      </c>
      <c r="I455" s="136">
        <v>12.0</v>
      </c>
      <c r="J455" s="136">
        <v>557.0</v>
      </c>
      <c r="K455" s="136">
        <f t="shared" ref="K455:K459" si="50">+I455+J455</f>
        <v>569</v>
      </c>
      <c r="L455" s="1"/>
      <c r="M455" s="1"/>
      <c r="N455" s="1"/>
      <c r="O455" s="1"/>
      <c r="P455" s="1"/>
      <c r="Q455" s="1"/>
      <c r="R455" s="1"/>
      <c r="S455" s="1"/>
      <c r="T455" s="1"/>
      <c r="U455" s="1"/>
    </row>
    <row r="456" ht="10.5" customHeight="1">
      <c r="A456" s="1"/>
      <c r="B456" s="238" t="s">
        <v>97</v>
      </c>
      <c r="C456" s="169">
        <v>2975.0</v>
      </c>
      <c r="D456" s="507">
        <v>37.0</v>
      </c>
      <c r="E456" s="130">
        <v>660.0</v>
      </c>
      <c r="F456" s="136">
        <v>2167.0</v>
      </c>
      <c r="G456" s="249">
        <v>217.81</v>
      </c>
      <c r="H456" s="136">
        <v>21.0</v>
      </c>
      <c r="I456" s="136">
        <v>7.0</v>
      </c>
      <c r="J456" s="136">
        <v>1076.0</v>
      </c>
      <c r="K456" s="136">
        <f t="shared" si="50"/>
        <v>1083</v>
      </c>
      <c r="L456" s="1"/>
      <c r="M456" s="1"/>
      <c r="N456" s="1"/>
      <c r="O456" s="1"/>
      <c r="P456" s="1"/>
      <c r="Q456" s="1"/>
      <c r="R456" s="1"/>
      <c r="S456" s="1"/>
      <c r="T456" s="1"/>
      <c r="U456" s="1"/>
    </row>
    <row r="457" ht="10.5" customHeight="1">
      <c r="A457" s="1"/>
      <c r="B457" s="238" t="s">
        <v>101</v>
      </c>
      <c r="C457" s="169">
        <v>1125.0</v>
      </c>
      <c r="D457" s="507">
        <v>10.0</v>
      </c>
      <c r="E457" s="130">
        <v>948.0</v>
      </c>
      <c r="F457" s="136">
        <v>351.0</v>
      </c>
      <c r="G457" s="249">
        <v>490.45</v>
      </c>
      <c r="H457" s="136">
        <v>13.0</v>
      </c>
      <c r="I457" s="136">
        <v>2.0</v>
      </c>
      <c r="J457" s="136">
        <v>800.0</v>
      </c>
      <c r="K457" s="136">
        <f t="shared" si="50"/>
        <v>802</v>
      </c>
      <c r="L457" s="1"/>
      <c r="M457" s="1"/>
      <c r="N457" s="1"/>
      <c r="O457" s="1"/>
      <c r="P457" s="1"/>
      <c r="Q457" s="1"/>
      <c r="R457" s="1"/>
      <c r="S457" s="1"/>
      <c r="T457" s="1"/>
      <c r="U457" s="1"/>
    </row>
    <row r="458" ht="10.5" customHeight="1">
      <c r="A458" s="1"/>
      <c r="B458" s="238" t="s">
        <v>103</v>
      </c>
      <c r="C458" s="136">
        <v>1669.0</v>
      </c>
      <c r="D458" s="507">
        <v>16.0</v>
      </c>
      <c r="E458" s="130">
        <v>1786.0</v>
      </c>
      <c r="F458" s="136">
        <v>848.0</v>
      </c>
      <c r="G458" s="249">
        <v>603.02</v>
      </c>
      <c r="H458" s="136">
        <v>25.0</v>
      </c>
      <c r="I458" s="136">
        <v>13.0</v>
      </c>
      <c r="J458" s="136">
        <v>1922.0</v>
      </c>
      <c r="K458" s="136">
        <f t="shared" si="50"/>
        <v>1935</v>
      </c>
      <c r="L458" s="1"/>
      <c r="M458" s="1"/>
      <c r="N458" s="1"/>
      <c r="O458" s="1"/>
      <c r="P458" s="1"/>
      <c r="Q458" s="1"/>
      <c r="R458" s="1"/>
      <c r="S458" s="1"/>
      <c r="T458" s="1"/>
      <c r="U458" s="1"/>
    </row>
    <row r="459" ht="10.5" customHeight="1">
      <c r="A459" s="1"/>
      <c r="B459" s="238" t="s">
        <v>104</v>
      </c>
      <c r="C459" s="169">
        <v>1271.0</v>
      </c>
      <c r="D459" s="507">
        <v>18.0</v>
      </c>
      <c r="E459" s="130">
        <v>1908.0</v>
      </c>
      <c r="F459" s="136">
        <v>494.0</v>
      </c>
      <c r="G459" s="249">
        <v>620.54</v>
      </c>
      <c r="H459" s="136">
        <v>8.0</v>
      </c>
      <c r="I459" s="136">
        <v>10.0</v>
      </c>
      <c r="J459" s="136">
        <v>1783.0</v>
      </c>
      <c r="K459" s="136">
        <f t="shared" si="50"/>
        <v>1793</v>
      </c>
      <c r="L459" s="1"/>
      <c r="M459" s="1"/>
      <c r="N459" s="1"/>
      <c r="O459" s="1"/>
      <c r="P459" s="1"/>
      <c r="Q459" s="1"/>
      <c r="R459" s="1"/>
      <c r="S459" s="1"/>
      <c r="T459" s="1"/>
      <c r="U459" s="1"/>
    </row>
    <row r="460" ht="10.5" customHeight="1">
      <c r="A460" s="1"/>
      <c r="B460" s="238"/>
      <c r="C460" s="136"/>
      <c r="D460" s="507"/>
      <c r="E460" s="130"/>
      <c r="F460" s="136"/>
      <c r="G460" s="249"/>
      <c r="H460" s="136"/>
      <c r="I460" s="136"/>
      <c r="J460" s="136"/>
      <c r="K460" s="136"/>
      <c r="L460" s="1"/>
      <c r="M460" s="1"/>
      <c r="N460" s="1"/>
      <c r="O460" s="1"/>
      <c r="P460" s="1"/>
      <c r="Q460" s="1"/>
      <c r="R460" s="1"/>
      <c r="S460" s="1"/>
      <c r="T460" s="1"/>
      <c r="U460" s="1"/>
    </row>
    <row r="461" ht="10.5" customHeight="1">
      <c r="A461" s="1"/>
      <c r="B461" s="238" t="s">
        <v>108</v>
      </c>
      <c r="C461" s="169">
        <v>1286.0</v>
      </c>
      <c r="D461" s="507">
        <v>17.0</v>
      </c>
      <c r="E461" s="130">
        <v>2154.0</v>
      </c>
      <c r="F461" s="136">
        <v>487.0</v>
      </c>
      <c r="G461" s="249">
        <v>714.27</v>
      </c>
      <c r="H461" s="136" t="s">
        <v>40</v>
      </c>
      <c r="I461" s="136" t="s">
        <v>40</v>
      </c>
      <c r="J461" s="136">
        <v>2332.0</v>
      </c>
      <c r="K461" s="136">
        <f t="shared" ref="K461:K465" si="51">SUM(I461:J461)</f>
        <v>2332</v>
      </c>
      <c r="L461" s="1"/>
      <c r="M461" s="1"/>
      <c r="N461" s="1"/>
      <c r="O461" s="1"/>
      <c r="P461" s="1"/>
      <c r="Q461" s="1"/>
      <c r="R461" s="1"/>
      <c r="S461" s="1"/>
      <c r="T461" s="1"/>
      <c r="U461" s="1"/>
    </row>
    <row r="462" ht="10.5" customHeight="1">
      <c r="A462" s="1"/>
      <c r="B462" s="238" t="s">
        <v>111</v>
      </c>
      <c r="C462" s="169">
        <v>1419.0</v>
      </c>
      <c r="D462" s="507">
        <v>18.0</v>
      </c>
      <c r="E462" s="130">
        <v>2374.0</v>
      </c>
      <c r="F462" s="136">
        <v>650.0</v>
      </c>
      <c r="G462" s="249">
        <v>848.38</v>
      </c>
      <c r="H462" s="136" t="s">
        <v>40</v>
      </c>
      <c r="I462" s="136" t="s">
        <v>40</v>
      </c>
      <c r="J462" s="136">
        <v>2204.0</v>
      </c>
      <c r="K462" s="136">
        <f t="shared" si="51"/>
        <v>2204</v>
      </c>
      <c r="L462" s="1"/>
      <c r="M462" s="1"/>
      <c r="N462" s="1"/>
      <c r="O462" s="1"/>
      <c r="P462" s="1"/>
      <c r="Q462" s="1"/>
      <c r="R462" s="1"/>
      <c r="S462" s="1"/>
      <c r="T462" s="1"/>
      <c r="U462" s="1"/>
    </row>
    <row r="463" ht="10.5" customHeight="1">
      <c r="A463" s="1"/>
      <c r="B463" s="238" t="s">
        <v>112</v>
      </c>
      <c r="C463" s="169">
        <v>1471.0</v>
      </c>
      <c r="D463" s="507">
        <v>21.0</v>
      </c>
      <c r="E463" s="130">
        <v>2103.0</v>
      </c>
      <c r="F463" s="136">
        <v>700.0</v>
      </c>
      <c r="G463" s="249">
        <v>944.09</v>
      </c>
      <c r="H463" s="136" t="s">
        <v>40</v>
      </c>
      <c r="I463" s="136" t="s">
        <v>40</v>
      </c>
      <c r="J463" s="136">
        <v>2169.0</v>
      </c>
      <c r="K463" s="136">
        <f t="shared" si="51"/>
        <v>2169</v>
      </c>
      <c r="L463" s="1"/>
      <c r="M463" s="1"/>
      <c r="N463" s="1"/>
      <c r="O463" s="1"/>
      <c r="P463" s="1"/>
      <c r="Q463" s="1"/>
      <c r="R463" s="1"/>
      <c r="S463" s="1"/>
      <c r="T463" s="1"/>
      <c r="U463" s="1"/>
    </row>
    <row r="464" ht="10.5" customHeight="1">
      <c r="A464" s="1"/>
      <c r="B464" s="238" t="s">
        <v>113</v>
      </c>
      <c r="C464" s="169">
        <v>1198.0</v>
      </c>
      <c r="D464" s="507">
        <v>13.0</v>
      </c>
      <c r="E464" s="130">
        <v>2877.0</v>
      </c>
      <c r="F464" s="136">
        <v>435.0</v>
      </c>
      <c r="G464" s="249">
        <v>772.47</v>
      </c>
      <c r="H464" s="136" t="s">
        <v>40</v>
      </c>
      <c r="I464" s="136" t="s">
        <v>40</v>
      </c>
      <c r="J464" s="136">
        <v>2456.0</v>
      </c>
      <c r="K464" s="136">
        <f t="shared" si="51"/>
        <v>2456</v>
      </c>
      <c r="L464" s="1"/>
      <c r="M464" s="1"/>
      <c r="N464" s="1"/>
      <c r="O464" s="1"/>
      <c r="P464" s="1"/>
      <c r="Q464" s="1"/>
      <c r="R464" s="1"/>
      <c r="S464" s="1"/>
      <c r="T464" s="1"/>
      <c r="U464" s="1"/>
    </row>
    <row r="465" ht="10.5" customHeight="1">
      <c r="A465" s="342">
        <v>41.0</v>
      </c>
      <c r="B465" s="238" t="s">
        <v>114</v>
      </c>
      <c r="C465" s="169">
        <v>1169.0</v>
      </c>
      <c r="D465" s="507">
        <v>20.0</v>
      </c>
      <c r="E465" s="130">
        <v>2294.0</v>
      </c>
      <c r="F465" s="136">
        <v>396.0</v>
      </c>
      <c r="G465" s="249">
        <v>783.88</v>
      </c>
      <c r="H465" s="136" t="s">
        <v>40</v>
      </c>
      <c r="I465" s="136" t="s">
        <v>40</v>
      </c>
      <c r="J465" s="136">
        <v>2232.0</v>
      </c>
      <c r="K465" s="136">
        <f t="shared" si="51"/>
        <v>2232</v>
      </c>
      <c r="L465" s="1"/>
      <c r="M465" s="1"/>
      <c r="N465" s="1"/>
      <c r="O465" s="1"/>
      <c r="P465" s="1"/>
      <c r="Q465" s="1"/>
      <c r="R465" s="1"/>
      <c r="S465" s="1"/>
      <c r="T465" s="1"/>
      <c r="U465" s="1"/>
    </row>
    <row r="466" ht="10.5" customHeight="1">
      <c r="A466" s="87"/>
      <c r="B466" s="238"/>
      <c r="C466" s="169"/>
      <c r="D466" s="507"/>
      <c r="E466" s="130"/>
      <c r="F466" s="136"/>
      <c r="G466" s="249"/>
      <c r="H466" s="136"/>
      <c r="I466" s="136"/>
      <c r="J466" s="136"/>
      <c r="K466" s="136"/>
      <c r="L466" s="1"/>
      <c r="M466" s="1"/>
      <c r="N466" s="1"/>
      <c r="O466" s="1"/>
      <c r="P466" s="1"/>
      <c r="Q466" s="1"/>
      <c r="R466" s="1"/>
      <c r="S466" s="1"/>
      <c r="T466" s="1"/>
      <c r="U466" s="1"/>
    </row>
    <row r="467" ht="10.5" customHeight="1">
      <c r="A467" s="1"/>
      <c r="B467" s="238" t="s">
        <v>115</v>
      </c>
      <c r="C467" s="169">
        <v>1170.0</v>
      </c>
      <c r="D467" s="507">
        <v>6.0</v>
      </c>
      <c r="E467" s="130">
        <v>3345.0</v>
      </c>
      <c r="F467" s="136">
        <v>402.0</v>
      </c>
      <c r="G467" s="249">
        <v>918.7</v>
      </c>
      <c r="H467" s="136" t="s">
        <v>40</v>
      </c>
      <c r="I467" s="136" t="s">
        <v>40</v>
      </c>
      <c r="J467" s="136">
        <v>2910.0</v>
      </c>
      <c r="K467" s="136">
        <f t="shared" ref="K467:K471" si="52">SUM(I467:J467)</f>
        <v>2910</v>
      </c>
      <c r="L467" s="1"/>
      <c r="M467" s="1"/>
      <c r="N467" s="1"/>
      <c r="O467" s="1"/>
      <c r="P467" s="1"/>
      <c r="Q467" s="1"/>
      <c r="R467" s="1"/>
      <c r="S467" s="1"/>
      <c r="T467" s="1"/>
      <c r="U467" s="1"/>
    </row>
    <row r="468" ht="10.5" customHeight="1">
      <c r="A468" s="1"/>
      <c r="B468" s="238" t="s">
        <v>117</v>
      </c>
      <c r="C468" s="136">
        <v>1401.0</v>
      </c>
      <c r="D468" s="507">
        <v>12.0</v>
      </c>
      <c r="E468" s="130">
        <v>3475.0</v>
      </c>
      <c r="F468" s="136">
        <v>535.0</v>
      </c>
      <c r="G468" s="249">
        <v>1124.66</v>
      </c>
      <c r="H468" s="136" t="s">
        <v>40</v>
      </c>
      <c r="I468" s="136" t="s">
        <v>40</v>
      </c>
      <c r="J468" s="136">
        <v>3494.0</v>
      </c>
      <c r="K468" s="136">
        <f t="shared" si="52"/>
        <v>3494</v>
      </c>
      <c r="L468" s="1"/>
      <c r="M468" s="1"/>
      <c r="N468" s="1"/>
      <c r="O468" s="1"/>
      <c r="P468" s="1"/>
      <c r="Q468" s="1"/>
      <c r="R468" s="1"/>
      <c r="S468" s="1"/>
      <c r="T468" s="1"/>
      <c r="U468" s="1"/>
    </row>
    <row r="469" ht="10.5" customHeight="1">
      <c r="A469" s="1"/>
      <c r="B469" s="238" t="s">
        <v>121</v>
      </c>
      <c r="C469" s="169">
        <v>1474.0</v>
      </c>
      <c r="D469" s="507">
        <v>10.0</v>
      </c>
      <c r="E469" s="130">
        <v>7021.0</v>
      </c>
      <c r="F469" s="136">
        <v>455.0</v>
      </c>
      <c r="G469" s="249">
        <v>1366.18</v>
      </c>
      <c r="H469" s="136" t="s">
        <v>40</v>
      </c>
      <c r="I469" s="136" t="s">
        <v>40</v>
      </c>
      <c r="J469" s="136">
        <v>5443.0</v>
      </c>
      <c r="K469" s="136">
        <f t="shared" si="52"/>
        <v>5443</v>
      </c>
      <c r="L469" s="1"/>
      <c r="M469" s="1"/>
      <c r="N469" s="1"/>
      <c r="O469" s="1"/>
      <c r="P469" s="1"/>
      <c r="Q469" s="1"/>
      <c r="R469" s="1"/>
      <c r="S469" s="1"/>
      <c r="T469" s="1"/>
      <c r="U469" s="1"/>
    </row>
    <row r="470" ht="10.5" customHeight="1">
      <c r="A470" s="1"/>
      <c r="B470" s="437" t="s">
        <v>122</v>
      </c>
      <c r="C470" s="136">
        <v>2280.0</v>
      </c>
      <c r="D470" s="507">
        <v>20.0</v>
      </c>
      <c r="E470" s="130">
        <v>7270.0</v>
      </c>
      <c r="F470" s="136">
        <v>521.0</v>
      </c>
      <c r="G470" s="249">
        <v>1650.92</v>
      </c>
      <c r="H470" s="136" t="s">
        <v>40</v>
      </c>
      <c r="I470" s="136" t="s">
        <v>40</v>
      </c>
      <c r="J470" s="136">
        <v>10797.0</v>
      </c>
      <c r="K470" s="136">
        <f t="shared" si="52"/>
        <v>10797</v>
      </c>
      <c r="L470" s="1"/>
      <c r="M470" s="1"/>
      <c r="N470" s="1"/>
      <c r="O470" s="1"/>
      <c r="P470" s="1"/>
      <c r="Q470" s="1"/>
      <c r="R470" s="1"/>
      <c r="S470" s="1"/>
      <c r="T470" s="1"/>
      <c r="U470" s="1"/>
    </row>
    <row r="471" ht="10.5" customHeight="1">
      <c r="A471" s="1"/>
      <c r="B471" s="437" t="s">
        <v>123</v>
      </c>
      <c r="C471" s="136">
        <v>1965.0</v>
      </c>
      <c r="D471" s="507">
        <v>16.0</v>
      </c>
      <c r="E471" s="130">
        <v>9494.0</v>
      </c>
      <c r="F471" s="136">
        <v>504.0</v>
      </c>
      <c r="G471" s="249">
        <v>1671.94</v>
      </c>
      <c r="H471" s="136" t="s">
        <v>40</v>
      </c>
      <c r="I471" s="136" t="s">
        <v>40</v>
      </c>
      <c r="J471" s="136">
        <v>12990.0</v>
      </c>
      <c r="K471" s="136">
        <f t="shared" si="52"/>
        <v>12990</v>
      </c>
      <c r="L471" s="1"/>
      <c r="M471" s="1"/>
      <c r="N471" s="1"/>
      <c r="O471" s="1"/>
      <c r="P471" s="1"/>
      <c r="Q471" s="1"/>
      <c r="R471" s="1"/>
      <c r="S471" s="1"/>
      <c r="T471" s="1"/>
      <c r="U471" s="1"/>
    </row>
    <row r="472" ht="10.5" customHeight="1">
      <c r="A472" s="1"/>
      <c r="B472" s="238"/>
      <c r="C472" s="136"/>
      <c r="D472" s="507"/>
      <c r="E472" s="130"/>
      <c r="F472" s="136"/>
      <c r="G472" s="249"/>
      <c r="H472" s="136"/>
      <c r="I472" s="136"/>
      <c r="J472" s="136"/>
      <c r="K472" s="136"/>
      <c r="L472" s="1"/>
      <c r="M472" s="1"/>
      <c r="N472" s="1"/>
      <c r="O472" s="1"/>
      <c r="P472" s="1"/>
      <c r="Q472" s="1"/>
      <c r="R472" s="1"/>
      <c r="S472" s="1"/>
      <c r="T472" s="1"/>
      <c r="U472" s="1"/>
    </row>
    <row r="473" ht="10.5" customHeight="1">
      <c r="A473" s="1"/>
      <c r="B473" s="437" t="s">
        <v>125</v>
      </c>
      <c r="C473" s="136">
        <v>1853.0</v>
      </c>
      <c r="D473" s="507">
        <v>13.0</v>
      </c>
      <c r="E473" s="130">
        <v>11589.0</v>
      </c>
      <c r="F473" s="136">
        <v>367.0</v>
      </c>
      <c r="G473" s="249">
        <v>2026.12</v>
      </c>
      <c r="H473" s="136" t="s">
        <v>40</v>
      </c>
      <c r="I473" s="136" t="s">
        <v>40</v>
      </c>
      <c r="J473" s="136">
        <v>16126.0</v>
      </c>
      <c r="K473" s="136">
        <f t="shared" ref="K473:K477" si="53">SUM(I473:J473)</f>
        <v>16126</v>
      </c>
      <c r="L473" s="1"/>
      <c r="M473" s="1"/>
      <c r="N473" s="1"/>
      <c r="O473" s="1"/>
      <c r="P473" s="1"/>
      <c r="Q473" s="1"/>
      <c r="R473" s="1"/>
      <c r="S473" s="1"/>
      <c r="T473" s="1"/>
      <c r="U473" s="1"/>
    </row>
    <row r="474" ht="10.5" customHeight="1">
      <c r="A474" s="1"/>
      <c r="B474" s="437" t="s">
        <v>127</v>
      </c>
      <c r="C474" s="169">
        <v>1809.0</v>
      </c>
      <c r="D474" s="507">
        <v>21.0</v>
      </c>
      <c r="E474" s="130">
        <v>10579.0</v>
      </c>
      <c r="F474" s="169">
        <v>423.0</v>
      </c>
      <c r="G474" s="252">
        <v>2108.91</v>
      </c>
      <c r="H474" s="169" t="s">
        <v>40</v>
      </c>
      <c r="I474" s="169" t="s">
        <v>40</v>
      </c>
      <c r="J474" s="169">
        <v>13862.0</v>
      </c>
      <c r="K474" s="136">
        <f t="shared" si="53"/>
        <v>13862</v>
      </c>
      <c r="L474" s="1"/>
      <c r="M474" s="1"/>
      <c r="N474" s="1"/>
      <c r="O474" s="1"/>
      <c r="P474" s="1"/>
      <c r="Q474" s="1"/>
      <c r="R474" s="1"/>
      <c r="S474" s="1"/>
      <c r="T474" s="1"/>
      <c r="U474" s="1"/>
    </row>
    <row r="475" ht="10.5" customHeight="1">
      <c r="A475" s="1"/>
      <c r="B475" s="238" t="s">
        <v>128</v>
      </c>
      <c r="C475" s="169">
        <v>1837.0</v>
      </c>
      <c r="D475" s="507">
        <v>35.0</v>
      </c>
      <c r="E475" s="130">
        <v>13532.0</v>
      </c>
      <c r="F475" s="169">
        <v>427.0</v>
      </c>
      <c r="G475" s="252">
        <v>2331.11</v>
      </c>
      <c r="H475" s="169" t="s">
        <v>40</v>
      </c>
      <c r="I475" s="169" t="s">
        <v>40</v>
      </c>
      <c r="J475" s="169">
        <v>16673.0</v>
      </c>
      <c r="K475" s="136">
        <f t="shared" si="53"/>
        <v>16673</v>
      </c>
      <c r="L475" s="1"/>
      <c r="M475" s="1"/>
      <c r="N475" s="1"/>
      <c r="O475" s="1"/>
      <c r="P475" s="1"/>
      <c r="Q475" s="1"/>
      <c r="R475" s="1"/>
      <c r="S475" s="1"/>
      <c r="T475" s="1"/>
      <c r="U475" s="1"/>
    </row>
    <row r="476" ht="10.5" customHeight="1">
      <c r="A476" s="1"/>
      <c r="B476" s="238" t="s">
        <v>129</v>
      </c>
      <c r="C476" s="169">
        <v>1841.0</v>
      </c>
      <c r="D476" s="507">
        <v>45.0</v>
      </c>
      <c r="E476" s="130">
        <v>14583.0</v>
      </c>
      <c r="F476" s="169">
        <v>378.0</v>
      </c>
      <c r="G476" s="252">
        <v>2754.77</v>
      </c>
      <c r="H476" s="169" t="s">
        <v>40</v>
      </c>
      <c r="I476" s="169" t="s">
        <v>40</v>
      </c>
      <c r="J476" s="169">
        <v>19626.0</v>
      </c>
      <c r="K476" s="136">
        <f t="shared" si="53"/>
        <v>19626</v>
      </c>
      <c r="L476" s="1"/>
      <c r="M476" s="1"/>
      <c r="N476" s="1"/>
      <c r="O476" s="1"/>
      <c r="P476" s="1"/>
      <c r="Q476" s="1"/>
      <c r="R476" s="1"/>
      <c r="S476" s="1"/>
      <c r="T476" s="1"/>
      <c r="U476" s="1"/>
    </row>
    <row r="477" ht="10.5" customHeight="1">
      <c r="A477" s="1"/>
      <c r="B477" s="238" t="s">
        <v>130</v>
      </c>
      <c r="C477" s="169">
        <v>1804.0</v>
      </c>
      <c r="D477" s="507">
        <v>41.0</v>
      </c>
      <c r="E477" s="130">
        <v>17684.0</v>
      </c>
      <c r="F477" s="169">
        <v>344.0</v>
      </c>
      <c r="G477" s="252">
        <v>2841.4</v>
      </c>
      <c r="H477" s="169" t="s">
        <v>40</v>
      </c>
      <c r="I477" s="169" t="s">
        <v>40</v>
      </c>
      <c r="J477" s="169">
        <v>24798.0</v>
      </c>
      <c r="K477" s="136">
        <f t="shared" si="53"/>
        <v>24798</v>
      </c>
      <c r="L477" s="1"/>
      <c r="M477" s="1"/>
      <c r="N477" s="1"/>
      <c r="O477" s="1"/>
      <c r="P477" s="1"/>
      <c r="Q477" s="1"/>
      <c r="R477" s="1"/>
      <c r="S477" s="1"/>
      <c r="T477" s="1"/>
      <c r="U477" s="1"/>
    </row>
    <row r="478" ht="10.5" customHeight="1">
      <c r="A478" s="1"/>
      <c r="B478" s="238"/>
      <c r="C478" s="169"/>
      <c r="D478" s="507"/>
      <c r="E478" s="130"/>
      <c r="F478" s="169"/>
      <c r="G478" s="252"/>
      <c r="H478" s="169"/>
      <c r="I478" s="169"/>
      <c r="J478" s="169"/>
      <c r="K478" s="169"/>
      <c r="L478" s="1"/>
      <c r="M478" s="1"/>
      <c r="N478" s="1"/>
      <c r="O478" s="1"/>
      <c r="P478" s="1"/>
      <c r="Q478" s="1"/>
      <c r="R478" s="1"/>
      <c r="S478" s="1"/>
      <c r="T478" s="1"/>
      <c r="U478" s="1"/>
    </row>
    <row r="479" ht="10.5" customHeight="1">
      <c r="A479" s="1"/>
      <c r="B479" s="48" t="s">
        <v>131</v>
      </c>
      <c r="C479" s="169">
        <v>1519.0</v>
      </c>
      <c r="D479" s="507">
        <v>26.0</v>
      </c>
      <c r="E479" s="130">
        <v>26634.0</v>
      </c>
      <c r="F479" s="169">
        <v>141.0</v>
      </c>
      <c r="G479" s="252">
        <v>3331.68</v>
      </c>
      <c r="H479" s="169" t="s">
        <v>40</v>
      </c>
      <c r="I479" s="169" t="s">
        <v>40</v>
      </c>
      <c r="J479" s="169">
        <v>35192.0</v>
      </c>
      <c r="K479" s="136">
        <f t="shared" ref="K479:K483" si="54">SUM(I479:J479)</f>
        <v>35192</v>
      </c>
      <c r="L479" s="1"/>
      <c r="M479" s="1"/>
      <c r="N479" s="1"/>
      <c r="O479" s="1"/>
      <c r="P479" s="1"/>
      <c r="Q479" s="1"/>
      <c r="R479" s="1"/>
      <c r="S479" s="1"/>
      <c r="T479" s="1"/>
      <c r="U479" s="1"/>
    </row>
    <row r="480" ht="10.5" customHeight="1">
      <c r="A480" s="1"/>
      <c r="B480" s="48" t="s">
        <v>133</v>
      </c>
      <c r="C480" s="169">
        <v>1939.0</v>
      </c>
      <c r="D480" s="507">
        <v>60.0</v>
      </c>
      <c r="E480" s="130">
        <v>19895.0</v>
      </c>
      <c r="F480" s="169">
        <v>360.0</v>
      </c>
      <c r="G480" s="252">
        <v>3037.43</v>
      </c>
      <c r="H480" s="169">
        <v>29.0</v>
      </c>
      <c r="I480" s="169">
        <v>77.0</v>
      </c>
      <c r="J480" s="169">
        <v>25208.0</v>
      </c>
      <c r="K480" s="136">
        <f t="shared" si="54"/>
        <v>25285</v>
      </c>
      <c r="L480" s="1"/>
      <c r="M480" s="1"/>
      <c r="N480" s="1"/>
      <c r="O480" s="1"/>
      <c r="P480" s="1"/>
      <c r="Q480" s="1"/>
      <c r="R480" s="1"/>
      <c r="S480" s="1"/>
      <c r="T480" s="1"/>
      <c r="U480" s="1"/>
    </row>
    <row r="481" ht="10.5" customHeight="1">
      <c r="A481" s="1"/>
      <c r="B481" s="293">
        <v>39295.0</v>
      </c>
      <c r="C481" s="169">
        <v>2857.0</v>
      </c>
      <c r="D481" s="507">
        <v>158.0</v>
      </c>
      <c r="E481" s="130">
        <v>8438.0</v>
      </c>
      <c r="F481" s="169">
        <v>359.0</v>
      </c>
      <c r="G481" s="252">
        <v>3332.4</v>
      </c>
      <c r="H481" s="169" t="s">
        <v>40</v>
      </c>
      <c r="I481" s="169" t="s">
        <v>40</v>
      </c>
      <c r="J481" s="169">
        <v>17191.0</v>
      </c>
      <c r="K481" s="136">
        <f t="shared" si="54"/>
        <v>17191</v>
      </c>
      <c r="L481" s="1"/>
      <c r="M481" s="1"/>
      <c r="N481" s="1"/>
      <c r="O481" s="1"/>
      <c r="P481" s="1"/>
      <c r="Q481" s="1"/>
      <c r="R481" s="1"/>
      <c r="S481" s="1"/>
      <c r="T481" s="1"/>
      <c r="U481" s="1"/>
    </row>
    <row r="482" ht="10.5" customHeight="1">
      <c r="A482" s="1"/>
      <c r="B482" s="293">
        <v>39692.0</v>
      </c>
      <c r="C482" s="169">
        <v>1874.0</v>
      </c>
      <c r="D482" s="507">
        <v>77.0</v>
      </c>
      <c r="E482" s="216">
        <v>20905.0</v>
      </c>
      <c r="F482" s="169">
        <v>401.0</v>
      </c>
      <c r="G482" s="252">
        <v>3755.37</v>
      </c>
      <c r="H482" s="169" t="s">
        <v>40</v>
      </c>
      <c r="I482" s="169" t="s">
        <v>40</v>
      </c>
      <c r="J482" s="169">
        <v>25452.0</v>
      </c>
      <c r="K482" s="136">
        <f t="shared" si="54"/>
        <v>25452</v>
      </c>
      <c r="L482" s="1"/>
      <c r="M482" s="1"/>
      <c r="N482" s="1"/>
      <c r="O482" s="1"/>
      <c r="P482" s="1"/>
      <c r="Q482" s="1"/>
      <c r="R482" s="1"/>
      <c r="S482" s="1"/>
      <c r="T482" s="1"/>
      <c r="U482" s="1"/>
    </row>
    <row r="483" ht="10.5" customHeight="1">
      <c r="A483" s="1"/>
      <c r="B483" s="293">
        <v>40087.0</v>
      </c>
      <c r="C483" s="169">
        <v>1802.0</v>
      </c>
      <c r="D483" s="507">
        <v>134.0</v>
      </c>
      <c r="E483" s="216">
        <v>18599.0</v>
      </c>
      <c r="F483" s="169">
        <v>230.0</v>
      </c>
      <c r="G483" s="252">
        <v>4585.16</v>
      </c>
      <c r="H483" s="169" t="s">
        <v>40</v>
      </c>
      <c r="I483" s="169" t="s">
        <v>40</v>
      </c>
      <c r="J483" s="169">
        <v>25632.0</v>
      </c>
      <c r="K483" s="136">
        <f t="shared" si="54"/>
        <v>25632</v>
      </c>
      <c r="L483" s="1"/>
      <c r="M483" s="1"/>
      <c r="N483" s="1"/>
      <c r="O483" s="1"/>
      <c r="P483" s="1"/>
      <c r="Q483" s="1"/>
      <c r="R483" s="1"/>
      <c r="S483" s="1"/>
      <c r="T483" s="1"/>
      <c r="U483" s="1"/>
    </row>
    <row r="484" ht="10.5" customHeight="1">
      <c r="A484" s="1"/>
      <c r="B484" s="293"/>
      <c r="C484" s="169"/>
      <c r="D484" s="507"/>
      <c r="E484" s="216"/>
      <c r="F484" s="169"/>
      <c r="G484" s="252"/>
      <c r="H484" s="169"/>
      <c r="I484" s="169"/>
      <c r="J484" s="169"/>
      <c r="K484" s="169"/>
      <c r="L484" s="1"/>
      <c r="M484" s="1"/>
      <c r="N484" s="1"/>
      <c r="O484" s="1"/>
      <c r="P484" s="1"/>
      <c r="Q484" s="1"/>
      <c r="R484" s="1"/>
      <c r="S484" s="1"/>
      <c r="T484" s="1"/>
      <c r="U484" s="1"/>
    </row>
    <row r="485" ht="10.5" customHeight="1">
      <c r="A485" s="1"/>
      <c r="B485" s="85" t="s">
        <v>139</v>
      </c>
      <c r="C485" s="169">
        <v>1836.0</v>
      </c>
      <c r="D485" s="507">
        <v>125.0</v>
      </c>
      <c r="E485" s="216">
        <v>18974.0</v>
      </c>
      <c r="F485" s="169">
        <v>347.0</v>
      </c>
      <c r="G485" s="252">
        <v>4636.44</v>
      </c>
      <c r="H485" s="169" t="s">
        <v>40</v>
      </c>
      <c r="I485" s="169" t="s">
        <v>40</v>
      </c>
      <c r="J485" s="169">
        <v>23218.0</v>
      </c>
      <c r="K485" s="136">
        <f t="shared" ref="K485:K486" si="55">SUM(I485:J485)</f>
        <v>23218</v>
      </c>
      <c r="L485" s="1"/>
      <c r="M485" s="1"/>
      <c r="N485" s="1"/>
      <c r="O485" s="1"/>
      <c r="P485" s="1"/>
      <c r="Q485" s="1"/>
      <c r="R485" s="1"/>
      <c r="S485" s="1"/>
      <c r="T485" s="1"/>
      <c r="U485" s="1"/>
    </row>
    <row r="486" ht="10.5" customHeight="1">
      <c r="A486" s="1"/>
      <c r="B486" s="85" t="s">
        <v>143</v>
      </c>
      <c r="C486" s="169">
        <v>1938.0</v>
      </c>
      <c r="D486" s="507">
        <v>127.0</v>
      </c>
      <c r="E486" s="216">
        <v>16119.0</v>
      </c>
      <c r="F486" s="169">
        <v>448.0</v>
      </c>
      <c r="G486" s="252">
        <v>3460.45</v>
      </c>
      <c r="H486" s="169" t="s">
        <v>40</v>
      </c>
      <c r="I486" s="169" t="s">
        <v>40</v>
      </c>
      <c r="J486" s="169">
        <v>21294.0</v>
      </c>
      <c r="K486" s="136">
        <f t="shared" si="55"/>
        <v>21294</v>
      </c>
      <c r="L486" s="1"/>
      <c r="M486" s="1"/>
      <c r="N486" s="1"/>
      <c r="O486" s="1"/>
      <c r="P486" s="1"/>
      <c r="Q486" s="1"/>
      <c r="R486" s="1"/>
      <c r="S486" s="1"/>
      <c r="T486" s="1"/>
      <c r="U486" s="1"/>
    </row>
    <row r="487" ht="10.5" customHeight="1">
      <c r="A487" s="1"/>
      <c r="B487" s="85" t="s">
        <v>149</v>
      </c>
      <c r="C487" s="169">
        <v>1976.0</v>
      </c>
      <c r="D487" s="507">
        <v>97.0</v>
      </c>
      <c r="E487" s="216">
        <v>19230.0</v>
      </c>
      <c r="F487" s="169">
        <v>483.0</v>
      </c>
      <c r="G487" s="252">
        <v>4587.24</v>
      </c>
      <c r="H487" s="169" t="s">
        <v>40</v>
      </c>
      <c r="I487" s="169" t="s">
        <v>40</v>
      </c>
      <c r="J487" s="169">
        <v>26041.0</v>
      </c>
      <c r="K487" s="136">
        <v>26041.0</v>
      </c>
      <c r="L487" s="1"/>
      <c r="M487" s="1"/>
      <c r="N487" s="1"/>
      <c r="O487" s="1"/>
      <c r="P487" s="1"/>
      <c r="Q487" s="1"/>
      <c r="R487" s="1"/>
      <c r="S487" s="1"/>
      <c r="T487" s="1"/>
      <c r="U487" s="1"/>
    </row>
    <row r="488" ht="10.5" customHeight="1">
      <c r="A488" s="1"/>
      <c r="B488" s="85" t="s">
        <v>151</v>
      </c>
      <c r="C488" s="169">
        <v>2072.0</v>
      </c>
      <c r="D488" s="507">
        <v>97.0</v>
      </c>
      <c r="E488" s="216">
        <v>22056.0</v>
      </c>
      <c r="F488" s="169">
        <v>465.0</v>
      </c>
      <c r="G488" s="252">
        <v>5325.7</v>
      </c>
      <c r="H488" s="169" t="s">
        <v>40</v>
      </c>
      <c r="I488" s="169" t="s">
        <v>40</v>
      </c>
      <c r="J488" s="169">
        <v>39131.0</v>
      </c>
      <c r="K488" s="136">
        <v>39131.0</v>
      </c>
      <c r="L488" s="1"/>
      <c r="M488" s="1"/>
      <c r="N488" s="1"/>
      <c r="O488" s="1"/>
      <c r="P488" s="1"/>
      <c r="Q488" s="1"/>
      <c r="R488" s="1"/>
      <c r="S488" s="1"/>
      <c r="T488" s="1"/>
      <c r="U488" s="1"/>
    </row>
    <row r="489" ht="10.5" customHeight="1">
      <c r="A489" s="1"/>
      <c r="B489" s="85" t="s">
        <v>153</v>
      </c>
      <c r="C489" s="169">
        <v>1982.0</v>
      </c>
      <c r="D489" s="507">
        <v>125.0</v>
      </c>
      <c r="E489" s="216">
        <v>18943.0</v>
      </c>
      <c r="F489" s="169">
        <v>297.0</v>
      </c>
      <c r="G489" s="252">
        <v>5160.27</v>
      </c>
      <c r="H489" s="169" t="s">
        <v>40</v>
      </c>
      <c r="I489" s="169" t="s">
        <v>40</v>
      </c>
      <c r="J489" s="169">
        <v>41374.0</v>
      </c>
      <c r="K489" s="136">
        <v>41374.0</v>
      </c>
      <c r="L489" s="1"/>
      <c r="M489" s="1"/>
      <c r="N489" s="1"/>
      <c r="O489" s="1"/>
      <c r="P489" s="1"/>
      <c r="Q489" s="1"/>
      <c r="R489" s="1"/>
      <c r="S489" s="1"/>
      <c r="T489" s="1"/>
      <c r="U489" s="1"/>
    </row>
    <row r="490" ht="10.5" customHeight="1">
      <c r="A490" s="1"/>
      <c r="B490" s="85"/>
      <c r="C490" s="169"/>
      <c r="D490" s="507"/>
      <c r="E490" s="216"/>
      <c r="F490" s="169"/>
      <c r="G490" s="252"/>
      <c r="H490" s="169"/>
      <c r="I490" s="169"/>
      <c r="J490" s="169"/>
      <c r="K490" s="136"/>
      <c r="L490" s="1"/>
      <c r="M490" s="1"/>
      <c r="N490" s="1"/>
      <c r="O490" s="1"/>
      <c r="P490" s="1"/>
      <c r="Q490" s="1"/>
      <c r="R490" s="1"/>
      <c r="S490" s="1"/>
      <c r="T490" s="1"/>
      <c r="U490" s="1"/>
    </row>
    <row r="491" ht="10.5" customHeight="1">
      <c r="A491" s="1"/>
      <c r="B491" s="85" t="s">
        <v>155</v>
      </c>
      <c r="C491" s="169">
        <v>2180.0</v>
      </c>
      <c r="D491" s="507">
        <v>103.0</v>
      </c>
      <c r="E491" s="216">
        <v>23111.0</v>
      </c>
      <c r="F491" s="169">
        <v>300.0</v>
      </c>
      <c r="G491" s="252">
        <v>6273.47</v>
      </c>
      <c r="H491" s="169" t="s">
        <v>40</v>
      </c>
      <c r="I491" s="169" t="s">
        <v>40</v>
      </c>
      <c r="J491" s="169">
        <v>73492.0</v>
      </c>
      <c r="K491" s="169">
        <v>73492.0</v>
      </c>
      <c r="L491" s="1"/>
      <c r="M491" s="1"/>
      <c r="N491" s="1"/>
      <c r="O491" s="1"/>
      <c r="P491" s="1"/>
      <c r="Q491" s="1"/>
      <c r="R491" s="1"/>
      <c r="S491" s="1"/>
      <c r="T491" s="1"/>
      <c r="U491" s="1"/>
    </row>
    <row r="492" ht="10.5" customHeight="1">
      <c r="A492" s="1"/>
      <c r="B492" s="96" t="s">
        <v>826</v>
      </c>
      <c r="C492" s="260">
        <v>2000.0</v>
      </c>
      <c r="D492" s="512">
        <v>110.0</v>
      </c>
      <c r="E492" s="240">
        <v>28287.0</v>
      </c>
      <c r="F492" s="260">
        <v>245.0</v>
      </c>
      <c r="G492" s="263">
        <v>6651.44</v>
      </c>
      <c r="H492" s="260" t="s">
        <v>40</v>
      </c>
      <c r="I492" s="260" t="s">
        <v>40</v>
      </c>
      <c r="J492" s="260">
        <v>69666.0</v>
      </c>
      <c r="K492" s="260">
        <v>69666.0</v>
      </c>
      <c r="L492" s="1"/>
      <c r="M492" s="1"/>
      <c r="N492" s="1"/>
      <c r="O492" s="1"/>
      <c r="P492" s="1"/>
      <c r="Q492" s="1"/>
      <c r="R492" s="1"/>
      <c r="S492" s="1"/>
      <c r="T492" s="1"/>
      <c r="U492" s="1"/>
    </row>
    <row r="493" ht="6.0" customHeight="1">
      <c r="A493" s="1"/>
      <c r="B493" s="291"/>
      <c r="C493" s="267"/>
      <c r="D493" s="513"/>
      <c r="E493" s="243"/>
      <c r="F493" s="267"/>
      <c r="G493" s="270"/>
      <c r="H493" s="267"/>
      <c r="I493" s="267"/>
      <c r="J493" s="267"/>
      <c r="K493" s="267"/>
      <c r="L493" s="1"/>
      <c r="M493" s="1"/>
      <c r="N493" s="1"/>
      <c r="O493" s="1"/>
      <c r="P493" s="1"/>
      <c r="Q493" s="1"/>
      <c r="R493" s="1"/>
      <c r="S493" s="1"/>
      <c r="T493" s="1"/>
      <c r="U493" s="1"/>
    </row>
    <row r="494" ht="10.5" customHeight="1">
      <c r="A494" s="1"/>
      <c r="B494" s="60" t="s">
        <v>832</v>
      </c>
      <c r="C494" s="60"/>
      <c r="D494" s="60"/>
      <c r="E494" s="60"/>
      <c r="F494" s="60"/>
      <c r="G494" s="60"/>
      <c r="H494" s="60"/>
      <c r="I494" s="1"/>
      <c r="J494" s="1"/>
      <c r="K494" s="1"/>
      <c r="L494" s="1"/>
      <c r="M494" s="1"/>
      <c r="N494" s="1"/>
      <c r="O494" s="1"/>
      <c r="P494" s="1"/>
      <c r="Q494" s="1"/>
      <c r="R494" s="1"/>
      <c r="S494" s="1"/>
      <c r="T494" s="1"/>
      <c r="U494" s="1"/>
    </row>
    <row r="495" ht="10.5" customHeight="1">
      <c r="A495" s="1"/>
      <c r="B495" s="60" t="s">
        <v>662</v>
      </c>
      <c r="C495" s="60"/>
      <c r="D495" s="60"/>
      <c r="E495" s="60"/>
      <c r="F495" s="60"/>
      <c r="G495" s="60"/>
      <c r="H495" s="60"/>
      <c r="I495" s="1"/>
      <c r="J495" s="1"/>
      <c r="K495" s="1"/>
      <c r="L495" s="1"/>
      <c r="M495" s="1"/>
      <c r="N495" s="1"/>
      <c r="O495" s="1"/>
      <c r="P495" s="1"/>
      <c r="Q495" s="1"/>
      <c r="R495" s="1"/>
      <c r="S495" s="1"/>
      <c r="T495" s="1"/>
      <c r="U495" s="1"/>
    </row>
    <row r="496" ht="10.5" customHeight="1">
      <c r="A496" s="1"/>
      <c r="B496" s="60" t="s">
        <v>663</v>
      </c>
      <c r="C496" s="60"/>
      <c r="D496" s="60"/>
      <c r="E496" s="60"/>
      <c r="F496" s="60"/>
      <c r="G496" s="60"/>
      <c r="H496" s="60"/>
      <c r="I496" s="1"/>
      <c r="J496" s="1"/>
      <c r="K496" s="1"/>
      <c r="L496" s="1"/>
      <c r="M496" s="1"/>
      <c r="N496" s="1"/>
      <c r="O496" s="1"/>
      <c r="P496" s="1"/>
      <c r="Q496" s="1"/>
      <c r="R496" s="1"/>
      <c r="S496" s="1"/>
      <c r="T496" s="1"/>
      <c r="U496" s="1"/>
    </row>
    <row r="497" ht="10.5" customHeight="1">
      <c r="A497" s="1"/>
      <c r="B497" s="60" t="s">
        <v>664</v>
      </c>
      <c r="C497" s="60"/>
      <c r="D497" s="60"/>
      <c r="E497" s="60"/>
      <c r="F497" s="60"/>
      <c r="G497" s="60"/>
      <c r="H497" s="60"/>
      <c r="I497" s="1"/>
      <c r="J497" s="1"/>
      <c r="K497" s="1"/>
      <c r="L497" s="1"/>
      <c r="M497" s="1"/>
      <c r="N497" s="1"/>
      <c r="O497" s="1"/>
      <c r="P497" s="1"/>
      <c r="Q497" s="1"/>
      <c r="R497" s="1"/>
      <c r="S497" s="1"/>
      <c r="T497" s="1"/>
      <c r="U497" s="1"/>
    </row>
    <row r="498" ht="10.5" customHeight="1">
      <c r="A498" s="1"/>
      <c r="B498" s="60" t="s">
        <v>665</v>
      </c>
      <c r="C498" s="60"/>
      <c r="D498" s="60"/>
      <c r="E498" s="60"/>
      <c r="F498" s="60"/>
      <c r="G498" s="60"/>
      <c r="H498" s="60"/>
      <c r="I498" s="1"/>
      <c r="J498" s="1"/>
      <c r="K498" s="1"/>
      <c r="L498" s="1"/>
      <c r="M498" s="1"/>
      <c r="N498" s="1"/>
      <c r="O498" s="1"/>
      <c r="P498" s="1"/>
      <c r="Q498" s="1"/>
      <c r="R498" s="1"/>
      <c r="S498" s="1"/>
      <c r="T498" s="1"/>
      <c r="U498" s="1"/>
    </row>
    <row r="499" ht="10.5" customHeight="1">
      <c r="A499" s="1"/>
      <c r="B499" s="517" t="s">
        <v>666</v>
      </c>
      <c r="I499" s="1"/>
      <c r="J499" s="1"/>
      <c r="K499" s="1"/>
      <c r="L499" s="1"/>
      <c r="M499" s="1"/>
      <c r="N499" s="1"/>
      <c r="O499" s="1"/>
      <c r="P499" s="1"/>
      <c r="Q499" s="1"/>
      <c r="R499" s="1"/>
      <c r="S499" s="1"/>
      <c r="T499" s="1"/>
      <c r="U499" s="1"/>
    </row>
    <row r="500" ht="10.5" customHeight="1">
      <c r="A500" s="1"/>
      <c r="B500" s="517" t="s">
        <v>667</v>
      </c>
      <c r="C500" s="517"/>
      <c r="D500" s="517"/>
      <c r="E500" s="517"/>
      <c r="F500" s="517"/>
      <c r="G500" s="517"/>
      <c r="H500" s="517"/>
      <c r="I500" s="1"/>
      <c r="J500" s="1"/>
      <c r="K500" s="1"/>
      <c r="L500" s="1"/>
      <c r="M500" s="1"/>
      <c r="N500" s="1"/>
      <c r="O500" s="1"/>
      <c r="P500" s="1"/>
      <c r="Q500" s="1"/>
      <c r="R500" s="1"/>
      <c r="S500" s="1"/>
      <c r="T500" s="1"/>
      <c r="U500" s="1"/>
    </row>
    <row r="501" ht="10.5" customHeight="1">
      <c r="A501" s="1"/>
      <c r="B501" s="517" t="s">
        <v>669</v>
      </c>
      <c r="C501" s="517"/>
      <c r="D501" s="517"/>
      <c r="E501" s="517"/>
      <c r="F501" s="517"/>
      <c r="G501" s="517"/>
      <c r="H501" s="517"/>
      <c r="I501" s="1"/>
      <c r="J501" s="1"/>
      <c r="K501" s="1"/>
      <c r="L501" s="1"/>
      <c r="M501" s="1"/>
      <c r="N501" s="1"/>
      <c r="O501" s="1"/>
      <c r="P501" s="1"/>
      <c r="Q501" s="1"/>
      <c r="R501" s="1"/>
      <c r="S501" s="1"/>
      <c r="T501" s="1"/>
      <c r="U501" s="1"/>
    </row>
    <row r="502" ht="10.5" customHeight="1">
      <c r="A502" s="1"/>
      <c r="B502" s="60" t="s">
        <v>835</v>
      </c>
      <c r="C502" s="60"/>
      <c r="D502" s="60"/>
      <c r="E502" s="60"/>
      <c r="F502" s="60"/>
      <c r="G502" s="60"/>
      <c r="H502" s="60"/>
      <c r="I502" s="1"/>
      <c r="J502" s="1"/>
      <c r="K502" s="1"/>
      <c r="L502" s="1"/>
      <c r="M502" s="1"/>
      <c r="N502" s="1"/>
      <c r="O502" s="1"/>
      <c r="P502" s="1"/>
      <c r="Q502" s="1"/>
      <c r="R502" s="1"/>
      <c r="S502" s="1"/>
      <c r="T502" s="1"/>
      <c r="U502" s="1"/>
    </row>
    <row r="503" ht="10.5" customHeight="1">
      <c r="A503" s="1"/>
      <c r="B503" s="1"/>
      <c r="C503" s="1"/>
      <c r="D503" s="1"/>
      <c r="E503" s="1"/>
      <c r="F503" s="1"/>
      <c r="G503" s="1"/>
      <c r="H503" s="1"/>
      <c r="I503" s="1"/>
      <c r="J503" s="1"/>
      <c r="K503" s="1"/>
      <c r="L503" s="1"/>
      <c r="M503" s="1"/>
      <c r="N503" s="1"/>
      <c r="O503" s="1"/>
      <c r="P503" s="1"/>
      <c r="Q503" s="1"/>
      <c r="R503" s="1"/>
      <c r="S503" s="1"/>
      <c r="T503" s="1"/>
      <c r="U503" s="1"/>
    </row>
    <row r="504" ht="10.5" customHeight="1">
      <c r="A504" s="1"/>
      <c r="B504" s="1"/>
      <c r="C504" s="1"/>
      <c r="D504" s="1"/>
      <c r="E504" s="1"/>
      <c r="F504" s="1"/>
      <c r="G504" s="1"/>
      <c r="H504" s="1"/>
      <c r="I504" s="1"/>
      <c r="J504" s="1"/>
      <c r="K504" s="1"/>
      <c r="L504" s="1"/>
      <c r="M504" s="1"/>
      <c r="N504" s="1"/>
      <c r="O504" s="1"/>
      <c r="P504" s="1"/>
      <c r="Q504" s="1"/>
      <c r="R504" s="1"/>
      <c r="S504" s="1"/>
      <c r="T504" s="1"/>
      <c r="U504" s="1"/>
    </row>
    <row r="505" ht="10.5" customHeight="1">
      <c r="A505" s="1"/>
      <c r="B505" s="1"/>
      <c r="C505" s="113"/>
      <c r="D505" s="113"/>
      <c r="E505" s="113"/>
      <c r="F505" s="113"/>
      <c r="G505" s="113"/>
      <c r="H505" s="113"/>
      <c r="I505" s="113"/>
      <c r="J505" s="113"/>
      <c r="K505" s="113"/>
      <c r="L505" s="1"/>
      <c r="M505" s="1"/>
      <c r="N505" s="1"/>
      <c r="O505" s="1"/>
      <c r="P505" s="1"/>
      <c r="Q505" s="1"/>
      <c r="R505" s="1"/>
      <c r="S505" s="1"/>
      <c r="T505" s="1"/>
      <c r="U505" s="1"/>
    </row>
    <row r="506" ht="11.25" customHeight="1">
      <c r="A506" s="1"/>
      <c r="B506" s="1" t="s">
        <v>837</v>
      </c>
      <c r="C506" s="1"/>
      <c r="D506" s="1"/>
      <c r="E506" s="1"/>
      <c r="F506" s="1"/>
      <c r="G506" s="1"/>
      <c r="H506" s="1"/>
      <c r="I506" s="1"/>
      <c r="J506" s="1"/>
      <c r="K506" s="1"/>
      <c r="L506" s="1"/>
      <c r="M506" s="1"/>
      <c r="N506" s="1"/>
      <c r="O506" s="1"/>
      <c r="P506" s="1"/>
      <c r="Q506" s="1"/>
      <c r="R506" s="1"/>
      <c r="S506" s="1"/>
      <c r="T506" s="1"/>
      <c r="U506" s="1"/>
    </row>
    <row r="507" ht="11.25" customHeight="1">
      <c r="A507" s="1"/>
      <c r="B507" s="29" t="s">
        <v>839</v>
      </c>
      <c r="C507" s="128" t="s">
        <v>841</v>
      </c>
      <c r="D507" s="9"/>
      <c r="E507" s="9"/>
      <c r="F507" s="9"/>
      <c r="G507" s="9"/>
      <c r="H507" s="10"/>
      <c r="I507" s="128" t="s">
        <v>844</v>
      </c>
      <c r="J507" s="9"/>
      <c r="K507" s="9"/>
      <c r="L507" s="10"/>
      <c r="M507" s="1"/>
      <c r="N507" s="1"/>
      <c r="O507" s="1"/>
      <c r="P507" s="1"/>
      <c r="Q507" s="1"/>
      <c r="R507" s="1"/>
      <c r="S507" s="1"/>
      <c r="T507" s="1"/>
      <c r="U507" s="1"/>
    </row>
    <row r="508" ht="11.25" customHeight="1">
      <c r="A508" s="1"/>
      <c r="B508" s="5"/>
      <c r="C508" s="31" t="s">
        <v>508</v>
      </c>
      <c r="D508" s="520" t="s">
        <v>512</v>
      </c>
      <c r="E508" s="193" t="s">
        <v>848</v>
      </c>
      <c r="F508" s="10"/>
      <c r="G508" s="128" t="s">
        <v>510</v>
      </c>
      <c r="H508" s="10"/>
      <c r="I508" s="31" t="s">
        <v>850</v>
      </c>
      <c r="J508" s="31" t="s">
        <v>512</v>
      </c>
      <c r="K508" s="128" t="s">
        <v>510</v>
      </c>
      <c r="L508" s="10"/>
      <c r="M508" s="1"/>
      <c r="N508" s="1"/>
      <c r="O508" s="1"/>
      <c r="P508" s="1"/>
      <c r="Q508" s="1"/>
      <c r="R508" s="1"/>
      <c r="S508" s="1"/>
      <c r="T508" s="1"/>
      <c r="U508" s="1"/>
    </row>
    <row r="509" ht="15.75" customHeight="1">
      <c r="A509" s="1"/>
      <c r="B509" s="5"/>
      <c r="C509" s="6"/>
      <c r="D509" s="6"/>
      <c r="E509" s="7" t="s">
        <v>514</v>
      </c>
      <c r="F509" s="7" t="s">
        <v>515</v>
      </c>
      <c r="G509" s="7" t="s">
        <v>514</v>
      </c>
      <c r="H509" s="7" t="s">
        <v>515</v>
      </c>
      <c r="I509" s="6"/>
      <c r="J509" s="6"/>
      <c r="K509" s="7" t="s">
        <v>514</v>
      </c>
      <c r="L509" s="273" t="s">
        <v>515</v>
      </c>
      <c r="M509" s="1"/>
      <c r="N509" s="1"/>
      <c r="O509" s="1"/>
      <c r="P509" s="1"/>
      <c r="Q509" s="1"/>
      <c r="R509" s="1"/>
      <c r="S509" s="1"/>
      <c r="T509" s="1"/>
      <c r="U509" s="1"/>
    </row>
    <row r="510" ht="11.25" customHeight="1">
      <c r="A510" s="1"/>
      <c r="B510" s="6"/>
      <c r="C510" s="134" t="s">
        <v>520</v>
      </c>
      <c r="D510" s="34" t="s">
        <v>50</v>
      </c>
      <c r="E510" s="134" t="s">
        <v>520</v>
      </c>
      <c r="F510" s="134" t="s">
        <v>52</v>
      </c>
      <c r="G510" s="134" t="s">
        <v>520</v>
      </c>
      <c r="H510" s="134" t="s">
        <v>52</v>
      </c>
      <c r="I510" s="134" t="s">
        <v>520</v>
      </c>
      <c r="J510" s="134" t="s">
        <v>50</v>
      </c>
      <c r="K510" s="134" t="s">
        <v>520</v>
      </c>
      <c r="L510" s="134" t="s">
        <v>52</v>
      </c>
      <c r="M510" s="1"/>
      <c r="N510" s="1"/>
      <c r="O510" s="1"/>
      <c r="P510" s="1"/>
      <c r="Q510" s="1"/>
      <c r="R510" s="1"/>
      <c r="S510" s="1"/>
      <c r="T510" s="1"/>
      <c r="U510" s="1"/>
    </row>
    <row r="511" ht="10.5" customHeight="1">
      <c r="A511" s="1"/>
      <c r="B511" s="238" t="s">
        <v>56</v>
      </c>
      <c r="C511" s="130">
        <v>2687.0</v>
      </c>
      <c r="D511" s="132">
        <v>2205.0</v>
      </c>
      <c r="E511" s="136">
        <v>780.0</v>
      </c>
      <c r="F511" s="136">
        <v>1446.0</v>
      </c>
      <c r="G511" s="136">
        <v>1381.0</v>
      </c>
      <c r="H511" s="249">
        <v>339.19</v>
      </c>
      <c r="I511" s="136">
        <v>1781.0</v>
      </c>
      <c r="J511" s="136">
        <v>826.0</v>
      </c>
      <c r="K511" s="136">
        <v>1700.0</v>
      </c>
      <c r="L511" s="249">
        <v>456.09</v>
      </c>
      <c r="M511" s="1"/>
      <c r="N511" s="1"/>
      <c r="O511" s="1"/>
      <c r="P511" s="1"/>
      <c r="Q511" s="1"/>
      <c r="R511" s="1"/>
      <c r="S511" s="1"/>
      <c r="T511" s="1"/>
      <c r="U511" s="1"/>
    </row>
    <row r="512" ht="10.5" customHeight="1">
      <c r="A512" s="1"/>
      <c r="B512" s="238" t="s">
        <v>81</v>
      </c>
      <c r="C512" s="130">
        <v>2753.0</v>
      </c>
      <c r="D512" s="132">
        <v>2560.0</v>
      </c>
      <c r="E512" s="136">
        <v>1003.0</v>
      </c>
      <c r="F512" s="136">
        <v>1598.0</v>
      </c>
      <c r="G512" s="136">
        <v>1216.0</v>
      </c>
      <c r="H512" s="249">
        <v>379.17</v>
      </c>
      <c r="I512" s="136">
        <v>1641.0</v>
      </c>
      <c r="J512" s="136">
        <v>776.0</v>
      </c>
      <c r="K512" s="136">
        <v>1551.0</v>
      </c>
      <c r="L512" s="249">
        <v>462.36</v>
      </c>
      <c r="M512" s="1"/>
      <c r="N512" s="1"/>
      <c r="O512" s="1"/>
      <c r="P512" s="1"/>
      <c r="Q512" s="1"/>
      <c r="R512" s="1"/>
      <c r="S512" s="1"/>
      <c r="T512" s="1"/>
      <c r="U512" s="1"/>
    </row>
    <row r="513" ht="10.5" customHeight="1">
      <c r="A513" s="1"/>
      <c r="B513" s="238" t="s">
        <v>86</v>
      </c>
      <c r="C513" s="130">
        <v>3464.0</v>
      </c>
      <c r="D513" s="132">
        <v>3187.0</v>
      </c>
      <c r="E513" s="136">
        <v>809.0</v>
      </c>
      <c r="F513" s="136">
        <v>1974.0</v>
      </c>
      <c r="G513" s="136">
        <v>2189.0</v>
      </c>
      <c r="H513" s="249">
        <v>463.76</v>
      </c>
      <c r="I513" s="136">
        <v>1554.0</v>
      </c>
      <c r="J513" s="136">
        <v>674.0</v>
      </c>
      <c r="K513" s="136">
        <v>1473.0</v>
      </c>
      <c r="L513" s="249">
        <v>413.46</v>
      </c>
      <c r="M513" s="1"/>
      <c r="N513" s="1"/>
      <c r="O513" s="1"/>
      <c r="P513" s="1"/>
      <c r="Q513" s="1"/>
      <c r="R513" s="1"/>
      <c r="S513" s="1"/>
      <c r="T513" s="1"/>
      <c r="U513" s="1"/>
    </row>
    <row r="514" ht="10.5" customHeight="1">
      <c r="A514" s="1"/>
      <c r="B514" s="238" t="s">
        <v>87</v>
      </c>
      <c r="C514" s="130">
        <v>3165.0</v>
      </c>
      <c r="D514" s="132">
        <v>3578.0</v>
      </c>
      <c r="E514" s="136">
        <v>854.0</v>
      </c>
      <c r="F514" s="136">
        <v>2182.0</v>
      </c>
      <c r="G514" s="136">
        <v>1793.0</v>
      </c>
      <c r="H514" s="249">
        <v>555.83</v>
      </c>
      <c r="I514" s="136">
        <v>1470.0</v>
      </c>
      <c r="J514" s="136">
        <v>828.0</v>
      </c>
      <c r="K514" s="136">
        <v>1315.0</v>
      </c>
      <c r="L514" s="249">
        <v>523.86</v>
      </c>
      <c r="M514" s="1"/>
      <c r="N514" s="1"/>
      <c r="O514" s="1"/>
      <c r="P514" s="1"/>
      <c r="Q514" s="1"/>
      <c r="R514" s="1"/>
      <c r="S514" s="1"/>
      <c r="T514" s="1"/>
      <c r="U514" s="1"/>
    </row>
    <row r="515" ht="10.5" customHeight="1">
      <c r="A515" s="1"/>
      <c r="B515" s="238" t="s">
        <v>90</v>
      </c>
      <c r="C515" s="130">
        <v>3654.0</v>
      </c>
      <c r="D515" s="132">
        <v>4351.0</v>
      </c>
      <c r="E515" s="136">
        <v>931.0</v>
      </c>
      <c r="F515" s="136">
        <v>2413.0</v>
      </c>
      <c r="G515" s="136">
        <v>2137.0</v>
      </c>
      <c r="H515" s="249">
        <v>578.28</v>
      </c>
      <c r="I515" s="136">
        <v>1188.0</v>
      </c>
      <c r="J515" s="136">
        <v>701.0</v>
      </c>
      <c r="K515" s="136">
        <v>1082.0</v>
      </c>
      <c r="L515" s="249">
        <v>548.87</v>
      </c>
      <c r="M515" s="1"/>
      <c r="N515" s="1"/>
      <c r="O515" s="1"/>
      <c r="P515" s="1"/>
      <c r="Q515" s="1"/>
      <c r="R515" s="1"/>
      <c r="S515" s="1"/>
      <c r="T515" s="1"/>
      <c r="U515" s="1"/>
    </row>
    <row r="516" ht="10.5" customHeight="1">
      <c r="A516" s="1"/>
      <c r="B516" s="238"/>
      <c r="C516" s="130"/>
      <c r="D516" s="132"/>
      <c r="E516" s="136"/>
      <c r="F516" s="136"/>
      <c r="G516" s="136"/>
      <c r="H516" s="249"/>
      <c r="I516" s="136"/>
      <c r="J516" s="136"/>
      <c r="K516" s="136"/>
      <c r="L516" s="249"/>
      <c r="M516" s="1"/>
      <c r="N516" s="1"/>
      <c r="O516" s="1"/>
      <c r="P516" s="1"/>
      <c r="Q516" s="1"/>
      <c r="R516" s="1"/>
      <c r="S516" s="1"/>
      <c r="T516" s="1"/>
      <c r="U516" s="1"/>
    </row>
    <row r="517" ht="10.5" customHeight="1">
      <c r="A517" s="1"/>
      <c r="B517" s="238" t="s">
        <v>93</v>
      </c>
      <c r="C517" s="130">
        <v>4117.0</v>
      </c>
      <c r="D517" s="132">
        <v>5823.0</v>
      </c>
      <c r="E517" s="136">
        <v>1295.0</v>
      </c>
      <c r="F517" s="136">
        <v>2287.0</v>
      </c>
      <c r="G517" s="136">
        <v>1908.0</v>
      </c>
      <c r="H517" s="249">
        <v>532.04</v>
      </c>
      <c r="I517" s="136">
        <v>875.0</v>
      </c>
      <c r="J517" s="136">
        <v>547.0</v>
      </c>
      <c r="K517" s="136">
        <v>792.0</v>
      </c>
      <c r="L517" s="249">
        <v>581.96</v>
      </c>
      <c r="M517" s="1"/>
      <c r="N517" s="1"/>
      <c r="O517" s="1"/>
      <c r="P517" s="1"/>
      <c r="Q517" s="1"/>
      <c r="R517" s="1"/>
      <c r="S517" s="1"/>
      <c r="T517" s="1"/>
      <c r="U517" s="1"/>
    </row>
    <row r="518" ht="10.5" customHeight="1">
      <c r="A518" s="1"/>
      <c r="B518" s="238" t="s">
        <v>97</v>
      </c>
      <c r="C518" s="130">
        <v>5399.0</v>
      </c>
      <c r="D518" s="132">
        <v>6257.0</v>
      </c>
      <c r="E518" s="136">
        <v>1230.0</v>
      </c>
      <c r="F518" s="136">
        <v>2328.0</v>
      </c>
      <c r="G518" s="136">
        <v>3404.0</v>
      </c>
      <c r="H518" s="249">
        <v>648.61</v>
      </c>
      <c r="I518" s="136">
        <v>1257.0</v>
      </c>
      <c r="J518" s="136">
        <v>872.0</v>
      </c>
      <c r="K518" s="136">
        <v>1140.0</v>
      </c>
      <c r="L518" s="249">
        <v>676.81</v>
      </c>
      <c r="M518" s="1"/>
      <c r="N518" s="1"/>
      <c r="O518" s="1"/>
      <c r="P518" s="1"/>
      <c r="Q518" s="1"/>
      <c r="R518" s="1"/>
      <c r="S518" s="1"/>
      <c r="T518" s="1"/>
      <c r="U518" s="1"/>
    </row>
    <row r="519" ht="10.5" customHeight="1">
      <c r="A519" s="1"/>
      <c r="B519" s="238" t="s">
        <v>101</v>
      </c>
      <c r="C519" s="130">
        <v>5096.0</v>
      </c>
      <c r="D519" s="132">
        <v>7428.0</v>
      </c>
      <c r="E519" s="136">
        <v>1368.0</v>
      </c>
      <c r="F519" s="136">
        <v>2578.0</v>
      </c>
      <c r="G519" s="136">
        <v>2809.0</v>
      </c>
      <c r="H519" s="249">
        <v>709.1</v>
      </c>
      <c r="I519" s="136">
        <v>1496.0</v>
      </c>
      <c r="J519" s="136">
        <v>1416.0</v>
      </c>
      <c r="K519" s="136">
        <v>1419.0</v>
      </c>
      <c r="L519" s="249">
        <v>926.89</v>
      </c>
      <c r="M519" s="1"/>
      <c r="N519" s="1"/>
      <c r="O519" s="1"/>
      <c r="P519" s="1"/>
      <c r="Q519" s="1"/>
      <c r="R519" s="1"/>
      <c r="S519" s="1"/>
      <c r="T519" s="1"/>
      <c r="U519" s="1"/>
    </row>
    <row r="520" ht="10.5" customHeight="1">
      <c r="A520" s="1"/>
      <c r="B520" s="238" t="s">
        <v>103</v>
      </c>
      <c r="C520" s="130">
        <v>6671.0</v>
      </c>
      <c r="D520" s="132">
        <v>9227.0</v>
      </c>
      <c r="E520" s="136">
        <v>1415.0</v>
      </c>
      <c r="F520" s="136">
        <v>3054.0</v>
      </c>
      <c r="G520" s="136">
        <v>4499.0</v>
      </c>
      <c r="H520" s="249">
        <v>758.15</v>
      </c>
      <c r="I520" s="136">
        <v>1420.0</v>
      </c>
      <c r="J520" s="136">
        <v>1517.0</v>
      </c>
      <c r="K520" s="136">
        <v>1330.0</v>
      </c>
      <c r="L520" s="249">
        <v>1022.81</v>
      </c>
      <c r="M520" s="1"/>
      <c r="N520" s="1"/>
      <c r="O520" s="1"/>
      <c r="P520" s="1"/>
      <c r="Q520" s="1"/>
      <c r="R520" s="1"/>
      <c r="S520" s="1"/>
      <c r="T520" s="1"/>
      <c r="U520" s="1"/>
    </row>
    <row r="521" ht="10.5" customHeight="1">
      <c r="A521" s="1"/>
      <c r="B521" s="238" t="s">
        <v>104</v>
      </c>
      <c r="C521" s="130">
        <v>4775.0</v>
      </c>
      <c r="D521" s="132">
        <v>8838.0</v>
      </c>
      <c r="E521" s="136">
        <v>1343.0</v>
      </c>
      <c r="F521" s="136">
        <v>3554.0</v>
      </c>
      <c r="G521" s="136">
        <v>2725.0</v>
      </c>
      <c r="H521" s="249">
        <v>939.89</v>
      </c>
      <c r="I521" s="136">
        <v>876.0</v>
      </c>
      <c r="J521" s="136">
        <v>891.0</v>
      </c>
      <c r="K521" s="136">
        <v>807.0</v>
      </c>
      <c r="L521" s="249">
        <v>934.22</v>
      </c>
      <c r="M521" s="1"/>
      <c r="N521" s="1"/>
      <c r="O521" s="1"/>
      <c r="P521" s="1"/>
      <c r="Q521" s="1"/>
      <c r="R521" s="1"/>
      <c r="S521" s="1"/>
      <c r="T521" s="1"/>
      <c r="U521" s="1"/>
    </row>
    <row r="522" ht="10.5" customHeight="1">
      <c r="A522" s="1"/>
      <c r="B522" s="238"/>
      <c r="C522" s="130"/>
      <c r="D522" s="132"/>
      <c r="E522" s="136"/>
      <c r="F522" s="136"/>
      <c r="G522" s="136"/>
      <c r="H522" s="249"/>
      <c r="I522" s="136"/>
      <c r="J522" s="136"/>
      <c r="K522" s="136"/>
      <c r="L522" s="249"/>
      <c r="M522" s="1"/>
      <c r="N522" s="1"/>
      <c r="O522" s="1"/>
      <c r="P522" s="1"/>
      <c r="Q522" s="1"/>
      <c r="R522" s="1"/>
      <c r="S522" s="1"/>
      <c r="T522" s="1"/>
      <c r="U522" s="1"/>
    </row>
    <row r="523" ht="10.5" customHeight="1">
      <c r="A523" s="1"/>
      <c r="B523" s="238" t="s">
        <v>108</v>
      </c>
      <c r="C523" s="130">
        <v>4984.0</v>
      </c>
      <c r="D523" s="132">
        <v>10046.0</v>
      </c>
      <c r="E523" s="136">
        <v>1572.0</v>
      </c>
      <c r="F523" s="136">
        <v>3549.0</v>
      </c>
      <c r="G523" s="136">
        <v>2599.0</v>
      </c>
      <c r="H523" s="249">
        <v>1065.07</v>
      </c>
      <c r="I523" s="136">
        <v>695.0</v>
      </c>
      <c r="J523" s="136">
        <v>1016.0</v>
      </c>
      <c r="K523" s="136">
        <v>621.0</v>
      </c>
      <c r="L523" s="249">
        <v>1365.0</v>
      </c>
      <c r="M523" s="1"/>
      <c r="N523" s="1"/>
      <c r="O523" s="1"/>
      <c r="P523" s="1"/>
      <c r="Q523" s="1"/>
      <c r="R523" s="1"/>
      <c r="S523" s="1"/>
      <c r="T523" s="1"/>
      <c r="U523" s="1"/>
    </row>
    <row r="524" ht="10.5" customHeight="1">
      <c r="A524" s="1"/>
      <c r="B524" s="238" t="s">
        <v>111</v>
      </c>
      <c r="C524" s="130">
        <v>4458.0</v>
      </c>
      <c r="D524" s="132">
        <v>9079.0</v>
      </c>
      <c r="E524" s="136">
        <v>1516.0</v>
      </c>
      <c r="F524" s="136">
        <v>3523.0</v>
      </c>
      <c r="G524" s="136">
        <v>2146.0</v>
      </c>
      <c r="H524" s="249">
        <v>934.15</v>
      </c>
      <c r="I524" s="136">
        <v>699.0</v>
      </c>
      <c r="J524" s="136">
        <v>1100.0</v>
      </c>
      <c r="K524" s="136">
        <v>626.0</v>
      </c>
      <c r="L524" s="249">
        <v>1457.24</v>
      </c>
      <c r="M524" s="1"/>
      <c r="N524" s="1"/>
      <c r="O524" s="1"/>
      <c r="P524" s="1"/>
      <c r="Q524" s="1"/>
      <c r="R524" s="1"/>
      <c r="S524" s="1"/>
      <c r="T524" s="1"/>
      <c r="U524" s="1"/>
    </row>
    <row r="525" ht="10.5" customHeight="1">
      <c r="A525" s="1"/>
      <c r="B525" s="238" t="s">
        <v>112</v>
      </c>
      <c r="C525" s="130">
        <v>4528.0</v>
      </c>
      <c r="D525" s="132">
        <v>11470.0</v>
      </c>
      <c r="E525" s="136">
        <v>1856.0</v>
      </c>
      <c r="F525" s="136">
        <v>3739.0</v>
      </c>
      <c r="G525" s="136">
        <v>1721.0</v>
      </c>
      <c r="H525" s="249">
        <v>1419.72</v>
      </c>
      <c r="I525" s="136">
        <v>1281.0</v>
      </c>
      <c r="J525" s="136">
        <v>2189.0</v>
      </c>
      <c r="K525" s="136">
        <v>1200.0</v>
      </c>
      <c r="L525" s="249">
        <v>1607.48</v>
      </c>
      <c r="M525" s="1"/>
      <c r="N525" s="1"/>
      <c r="O525" s="1"/>
      <c r="P525" s="1"/>
      <c r="Q525" s="1"/>
      <c r="R525" s="1"/>
      <c r="S525" s="1"/>
      <c r="T525" s="1"/>
      <c r="U525" s="1"/>
    </row>
    <row r="526" ht="10.5" customHeight="1">
      <c r="A526" s="1"/>
      <c r="B526" s="238" t="s">
        <v>113</v>
      </c>
      <c r="C526" s="130">
        <v>3184.0</v>
      </c>
      <c r="D526" s="132">
        <v>10190.0</v>
      </c>
      <c r="E526" s="136">
        <v>1366.0</v>
      </c>
      <c r="F526" s="136">
        <v>4907.0</v>
      </c>
      <c r="G526" s="136">
        <v>1104.0</v>
      </c>
      <c r="H526" s="249">
        <v>1378.16</v>
      </c>
      <c r="I526" s="136">
        <v>684.0</v>
      </c>
      <c r="J526" s="136">
        <v>1373.0</v>
      </c>
      <c r="K526" s="136">
        <v>580.0</v>
      </c>
      <c r="L526" s="249">
        <v>1766.0</v>
      </c>
      <c r="M526" s="1"/>
      <c r="N526" s="1"/>
      <c r="O526" s="1"/>
      <c r="P526" s="1"/>
      <c r="Q526" s="1"/>
      <c r="R526" s="1"/>
      <c r="S526" s="1"/>
      <c r="T526" s="1"/>
      <c r="U526" s="1"/>
    </row>
    <row r="527" ht="10.5" customHeight="1">
      <c r="A527" s="342">
        <v>42.0</v>
      </c>
      <c r="B527" s="238" t="s">
        <v>114</v>
      </c>
      <c r="C527" s="130">
        <v>4192.0</v>
      </c>
      <c r="D527" s="132">
        <v>14587.0</v>
      </c>
      <c r="E527" s="136">
        <v>1619.0</v>
      </c>
      <c r="F527" s="136">
        <v>6082.0</v>
      </c>
      <c r="G527" s="136">
        <v>1745.0</v>
      </c>
      <c r="H527" s="249">
        <v>1070.95</v>
      </c>
      <c r="I527" s="136">
        <v>634.0</v>
      </c>
      <c r="J527" s="136">
        <v>1440.0</v>
      </c>
      <c r="K527" s="136">
        <v>522.0</v>
      </c>
      <c r="L527" s="249">
        <v>1846.82</v>
      </c>
      <c r="M527" s="1"/>
      <c r="N527" s="1"/>
      <c r="O527" s="1"/>
      <c r="P527" s="1"/>
      <c r="Q527" s="1"/>
      <c r="R527" s="1"/>
      <c r="S527" s="1"/>
      <c r="T527" s="1"/>
      <c r="U527" s="1"/>
    </row>
    <row r="528" ht="10.5" customHeight="1">
      <c r="A528" s="87"/>
      <c r="B528" s="238"/>
      <c r="C528" s="130"/>
      <c r="D528" s="132"/>
      <c r="E528" s="136"/>
      <c r="F528" s="136"/>
      <c r="G528" s="136"/>
      <c r="H528" s="249"/>
      <c r="I528" s="136"/>
      <c r="J528" s="136"/>
      <c r="K528" s="136"/>
      <c r="L528" s="249"/>
      <c r="M528" s="1"/>
      <c r="N528" s="1"/>
      <c r="O528" s="1"/>
      <c r="P528" s="1"/>
      <c r="Q528" s="1"/>
      <c r="R528" s="1"/>
      <c r="S528" s="1"/>
      <c r="T528" s="1"/>
      <c r="U528" s="1"/>
    </row>
    <row r="529" ht="10.5" customHeight="1">
      <c r="A529" s="1"/>
      <c r="B529" s="238" t="s">
        <v>115</v>
      </c>
      <c r="C529" s="130">
        <v>3302.0</v>
      </c>
      <c r="D529" s="132">
        <v>16066.0</v>
      </c>
      <c r="E529" s="136">
        <v>1154.0</v>
      </c>
      <c r="F529" s="136">
        <v>8164.0</v>
      </c>
      <c r="G529" s="136">
        <v>1481.0</v>
      </c>
      <c r="H529" s="249">
        <v>2319.11</v>
      </c>
      <c r="I529" s="136">
        <v>571.0</v>
      </c>
      <c r="J529" s="136">
        <v>1750.0</v>
      </c>
      <c r="K529" s="136">
        <v>450.0</v>
      </c>
      <c r="L529" s="249">
        <v>2560.43</v>
      </c>
      <c r="M529" s="1"/>
      <c r="N529" s="1"/>
      <c r="O529" s="1"/>
      <c r="P529" s="1"/>
      <c r="Q529" s="1"/>
      <c r="R529" s="1"/>
      <c r="S529" s="1"/>
      <c r="T529" s="1"/>
      <c r="U529" s="1"/>
    </row>
    <row r="530" ht="10.5" customHeight="1">
      <c r="A530" s="1"/>
      <c r="B530" s="238" t="s">
        <v>117</v>
      </c>
      <c r="C530" s="130">
        <v>3820.0</v>
      </c>
      <c r="D530" s="132">
        <v>19378.0</v>
      </c>
      <c r="E530" s="136">
        <v>1575.0</v>
      </c>
      <c r="F530" s="136">
        <v>7891.0</v>
      </c>
      <c r="G530" s="136">
        <v>1397.0</v>
      </c>
      <c r="H530" s="249">
        <v>2230.75</v>
      </c>
      <c r="I530" s="136">
        <v>578.0</v>
      </c>
      <c r="J530" s="136">
        <v>2213.0</v>
      </c>
      <c r="K530" s="136">
        <v>403.0</v>
      </c>
      <c r="L530" s="249">
        <v>2525.66</v>
      </c>
      <c r="M530" s="1"/>
      <c r="N530" s="1"/>
      <c r="O530" s="1"/>
      <c r="P530" s="1"/>
      <c r="Q530" s="1"/>
      <c r="R530" s="1"/>
      <c r="S530" s="1"/>
      <c r="T530" s="1"/>
      <c r="U530" s="1"/>
    </row>
    <row r="531" ht="10.5" customHeight="1">
      <c r="A531" s="1"/>
      <c r="B531" s="238" t="s">
        <v>121</v>
      </c>
      <c r="C531" s="130">
        <v>3834.0</v>
      </c>
      <c r="D531" s="132">
        <v>17598.0</v>
      </c>
      <c r="E531" s="136">
        <v>1677.0</v>
      </c>
      <c r="F531" s="136">
        <v>6645.0</v>
      </c>
      <c r="G531" s="136">
        <v>1285.0</v>
      </c>
      <c r="H531" s="249">
        <v>2432.11</v>
      </c>
      <c r="I531" s="136">
        <v>734.0</v>
      </c>
      <c r="J531" s="136">
        <v>4359.0</v>
      </c>
      <c r="K531" s="136">
        <v>478.0</v>
      </c>
      <c r="L531" s="249">
        <v>3335.22</v>
      </c>
      <c r="M531" s="1"/>
      <c r="N531" s="1"/>
      <c r="O531" s="1"/>
      <c r="P531" s="1"/>
      <c r="Q531" s="1"/>
      <c r="R531" s="1"/>
      <c r="S531" s="1"/>
      <c r="T531" s="1"/>
      <c r="U531" s="1"/>
    </row>
    <row r="532" ht="10.5" customHeight="1">
      <c r="A532" s="1"/>
      <c r="B532" s="238" t="s">
        <v>122</v>
      </c>
      <c r="C532" s="130">
        <v>4623.0</v>
      </c>
      <c r="D532" s="132">
        <v>22322.0</v>
      </c>
      <c r="E532" s="136">
        <v>1975.0</v>
      </c>
      <c r="F532" s="136">
        <v>6993.0</v>
      </c>
      <c r="G532" s="136">
        <v>1610.0</v>
      </c>
      <c r="H532" s="249">
        <v>2715.63</v>
      </c>
      <c r="I532" s="136">
        <v>597.0</v>
      </c>
      <c r="J532" s="136">
        <v>4383.0</v>
      </c>
      <c r="K532" s="136">
        <v>352.0</v>
      </c>
      <c r="L532" s="249">
        <v>3536.15</v>
      </c>
      <c r="M532" s="1"/>
      <c r="N532" s="1"/>
      <c r="O532" s="1"/>
      <c r="P532" s="1"/>
      <c r="Q532" s="1"/>
      <c r="R532" s="1"/>
      <c r="S532" s="1"/>
      <c r="T532" s="1"/>
      <c r="U532" s="1"/>
    </row>
    <row r="533" ht="10.5" customHeight="1">
      <c r="A533" s="1"/>
      <c r="B533" s="238" t="s">
        <v>123</v>
      </c>
      <c r="C533" s="130">
        <v>7257.0</v>
      </c>
      <c r="D533" s="132">
        <v>28832.0</v>
      </c>
      <c r="E533" s="136">
        <v>3241.0</v>
      </c>
      <c r="F533" s="136">
        <v>5199.0</v>
      </c>
      <c r="G533" s="136">
        <v>1554.0</v>
      </c>
      <c r="H533" s="249">
        <v>3007.67</v>
      </c>
      <c r="I533" s="136">
        <v>1031.0</v>
      </c>
      <c r="J533" s="136">
        <v>4841.0</v>
      </c>
      <c r="K533" s="136">
        <v>425.0</v>
      </c>
      <c r="L533" s="249">
        <v>2997.31</v>
      </c>
      <c r="M533" s="1"/>
      <c r="N533" s="1"/>
      <c r="O533" s="1"/>
      <c r="P533" s="1"/>
      <c r="Q533" s="1"/>
      <c r="R533" s="1"/>
      <c r="S533" s="1"/>
      <c r="T533" s="1"/>
      <c r="U533" s="1"/>
    </row>
    <row r="534" ht="10.5" customHeight="1">
      <c r="A534" s="1"/>
      <c r="B534" s="238"/>
      <c r="C534" s="130"/>
      <c r="D534" s="132"/>
      <c r="E534" s="136"/>
      <c r="F534" s="136"/>
      <c r="G534" s="136"/>
      <c r="H534" s="249"/>
      <c r="I534" s="136"/>
      <c r="J534" s="136"/>
      <c r="K534" s="136"/>
      <c r="L534" s="249"/>
      <c r="M534" s="1"/>
      <c r="N534" s="1"/>
      <c r="O534" s="1"/>
      <c r="P534" s="1"/>
      <c r="Q534" s="1"/>
      <c r="R534" s="1"/>
      <c r="S534" s="1"/>
      <c r="T534" s="1"/>
      <c r="U534" s="1"/>
    </row>
    <row r="535" ht="10.5" customHeight="1">
      <c r="A535" s="1"/>
      <c r="B535" s="437" t="s">
        <v>125</v>
      </c>
      <c r="C535" s="130">
        <v>5514.0</v>
      </c>
      <c r="D535" s="132">
        <v>24365.0</v>
      </c>
      <c r="E535" s="136">
        <v>2674.0</v>
      </c>
      <c r="F535" s="136">
        <v>5511.0</v>
      </c>
      <c r="G535" s="136">
        <v>1306.0</v>
      </c>
      <c r="H535" s="249">
        <v>3506.37</v>
      </c>
      <c r="I535" s="136">
        <v>778.0</v>
      </c>
      <c r="J535" s="136">
        <v>5991.0</v>
      </c>
      <c r="K535" s="136">
        <v>406.0</v>
      </c>
      <c r="L535" s="249">
        <v>3360.91</v>
      </c>
      <c r="M535" s="1"/>
      <c r="N535" s="1"/>
      <c r="O535" s="1"/>
      <c r="P535" s="1"/>
      <c r="Q535" s="1"/>
      <c r="R535" s="1"/>
      <c r="S535" s="1"/>
      <c r="T535" s="1"/>
      <c r="U535" s="1"/>
    </row>
    <row r="536" ht="10.5" customHeight="1">
      <c r="A536" s="1"/>
      <c r="B536" s="437" t="s">
        <v>127</v>
      </c>
      <c r="C536" s="216">
        <v>4102.0</v>
      </c>
      <c r="D536" s="524">
        <v>22117.0</v>
      </c>
      <c r="E536" s="169">
        <v>1858.0</v>
      </c>
      <c r="F536" s="169">
        <v>7188.0</v>
      </c>
      <c r="G536" s="169">
        <v>1202.0</v>
      </c>
      <c r="H536" s="252">
        <v>3535.47</v>
      </c>
      <c r="I536" s="169">
        <v>412.0</v>
      </c>
      <c r="J536" s="169">
        <v>2568.0</v>
      </c>
      <c r="K536" s="169">
        <v>269.0</v>
      </c>
      <c r="L536" s="252">
        <v>4047.84</v>
      </c>
      <c r="M536" s="1"/>
      <c r="N536" s="1"/>
      <c r="O536" s="1"/>
      <c r="P536" s="1"/>
      <c r="Q536" s="1"/>
      <c r="R536" s="1"/>
      <c r="S536" s="1"/>
      <c r="T536" s="1"/>
      <c r="U536" s="1"/>
    </row>
    <row r="537" ht="10.5" customHeight="1">
      <c r="A537" s="1"/>
      <c r="B537" s="238" t="s">
        <v>128</v>
      </c>
      <c r="C537" s="216">
        <v>4794.0</v>
      </c>
      <c r="D537" s="524">
        <v>25636.0</v>
      </c>
      <c r="E537" s="169">
        <v>2300.0</v>
      </c>
      <c r="F537" s="169">
        <v>6919.0</v>
      </c>
      <c r="G537" s="169">
        <v>1317.0</v>
      </c>
      <c r="H537" s="252">
        <v>3796.84</v>
      </c>
      <c r="I537" s="169">
        <v>540.0</v>
      </c>
      <c r="J537" s="169">
        <v>5781.0</v>
      </c>
      <c r="K537" s="169">
        <v>386.0</v>
      </c>
      <c r="L537" s="252">
        <v>5829.14</v>
      </c>
      <c r="M537" s="1"/>
      <c r="N537" s="1"/>
      <c r="O537" s="1"/>
      <c r="P537" s="1"/>
      <c r="Q537" s="1"/>
      <c r="R537" s="1"/>
      <c r="S537" s="1"/>
      <c r="T537" s="1"/>
      <c r="U537" s="1"/>
    </row>
    <row r="538" ht="10.5" customHeight="1">
      <c r="A538" s="1"/>
      <c r="B538" s="238" t="s">
        <v>129</v>
      </c>
      <c r="C538" s="216">
        <v>6389.0</v>
      </c>
      <c r="D538" s="524">
        <v>29817.0</v>
      </c>
      <c r="E538" s="169">
        <v>3031.0</v>
      </c>
      <c r="F538" s="169">
        <v>5964.0</v>
      </c>
      <c r="G538" s="169">
        <v>1710.0</v>
      </c>
      <c r="H538" s="252">
        <v>3487.24</v>
      </c>
      <c r="I538" s="169">
        <v>631.0</v>
      </c>
      <c r="J538" s="169">
        <v>7061.0</v>
      </c>
      <c r="K538" s="169">
        <v>428.0</v>
      </c>
      <c r="L538" s="252">
        <v>4801.57</v>
      </c>
      <c r="M538" s="1"/>
      <c r="N538" s="1"/>
      <c r="O538" s="1"/>
      <c r="P538" s="1"/>
      <c r="Q538" s="1"/>
      <c r="R538" s="1"/>
      <c r="S538" s="1"/>
      <c r="T538" s="1"/>
      <c r="U538" s="1"/>
    </row>
    <row r="539" ht="10.5" customHeight="1">
      <c r="A539" s="1"/>
      <c r="B539" s="238" t="s">
        <v>130</v>
      </c>
      <c r="C539" s="216">
        <v>5307.0</v>
      </c>
      <c r="D539" s="524">
        <v>38396.0</v>
      </c>
      <c r="E539" s="169">
        <v>2534.0</v>
      </c>
      <c r="F539" s="169">
        <v>9601.0</v>
      </c>
      <c r="G539" s="169">
        <v>1461.0</v>
      </c>
      <c r="H539" s="252">
        <v>4470.3</v>
      </c>
      <c r="I539" s="169">
        <v>589.0</v>
      </c>
      <c r="J539" s="169">
        <v>7806.0</v>
      </c>
      <c r="K539" s="169">
        <v>222.0</v>
      </c>
      <c r="L539" s="252">
        <v>5331.43</v>
      </c>
      <c r="M539" s="1"/>
      <c r="N539" s="1"/>
      <c r="O539" s="1"/>
      <c r="P539" s="1"/>
      <c r="Q539" s="1"/>
      <c r="R539" s="1"/>
      <c r="S539" s="1"/>
      <c r="T539" s="1"/>
      <c r="U539" s="1"/>
    </row>
    <row r="540" ht="10.5" customHeight="1">
      <c r="A540" s="1"/>
      <c r="B540" s="238"/>
      <c r="C540" s="216"/>
      <c r="D540" s="524"/>
      <c r="E540" s="169"/>
      <c r="F540" s="169"/>
      <c r="G540" s="169"/>
      <c r="H540" s="252"/>
      <c r="I540" s="169"/>
      <c r="J540" s="169"/>
      <c r="K540" s="169"/>
      <c r="L540" s="252"/>
      <c r="M540" s="1"/>
      <c r="N540" s="1"/>
      <c r="O540" s="1"/>
      <c r="P540" s="1"/>
      <c r="Q540" s="1"/>
      <c r="R540" s="1"/>
      <c r="S540" s="1"/>
      <c r="T540" s="1"/>
      <c r="U540" s="1"/>
    </row>
    <row r="541" ht="10.5" customHeight="1">
      <c r="A541" s="1"/>
      <c r="B541" s="238" t="s">
        <v>131</v>
      </c>
      <c r="C541" s="216">
        <v>5169.0</v>
      </c>
      <c r="D541" s="132">
        <v>44190.0</v>
      </c>
      <c r="E541" s="169">
        <v>1851.0</v>
      </c>
      <c r="F541" s="169">
        <v>14008.0</v>
      </c>
      <c r="G541" s="169">
        <v>2364.0</v>
      </c>
      <c r="H541" s="252">
        <v>4588.65</v>
      </c>
      <c r="I541" s="169">
        <v>608.0</v>
      </c>
      <c r="J541" s="169">
        <v>9315.0</v>
      </c>
      <c r="K541" s="169">
        <v>298.0</v>
      </c>
      <c r="L541" s="252">
        <v>5117.05</v>
      </c>
      <c r="M541" s="1"/>
      <c r="N541" s="1"/>
      <c r="O541" s="1"/>
      <c r="P541" s="1"/>
      <c r="Q541" s="1"/>
      <c r="R541" s="1"/>
      <c r="S541" s="1"/>
      <c r="T541" s="1"/>
      <c r="U541" s="1"/>
    </row>
    <row r="542" ht="10.5" customHeight="1">
      <c r="A542" s="1"/>
      <c r="B542" s="238" t="s">
        <v>133</v>
      </c>
      <c r="C542" s="216">
        <v>5009.0</v>
      </c>
      <c r="D542" s="132">
        <v>52101.0</v>
      </c>
      <c r="E542" s="169">
        <v>1687.0</v>
      </c>
      <c r="F542" s="169">
        <v>18258.0</v>
      </c>
      <c r="G542" s="169">
        <v>2435.0</v>
      </c>
      <c r="H542" s="252">
        <v>5026.25</v>
      </c>
      <c r="I542" s="169">
        <v>650.0</v>
      </c>
      <c r="J542" s="169">
        <v>13172.0</v>
      </c>
      <c r="K542" s="169">
        <v>203.0</v>
      </c>
      <c r="L542" s="252">
        <v>5102.88</v>
      </c>
      <c r="M542" s="1"/>
      <c r="N542" s="1"/>
      <c r="O542" s="1"/>
      <c r="P542" s="1"/>
      <c r="Q542" s="1"/>
      <c r="R542" s="1"/>
      <c r="S542" s="1"/>
      <c r="T542" s="1"/>
      <c r="U542" s="1"/>
    </row>
    <row r="543" ht="10.5" customHeight="1">
      <c r="A543" s="1"/>
      <c r="B543" s="293">
        <v>39295.0</v>
      </c>
      <c r="C543" s="216">
        <v>5166.0</v>
      </c>
      <c r="D543" s="132">
        <v>61158.0</v>
      </c>
      <c r="E543" s="169">
        <v>2260.0</v>
      </c>
      <c r="F543" s="169">
        <v>17723.0</v>
      </c>
      <c r="G543" s="169">
        <v>1532.0</v>
      </c>
      <c r="H543" s="252">
        <v>5638.95</v>
      </c>
      <c r="I543" s="169">
        <v>615.0</v>
      </c>
      <c r="J543" s="169">
        <v>15125.0</v>
      </c>
      <c r="K543" s="169">
        <v>239.0</v>
      </c>
      <c r="L543" s="252">
        <v>5355.72</v>
      </c>
      <c r="M543" s="1"/>
      <c r="N543" s="1"/>
      <c r="O543" s="1"/>
      <c r="P543" s="1"/>
      <c r="Q543" s="1"/>
      <c r="R543" s="1"/>
      <c r="S543" s="1"/>
      <c r="T543" s="1"/>
      <c r="U543" s="1"/>
    </row>
    <row r="544" ht="10.5" customHeight="1">
      <c r="A544" s="1"/>
      <c r="B544" s="293">
        <v>39692.0</v>
      </c>
      <c r="C544" s="216">
        <v>6859.0</v>
      </c>
      <c r="D544" s="132">
        <v>86902.0</v>
      </c>
      <c r="E544" s="169">
        <v>2310.0</v>
      </c>
      <c r="F544" s="169">
        <v>20703.0</v>
      </c>
      <c r="G544" s="169">
        <v>3080.0</v>
      </c>
      <c r="H544" s="252">
        <v>6072.03</v>
      </c>
      <c r="I544" s="169">
        <v>867.0</v>
      </c>
      <c r="J544" s="169">
        <v>30270.0</v>
      </c>
      <c r="K544" s="169">
        <v>339.0</v>
      </c>
      <c r="L544" s="252">
        <v>6081.73</v>
      </c>
      <c r="M544" s="1"/>
      <c r="N544" s="1"/>
      <c r="O544" s="1"/>
      <c r="P544" s="1"/>
      <c r="Q544" s="1"/>
      <c r="R544" s="1"/>
      <c r="S544" s="1"/>
      <c r="T544" s="1"/>
      <c r="U544" s="1"/>
    </row>
    <row r="545" ht="10.5" customHeight="1">
      <c r="A545" s="1"/>
      <c r="B545" s="293">
        <v>40087.0</v>
      </c>
      <c r="C545" s="458">
        <v>5736.0</v>
      </c>
      <c r="D545" s="132">
        <v>79225.0</v>
      </c>
      <c r="E545" s="376">
        <v>2248.0</v>
      </c>
      <c r="F545" s="376">
        <v>22395.0</v>
      </c>
      <c r="G545" s="376">
        <v>2294.0</v>
      </c>
      <c r="H545" s="461">
        <v>5700.75</v>
      </c>
      <c r="I545" s="376">
        <v>1020.0</v>
      </c>
      <c r="J545" s="376">
        <v>48355.0</v>
      </c>
      <c r="K545" s="376">
        <v>187.0</v>
      </c>
      <c r="L545" s="252">
        <v>5697.93</v>
      </c>
      <c r="M545" s="1"/>
      <c r="N545" s="1"/>
      <c r="O545" s="1"/>
      <c r="P545" s="1"/>
      <c r="Q545" s="1"/>
      <c r="R545" s="1"/>
      <c r="S545" s="1"/>
      <c r="T545" s="1"/>
      <c r="U545" s="1"/>
    </row>
    <row r="546" ht="10.5" customHeight="1">
      <c r="A546" s="1"/>
      <c r="B546" s="293"/>
      <c r="C546" s="216"/>
      <c r="D546" s="132"/>
      <c r="E546" s="169"/>
      <c r="F546" s="169"/>
      <c r="G546" s="169"/>
      <c r="H546" s="252"/>
      <c r="I546" s="169"/>
      <c r="J546" s="169"/>
      <c r="K546" s="169"/>
      <c r="L546" s="252"/>
      <c r="M546" s="1"/>
      <c r="N546" s="1"/>
      <c r="O546" s="1"/>
      <c r="P546" s="1"/>
      <c r="Q546" s="1"/>
      <c r="R546" s="1"/>
      <c r="S546" s="1"/>
      <c r="T546" s="1"/>
      <c r="U546" s="1"/>
    </row>
    <row r="547" ht="10.5" customHeight="1">
      <c r="A547" s="1"/>
      <c r="B547" s="11" t="s">
        <v>139</v>
      </c>
      <c r="C547" s="216">
        <v>5648.0</v>
      </c>
      <c r="D547" s="132">
        <v>81986.0</v>
      </c>
      <c r="E547" s="169">
        <v>2272.0</v>
      </c>
      <c r="F547" s="169">
        <v>22880.0</v>
      </c>
      <c r="G547" s="169">
        <v>2148.0</v>
      </c>
      <c r="H547" s="252">
        <v>6259.88</v>
      </c>
      <c r="I547" s="169">
        <v>1090.0</v>
      </c>
      <c r="J547" s="169">
        <v>69132.0</v>
      </c>
      <c r="K547" s="169">
        <v>152.0</v>
      </c>
      <c r="L547" s="252">
        <v>5537.71</v>
      </c>
      <c r="M547" s="1"/>
      <c r="N547" s="1"/>
      <c r="O547" s="1"/>
      <c r="P547" s="1"/>
      <c r="Q547" s="1"/>
      <c r="R547" s="1"/>
      <c r="S547" s="1"/>
      <c r="T547" s="1"/>
      <c r="U547" s="1"/>
    </row>
    <row r="548" ht="10.5" customHeight="1">
      <c r="A548" s="1"/>
      <c r="B548" s="11" t="s">
        <v>143</v>
      </c>
      <c r="C548" s="216">
        <v>6481.0</v>
      </c>
      <c r="D548" s="132">
        <v>92691.0</v>
      </c>
      <c r="E548" s="169">
        <v>2426.0</v>
      </c>
      <c r="F548" s="169">
        <v>23491.0</v>
      </c>
      <c r="G548" s="169">
        <v>2758.0</v>
      </c>
      <c r="H548" s="252">
        <v>6433.93</v>
      </c>
      <c r="I548" s="169">
        <v>1616.0</v>
      </c>
      <c r="J548" s="169">
        <v>95442.0</v>
      </c>
      <c r="K548" s="169">
        <v>234.0</v>
      </c>
      <c r="L548" s="252">
        <v>6032.12</v>
      </c>
      <c r="M548" s="1"/>
      <c r="N548" s="1"/>
      <c r="O548" s="1"/>
      <c r="P548" s="1"/>
      <c r="Q548" s="1"/>
      <c r="R548" s="1"/>
      <c r="S548" s="1"/>
      <c r="T548" s="1"/>
      <c r="U548" s="1"/>
    </row>
    <row r="549" ht="10.5" customHeight="1">
      <c r="A549" s="1"/>
      <c r="B549" s="11" t="s">
        <v>149</v>
      </c>
      <c r="C549" s="216">
        <v>7872.0</v>
      </c>
      <c r="D549" s="132">
        <v>114157.0</v>
      </c>
      <c r="E549" s="169">
        <v>3399.0</v>
      </c>
      <c r="F549" s="169">
        <v>21361.0</v>
      </c>
      <c r="G549" s="169">
        <v>2604.0</v>
      </c>
      <c r="H549" s="252">
        <v>7181.16</v>
      </c>
      <c r="I549" s="169">
        <v>2114.0</v>
      </c>
      <c r="J549" s="169">
        <v>98151.0</v>
      </c>
      <c r="K549" s="169">
        <v>134.0</v>
      </c>
      <c r="L549" s="252">
        <v>6821.93</v>
      </c>
      <c r="M549" s="1"/>
      <c r="N549" s="1"/>
      <c r="O549" s="1"/>
      <c r="P549" s="1"/>
      <c r="Q549" s="1"/>
      <c r="R549" s="1"/>
      <c r="S549" s="1"/>
      <c r="T549" s="1"/>
      <c r="U549" s="1"/>
    </row>
    <row r="550" ht="10.5" customHeight="1">
      <c r="A550" s="1"/>
      <c r="B550" s="11" t="s">
        <v>151</v>
      </c>
      <c r="C550" s="216">
        <v>7733.0</v>
      </c>
      <c r="D550" s="132">
        <v>111585.0</v>
      </c>
      <c r="E550" s="169">
        <v>3243.0</v>
      </c>
      <c r="F550" s="169">
        <v>21700.0</v>
      </c>
      <c r="G550" s="169">
        <v>2615.0</v>
      </c>
      <c r="H550" s="252">
        <v>6931.93</v>
      </c>
      <c r="I550" s="169">
        <v>1914.0</v>
      </c>
      <c r="J550" s="169">
        <v>108152.0</v>
      </c>
      <c r="K550" s="169">
        <v>168.0</v>
      </c>
      <c r="L550" s="252">
        <v>8362.29</v>
      </c>
      <c r="M550" s="1"/>
      <c r="N550" s="1"/>
      <c r="O550" s="1"/>
      <c r="P550" s="1"/>
      <c r="Q550" s="1"/>
      <c r="R550" s="1"/>
      <c r="S550" s="1"/>
      <c r="T550" s="1"/>
      <c r="U550" s="1"/>
    </row>
    <row r="551" ht="10.5" customHeight="1">
      <c r="A551" s="1"/>
      <c r="B551" s="11" t="s">
        <v>153</v>
      </c>
      <c r="C551" s="216">
        <v>6616.0</v>
      </c>
      <c r="D551" s="132">
        <v>120626.0</v>
      </c>
      <c r="E551" s="169">
        <v>3299.0</v>
      </c>
      <c r="F551" s="169">
        <v>24654.0</v>
      </c>
      <c r="G551" s="169">
        <v>1520.0</v>
      </c>
      <c r="H551" s="252">
        <v>7967.14</v>
      </c>
      <c r="I551" s="169">
        <v>1920.0</v>
      </c>
      <c r="J551" s="169">
        <v>139436.0</v>
      </c>
      <c r="K551" s="169">
        <v>154.0</v>
      </c>
      <c r="L551" s="252">
        <v>10343.34</v>
      </c>
      <c r="M551" s="1"/>
      <c r="N551" s="1"/>
      <c r="O551" s="1"/>
      <c r="P551" s="1"/>
      <c r="Q551" s="1"/>
      <c r="R551" s="1"/>
      <c r="S551" s="1"/>
      <c r="T551" s="1"/>
      <c r="U551" s="1"/>
    </row>
    <row r="552" ht="10.5" customHeight="1">
      <c r="A552" s="1"/>
      <c r="B552" s="11"/>
      <c r="C552" s="216"/>
      <c r="D552" s="132"/>
      <c r="E552" s="169"/>
      <c r="F552" s="169"/>
      <c r="G552" s="169"/>
      <c r="H552" s="252"/>
      <c r="I552" s="169"/>
      <c r="J552" s="169"/>
      <c r="K552" s="169"/>
      <c r="L552" s="252"/>
      <c r="M552" s="1"/>
      <c r="N552" s="1"/>
      <c r="O552" s="1"/>
      <c r="P552" s="1"/>
      <c r="Q552" s="1"/>
      <c r="R552" s="1"/>
      <c r="S552" s="1"/>
      <c r="T552" s="1"/>
      <c r="U552" s="1"/>
    </row>
    <row r="553" ht="10.5" customHeight="1">
      <c r="A553" s="1"/>
      <c r="B553" s="11" t="s">
        <v>155</v>
      </c>
      <c r="C553" s="216">
        <v>7326.0</v>
      </c>
      <c r="D553" s="132">
        <v>148068.0</v>
      </c>
      <c r="E553" s="169">
        <v>3293.0</v>
      </c>
      <c r="F553" s="169">
        <v>29142.98</v>
      </c>
      <c r="G553" s="169">
        <v>2089.0</v>
      </c>
      <c r="H553" s="252">
        <v>8634.59</v>
      </c>
      <c r="I553" s="169">
        <v>2124.0</v>
      </c>
      <c r="J553" s="169">
        <v>170643.0</v>
      </c>
      <c r="K553" s="169">
        <v>284.0</v>
      </c>
      <c r="L553" s="252">
        <v>10308.1</v>
      </c>
      <c r="M553" s="1"/>
      <c r="N553" s="1"/>
      <c r="O553" s="1"/>
      <c r="P553" s="1"/>
      <c r="Q553" s="1"/>
      <c r="R553" s="1"/>
      <c r="S553" s="1"/>
      <c r="T553" s="1"/>
      <c r="U553" s="1"/>
    </row>
    <row r="554" ht="10.5" customHeight="1">
      <c r="A554" s="1"/>
      <c r="B554" s="52" t="s">
        <v>890</v>
      </c>
      <c r="C554" s="240">
        <v>8127.0</v>
      </c>
      <c r="D554" s="141">
        <v>182829.0</v>
      </c>
      <c r="E554" s="260">
        <v>3827.0</v>
      </c>
      <c r="F554" s="260">
        <v>29758.57</v>
      </c>
      <c r="G554" s="260">
        <v>1888.0</v>
      </c>
      <c r="H554" s="263">
        <v>8629.52</v>
      </c>
      <c r="I554" s="260">
        <v>2553.0</v>
      </c>
      <c r="J554" s="260">
        <v>252860.0</v>
      </c>
      <c r="K554" s="260">
        <v>352.0</v>
      </c>
      <c r="L554" s="263">
        <v>9992.59</v>
      </c>
      <c r="M554" s="1"/>
      <c r="N554" s="1"/>
      <c r="O554" s="1"/>
      <c r="P554" s="1"/>
      <c r="Q554" s="1"/>
      <c r="R554" s="1"/>
      <c r="S554" s="1"/>
      <c r="T554" s="1"/>
      <c r="U554" s="1"/>
    </row>
    <row r="555" ht="6.0" customHeight="1">
      <c r="A555" s="1"/>
      <c r="B555" s="242"/>
      <c r="C555" s="243"/>
      <c r="D555" s="524"/>
      <c r="E555" s="267"/>
      <c r="F555" s="267"/>
      <c r="G555" s="267"/>
      <c r="H555" s="270"/>
      <c r="I555" s="267"/>
      <c r="J555" s="267"/>
      <c r="K555" s="267"/>
      <c r="L555" s="270"/>
      <c r="M555" s="1"/>
      <c r="N555" s="1"/>
      <c r="O555" s="1"/>
      <c r="P555" s="1"/>
      <c r="Q555" s="1"/>
      <c r="R555" s="1"/>
      <c r="S555" s="1"/>
      <c r="T555" s="1"/>
      <c r="U555" s="1"/>
    </row>
    <row r="556" ht="10.5" customHeight="1">
      <c r="A556" s="1"/>
      <c r="B556" s="185" t="s">
        <v>893</v>
      </c>
      <c r="C556" s="185"/>
      <c r="D556" s="185"/>
      <c r="E556" s="185"/>
      <c r="F556" s="185"/>
      <c r="G556" s="185"/>
      <c r="H556" s="185"/>
      <c r="I556" s="1"/>
      <c r="J556" s="1"/>
      <c r="K556" s="1"/>
      <c r="L556" s="1"/>
      <c r="M556" s="1"/>
      <c r="N556" s="1"/>
      <c r="O556" s="1"/>
      <c r="P556" s="1"/>
      <c r="Q556" s="1"/>
      <c r="R556" s="1"/>
      <c r="S556" s="1"/>
      <c r="T556" s="1"/>
      <c r="U556" s="1"/>
    </row>
    <row r="557" ht="10.5" customHeight="1">
      <c r="A557" s="1"/>
      <c r="B557" s="185" t="s">
        <v>586</v>
      </c>
      <c r="C557" s="185"/>
      <c r="D557" s="185"/>
      <c r="E557" s="185"/>
      <c r="F557" s="185"/>
      <c r="G557" s="185"/>
      <c r="H557" s="185"/>
      <c r="I557" s="1"/>
      <c r="J557" s="1"/>
      <c r="K557" s="1"/>
      <c r="L557" s="1"/>
      <c r="M557" s="1"/>
      <c r="N557" s="1"/>
      <c r="O557" s="1"/>
      <c r="P557" s="1"/>
      <c r="Q557" s="1"/>
      <c r="R557" s="1"/>
      <c r="S557" s="1"/>
      <c r="T557" s="1"/>
      <c r="U557" s="1"/>
    </row>
    <row r="558" ht="10.5" customHeight="1">
      <c r="A558" s="1"/>
      <c r="B558" s="185" t="s">
        <v>587</v>
      </c>
      <c r="C558" s="185"/>
      <c r="D558" s="185"/>
      <c r="E558" s="185"/>
      <c r="F558" s="185"/>
      <c r="G558" s="185"/>
      <c r="H558" s="185"/>
      <c r="I558" s="1"/>
      <c r="J558" s="1"/>
      <c r="K558" s="1"/>
      <c r="L558" s="1"/>
      <c r="M558" s="1"/>
      <c r="N558" s="1"/>
      <c r="O558" s="1"/>
      <c r="P558" s="1"/>
      <c r="Q558" s="1"/>
      <c r="R558" s="1"/>
      <c r="S558" s="1"/>
      <c r="T558" s="1"/>
      <c r="U558" s="1"/>
    </row>
    <row r="559" ht="10.5" customHeight="1">
      <c r="A559" s="1"/>
      <c r="B559" s="185" t="s">
        <v>590</v>
      </c>
      <c r="C559" s="185"/>
      <c r="D559" s="185"/>
      <c r="E559" s="185"/>
      <c r="F559" s="185"/>
      <c r="G559" s="185"/>
      <c r="H559" s="185"/>
      <c r="I559" s="1"/>
      <c r="J559" s="1"/>
      <c r="K559" s="1"/>
      <c r="L559" s="1"/>
      <c r="M559" s="1"/>
      <c r="N559" s="1"/>
      <c r="O559" s="1"/>
      <c r="P559" s="1"/>
      <c r="Q559" s="1"/>
      <c r="R559" s="1"/>
      <c r="S559" s="1"/>
      <c r="T559" s="1"/>
      <c r="U559" s="1"/>
    </row>
    <row r="560" ht="10.5" customHeight="1">
      <c r="A560" s="1"/>
      <c r="B560" s="185" t="s">
        <v>591</v>
      </c>
      <c r="C560" s="185"/>
      <c r="D560" s="185"/>
      <c r="E560" s="185"/>
      <c r="F560" s="185"/>
      <c r="G560" s="185"/>
      <c r="H560" s="185"/>
      <c r="I560" s="1"/>
      <c r="J560" s="1"/>
      <c r="K560" s="1"/>
      <c r="L560" s="1"/>
      <c r="M560" s="1"/>
      <c r="N560" s="1"/>
      <c r="O560" s="1"/>
      <c r="P560" s="1"/>
      <c r="Q560" s="1"/>
      <c r="R560" s="1"/>
      <c r="S560" s="1"/>
      <c r="T560" s="1"/>
      <c r="U560" s="1"/>
    </row>
    <row r="561" ht="10.5" customHeight="1">
      <c r="A561" s="1"/>
      <c r="B561" s="311" t="s">
        <v>592</v>
      </c>
      <c r="I561" s="1"/>
      <c r="J561" s="1"/>
      <c r="K561" s="1"/>
      <c r="L561" s="1"/>
      <c r="M561" s="1"/>
      <c r="N561" s="1"/>
      <c r="O561" s="1"/>
      <c r="P561" s="1"/>
      <c r="Q561" s="1"/>
      <c r="R561" s="1"/>
      <c r="S561" s="1"/>
      <c r="T561" s="1"/>
      <c r="U561" s="1"/>
    </row>
    <row r="562" ht="10.5" customHeight="1">
      <c r="A562" s="1"/>
      <c r="B562" s="311" t="s">
        <v>594</v>
      </c>
      <c r="C562" s="311"/>
      <c r="D562" s="311"/>
      <c r="E562" s="311"/>
      <c r="F562" s="311"/>
      <c r="G562" s="311"/>
      <c r="H562" s="311"/>
      <c r="I562" s="1"/>
      <c r="J562" s="1"/>
      <c r="K562" s="1"/>
      <c r="L562" s="1"/>
      <c r="M562" s="1"/>
      <c r="N562" s="1"/>
      <c r="O562" s="1"/>
      <c r="P562" s="1"/>
      <c r="Q562" s="1"/>
      <c r="R562" s="1"/>
      <c r="S562" s="1"/>
      <c r="T562" s="1"/>
      <c r="U562" s="1"/>
    </row>
    <row r="563" ht="10.5" customHeight="1">
      <c r="A563" s="1"/>
      <c r="B563" s="311" t="s">
        <v>595</v>
      </c>
      <c r="C563" s="311"/>
      <c r="D563" s="311"/>
      <c r="E563" s="311"/>
      <c r="F563" s="311"/>
      <c r="G563" s="311"/>
      <c r="H563" s="311"/>
      <c r="I563" s="1"/>
      <c r="J563" s="1"/>
      <c r="K563" s="1"/>
      <c r="L563" s="1"/>
      <c r="M563" s="1"/>
      <c r="N563" s="1"/>
      <c r="O563" s="1"/>
      <c r="P563" s="1"/>
      <c r="Q563" s="1"/>
      <c r="R563" s="1"/>
      <c r="S563" s="1"/>
      <c r="T563" s="1"/>
      <c r="U563" s="1"/>
    </row>
    <row r="564" ht="10.5" customHeight="1">
      <c r="A564" s="1"/>
      <c r="B564" s="311" t="s">
        <v>894</v>
      </c>
      <c r="C564" s="311"/>
      <c r="D564" s="311"/>
      <c r="E564" s="311"/>
      <c r="F564" s="311"/>
      <c r="G564" s="311"/>
      <c r="H564" s="311"/>
      <c r="I564" s="1"/>
      <c r="J564" s="1"/>
      <c r="K564" s="1"/>
      <c r="L564" s="1"/>
      <c r="M564" s="1"/>
      <c r="N564" s="1"/>
      <c r="O564" s="1"/>
      <c r="P564" s="1"/>
      <c r="Q564" s="1"/>
      <c r="R564" s="1"/>
      <c r="S564" s="1"/>
      <c r="T564" s="1"/>
      <c r="U564" s="1"/>
    </row>
    <row r="565" ht="10.5" customHeight="1">
      <c r="A565" s="1"/>
      <c r="B565" s="185" t="s">
        <v>895</v>
      </c>
      <c r="C565" s="527"/>
      <c r="D565" s="527"/>
      <c r="E565" s="527"/>
      <c r="F565" s="527"/>
      <c r="G565" s="527"/>
      <c r="H565" s="527"/>
      <c r="I565" s="430"/>
      <c r="J565" s="430"/>
      <c r="K565" s="430"/>
      <c r="L565" s="430"/>
      <c r="M565" s="1"/>
      <c r="N565" s="1"/>
      <c r="O565" s="1"/>
      <c r="P565" s="1"/>
      <c r="Q565" s="1"/>
      <c r="R565" s="1"/>
      <c r="S565" s="1"/>
      <c r="T565" s="1"/>
      <c r="U565" s="1"/>
    </row>
    <row r="566" ht="10.5" customHeight="1">
      <c r="A566" s="1"/>
      <c r="B566" s="1"/>
      <c r="C566" s="430"/>
      <c r="D566" s="430"/>
      <c r="E566" s="430"/>
      <c r="F566" s="430"/>
      <c r="G566" s="430"/>
      <c r="H566" s="430"/>
      <c r="I566" s="430"/>
      <c r="J566" s="430"/>
      <c r="K566" s="430"/>
      <c r="L566" s="430"/>
      <c r="M566" s="1"/>
      <c r="N566" s="1"/>
      <c r="O566" s="1"/>
      <c r="P566" s="1"/>
      <c r="Q566" s="1"/>
      <c r="R566" s="1"/>
      <c r="S566" s="1"/>
      <c r="T566" s="1"/>
      <c r="U566" s="1"/>
    </row>
    <row r="567" ht="10.5" customHeight="1">
      <c r="A567" s="1"/>
      <c r="B567" s="1"/>
      <c r="C567" s="430"/>
      <c r="D567" s="430"/>
      <c r="E567" s="430"/>
      <c r="F567" s="430"/>
      <c r="G567" s="430"/>
      <c r="H567" s="430"/>
      <c r="I567" s="430"/>
      <c r="J567" s="430"/>
      <c r="K567" s="430"/>
      <c r="L567" s="430"/>
      <c r="M567" s="1"/>
      <c r="N567" s="1"/>
      <c r="O567" s="1"/>
      <c r="P567" s="1"/>
      <c r="Q567" s="1"/>
      <c r="R567" s="1"/>
      <c r="S567" s="1"/>
      <c r="T567" s="1"/>
      <c r="U567" s="1"/>
    </row>
    <row r="568" ht="10.5" customHeight="1">
      <c r="A568" s="1"/>
      <c r="B568" s="1"/>
      <c r="C568" s="430"/>
      <c r="D568" s="430"/>
      <c r="E568" s="430"/>
      <c r="F568" s="430"/>
      <c r="G568" s="430"/>
      <c r="H568" s="430"/>
      <c r="I568" s="430"/>
      <c r="J568" s="430"/>
      <c r="K568" s="430"/>
      <c r="L568" s="430"/>
      <c r="M568" s="1"/>
      <c r="N568" s="1"/>
      <c r="O568" s="1"/>
      <c r="P568" s="1"/>
      <c r="Q568" s="1"/>
      <c r="R568" s="1"/>
      <c r="S568" s="1"/>
      <c r="T568" s="1"/>
      <c r="U568" s="1"/>
    </row>
    <row r="569" ht="10.5" customHeight="1">
      <c r="A569" s="1"/>
      <c r="B569" s="1"/>
      <c r="C569" s="430"/>
      <c r="D569" s="430"/>
      <c r="E569" s="430"/>
      <c r="F569" s="430"/>
      <c r="G569" s="430"/>
      <c r="H569" s="430"/>
      <c r="I569" s="430"/>
      <c r="J569" s="430"/>
      <c r="K569" s="430"/>
      <c r="L569" s="430"/>
      <c r="M569" s="1"/>
      <c r="N569" s="1"/>
      <c r="O569" s="1"/>
      <c r="P569" s="1"/>
      <c r="Q569" s="1"/>
      <c r="R569" s="1"/>
      <c r="S569" s="1"/>
      <c r="T569" s="1"/>
      <c r="U569" s="1"/>
    </row>
    <row r="570" ht="10.5" customHeight="1">
      <c r="A570" s="1"/>
      <c r="B570" s="1"/>
      <c r="C570" s="430"/>
      <c r="D570" s="430"/>
      <c r="E570" s="430"/>
      <c r="F570" s="430"/>
      <c r="G570" s="430"/>
      <c r="H570" s="430"/>
      <c r="I570" s="430"/>
      <c r="J570" s="430"/>
      <c r="K570" s="430"/>
      <c r="L570" s="430"/>
      <c r="M570" s="1"/>
      <c r="N570" s="1"/>
      <c r="O570" s="1"/>
      <c r="P570" s="1"/>
      <c r="Q570" s="1"/>
      <c r="R570" s="1"/>
      <c r="S570" s="1"/>
      <c r="T570" s="1"/>
      <c r="U570" s="1"/>
    </row>
    <row r="571" ht="10.5" customHeight="1">
      <c r="A571" s="1"/>
      <c r="B571" s="1"/>
      <c r="C571" s="430"/>
      <c r="D571" s="430"/>
      <c r="E571" s="430"/>
      <c r="F571" s="430"/>
      <c r="G571" s="430"/>
      <c r="H571" s="430"/>
      <c r="I571" s="430"/>
      <c r="J571" s="430"/>
      <c r="K571" s="430"/>
      <c r="L571" s="430"/>
      <c r="M571" s="1"/>
      <c r="N571" s="1"/>
      <c r="O571" s="1"/>
      <c r="P571" s="1"/>
      <c r="Q571" s="1"/>
      <c r="R571" s="1"/>
      <c r="S571" s="1"/>
      <c r="T571" s="1"/>
      <c r="U571" s="1"/>
    </row>
    <row r="572" ht="10.5" customHeight="1">
      <c r="A572" s="1"/>
      <c r="B572" s="1"/>
      <c r="C572" s="430"/>
      <c r="D572" s="430"/>
      <c r="E572" s="430"/>
      <c r="F572" s="430"/>
      <c r="G572" s="430"/>
      <c r="H572" s="430"/>
      <c r="I572" s="430"/>
      <c r="J572" s="430"/>
      <c r="K572" s="430"/>
      <c r="L572" s="430"/>
      <c r="M572" s="1"/>
      <c r="N572" s="1"/>
      <c r="O572" s="1"/>
      <c r="P572" s="1"/>
      <c r="Q572" s="1"/>
      <c r="R572" s="1"/>
      <c r="S572" s="1"/>
      <c r="T572" s="1"/>
      <c r="U572" s="1"/>
    </row>
    <row r="573" ht="10.5" customHeight="1">
      <c r="A573" s="1"/>
      <c r="B573" s="1"/>
      <c r="C573" s="430"/>
      <c r="D573" s="430"/>
      <c r="E573" s="430"/>
      <c r="F573" s="430"/>
      <c r="G573" s="430"/>
      <c r="H573" s="430"/>
      <c r="I573" s="430"/>
      <c r="J573" s="430"/>
      <c r="K573" s="430"/>
      <c r="L573" s="430"/>
      <c r="M573" s="1"/>
      <c r="N573" s="1"/>
      <c r="O573" s="1"/>
      <c r="P573" s="1"/>
      <c r="Q573" s="1"/>
      <c r="R573" s="1"/>
      <c r="S573" s="1"/>
      <c r="T573" s="1"/>
      <c r="U573" s="1"/>
    </row>
    <row r="574" ht="10.5" customHeight="1">
      <c r="A574" s="1"/>
      <c r="B574" s="1"/>
      <c r="C574" s="430"/>
      <c r="D574" s="430"/>
      <c r="E574" s="430"/>
      <c r="F574" s="430"/>
      <c r="G574" s="430"/>
      <c r="H574" s="430"/>
      <c r="I574" s="430"/>
      <c r="J574" s="430"/>
      <c r="K574" s="430"/>
      <c r="L574" s="430"/>
      <c r="M574" s="1"/>
      <c r="N574" s="1"/>
      <c r="O574" s="1"/>
      <c r="P574" s="1"/>
      <c r="Q574" s="1"/>
      <c r="R574" s="1"/>
      <c r="S574" s="1"/>
      <c r="T574" s="1"/>
      <c r="U574" s="1"/>
    </row>
    <row r="575" ht="11.25" customHeight="1">
      <c r="A575" s="1"/>
      <c r="B575" s="1" t="s">
        <v>897</v>
      </c>
      <c r="C575" s="1"/>
      <c r="D575" s="1"/>
      <c r="E575" s="1"/>
      <c r="F575" s="1"/>
      <c r="G575" s="1"/>
      <c r="H575" s="1"/>
      <c r="I575" s="1"/>
      <c r="J575" s="1"/>
      <c r="K575" s="1"/>
      <c r="L575" s="1"/>
      <c r="M575" s="1"/>
      <c r="N575" s="1"/>
      <c r="O575" s="1"/>
      <c r="P575" s="1"/>
      <c r="Q575" s="1"/>
      <c r="R575" s="1"/>
      <c r="S575" s="1"/>
      <c r="T575" s="1"/>
      <c r="U575" s="1"/>
    </row>
    <row r="576" ht="11.25" customHeight="1">
      <c r="A576" s="1"/>
      <c r="B576" s="29" t="s">
        <v>839</v>
      </c>
      <c r="C576" s="128" t="s">
        <v>900</v>
      </c>
      <c r="D576" s="9"/>
      <c r="E576" s="9"/>
      <c r="F576" s="9"/>
      <c r="G576" s="9"/>
      <c r="H576" s="9"/>
      <c r="I576" s="9"/>
      <c r="J576" s="10"/>
      <c r="K576" s="128" t="s">
        <v>901</v>
      </c>
      <c r="L576" s="10"/>
      <c r="M576" s="1"/>
      <c r="N576" s="1"/>
      <c r="O576" s="1"/>
      <c r="P576" s="1"/>
      <c r="Q576" s="1"/>
      <c r="R576" s="1"/>
      <c r="S576" s="1"/>
      <c r="T576" s="1"/>
      <c r="U576" s="1"/>
    </row>
    <row r="577" ht="11.25" customHeight="1">
      <c r="A577" s="1"/>
      <c r="B577" s="5"/>
      <c r="C577" s="31" t="s">
        <v>508</v>
      </c>
      <c r="D577" s="31" t="s">
        <v>640</v>
      </c>
      <c r="E577" s="128" t="s">
        <v>902</v>
      </c>
      <c r="F577" s="9"/>
      <c r="G577" s="9"/>
      <c r="H577" s="9"/>
      <c r="I577" s="9"/>
      <c r="J577" s="10"/>
      <c r="K577" s="31" t="s">
        <v>850</v>
      </c>
      <c r="L577" s="538" t="s">
        <v>640</v>
      </c>
      <c r="M577" s="1"/>
      <c r="N577" s="1"/>
      <c r="O577" s="1"/>
      <c r="P577" s="1"/>
      <c r="Q577" s="1"/>
      <c r="R577" s="1"/>
      <c r="S577" s="1"/>
      <c r="T577" s="1"/>
      <c r="U577" s="1"/>
    </row>
    <row r="578" ht="11.25" customHeight="1">
      <c r="A578" s="1"/>
      <c r="B578" s="5"/>
      <c r="C578" s="5"/>
      <c r="D578" s="5"/>
      <c r="E578" s="128" t="s">
        <v>903</v>
      </c>
      <c r="F578" s="10"/>
      <c r="G578" s="128" t="s">
        <v>904</v>
      </c>
      <c r="H578" s="10"/>
      <c r="I578" s="128" t="s">
        <v>905</v>
      </c>
      <c r="J578" s="10"/>
      <c r="K578" s="5"/>
      <c r="L578" s="87"/>
      <c r="M578" s="1"/>
      <c r="N578" s="1"/>
      <c r="O578" s="1"/>
      <c r="P578" s="1"/>
      <c r="Q578" s="1"/>
      <c r="R578" s="1"/>
      <c r="S578" s="1"/>
      <c r="T578" s="1"/>
      <c r="U578" s="1"/>
    </row>
    <row r="579" ht="23.25" customHeight="1">
      <c r="A579" s="1"/>
      <c r="B579" s="5"/>
      <c r="C579" s="6"/>
      <c r="D579" s="6"/>
      <c r="E579" s="7" t="s">
        <v>514</v>
      </c>
      <c r="F579" s="7" t="s">
        <v>515</v>
      </c>
      <c r="G579" s="7" t="s">
        <v>514</v>
      </c>
      <c r="H579" s="7" t="s">
        <v>515</v>
      </c>
      <c r="I579" s="7" t="s">
        <v>514</v>
      </c>
      <c r="J579" s="7" t="s">
        <v>515</v>
      </c>
      <c r="K579" s="6"/>
      <c r="L579" s="94"/>
      <c r="M579" s="1"/>
      <c r="N579" s="1"/>
      <c r="O579" s="1"/>
      <c r="P579" s="1"/>
      <c r="Q579" s="1"/>
      <c r="R579" s="1"/>
      <c r="S579" s="1"/>
      <c r="T579" s="1"/>
      <c r="U579" s="1"/>
    </row>
    <row r="580" ht="11.25" customHeight="1">
      <c r="A580" s="1"/>
      <c r="B580" s="6"/>
      <c r="C580" s="134" t="s">
        <v>520</v>
      </c>
      <c r="D580" s="40" t="s">
        <v>50</v>
      </c>
      <c r="E580" s="134" t="s">
        <v>520</v>
      </c>
      <c r="F580" s="134" t="s">
        <v>52</v>
      </c>
      <c r="G580" s="134" t="s">
        <v>520</v>
      </c>
      <c r="H580" s="134" t="s">
        <v>52</v>
      </c>
      <c r="I580" s="134" t="s">
        <v>520</v>
      </c>
      <c r="J580" s="134" t="s">
        <v>52</v>
      </c>
      <c r="K580" s="134" t="s">
        <v>520</v>
      </c>
      <c r="L580" s="134" t="s">
        <v>50</v>
      </c>
      <c r="M580" s="1"/>
      <c r="N580" s="1"/>
      <c r="O580" s="1"/>
      <c r="P580" s="1"/>
      <c r="Q580" s="1"/>
      <c r="R580" s="1"/>
      <c r="S580" s="1"/>
      <c r="T580" s="1"/>
      <c r="U580" s="1"/>
    </row>
    <row r="581" ht="10.5" customHeight="1">
      <c r="A581" s="1"/>
      <c r="B581" s="540" t="s">
        <v>56</v>
      </c>
      <c r="C581" s="177">
        <v>49183.0</v>
      </c>
      <c r="D581" s="541">
        <v>6354.0</v>
      </c>
      <c r="E581" s="177">
        <v>22255.0</v>
      </c>
      <c r="F581" s="177">
        <v>100.0</v>
      </c>
      <c r="G581" s="177">
        <v>12177.0</v>
      </c>
      <c r="H581" s="542">
        <v>169.0</v>
      </c>
      <c r="I581" s="177">
        <v>2401.0</v>
      </c>
      <c r="J581" s="543">
        <v>248.0</v>
      </c>
      <c r="K581" s="177">
        <v>3351.0</v>
      </c>
      <c r="L581" s="177">
        <v>1580.0</v>
      </c>
      <c r="M581" s="1"/>
      <c r="N581" s="1"/>
      <c r="O581" s="1"/>
      <c r="P581" s="1"/>
      <c r="Q581" s="1"/>
      <c r="R581" s="1"/>
      <c r="S581" s="1"/>
      <c r="T581" s="1"/>
      <c r="U581" s="1"/>
    </row>
    <row r="582" ht="10.5" customHeight="1">
      <c r="A582" s="1"/>
      <c r="B582" s="540" t="s">
        <v>81</v>
      </c>
      <c r="C582" s="177">
        <v>49415.0</v>
      </c>
      <c r="D582" s="541">
        <v>8194.0</v>
      </c>
      <c r="E582" s="177">
        <v>21199.0</v>
      </c>
      <c r="F582" s="177">
        <v>133.0</v>
      </c>
      <c r="G582" s="177">
        <v>14004.0</v>
      </c>
      <c r="H582" s="542">
        <v>205.0</v>
      </c>
      <c r="I582" s="177">
        <v>2320.0</v>
      </c>
      <c r="J582" s="543">
        <v>374.0</v>
      </c>
      <c r="K582" s="177">
        <v>3537.0</v>
      </c>
      <c r="L582" s="177">
        <v>1725.0</v>
      </c>
      <c r="M582" s="1"/>
      <c r="N582" s="1"/>
      <c r="O582" s="1"/>
      <c r="P582" s="1"/>
      <c r="Q582" s="1"/>
      <c r="R582" s="1"/>
      <c r="S582" s="1"/>
      <c r="T582" s="1"/>
      <c r="U582" s="1"/>
    </row>
    <row r="583" ht="10.5" customHeight="1">
      <c r="A583" s="1"/>
      <c r="B583" s="540" t="s">
        <v>86</v>
      </c>
      <c r="C583" s="177">
        <v>60986.0</v>
      </c>
      <c r="D583" s="541">
        <v>12548.0</v>
      </c>
      <c r="E583" s="177">
        <v>27687.0</v>
      </c>
      <c r="F583" s="177">
        <v>161.0</v>
      </c>
      <c r="G583" s="177">
        <v>15709.0</v>
      </c>
      <c r="H583" s="542">
        <v>253.0</v>
      </c>
      <c r="I583" s="177">
        <v>2905.0</v>
      </c>
      <c r="J583" s="543">
        <v>354.0</v>
      </c>
      <c r="K583" s="177">
        <v>3430.0</v>
      </c>
      <c r="L583" s="177">
        <v>1699.0</v>
      </c>
      <c r="M583" s="1"/>
      <c r="N583" s="1"/>
      <c r="O583" s="1"/>
      <c r="P583" s="1"/>
      <c r="Q583" s="1"/>
      <c r="R583" s="1"/>
      <c r="S583" s="1"/>
      <c r="T583" s="1"/>
      <c r="U583" s="1"/>
    </row>
    <row r="584" ht="10.5" customHeight="1">
      <c r="A584" s="1"/>
      <c r="B584" s="540" t="s">
        <v>87</v>
      </c>
      <c r="C584" s="177">
        <v>77876.0</v>
      </c>
      <c r="D584" s="541">
        <v>13389.0</v>
      </c>
      <c r="E584" s="177">
        <v>37742.0</v>
      </c>
      <c r="F584" s="177">
        <v>147.0</v>
      </c>
      <c r="G584" s="177">
        <v>18719.0</v>
      </c>
      <c r="H584" s="542">
        <v>252.0</v>
      </c>
      <c r="I584" s="177">
        <v>3361.0</v>
      </c>
      <c r="J584" s="543">
        <v>350.0</v>
      </c>
      <c r="K584" s="177">
        <v>1964.0</v>
      </c>
      <c r="L584" s="177">
        <v>2012.0</v>
      </c>
      <c r="M584" s="1"/>
      <c r="N584" s="1"/>
      <c r="O584" s="1"/>
      <c r="P584" s="1"/>
      <c r="Q584" s="1"/>
      <c r="R584" s="1"/>
      <c r="S584" s="1"/>
      <c r="T584" s="1"/>
      <c r="U584" s="1"/>
    </row>
    <row r="585" ht="10.5" customHeight="1">
      <c r="A585" s="1"/>
      <c r="B585" s="540" t="s">
        <v>90</v>
      </c>
      <c r="C585" s="177">
        <v>77913.0</v>
      </c>
      <c r="D585" s="541">
        <v>13748.0</v>
      </c>
      <c r="E585" s="177">
        <v>38645.0</v>
      </c>
      <c r="F585" s="177">
        <v>154.0</v>
      </c>
      <c r="G585" s="177">
        <v>18773.0</v>
      </c>
      <c r="H585" s="542">
        <v>251.0</v>
      </c>
      <c r="I585" s="177">
        <v>2549.0</v>
      </c>
      <c r="J585" s="543">
        <v>438.0</v>
      </c>
      <c r="K585" s="177">
        <v>3390.0</v>
      </c>
      <c r="L585" s="177">
        <v>2200.0</v>
      </c>
      <c r="M585" s="1"/>
      <c r="N585" s="1"/>
      <c r="O585" s="1"/>
      <c r="P585" s="1"/>
      <c r="Q585" s="1"/>
      <c r="R585" s="1"/>
      <c r="S585" s="1"/>
      <c r="T585" s="1"/>
      <c r="U585" s="1"/>
    </row>
    <row r="586" ht="10.5" customHeight="1">
      <c r="A586" s="1"/>
      <c r="B586" s="540"/>
      <c r="C586" s="177"/>
      <c r="D586" s="546"/>
      <c r="E586" s="177"/>
      <c r="F586" s="177"/>
      <c r="G586" s="177"/>
      <c r="H586" s="542"/>
      <c r="I586" s="177"/>
      <c r="J586" s="543"/>
      <c r="K586" s="177"/>
      <c r="L586" s="177"/>
      <c r="M586" s="1"/>
      <c r="N586" s="1"/>
      <c r="O586" s="1"/>
      <c r="P586" s="1"/>
      <c r="Q586" s="1"/>
      <c r="R586" s="1"/>
      <c r="S586" s="1"/>
      <c r="T586" s="1"/>
      <c r="U586" s="1"/>
    </row>
    <row r="587" ht="10.5" customHeight="1">
      <c r="A587" s="1"/>
      <c r="B587" s="540" t="s">
        <v>93</v>
      </c>
      <c r="C587" s="177">
        <v>79636.0</v>
      </c>
      <c r="D587" s="541">
        <v>18084.0</v>
      </c>
      <c r="E587" s="177">
        <v>38355.0</v>
      </c>
      <c r="F587" s="177">
        <v>162.0</v>
      </c>
      <c r="G587" s="177">
        <v>19137.0</v>
      </c>
      <c r="H587" s="542">
        <v>304.0</v>
      </c>
      <c r="I587" s="177">
        <v>2461.0</v>
      </c>
      <c r="J587" s="543">
        <v>478.0</v>
      </c>
      <c r="K587" s="177">
        <v>3565.0</v>
      </c>
      <c r="L587" s="177">
        <v>2250.0</v>
      </c>
      <c r="M587" s="1"/>
      <c r="N587" s="1"/>
      <c r="O587" s="1"/>
      <c r="P587" s="1"/>
      <c r="Q587" s="1"/>
      <c r="R587" s="1"/>
      <c r="S587" s="1"/>
      <c r="T587" s="1"/>
      <c r="U587" s="1"/>
    </row>
    <row r="588" ht="10.5" customHeight="1">
      <c r="A588" s="1"/>
      <c r="B588" s="540" t="s">
        <v>97</v>
      </c>
      <c r="C588" s="177">
        <v>79552.0</v>
      </c>
      <c r="D588" s="541">
        <v>18324.0</v>
      </c>
      <c r="E588" s="177">
        <v>31712.0</v>
      </c>
      <c r="F588" s="177">
        <v>201.0</v>
      </c>
      <c r="G588" s="177">
        <v>20373.0</v>
      </c>
      <c r="H588" s="542">
        <v>331.0</v>
      </c>
      <c r="I588" s="177">
        <v>3812.0</v>
      </c>
      <c r="J588" s="543">
        <v>431.0</v>
      </c>
      <c r="K588" s="177">
        <v>3636.0</v>
      </c>
      <c r="L588" s="177">
        <v>3416.0</v>
      </c>
      <c r="M588" s="1"/>
      <c r="N588" s="1"/>
      <c r="O588" s="1"/>
      <c r="P588" s="1"/>
      <c r="Q588" s="1"/>
      <c r="R588" s="1"/>
      <c r="S588" s="1"/>
      <c r="T588" s="1"/>
      <c r="U588" s="1"/>
    </row>
    <row r="589" ht="10.5" customHeight="1">
      <c r="A589" s="1"/>
      <c r="B589" s="540" t="s">
        <v>101</v>
      </c>
      <c r="C589" s="177">
        <v>80484.0</v>
      </c>
      <c r="D589" s="541">
        <v>24333.0</v>
      </c>
      <c r="E589" s="177">
        <v>35578.0</v>
      </c>
      <c r="F589" s="177">
        <v>208.0</v>
      </c>
      <c r="G589" s="177">
        <v>17017.0</v>
      </c>
      <c r="H589" s="542">
        <v>414.0</v>
      </c>
      <c r="I589" s="177">
        <v>2242.0</v>
      </c>
      <c r="J589" s="543">
        <v>713.0</v>
      </c>
      <c r="K589" s="177">
        <v>5117.0</v>
      </c>
      <c r="L589" s="177">
        <v>8369.0</v>
      </c>
      <c r="M589" s="1"/>
      <c r="N589" s="1"/>
      <c r="O589" s="1"/>
      <c r="P589" s="1"/>
      <c r="Q589" s="1"/>
      <c r="R589" s="1"/>
      <c r="S589" s="1"/>
      <c r="T589" s="1"/>
      <c r="U589" s="1"/>
    </row>
    <row r="590" ht="10.5" customHeight="1">
      <c r="A590" s="1"/>
      <c r="B590" s="540" t="s">
        <v>103</v>
      </c>
      <c r="C590" s="177">
        <v>83406.0</v>
      </c>
      <c r="D590" s="541">
        <v>28385.0</v>
      </c>
      <c r="E590" s="177">
        <v>39743.0</v>
      </c>
      <c r="F590" s="177">
        <v>207.0</v>
      </c>
      <c r="G590" s="177">
        <v>16806.0</v>
      </c>
      <c r="H590" s="542">
        <v>453.0</v>
      </c>
      <c r="I590" s="177">
        <v>3569.0</v>
      </c>
      <c r="J590" s="543">
        <v>750.0</v>
      </c>
      <c r="K590" s="177">
        <v>5412.0</v>
      </c>
      <c r="L590" s="177">
        <v>10476.0</v>
      </c>
      <c r="M590" s="1"/>
      <c r="N590" s="1"/>
      <c r="O590" s="1"/>
      <c r="P590" s="1"/>
      <c r="Q590" s="1"/>
      <c r="R590" s="1"/>
      <c r="S590" s="1"/>
      <c r="T590" s="1"/>
      <c r="U590" s="1"/>
    </row>
    <row r="591" ht="10.5" customHeight="1">
      <c r="A591" s="1"/>
      <c r="B591" s="540" t="s">
        <v>104</v>
      </c>
      <c r="C591" s="177">
        <v>72689.0</v>
      </c>
      <c r="D591" s="541">
        <v>34032.0</v>
      </c>
      <c r="E591" s="177">
        <v>30053.0</v>
      </c>
      <c r="F591" s="177">
        <v>341.0</v>
      </c>
      <c r="G591" s="177">
        <v>16699.0</v>
      </c>
      <c r="H591" s="542">
        <v>590.0</v>
      </c>
      <c r="I591" s="177">
        <v>3800.0</v>
      </c>
      <c r="J591" s="543">
        <v>833.0</v>
      </c>
      <c r="K591" s="177">
        <v>7316.0</v>
      </c>
      <c r="L591" s="177">
        <v>14776.0</v>
      </c>
      <c r="M591" s="1"/>
      <c r="N591" s="1"/>
      <c r="O591" s="1"/>
      <c r="P591" s="1"/>
      <c r="Q591" s="1"/>
      <c r="R591" s="1"/>
      <c r="S591" s="1"/>
      <c r="T591" s="1"/>
      <c r="U591" s="1"/>
    </row>
    <row r="592" ht="10.5" customHeight="1">
      <c r="A592" s="1"/>
      <c r="B592" s="540"/>
      <c r="C592" s="177"/>
      <c r="D592" s="546"/>
      <c r="E592" s="177"/>
      <c r="F592" s="177"/>
      <c r="G592" s="177"/>
      <c r="H592" s="542"/>
      <c r="I592" s="177"/>
      <c r="J592" s="543"/>
      <c r="K592" s="177"/>
      <c r="L592" s="177"/>
      <c r="M592" s="1"/>
      <c r="N592" s="1"/>
      <c r="O592" s="1"/>
      <c r="P592" s="1"/>
      <c r="Q592" s="1"/>
      <c r="R592" s="1"/>
      <c r="S592" s="1"/>
      <c r="T592" s="1"/>
      <c r="U592" s="1"/>
    </row>
    <row r="593" ht="10.5" customHeight="1">
      <c r="A593" s="1"/>
      <c r="B593" s="540" t="s">
        <v>108</v>
      </c>
      <c r="C593" s="177">
        <v>70471.0</v>
      </c>
      <c r="D593" s="541">
        <v>36723.0</v>
      </c>
      <c r="E593" s="177">
        <v>30254.0</v>
      </c>
      <c r="F593" s="177">
        <v>420.0</v>
      </c>
      <c r="G593" s="177">
        <v>15731.0</v>
      </c>
      <c r="H593" s="542">
        <v>677.0</v>
      </c>
      <c r="I593" s="177">
        <v>3136.0</v>
      </c>
      <c r="J593" s="543">
        <v>1088.0</v>
      </c>
      <c r="K593" s="177">
        <v>7974.0</v>
      </c>
      <c r="L593" s="177">
        <v>14545.0</v>
      </c>
      <c r="M593" s="1"/>
      <c r="N593" s="1"/>
      <c r="O593" s="1"/>
      <c r="P593" s="1"/>
      <c r="Q593" s="1"/>
      <c r="R593" s="1"/>
      <c r="S593" s="1"/>
      <c r="T593" s="1"/>
      <c r="U593" s="1"/>
    </row>
    <row r="594" ht="10.5" customHeight="1">
      <c r="A594" s="1"/>
      <c r="B594" s="540" t="s">
        <v>111</v>
      </c>
      <c r="C594" s="177">
        <v>80518.0</v>
      </c>
      <c r="D594" s="541">
        <v>43561.0</v>
      </c>
      <c r="E594" s="177">
        <v>34783.0</v>
      </c>
      <c r="F594" s="177">
        <v>457.0</v>
      </c>
      <c r="G594" s="177">
        <v>17480.0</v>
      </c>
      <c r="H594" s="542">
        <v>723.0</v>
      </c>
      <c r="I594" s="177">
        <v>3728.0</v>
      </c>
      <c r="J594" s="543">
        <v>1107.0</v>
      </c>
      <c r="K594" s="177">
        <v>9047.0</v>
      </c>
      <c r="L594" s="177">
        <v>19853.0</v>
      </c>
      <c r="M594" s="1"/>
      <c r="N594" s="1"/>
      <c r="O594" s="1"/>
      <c r="P594" s="1"/>
      <c r="Q594" s="1"/>
      <c r="R594" s="1"/>
      <c r="S594" s="1"/>
      <c r="T594" s="1"/>
      <c r="U594" s="1"/>
    </row>
    <row r="595" ht="10.5" customHeight="1">
      <c r="A595" s="342">
        <v>43.0</v>
      </c>
      <c r="B595" s="540" t="s">
        <v>112</v>
      </c>
      <c r="C595" s="177">
        <v>85119.0</v>
      </c>
      <c r="D595" s="541">
        <v>53379.0</v>
      </c>
      <c r="E595" s="177">
        <v>39204.0</v>
      </c>
      <c r="F595" s="177">
        <v>473.0</v>
      </c>
      <c r="G595" s="177">
        <v>17523.0</v>
      </c>
      <c r="H595" s="542">
        <v>752.0</v>
      </c>
      <c r="I595" s="177">
        <v>4014.0</v>
      </c>
      <c r="J595" s="543">
        <v>1085.0</v>
      </c>
      <c r="K595" s="177">
        <v>8055.0</v>
      </c>
      <c r="L595" s="177">
        <v>20901.0</v>
      </c>
      <c r="M595" s="1"/>
      <c r="N595" s="1"/>
      <c r="O595" s="1"/>
      <c r="P595" s="1"/>
      <c r="Q595" s="1"/>
      <c r="R595" s="1"/>
      <c r="S595" s="1"/>
      <c r="T595" s="1"/>
      <c r="U595" s="1"/>
    </row>
    <row r="596" ht="10.5" customHeight="1">
      <c r="A596" s="87"/>
      <c r="B596" s="540" t="s">
        <v>113</v>
      </c>
      <c r="C596" s="177">
        <v>90454.0</v>
      </c>
      <c r="D596" s="541">
        <v>53688.0</v>
      </c>
      <c r="E596" s="177">
        <v>40691.0</v>
      </c>
      <c r="F596" s="177">
        <v>463.0</v>
      </c>
      <c r="G596" s="177">
        <v>17034.0</v>
      </c>
      <c r="H596" s="542">
        <v>747.0</v>
      </c>
      <c r="I596" s="177">
        <v>5470.0</v>
      </c>
      <c r="J596" s="543">
        <v>827.0</v>
      </c>
      <c r="K596" s="177">
        <v>6944.0</v>
      </c>
      <c r="L596" s="177">
        <v>21237.0</v>
      </c>
      <c r="M596" s="1"/>
      <c r="N596" s="1"/>
      <c r="O596" s="1"/>
      <c r="P596" s="1"/>
      <c r="Q596" s="1"/>
      <c r="R596" s="1"/>
      <c r="S596" s="1"/>
      <c r="T596" s="1"/>
      <c r="U596" s="1"/>
    </row>
    <row r="597" ht="10.5" customHeight="1">
      <c r="A597" s="1"/>
      <c r="B597" s="540" t="s">
        <v>114</v>
      </c>
      <c r="C597" s="177">
        <v>89555.0</v>
      </c>
      <c r="D597" s="541">
        <v>54478.0</v>
      </c>
      <c r="E597" s="177">
        <v>37990.0</v>
      </c>
      <c r="F597" s="177">
        <v>575.0</v>
      </c>
      <c r="G597" s="177">
        <v>20490.0</v>
      </c>
      <c r="H597" s="543">
        <v>742.0</v>
      </c>
      <c r="I597" s="177">
        <v>5340.0</v>
      </c>
      <c r="J597" s="543">
        <v>1050.0</v>
      </c>
      <c r="K597" s="177">
        <v>5015.0</v>
      </c>
      <c r="L597" s="177">
        <v>15429.0</v>
      </c>
      <c r="M597" s="1"/>
      <c r="N597" s="1"/>
      <c r="O597" s="1"/>
      <c r="P597" s="1"/>
      <c r="Q597" s="1"/>
      <c r="R597" s="1"/>
      <c r="S597" s="1"/>
      <c r="T597" s="1"/>
      <c r="U597" s="1"/>
    </row>
    <row r="598" ht="10.5" customHeight="1">
      <c r="A598" s="1"/>
      <c r="B598" s="540"/>
      <c r="C598" s="177"/>
      <c r="D598" s="546"/>
      <c r="E598" s="177"/>
      <c r="F598" s="177"/>
      <c r="G598" s="177"/>
      <c r="H598" s="543"/>
      <c r="I598" s="177"/>
      <c r="J598" s="543"/>
      <c r="K598" s="177"/>
      <c r="L598" s="177"/>
      <c r="M598" s="1"/>
      <c r="N598" s="1"/>
      <c r="O598" s="1"/>
      <c r="P598" s="1"/>
      <c r="Q598" s="1"/>
      <c r="R598" s="1"/>
      <c r="S598" s="1"/>
      <c r="T598" s="1"/>
      <c r="U598" s="1"/>
    </row>
    <row r="599" ht="10.5" customHeight="1">
      <c r="A599" s="1"/>
      <c r="B599" s="540" t="s">
        <v>115</v>
      </c>
      <c r="C599" s="177">
        <v>77188.0</v>
      </c>
      <c r="D599" s="541">
        <v>62064.0</v>
      </c>
      <c r="E599" s="177">
        <v>36163.0</v>
      </c>
      <c r="F599" s="177">
        <v>628.0</v>
      </c>
      <c r="G599" s="177">
        <v>13210.0</v>
      </c>
      <c r="H599" s="543">
        <v>1053.0</v>
      </c>
      <c r="I599" s="177">
        <v>4610.0</v>
      </c>
      <c r="J599" s="543">
        <v>1340.0</v>
      </c>
      <c r="K599" s="177">
        <v>5552.0</v>
      </c>
      <c r="L599" s="177">
        <v>16646.0</v>
      </c>
      <c r="M599" s="1"/>
      <c r="N599" s="1"/>
      <c r="O599" s="1"/>
      <c r="P599" s="1"/>
      <c r="Q599" s="1"/>
      <c r="R599" s="1"/>
      <c r="S599" s="1"/>
      <c r="T599" s="1"/>
      <c r="U599" s="1"/>
    </row>
    <row r="600" ht="10.5" customHeight="1">
      <c r="A600" s="1"/>
      <c r="B600" s="540" t="s">
        <v>117</v>
      </c>
      <c r="C600" s="177">
        <v>75989.0</v>
      </c>
      <c r="D600" s="541">
        <v>60009.0</v>
      </c>
      <c r="E600" s="177">
        <v>38498.0</v>
      </c>
      <c r="F600" s="177">
        <v>634.0</v>
      </c>
      <c r="G600" s="177">
        <v>11988.0</v>
      </c>
      <c r="H600" s="543">
        <v>1336.0</v>
      </c>
      <c r="I600" s="177">
        <v>4564.0</v>
      </c>
      <c r="J600" s="543">
        <v>1590.0</v>
      </c>
      <c r="K600" s="177">
        <v>6819.0</v>
      </c>
      <c r="L600" s="177">
        <v>19715.0</v>
      </c>
      <c r="M600" s="1"/>
      <c r="N600" s="1"/>
      <c r="O600" s="1"/>
      <c r="P600" s="1"/>
      <c r="Q600" s="1"/>
      <c r="R600" s="1"/>
      <c r="S600" s="1"/>
      <c r="T600" s="1"/>
      <c r="U600" s="1"/>
    </row>
    <row r="601" ht="10.5" customHeight="1">
      <c r="A601" s="1"/>
      <c r="B601" s="540" t="s">
        <v>121</v>
      </c>
      <c r="C601" s="177">
        <v>75969.0</v>
      </c>
      <c r="D601" s="541">
        <v>73114.0</v>
      </c>
      <c r="E601" s="177">
        <v>37273.0</v>
      </c>
      <c r="F601" s="177">
        <v>750.0</v>
      </c>
      <c r="G601" s="177">
        <v>13656.0</v>
      </c>
      <c r="H601" s="543">
        <v>1529.0</v>
      </c>
      <c r="I601" s="177">
        <v>5043.0</v>
      </c>
      <c r="J601" s="543">
        <v>1960.0</v>
      </c>
      <c r="K601" s="177">
        <v>7952.0</v>
      </c>
      <c r="L601" s="177">
        <v>28610.0</v>
      </c>
      <c r="M601" s="1"/>
      <c r="N601" s="1"/>
      <c r="O601" s="1"/>
      <c r="P601" s="1"/>
      <c r="Q601" s="1"/>
      <c r="R601" s="1"/>
      <c r="S601" s="1"/>
      <c r="T601" s="1"/>
      <c r="U601" s="1"/>
    </row>
    <row r="602" ht="10.5" customHeight="1">
      <c r="A602" s="1"/>
      <c r="B602" s="553" t="s">
        <v>122</v>
      </c>
      <c r="C602" s="177">
        <v>99551.0</v>
      </c>
      <c r="D602" s="541">
        <v>79431.0</v>
      </c>
      <c r="E602" s="177">
        <v>51480.0</v>
      </c>
      <c r="F602" s="177">
        <v>662.0</v>
      </c>
      <c r="G602" s="177">
        <v>17326.0</v>
      </c>
      <c r="H602" s="543">
        <v>1273.0</v>
      </c>
      <c r="I602" s="177">
        <v>5399.0</v>
      </c>
      <c r="J602" s="543">
        <v>2002.0</v>
      </c>
      <c r="K602" s="177">
        <v>8930.0</v>
      </c>
      <c r="L602" s="177">
        <v>34808.0</v>
      </c>
      <c r="M602" s="1"/>
      <c r="N602" s="1"/>
      <c r="O602" s="1"/>
      <c r="P602" s="1"/>
      <c r="Q602" s="1"/>
      <c r="R602" s="1"/>
      <c r="S602" s="1"/>
      <c r="T602" s="1"/>
      <c r="U602" s="1"/>
    </row>
    <row r="603" ht="10.5" customHeight="1">
      <c r="A603" s="1"/>
      <c r="B603" s="553" t="s">
        <v>123</v>
      </c>
      <c r="C603" s="177">
        <v>85693.0</v>
      </c>
      <c r="D603" s="541">
        <v>69477.0</v>
      </c>
      <c r="E603" s="177">
        <v>48569.0</v>
      </c>
      <c r="F603" s="177">
        <v>672.0</v>
      </c>
      <c r="G603" s="177">
        <v>12870.0</v>
      </c>
      <c r="H603" s="543">
        <v>1463.0</v>
      </c>
      <c r="I603" s="177">
        <v>3822.0</v>
      </c>
      <c r="J603" s="543">
        <v>2280.0</v>
      </c>
      <c r="K603" s="177">
        <v>9376.0</v>
      </c>
      <c r="L603" s="177">
        <v>33732.0</v>
      </c>
      <c r="M603" s="1"/>
      <c r="N603" s="1"/>
      <c r="O603" s="1"/>
      <c r="P603" s="1"/>
      <c r="Q603" s="1"/>
      <c r="R603" s="1"/>
      <c r="S603" s="1"/>
      <c r="T603" s="1"/>
      <c r="U603" s="1"/>
    </row>
    <row r="604" ht="10.5" customHeight="1">
      <c r="A604" s="1"/>
      <c r="B604" s="540"/>
      <c r="C604" s="177"/>
      <c r="D604" s="546"/>
      <c r="E604" s="177"/>
      <c r="F604" s="177"/>
      <c r="G604" s="177"/>
      <c r="H604" s="543"/>
      <c r="I604" s="177"/>
      <c r="J604" s="543"/>
      <c r="K604" s="177"/>
      <c r="L604" s="177"/>
      <c r="M604" s="1"/>
      <c r="N604" s="1"/>
      <c r="O604" s="1"/>
      <c r="P604" s="1"/>
      <c r="Q604" s="1"/>
      <c r="R604" s="1"/>
      <c r="S604" s="1"/>
      <c r="T604" s="1"/>
      <c r="U604" s="1"/>
    </row>
    <row r="605" ht="10.5" customHeight="1">
      <c r="A605" s="1"/>
      <c r="B605" s="553" t="s">
        <v>125</v>
      </c>
      <c r="C605" s="177">
        <v>88915.0</v>
      </c>
      <c r="D605" s="541">
        <v>76150.0</v>
      </c>
      <c r="E605" s="177">
        <v>50454.0</v>
      </c>
      <c r="F605" s="177">
        <v>709.0</v>
      </c>
      <c r="G605" s="177">
        <v>13102.0</v>
      </c>
      <c r="H605" s="543">
        <v>1609.0</v>
      </c>
      <c r="I605" s="177">
        <v>4371.0</v>
      </c>
      <c r="J605" s="543">
        <v>2182.0</v>
      </c>
      <c r="K605" s="177">
        <v>12508.0</v>
      </c>
      <c r="L605" s="177">
        <v>48527.0</v>
      </c>
      <c r="M605" s="1"/>
      <c r="N605" s="1"/>
      <c r="O605" s="1"/>
      <c r="P605" s="1"/>
      <c r="Q605" s="1"/>
      <c r="R605" s="1"/>
      <c r="S605" s="1"/>
      <c r="T605" s="1"/>
      <c r="U605" s="1"/>
    </row>
    <row r="606" ht="10.5" customHeight="1">
      <c r="A606" s="1"/>
      <c r="B606" s="553" t="s">
        <v>127</v>
      </c>
      <c r="C606" s="178">
        <v>68656.0</v>
      </c>
      <c r="D606" s="172">
        <v>83510.0</v>
      </c>
      <c r="E606" s="178">
        <v>35869.0</v>
      </c>
      <c r="F606" s="178">
        <v>937.0</v>
      </c>
      <c r="G606" s="178">
        <v>11621.0</v>
      </c>
      <c r="H606" s="132">
        <v>2206.0</v>
      </c>
      <c r="I606" s="178">
        <v>3876.0</v>
      </c>
      <c r="J606" s="132">
        <v>2891.0</v>
      </c>
      <c r="K606" s="178">
        <v>14328.0</v>
      </c>
      <c r="L606" s="177">
        <v>70543.0</v>
      </c>
      <c r="M606" s="1"/>
      <c r="N606" s="1"/>
      <c r="O606" s="1"/>
      <c r="P606" s="1"/>
      <c r="Q606" s="1"/>
      <c r="R606" s="1"/>
      <c r="S606" s="1"/>
      <c r="T606" s="1"/>
      <c r="U606" s="1"/>
    </row>
    <row r="607" ht="10.5" customHeight="1">
      <c r="A607" s="1"/>
      <c r="B607" s="540" t="s">
        <v>128</v>
      </c>
      <c r="C607" s="178">
        <v>80348.0</v>
      </c>
      <c r="D607" s="172">
        <v>104244.0</v>
      </c>
      <c r="E607" s="178">
        <v>45608.0</v>
      </c>
      <c r="F607" s="178">
        <v>1118.0</v>
      </c>
      <c r="G607" s="178">
        <v>11283.0</v>
      </c>
      <c r="H607" s="132">
        <v>2539.0</v>
      </c>
      <c r="I607" s="178">
        <v>4026.0</v>
      </c>
      <c r="J607" s="132">
        <v>2997.0</v>
      </c>
      <c r="K607" s="178">
        <v>12943.0</v>
      </c>
      <c r="L607" s="177">
        <v>103406.0</v>
      </c>
      <c r="M607" s="1"/>
      <c r="N607" s="1"/>
      <c r="O607" s="1"/>
      <c r="P607" s="1"/>
      <c r="Q607" s="1"/>
      <c r="R607" s="1"/>
      <c r="S607" s="1"/>
      <c r="T607" s="1"/>
      <c r="U607" s="1"/>
    </row>
    <row r="608" ht="10.5" customHeight="1">
      <c r="A608" s="1"/>
      <c r="B608" s="540" t="s">
        <v>129</v>
      </c>
      <c r="C608" s="178">
        <v>83215.0</v>
      </c>
      <c r="D608" s="172">
        <v>104772.0</v>
      </c>
      <c r="E608" s="178">
        <v>49536.0</v>
      </c>
      <c r="F608" s="178">
        <v>1006.0</v>
      </c>
      <c r="G608" s="178">
        <v>6424.0</v>
      </c>
      <c r="H608" s="132">
        <v>3270.0</v>
      </c>
      <c r="I608" s="178">
        <v>7543.0</v>
      </c>
      <c r="J608" s="132">
        <v>2941.0</v>
      </c>
      <c r="K608" s="178">
        <v>10634.0</v>
      </c>
      <c r="L608" s="178">
        <v>75155.0</v>
      </c>
      <c r="M608" s="1"/>
      <c r="N608" s="1"/>
      <c r="O608" s="1"/>
      <c r="P608" s="1"/>
      <c r="Q608" s="1"/>
      <c r="R608" s="1"/>
      <c r="S608" s="1"/>
      <c r="T608" s="1"/>
      <c r="U608" s="1"/>
    </row>
    <row r="609" ht="10.5" customHeight="1">
      <c r="A609" s="1"/>
      <c r="B609" s="540" t="s">
        <v>130</v>
      </c>
      <c r="C609" s="178">
        <v>86509.0</v>
      </c>
      <c r="D609" s="172">
        <v>119772.0</v>
      </c>
      <c r="E609" s="178">
        <v>49147.0</v>
      </c>
      <c r="F609" s="178">
        <v>1185.0</v>
      </c>
      <c r="G609" s="178">
        <v>8816.0</v>
      </c>
      <c r="H609" s="132">
        <v>2672.0</v>
      </c>
      <c r="I609" s="178">
        <v>8272.0</v>
      </c>
      <c r="J609" s="132">
        <v>3030.0</v>
      </c>
      <c r="K609" s="178">
        <v>10246.0</v>
      </c>
      <c r="L609" s="178">
        <v>59442.0</v>
      </c>
      <c r="M609" s="1"/>
      <c r="N609" s="1"/>
      <c r="O609" s="1"/>
      <c r="P609" s="1"/>
      <c r="Q609" s="1"/>
      <c r="R609" s="1"/>
      <c r="S609" s="1"/>
      <c r="T609" s="1"/>
      <c r="U609" s="1"/>
    </row>
    <row r="610" ht="10.5" customHeight="1">
      <c r="A610" s="1"/>
      <c r="B610" s="540"/>
      <c r="C610" s="178"/>
      <c r="D610" s="172"/>
      <c r="E610" s="178"/>
      <c r="F610" s="178"/>
      <c r="G610" s="178"/>
      <c r="H610" s="132"/>
      <c r="I610" s="178"/>
      <c r="J610" s="132"/>
      <c r="K610" s="178"/>
      <c r="L610" s="178"/>
      <c r="M610" s="1"/>
      <c r="N610" s="1"/>
      <c r="O610" s="1"/>
      <c r="P610" s="1"/>
      <c r="Q610" s="1"/>
      <c r="R610" s="1"/>
      <c r="S610" s="1"/>
      <c r="T610" s="1"/>
      <c r="U610" s="1"/>
    </row>
    <row r="611" ht="10.5" customHeight="1">
      <c r="A611" s="1"/>
      <c r="B611" s="540" t="s">
        <v>131</v>
      </c>
      <c r="C611" s="178">
        <v>97040.0</v>
      </c>
      <c r="D611" s="178">
        <v>129730.0</v>
      </c>
      <c r="E611" s="178">
        <v>60705.0</v>
      </c>
      <c r="F611" s="178">
        <v>1081.0</v>
      </c>
      <c r="G611" s="178">
        <v>6833.0</v>
      </c>
      <c r="H611" s="132">
        <v>4065.0</v>
      </c>
      <c r="I611" s="178">
        <v>7228.0</v>
      </c>
      <c r="J611" s="132">
        <v>3524.0</v>
      </c>
      <c r="K611" s="178">
        <v>10645.0</v>
      </c>
      <c r="L611" s="178">
        <v>93196.0</v>
      </c>
      <c r="M611" s="1"/>
      <c r="N611" s="1"/>
      <c r="O611" s="1"/>
      <c r="P611" s="1"/>
      <c r="Q611" s="1"/>
      <c r="R611" s="1"/>
      <c r="S611" s="1"/>
      <c r="T611" s="1"/>
      <c r="U611" s="1"/>
    </row>
    <row r="612" ht="10.5" customHeight="1">
      <c r="A612" s="1"/>
      <c r="B612" s="540" t="s">
        <v>133</v>
      </c>
      <c r="C612" s="178">
        <v>87864.0</v>
      </c>
      <c r="D612" s="178">
        <v>156839.0</v>
      </c>
      <c r="E612" s="178">
        <v>49210.0</v>
      </c>
      <c r="F612" s="178">
        <v>1453.0</v>
      </c>
      <c r="G612" s="178">
        <v>9264.0</v>
      </c>
      <c r="H612" s="132">
        <v>3597.0</v>
      </c>
      <c r="I612" s="178">
        <v>8224.0</v>
      </c>
      <c r="J612" s="132">
        <v>3659.0</v>
      </c>
      <c r="K612" s="178">
        <v>13261.0</v>
      </c>
      <c r="L612" s="178">
        <v>97793.0</v>
      </c>
      <c r="M612" s="1"/>
      <c r="N612" s="1"/>
      <c r="O612" s="1"/>
      <c r="P612" s="1"/>
      <c r="Q612" s="1"/>
      <c r="R612" s="1"/>
      <c r="S612" s="1"/>
      <c r="T612" s="1"/>
      <c r="U612" s="1"/>
    </row>
    <row r="613" ht="10.5" customHeight="1">
      <c r="A613" s="1"/>
      <c r="B613" s="508">
        <v>39295.0</v>
      </c>
      <c r="C613" s="178">
        <v>89386.0</v>
      </c>
      <c r="D613" s="178">
        <v>172289.0</v>
      </c>
      <c r="E613" s="178">
        <v>51967.0</v>
      </c>
      <c r="F613" s="178">
        <v>1412.0</v>
      </c>
      <c r="G613" s="178">
        <v>7582.0</v>
      </c>
      <c r="H613" s="132">
        <v>4500.0</v>
      </c>
      <c r="I613" s="178">
        <v>8407.0</v>
      </c>
      <c r="J613" s="132">
        <v>4154.0</v>
      </c>
      <c r="K613" s="178">
        <v>14224.0</v>
      </c>
      <c r="L613" s="178">
        <v>142267.0</v>
      </c>
      <c r="M613" s="1"/>
      <c r="N613" s="1"/>
      <c r="O613" s="1"/>
      <c r="P613" s="1"/>
      <c r="Q613" s="1"/>
      <c r="R613" s="1"/>
      <c r="S613" s="1"/>
      <c r="T613" s="1"/>
      <c r="U613" s="1"/>
    </row>
    <row r="614" ht="10.5" customHeight="1">
      <c r="A614" s="1"/>
      <c r="B614" s="508">
        <v>39692.0</v>
      </c>
      <c r="C614" s="178">
        <v>72595.0</v>
      </c>
      <c r="D614" s="178">
        <v>190868.0</v>
      </c>
      <c r="E614" s="178">
        <v>40720.0</v>
      </c>
      <c r="F614" s="178">
        <v>1997.0</v>
      </c>
      <c r="G614" s="178">
        <v>5575.0</v>
      </c>
      <c r="H614" s="132">
        <v>6886.0</v>
      </c>
      <c r="I614" s="178">
        <v>7910.0</v>
      </c>
      <c r="J614" s="132">
        <v>4818.0</v>
      </c>
      <c r="K614" s="178">
        <v>13559.0</v>
      </c>
      <c r="L614" s="178">
        <v>130219.0</v>
      </c>
      <c r="M614" s="1"/>
      <c r="N614" s="1"/>
      <c r="O614" s="1"/>
      <c r="P614" s="1"/>
      <c r="Q614" s="1"/>
      <c r="R614" s="1"/>
      <c r="S614" s="1"/>
      <c r="T614" s="1"/>
      <c r="U614" s="1"/>
    </row>
    <row r="615" ht="10.5" customHeight="1">
      <c r="A615" s="1"/>
      <c r="B615" s="508">
        <v>40087.0</v>
      </c>
      <c r="C615" s="178">
        <v>113482.0</v>
      </c>
      <c r="D615" s="178">
        <v>195810.0</v>
      </c>
      <c r="E615" s="178">
        <v>69001.0</v>
      </c>
      <c r="F615" s="178">
        <v>1232.0</v>
      </c>
      <c r="G615" s="178">
        <v>8159.0</v>
      </c>
      <c r="H615" s="132">
        <v>4425.0</v>
      </c>
      <c r="I615" s="178">
        <v>8696.0</v>
      </c>
      <c r="J615" s="132">
        <v>4415.0</v>
      </c>
      <c r="K615" s="178">
        <v>14757.0</v>
      </c>
      <c r="L615" s="178">
        <v>158299.0</v>
      </c>
      <c r="M615" s="1"/>
      <c r="N615" s="1"/>
      <c r="O615" s="1"/>
      <c r="P615" s="1"/>
      <c r="Q615" s="1"/>
      <c r="R615" s="1"/>
      <c r="S615" s="1"/>
      <c r="T615" s="1"/>
      <c r="U615" s="1"/>
    </row>
    <row r="616" ht="10.5" customHeight="1">
      <c r="A616" s="1"/>
      <c r="B616" s="508"/>
      <c r="C616" s="178"/>
      <c r="D616" s="178"/>
      <c r="E616" s="178"/>
      <c r="F616" s="178"/>
      <c r="G616" s="178"/>
      <c r="H616" s="132"/>
      <c r="I616" s="178"/>
      <c r="J616" s="132"/>
      <c r="K616" s="178"/>
      <c r="L616" s="178"/>
      <c r="M616" s="1"/>
      <c r="N616" s="1"/>
      <c r="O616" s="1"/>
      <c r="P616" s="1"/>
      <c r="Q616" s="1"/>
      <c r="R616" s="1"/>
      <c r="S616" s="1"/>
      <c r="T616" s="1"/>
      <c r="U616" s="1"/>
    </row>
    <row r="617" ht="10.5" customHeight="1">
      <c r="A617" s="1"/>
      <c r="B617" s="11" t="s">
        <v>139</v>
      </c>
      <c r="C617" s="178">
        <v>150988.0</v>
      </c>
      <c r="D617" s="178">
        <v>200868.0</v>
      </c>
      <c r="E617" s="178">
        <v>104851.0</v>
      </c>
      <c r="F617" s="178">
        <v>934.0</v>
      </c>
      <c r="G617" s="178">
        <v>5356.0</v>
      </c>
      <c r="H617" s="132">
        <v>6605.0</v>
      </c>
      <c r="I617" s="178">
        <v>7615.0</v>
      </c>
      <c r="J617" s="132">
        <v>5098.0</v>
      </c>
      <c r="K617" s="178">
        <v>15049.0</v>
      </c>
      <c r="L617" s="178">
        <v>163645.0</v>
      </c>
      <c r="M617" s="1"/>
      <c r="N617" s="1"/>
      <c r="O617" s="1"/>
      <c r="P617" s="1"/>
      <c r="Q617" s="1"/>
      <c r="R617" s="1"/>
      <c r="S617" s="1"/>
      <c r="T617" s="1"/>
      <c r="U617" s="1"/>
    </row>
    <row r="618" ht="10.5" customHeight="1">
      <c r="A618" s="1"/>
      <c r="B618" s="11" t="s">
        <v>143</v>
      </c>
      <c r="C618" s="178">
        <v>93428.0</v>
      </c>
      <c r="D618" s="178">
        <v>227821.0</v>
      </c>
      <c r="E618" s="178">
        <v>58508.0</v>
      </c>
      <c r="F618" s="178">
        <v>1744.0</v>
      </c>
      <c r="G618" s="178">
        <v>5585.0</v>
      </c>
      <c r="H618" s="132">
        <v>7097.0</v>
      </c>
      <c r="I618" s="178">
        <v>6417.0</v>
      </c>
      <c r="J618" s="132">
        <v>6405.0</v>
      </c>
      <c r="K618" s="178">
        <v>12404.0</v>
      </c>
      <c r="L618" s="178">
        <v>126598.0</v>
      </c>
      <c r="M618" s="253"/>
      <c r="N618" s="1"/>
      <c r="O618" s="1"/>
      <c r="P618" s="1"/>
      <c r="Q618" s="1"/>
      <c r="R618" s="1"/>
      <c r="S618" s="1"/>
      <c r="T618" s="1"/>
      <c r="U618" s="1"/>
    </row>
    <row r="619" ht="10.5" customHeight="1">
      <c r="A619" s="1"/>
      <c r="B619" s="11" t="s">
        <v>149</v>
      </c>
      <c r="C619" s="178">
        <v>82625.0</v>
      </c>
      <c r="D619" s="178">
        <v>235509.0</v>
      </c>
      <c r="E619" s="178">
        <v>49403.0</v>
      </c>
      <c r="F619" s="178">
        <v>2091.0</v>
      </c>
      <c r="G619" s="178">
        <v>5655.0</v>
      </c>
      <c r="H619" s="132">
        <v>7588.0</v>
      </c>
      <c r="I619" s="178">
        <v>7122.0</v>
      </c>
      <c r="J619" s="132">
        <v>6387.0</v>
      </c>
      <c r="K619" s="178">
        <v>13919.0</v>
      </c>
      <c r="L619" s="178">
        <v>149693.0</v>
      </c>
      <c r="M619" s="1"/>
      <c r="N619" s="1"/>
      <c r="O619" s="1"/>
      <c r="P619" s="1"/>
      <c r="Q619" s="1"/>
      <c r="R619" s="1"/>
      <c r="S619" s="1"/>
      <c r="T619" s="1"/>
      <c r="U619" s="1"/>
    </row>
    <row r="620" ht="10.5" customHeight="1">
      <c r="A620" s="1"/>
      <c r="B620" s="11" t="s">
        <v>151</v>
      </c>
      <c r="C620" s="178">
        <v>90529.0</v>
      </c>
      <c r="D620" s="178">
        <v>291381.0</v>
      </c>
      <c r="E620" s="178">
        <v>56715.0</v>
      </c>
      <c r="F620" s="178">
        <v>2269.0</v>
      </c>
      <c r="G620" s="178">
        <v>5708.0</v>
      </c>
      <c r="H620" s="132">
        <v>8108.0</v>
      </c>
      <c r="I620" s="178">
        <v>5919.0</v>
      </c>
      <c r="J620" s="132">
        <v>7905.0</v>
      </c>
      <c r="K620" s="178">
        <v>15468.0</v>
      </c>
      <c r="L620" s="178">
        <v>229086.0</v>
      </c>
      <c r="M620" s="1"/>
      <c r="N620" s="1"/>
      <c r="O620" s="1"/>
      <c r="P620" s="1"/>
      <c r="Q620" s="1"/>
      <c r="R620" s="1"/>
      <c r="S620" s="1"/>
      <c r="T620" s="1"/>
      <c r="U620" s="1"/>
    </row>
    <row r="621" ht="10.5" customHeight="1">
      <c r="A621" s="1"/>
      <c r="B621" s="11" t="s">
        <v>153</v>
      </c>
      <c r="C621" s="178">
        <v>81518.0</v>
      </c>
      <c r="D621" s="178">
        <v>358269.0</v>
      </c>
      <c r="E621" s="178">
        <v>47611.0</v>
      </c>
      <c r="F621" s="178">
        <v>2625.0</v>
      </c>
      <c r="G621" s="178">
        <v>6043.0</v>
      </c>
      <c r="H621" s="132">
        <v>8711.0</v>
      </c>
      <c r="I621" s="178">
        <v>6176.0</v>
      </c>
      <c r="J621" s="132">
        <v>8450.0</v>
      </c>
      <c r="K621" s="178">
        <v>20495.0</v>
      </c>
      <c r="L621" s="178">
        <v>282944.0</v>
      </c>
      <c r="M621" s="1"/>
      <c r="N621" s="1"/>
      <c r="O621" s="1"/>
      <c r="P621" s="1"/>
      <c r="Q621" s="1"/>
      <c r="R621" s="1"/>
      <c r="S621" s="1"/>
      <c r="T621" s="1"/>
      <c r="U621" s="1"/>
    </row>
    <row r="622" ht="10.5" customHeight="1">
      <c r="A622" s="1"/>
      <c r="B622" s="11"/>
      <c r="C622" s="178"/>
      <c r="D622" s="178"/>
      <c r="E622" s="178"/>
      <c r="F622" s="178"/>
      <c r="G622" s="178"/>
      <c r="H622" s="132"/>
      <c r="I622" s="178"/>
      <c r="J622" s="132"/>
      <c r="K622" s="178"/>
      <c r="L622" s="178"/>
      <c r="M622" s="1"/>
      <c r="N622" s="1"/>
      <c r="O622" s="1"/>
      <c r="P622" s="1"/>
      <c r="Q622" s="1"/>
      <c r="R622" s="1"/>
      <c r="S622" s="1"/>
      <c r="T622" s="1"/>
      <c r="U622" s="1"/>
    </row>
    <row r="623" ht="10.5" customHeight="1">
      <c r="A623" s="1"/>
      <c r="B623" s="11" t="s">
        <v>155</v>
      </c>
      <c r="C623" s="178">
        <v>91396.0</v>
      </c>
      <c r="D623" s="178">
        <v>352877.0</v>
      </c>
      <c r="E623" s="178">
        <v>55501.0</v>
      </c>
      <c r="F623" s="178">
        <v>1230.0</v>
      </c>
      <c r="G623" s="178">
        <v>6990.0</v>
      </c>
      <c r="H623" s="132">
        <v>8124.0</v>
      </c>
      <c r="I623" s="178">
        <v>7079.0</v>
      </c>
      <c r="J623" s="132">
        <v>8045.0</v>
      </c>
      <c r="K623" s="178">
        <v>24955.0</v>
      </c>
      <c r="L623" s="178">
        <v>513162.0</v>
      </c>
      <c r="M623" s="1"/>
      <c r="N623" s="1"/>
      <c r="O623" s="1"/>
      <c r="P623" s="1"/>
      <c r="Q623" s="1"/>
      <c r="R623" s="1"/>
      <c r="S623" s="1"/>
      <c r="T623" s="1"/>
      <c r="U623" s="1"/>
    </row>
    <row r="624" ht="10.5" customHeight="1">
      <c r="A624" s="1"/>
      <c r="B624" s="52" t="s">
        <v>917</v>
      </c>
      <c r="C624" s="184">
        <v>100936.0</v>
      </c>
      <c r="D624" s="184">
        <v>495427.0</v>
      </c>
      <c r="E624" s="184">
        <v>61943.0</v>
      </c>
      <c r="F624" s="184">
        <v>2549.0</v>
      </c>
      <c r="G624" s="184">
        <v>6667.0</v>
      </c>
      <c r="H624" s="141">
        <v>8170.0</v>
      </c>
      <c r="I624" s="184">
        <v>6504.0</v>
      </c>
      <c r="J624" s="141">
        <v>8414.0</v>
      </c>
      <c r="K624" s="184">
        <v>24383.0</v>
      </c>
      <c r="L624" s="184">
        <v>608560.0</v>
      </c>
      <c r="M624" s="1"/>
      <c r="N624" s="1"/>
      <c r="O624" s="1"/>
      <c r="P624" s="1"/>
      <c r="Q624" s="1"/>
      <c r="R624" s="1"/>
      <c r="S624" s="1"/>
      <c r="T624" s="1"/>
      <c r="U624" s="1"/>
    </row>
    <row r="625" ht="6.0" customHeight="1">
      <c r="A625" s="1"/>
      <c r="B625" s="242"/>
      <c r="C625" s="179"/>
      <c r="D625" s="179"/>
      <c r="E625" s="179"/>
      <c r="F625" s="179"/>
      <c r="G625" s="179"/>
      <c r="H625" s="524"/>
      <c r="I625" s="179"/>
      <c r="J625" s="524"/>
      <c r="K625" s="179"/>
      <c r="L625" s="179"/>
      <c r="M625" s="1"/>
      <c r="N625" s="1"/>
      <c r="O625" s="1"/>
      <c r="P625" s="1"/>
      <c r="Q625" s="1"/>
      <c r="R625" s="1"/>
      <c r="S625" s="1"/>
      <c r="T625" s="1"/>
      <c r="U625" s="1"/>
    </row>
    <row r="626" ht="10.5" customHeight="1">
      <c r="A626" s="1"/>
      <c r="B626" s="185" t="s">
        <v>918</v>
      </c>
      <c r="C626" s="185"/>
      <c r="D626" s="185"/>
      <c r="E626" s="185"/>
      <c r="F626" s="185"/>
      <c r="G626" s="185"/>
      <c r="H626" s="185"/>
      <c r="I626" s="1"/>
      <c r="J626" s="1"/>
      <c r="K626" s="1"/>
      <c r="L626" s="1"/>
      <c r="M626" s="1"/>
      <c r="N626" s="1"/>
      <c r="O626" s="1"/>
      <c r="P626" s="1"/>
      <c r="Q626" s="1"/>
      <c r="R626" s="1"/>
      <c r="S626" s="1"/>
      <c r="T626" s="1"/>
      <c r="U626" s="1"/>
    </row>
    <row r="627" ht="10.5" customHeight="1">
      <c r="A627" s="1"/>
      <c r="B627" s="185" t="s">
        <v>662</v>
      </c>
      <c r="C627" s="185"/>
      <c r="D627" s="185"/>
      <c r="E627" s="185"/>
      <c r="F627" s="185"/>
      <c r="G627" s="185"/>
      <c r="H627" s="185"/>
      <c r="I627" s="1"/>
      <c r="J627" s="1"/>
      <c r="K627" s="1"/>
      <c r="L627" s="1"/>
      <c r="M627" s="1"/>
      <c r="N627" s="1"/>
      <c r="O627" s="1"/>
      <c r="P627" s="1"/>
      <c r="Q627" s="1"/>
      <c r="R627" s="1"/>
      <c r="S627" s="1"/>
      <c r="T627" s="1"/>
      <c r="U627" s="1"/>
    </row>
    <row r="628" ht="10.5" customHeight="1">
      <c r="A628" s="1"/>
      <c r="B628" s="185" t="s">
        <v>663</v>
      </c>
      <c r="C628" s="185"/>
      <c r="D628" s="185"/>
      <c r="E628" s="185"/>
      <c r="F628" s="185"/>
      <c r="G628" s="185"/>
      <c r="H628" s="185"/>
      <c r="I628" s="1"/>
      <c r="J628" s="1"/>
      <c r="K628" s="1"/>
      <c r="L628" s="1"/>
      <c r="M628" s="1"/>
      <c r="N628" s="1"/>
      <c r="O628" s="1"/>
      <c r="P628" s="1"/>
      <c r="Q628" s="1"/>
      <c r="R628" s="1"/>
      <c r="S628" s="1"/>
      <c r="T628" s="1"/>
      <c r="U628" s="1"/>
    </row>
    <row r="629" ht="10.5" customHeight="1">
      <c r="A629" s="1"/>
      <c r="B629" s="185" t="s">
        <v>664</v>
      </c>
      <c r="C629" s="185"/>
      <c r="D629" s="185"/>
      <c r="E629" s="185"/>
      <c r="F629" s="185"/>
      <c r="G629" s="185"/>
      <c r="H629" s="185"/>
      <c r="I629" s="1"/>
      <c r="J629" s="1"/>
      <c r="K629" s="1"/>
      <c r="L629" s="1"/>
      <c r="M629" s="1"/>
      <c r="N629" s="1"/>
      <c r="O629" s="1"/>
      <c r="P629" s="1"/>
      <c r="Q629" s="1"/>
      <c r="R629" s="1"/>
      <c r="S629" s="1"/>
      <c r="T629" s="1"/>
      <c r="U629" s="1"/>
    </row>
    <row r="630" ht="10.5" customHeight="1">
      <c r="A630" s="1"/>
      <c r="B630" s="185" t="s">
        <v>665</v>
      </c>
      <c r="C630" s="185"/>
      <c r="D630" s="185"/>
      <c r="E630" s="185"/>
      <c r="F630" s="185"/>
      <c r="G630" s="185"/>
      <c r="H630" s="185"/>
      <c r="I630" s="1"/>
      <c r="J630" s="1"/>
      <c r="K630" s="1"/>
      <c r="L630" s="1"/>
      <c r="M630" s="1"/>
      <c r="N630" s="1"/>
      <c r="O630" s="1"/>
      <c r="P630" s="1"/>
      <c r="Q630" s="1"/>
      <c r="R630" s="1"/>
      <c r="S630" s="1"/>
      <c r="T630" s="1"/>
      <c r="U630" s="1"/>
    </row>
    <row r="631" ht="10.5" customHeight="1">
      <c r="A631" s="1"/>
      <c r="B631" s="311" t="s">
        <v>666</v>
      </c>
      <c r="I631" s="1"/>
      <c r="J631" s="1"/>
      <c r="K631" s="1"/>
      <c r="L631" s="1"/>
      <c r="M631" s="1"/>
      <c r="N631" s="1"/>
      <c r="O631" s="1"/>
      <c r="P631" s="1"/>
      <c r="Q631" s="1"/>
      <c r="R631" s="1"/>
      <c r="S631" s="1"/>
      <c r="T631" s="1"/>
      <c r="U631" s="1"/>
    </row>
    <row r="632" ht="10.5" customHeight="1">
      <c r="A632" s="1"/>
      <c r="B632" s="311" t="s">
        <v>667</v>
      </c>
      <c r="C632" s="311"/>
      <c r="D632" s="311"/>
      <c r="E632" s="311"/>
      <c r="F632" s="311"/>
      <c r="G632" s="311"/>
      <c r="H632" s="311"/>
      <c r="I632" s="1"/>
      <c r="J632" s="1"/>
      <c r="K632" s="1"/>
      <c r="L632" s="1"/>
      <c r="M632" s="1"/>
      <c r="N632" s="1"/>
      <c r="O632" s="1"/>
      <c r="P632" s="1"/>
      <c r="Q632" s="1"/>
      <c r="R632" s="1"/>
      <c r="S632" s="1"/>
      <c r="T632" s="1"/>
      <c r="U632" s="1"/>
    </row>
    <row r="633" ht="10.5" customHeight="1">
      <c r="A633" s="1"/>
      <c r="B633" s="311" t="s">
        <v>669</v>
      </c>
      <c r="C633" s="311"/>
      <c r="D633" s="311"/>
      <c r="E633" s="311"/>
      <c r="F633" s="311"/>
      <c r="G633" s="311"/>
      <c r="H633" s="311"/>
      <c r="I633" s="1"/>
      <c r="J633" s="1"/>
      <c r="K633" s="1"/>
      <c r="L633" s="1"/>
      <c r="M633" s="1"/>
      <c r="N633" s="1"/>
      <c r="O633" s="1"/>
      <c r="P633" s="1"/>
      <c r="Q633" s="1"/>
      <c r="R633" s="1"/>
      <c r="S633" s="1"/>
      <c r="T633" s="1"/>
      <c r="U633" s="1"/>
    </row>
    <row r="634" ht="10.5" customHeight="1">
      <c r="A634" s="1"/>
      <c r="B634" s="185" t="s">
        <v>919</v>
      </c>
      <c r="C634" s="185"/>
      <c r="D634" s="185"/>
      <c r="E634" s="185"/>
      <c r="F634" s="185"/>
      <c r="G634" s="185"/>
      <c r="H634" s="185"/>
      <c r="I634" s="1"/>
      <c r="J634" s="1"/>
      <c r="K634" s="1"/>
      <c r="L634" s="1"/>
      <c r="M634" s="1"/>
      <c r="N634" s="1"/>
      <c r="O634" s="1"/>
      <c r="P634" s="1"/>
      <c r="Q634" s="1"/>
      <c r="R634" s="1"/>
      <c r="S634" s="1"/>
      <c r="T634" s="1"/>
      <c r="U634" s="1"/>
    </row>
    <row r="635" ht="10.5" customHeight="1">
      <c r="A635" s="1"/>
      <c r="B635" s="185" t="s">
        <v>920</v>
      </c>
      <c r="C635" s="185"/>
      <c r="D635" s="185"/>
      <c r="E635" s="185"/>
      <c r="F635" s="185"/>
      <c r="G635" s="185"/>
      <c r="H635" s="185"/>
      <c r="I635" s="1"/>
      <c r="J635" s="1"/>
      <c r="K635" s="1"/>
      <c r="L635" s="1"/>
      <c r="M635" s="1"/>
      <c r="N635" s="1"/>
      <c r="O635" s="1"/>
      <c r="P635" s="1"/>
      <c r="Q635" s="1"/>
      <c r="R635" s="1"/>
      <c r="S635" s="1"/>
      <c r="T635" s="1"/>
      <c r="U635" s="1"/>
    </row>
    <row r="636" ht="10.5" customHeight="1">
      <c r="A636" s="1"/>
      <c r="B636" s="1"/>
      <c r="C636" s="1"/>
      <c r="D636" s="1"/>
      <c r="E636" s="1"/>
      <c r="F636" s="1"/>
      <c r="G636" s="1"/>
      <c r="H636" s="1"/>
      <c r="I636" s="1"/>
      <c r="J636" s="1"/>
      <c r="K636" s="1"/>
      <c r="L636" s="1"/>
      <c r="M636" s="1"/>
      <c r="N636" s="1"/>
      <c r="O636" s="1"/>
      <c r="P636" s="1"/>
      <c r="Q636" s="1"/>
      <c r="R636" s="1"/>
      <c r="S636" s="1"/>
      <c r="T636" s="1"/>
      <c r="U636" s="1"/>
    </row>
    <row r="637" ht="10.5" customHeight="1">
      <c r="A637" s="1"/>
      <c r="B637" s="1"/>
      <c r="C637" s="1"/>
      <c r="D637" s="1"/>
      <c r="E637" s="1"/>
      <c r="F637" s="1"/>
      <c r="G637" s="1"/>
      <c r="H637" s="1"/>
      <c r="I637" s="1"/>
      <c r="J637" s="1"/>
      <c r="K637" s="1"/>
      <c r="L637" s="1"/>
      <c r="M637" s="1"/>
      <c r="N637" s="1"/>
      <c r="O637" s="1"/>
      <c r="P637" s="1"/>
      <c r="Q637" s="1"/>
      <c r="R637" s="1"/>
      <c r="S637" s="1"/>
      <c r="T637" s="1"/>
      <c r="U637" s="1"/>
    </row>
    <row r="638" ht="10.5" customHeight="1">
      <c r="A638" s="1"/>
      <c r="B638" s="1"/>
      <c r="C638" s="1"/>
      <c r="D638" s="1"/>
      <c r="E638" s="1"/>
      <c r="F638" s="1"/>
      <c r="G638" s="1"/>
      <c r="H638" s="1"/>
      <c r="I638" s="1"/>
      <c r="J638" s="1"/>
      <c r="K638" s="1"/>
      <c r="L638" s="1"/>
      <c r="M638" s="1"/>
      <c r="N638" s="1"/>
      <c r="O638" s="1"/>
      <c r="P638" s="1"/>
      <c r="Q638" s="1"/>
      <c r="R638" s="1"/>
      <c r="S638" s="1"/>
      <c r="T638" s="1"/>
      <c r="U638" s="1"/>
    </row>
    <row r="639" ht="10.5" customHeight="1">
      <c r="A639" s="1"/>
      <c r="B639" s="1"/>
      <c r="C639" s="1"/>
      <c r="D639" s="1"/>
      <c r="E639" s="1"/>
      <c r="F639" s="1"/>
      <c r="G639" s="1"/>
      <c r="H639" s="1"/>
      <c r="I639" s="1"/>
      <c r="J639" s="1"/>
      <c r="K639" s="1"/>
      <c r="L639" s="1"/>
      <c r="M639" s="1"/>
      <c r="N639" s="1"/>
      <c r="O639" s="1"/>
      <c r="P639" s="1"/>
      <c r="Q639" s="1"/>
      <c r="R639" s="1"/>
      <c r="S639" s="1"/>
      <c r="T639" s="1"/>
      <c r="U639" s="1"/>
    </row>
    <row r="640" ht="10.5" customHeight="1">
      <c r="A640" s="1"/>
      <c r="B640" s="1"/>
      <c r="C640" s="113"/>
      <c r="D640" s="113"/>
      <c r="E640" s="113"/>
      <c r="F640" s="113"/>
      <c r="G640" s="113"/>
      <c r="H640" s="113"/>
      <c r="I640" s="113"/>
      <c r="J640" s="113"/>
      <c r="K640" s="113"/>
      <c r="L640" s="113"/>
      <c r="M640" s="1"/>
      <c r="N640" s="1"/>
      <c r="O640" s="1"/>
      <c r="P640" s="1"/>
      <c r="Q640" s="1"/>
      <c r="R640" s="1"/>
      <c r="S640" s="1"/>
      <c r="T640" s="1"/>
      <c r="U640" s="1"/>
    </row>
    <row r="641" ht="11.25" customHeight="1">
      <c r="A641" s="1"/>
      <c r="B641" s="1" t="s">
        <v>922</v>
      </c>
      <c r="C641" s="111"/>
      <c r="D641" s="1"/>
      <c r="E641" s="1"/>
      <c r="F641" s="1"/>
      <c r="G641" s="1"/>
      <c r="H641" s="1"/>
      <c r="I641" s="1"/>
      <c r="J641" s="1"/>
      <c r="K641" s="1"/>
      <c r="L641" s="1"/>
      <c r="M641" s="1"/>
      <c r="N641" s="1"/>
      <c r="O641" s="1"/>
      <c r="P641" s="1"/>
      <c r="Q641" s="1"/>
      <c r="R641" s="1"/>
      <c r="S641" s="1"/>
      <c r="T641" s="1"/>
      <c r="U641" s="1"/>
    </row>
    <row r="642" ht="11.25" customHeight="1">
      <c r="A642" s="1"/>
      <c r="B642" s="29" t="s">
        <v>924</v>
      </c>
      <c r="C642" s="128" t="s">
        <v>926</v>
      </c>
      <c r="D642" s="10"/>
      <c r="E642" s="128" t="s">
        <v>710</v>
      </c>
      <c r="F642" s="10"/>
      <c r="G642" s="1"/>
      <c r="H642" s="1"/>
      <c r="I642" s="1"/>
      <c r="J642" s="1"/>
      <c r="K642" s="1"/>
      <c r="L642" s="1"/>
      <c r="M642" s="1"/>
      <c r="N642" s="1"/>
      <c r="O642" s="1"/>
      <c r="P642" s="1"/>
      <c r="Q642" s="1"/>
      <c r="R642" s="1"/>
      <c r="S642" s="1"/>
      <c r="T642" s="1"/>
      <c r="U642" s="1"/>
    </row>
    <row r="643" ht="22.5" customHeight="1">
      <c r="A643" s="1"/>
      <c r="B643" s="5"/>
      <c r="C643" s="3" t="s">
        <v>928</v>
      </c>
      <c r="D643" s="3" t="s">
        <v>929</v>
      </c>
      <c r="E643" s="273" t="s">
        <v>930</v>
      </c>
      <c r="F643" s="7" t="s">
        <v>931</v>
      </c>
      <c r="G643" s="1"/>
      <c r="H643" s="1"/>
      <c r="I643" s="1"/>
      <c r="J643" s="1"/>
      <c r="K643" s="1"/>
      <c r="L643" s="1"/>
      <c r="M643" s="1"/>
      <c r="N643" s="1"/>
      <c r="O643" s="1"/>
      <c r="P643" s="1"/>
      <c r="Q643" s="1"/>
      <c r="R643" s="1"/>
      <c r="S643" s="1"/>
      <c r="T643" s="1"/>
      <c r="U643" s="1"/>
    </row>
    <row r="644" ht="11.25" customHeight="1">
      <c r="A644" s="1"/>
      <c r="B644" s="6"/>
      <c r="C644" s="8" t="s">
        <v>520</v>
      </c>
      <c r="D644" s="10"/>
      <c r="E644" s="8" t="s">
        <v>933</v>
      </c>
      <c r="F644" s="10"/>
      <c r="G644" s="1"/>
      <c r="H644" s="1"/>
      <c r="I644" s="1"/>
      <c r="J644" s="1"/>
      <c r="K644" s="1"/>
      <c r="L644" s="1"/>
      <c r="M644" s="1"/>
      <c r="N644" s="1"/>
      <c r="O644" s="1"/>
      <c r="P644" s="1"/>
      <c r="Q644" s="1"/>
      <c r="R644" s="1"/>
      <c r="S644" s="1"/>
      <c r="T644" s="1"/>
      <c r="U644" s="1"/>
    </row>
    <row r="645" ht="10.5" customHeight="1">
      <c r="A645" s="1"/>
      <c r="B645" s="48" t="s">
        <v>264</v>
      </c>
      <c r="C645" s="560">
        <v>5381.0</v>
      </c>
      <c r="D645" s="132">
        <v>12970.0</v>
      </c>
      <c r="E645" s="562">
        <v>23.12</v>
      </c>
      <c r="F645" s="563">
        <v>15.85</v>
      </c>
      <c r="G645" s="1"/>
      <c r="H645" s="1"/>
      <c r="I645" s="1"/>
      <c r="J645" s="1"/>
      <c r="K645" s="1"/>
      <c r="L645" s="1"/>
      <c r="M645" s="1"/>
      <c r="N645" s="1"/>
      <c r="O645" s="1"/>
      <c r="P645" s="1"/>
      <c r="Q645" s="1"/>
      <c r="R645" s="1"/>
      <c r="S645" s="1"/>
      <c r="T645" s="1"/>
      <c r="U645" s="1"/>
    </row>
    <row r="646" ht="10.5" customHeight="1">
      <c r="A646" s="1"/>
      <c r="B646" s="48" t="s">
        <v>267</v>
      </c>
      <c r="C646" s="560">
        <v>6036.0</v>
      </c>
      <c r="D646" s="132">
        <v>13363.0</v>
      </c>
      <c r="E646" s="562">
        <v>22.76</v>
      </c>
      <c r="F646" s="563">
        <v>20.34</v>
      </c>
      <c r="G646" s="1"/>
      <c r="H646" s="1"/>
      <c r="I646" s="1"/>
      <c r="J646" s="1"/>
      <c r="K646" s="1"/>
      <c r="L646" s="1"/>
      <c r="M646" s="1"/>
      <c r="N646" s="1"/>
      <c r="O646" s="1"/>
      <c r="P646" s="1"/>
      <c r="Q646" s="1"/>
      <c r="R646" s="1"/>
      <c r="S646" s="1"/>
      <c r="T646" s="1"/>
      <c r="U646" s="1"/>
    </row>
    <row r="647" ht="10.5" customHeight="1">
      <c r="A647" s="1"/>
      <c r="B647" s="48" t="s">
        <v>268</v>
      </c>
      <c r="C647" s="560">
        <v>4562.0</v>
      </c>
      <c r="D647" s="132">
        <v>15384.0</v>
      </c>
      <c r="E647" s="562">
        <v>26.34</v>
      </c>
      <c r="F647" s="563">
        <v>33.73</v>
      </c>
      <c r="G647" s="1"/>
      <c r="H647" s="1"/>
      <c r="I647" s="1"/>
      <c r="J647" s="1"/>
      <c r="K647" s="1"/>
      <c r="L647" s="1"/>
      <c r="M647" s="1"/>
      <c r="N647" s="1"/>
      <c r="O647" s="1"/>
      <c r="P647" s="1"/>
      <c r="Q647" s="1"/>
      <c r="R647" s="1"/>
      <c r="S647" s="1"/>
      <c r="T647" s="1"/>
      <c r="U647" s="1"/>
    </row>
    <row r="648" ht="10.5" customHeight="1">
      <c r="A648" s="1"/>
      <c r="B648" s="48" t="s">
        <v>269</v>
      </c>
      <c r="C648" s="560">
        <v>4916.0</v>
      </c>
      <c r="D648" s="132">
        <v>6096.0</v>
      </c>
      <c r="E648" s="562">
        <v>34.14</v>
      </c>
      <c r="F648" s="563">
        <v>27.79</v>
      </c>
      <c r="G648" s="1"/>
      <c r="H648" s="1"/>
      <c r="I648" s="1"/>
      <c r="J648" s="1"/>
      <c r="K648" s="1"/>
      <c r="L648" s="1"/>
      <c r="M648" s="1"/>
      <c r="N648" s="1"/>
      <c r="O648" s="1"/>
      <c r="P648" s="1"/>
      <c r="Q648" s="1"/>
      <c r="R648" s="1"/>
      <c r="S648" s="1"/>
      <c r="T648" s="1"/>
      <c r="U648" s="1"/>
    </row>
    <row r="649" ht="10.5" customHeight="1">
      <c r="A649" s="1"/>
      <c r="B649" s="48" t="s">
        <v>270</v>
      </c>
      <c r="C649" s="560">
        <v>5696.0</v>
      </c>
      <c r="D649" s="132">
        <v>10493.0</v>
      </c>
      <c r="E649" s="562">
        <v>51.52</v>
      </c>
      <c r="F649" s="563">
        <v>36.8</v>
      </c>
      <c r="G649" s="1"/>
      <c r="H649" s="1"/>
      <c r="I649" s="1"/>
      <c r="J649" s="1"/>
      <c r="K649" s="1"/>
      <c r="L649" s="1"/>
      <c r="M649" s="1"/>
      <c r="N649" s="1"/>
      <c r="O649" s="1"/>
      <c r="P649" s="1"/>
      <c r="Q649" s="1"/>
      <c r="R649" s="1"/>
      <c r="S649" s="1"/>
      <c r="T649" s="1"/>
      <c r="U649" s="1"/>
    </row>
    <row r="650" ht="10.5" customHeight="1">
      <c r="A650" s="1"/>
      <c r="B650" s="48"/>
      <c r="C650" s="560"/>
      <c r="D650" s="132"/>
      <c r="E650" s="562"/>
      <c r="F650" s="563"/>
      <c r="G650" s="1"/>
      <c r="H650" s="1"/>
      <c r="I650" s="1"/>
      <c r="J650" s="1"/>
      <c r="K650" s="1"/>
      <c r="L650" s="1"/>
      <c r="M650" s="1"/>
      <c r="N650" s="1"/>
      <c r="O650" s="1"/>
      <c r="P650" s="1"/>
      <c r="Q650" s="1"/>
      <c r="R650" s="1"/>
      <c r="S650" s="1"/>
      <c r="T650" s="1"/>
      <c r="U650" s="1"/>
    </row>
    <row r="651" ht="10.5" customHeight="1">
      <c r="A651" s="1"/>
      <c r="B651" s="48" t="s">
        <v>271</v>
      </c>
      <c r="C651" s="560">
        <v>4787.0</v>
      </c>
      <c r="D651" s="132">
        <v>7531.0</v>
      </c>
      <c r="E651" s="562">
        <v>42.89</v>
      </c>
      <c r="F651" s="563">
        <v>38.61</v>
      </c>
      <c r="G651" s="1"/>
      <c r="H651" s="1"/>
      <c r="I651" s="1"/>
      <c r="J651" s="1"/>
      <c r="K651" s="1"/>
      <c r="L651" s="1"/>
      <c r="M651" s="1"/>
      <c r="N651" s="1"/>
      <c r="O651" s="1"/>
      <c r="P651" s="1"/>
      <c r="Q651" s="1"/>
      <c r="R651" s="1"/>
      <c r="S651" s="1"/>
      <c r="T651" s="1"/>
      <c r="U651" s="1"/>
    </row>
    <row r="652" ht="10.5" customHeight="1">
      <c r="A652" s="1"/>
      <c r="B652" s="48" t="s">
        <v>272</v>
      </c>
      <c r="C652" s="560">
        <v>6578.0</v>
      </c>
      <c r="D652" s="132">
        <v>9750.0</v>
      </c>
      <c r="E652" s="562">
        <v>59.88</v>
      </c>
      <c r="F652" s="563">
        <v>63.43</v>
      </c>
      <c r="G652" s="1"/>
      <c r="H652" s="1"/>
      <c r="I652" s="1"/>
      <c r="J652" s="1"/>
      <c r="K652" s="1"/>
      <c r="L652" s="1"/>
      <c r="M652" s="1"/>
      <c r="N652" s="1"/>
      <c r="O652" s="1"/>
      <c r="P652" s="1"/>
      <c r="Q652" s="1"/>
      <c r="R652" s="1"/>
      <c r="S652" s="1"/>
      <c r="T652" s="1"/>
      <c r="U652" s="1"/>
    </row>
    <row r="653" ht="10.5" customHeight="1">
      <c r="A653" s="1"/>
      <c r="B653" s="48" t="s">
        <v>274</v>
      </c>
      <c r="C653" s="560">
        <v>6054.0</v>
      </c>
      <c r="D653" s="132">
        <v>13802.0</v>
      </c>
      <c r="E653" s="562">
        <v>51.62</v>
      </c>
      <c r="F653" s="563">
        <v>60.05</v>
      </c>
      <c r="G653" s="1"/>
      <c r="H653" s="1"/>
      <c r="I653" s="1"/>
      <c r="J653" s="1"/>
      <c r="K653" s="1"/>
      <c r="L653" s="1"/>
      <c r="M653" s="1"/>
      <c r="N653" s="1"/>
      <c r="O653" s="1"/>
      <c r="P653" s="1"/>
      <c r="Q653" s="1"/>
      <c r="R653" s="1"/>
      <c r="S653" s="1"/>
      <c r="T653" s="1"/>
      <c r="U653" s="1"/>
    </row>
    <row r="654" ht="10.5" customHeight="1">
      <c r="A654" s="1"/>
      <c r="B654" s="48" t="s">
        <v>275</v>
      </c>
      <c r="C654" s="560">
        <v>6326.0</v>
      </c>
      <c r="D654" s="132">
        <v>18256.0</v>
      </c>
      <c r="E654" s="562">
        <v>58.25</v>
      </c>
      <c r="F654" s="563">
        <v>86.1</v>
      </c>
      <c r="G654" s="1"/>
      <c r="H654" s="1"/>
      <c r="I654" s="1"/>
      <c r="J654" s="1"/>
      <c r="K654" s="1"/>
      <c r="L654" s="1"/>
      <c r="M654" s="1"/>
      <c r="N654" s="1"/>
      <c r="O654" s="1"/>
      <c r="P654" s="1"/>
      <c r="Q654" s="1"/>
      <c r="R654" s="1"/>
      <c r="S654" s="1"/>
      <c r="T654" s="1"/>
      <c r="U654" s="1"/>
    </row>
    <row r="655" ht="10.5" customHeight="1">
      <c r="A655" s="1"/>
      <c r="B655" s="48" t="s">
        <v>276</v>
      </c>
      <c r="C655" s="560">
        <v>7456.0</v>
      </c>
      <c r="D655" s="132">
        <v>26393.0</v>
      </c>
      <c r="E655" s="562">
        <v>61.51</v>
      </c>
      <c r="F655" s="563">
        <v>80.24</v>
      </c>
      <c r="G655" s="1"/>
      <c r="H655" s="1"/>
      <c r="I655" s="1"/>
      <c r="J655" s="1"/>
      <c r="K655" s="1"/>
      <c r="L655" s="1"/>
      <c r="M655" s="1"/>
      <c r="N655" s="1"/>
      <c r="O655" s="1"/>
      <c r="P655" s="1"/>
      <c r="Q655" s="1"/>
      <c r="R655" s="1"/>
      <c r="S655" s="1"/>
      <c r="T655" s="1"/>
      <c r="U655" s="1"/>
    </row>
    <row r="656" ht="10.5" customHeight="1">
      <c r="A656" s="1"/>
      <c r="B656" s="48"/>
      <c r="C656" s="560"/>
      <c r="D656" s="132"/>
      <c r="E656" s="562"/>
      <c r="F656" s="563"/>
      <c r="G656" s="1"/>
      <c r="H656" s="1"/>
      <c r="I656" s="1"/>
      <c r="J656" s="1"/>
      <c r="K656" s="1"/>
      <c r="L656" s="1"/>
      <c r="M656" s="1"/>
      <c r="N656" s="1"/>
      <c r="O656" s="1"/>
      <c r="P656" s="1"/>
      <c r="Q656" s="1"/>
      <c r="R656" s="1"/>
      <c r="S656" s="1"/>
      <c r="T656" s="1"/>
      <c r="U656" s="1"/>
    </row>
    <row r="657" ht="10.5" customHeight="1">
      <c r="A657" s="1"/>
      <c r="B657" s="48" t="s">
        <v>56</v>
      </c>
      <c r="C657" s="560">
        <v>8770.0</v>
      </c>
      <c r="D657" s="132">
        <v>25885.0</v>
      </c>
      <c r="E657" s="562">
        <v>62.71</v>
      </c>
      <c r="F657" s="563">
        <v>85.81</v>
      </c>
      <c r="G657" s="1"/>
      <c r="H657" s="1"/>
      <c r="I657" s="1"/>
      <c r="J657" s="1"/>
      <c r="K657" s="1"/>
      <c r="L657" s="1"/>
      <c r="M657" s="1"/>
      <c r="N657" s="1"/>
      <c r="O657" s="1"/>
      <c r="P657" s="1"/>
      <c r="Q657" s="1"/>
      <c r="R657" s="1"/>
      <c r="S657" s="1"/>
      <c r="T657" s="1"/>
      <c r="U657" s="1"/>
    </row>
    <row r="658" ht="10.5" customHeight="1">
      <c r="A658" s="1"/>
      <c r="B658" s="48" t="s">
        <v>81</v>
      </c>
      <c r="C658" s="560">
        <v>8673.0</v>
      </c>
      <c r="D658" s="132">
        <v>27102.0</v>
      </c>
      <c r="E658" s="562">
        <v>65.25</v>
      </c>
      <c r="F658" s="563">
        <v>85.37</v>
      </c>
      <c r="G658" s="1"/>
      <c r="H658" s="1"/>
      <c r="I658" s="1"/>
      <c r="J658" s="1"/>
      <c r="K658" s="1"/>
      <c r="L658" s="1"/>
      <c r="M658" s="1"/>
      <c r="N658" s="1"/>
      <c r="O658" s="1"/>
      <c r="P658" s="1"/>
      <c r="Q658" s="1"/>
      <c r="R658" s="1"/>
      <c r="S658" s="1"/>
      <c r="T658" s="1"/>
      <c r="U658" s="1"/>
    </row>
    <row r="659" ht="10.5" customHeight="1">
      <c r="A659" s="1"/>
      <c r="B659" s="48" t="s">
        <v>86</v>
      </c>
      <c r="C659" s="560">
        <v>9515.0</v>
      </c>
      <c r="D659" s="132">
        <v>35599.0</v>
      </c>
      <c r="E659" s="562">
        <v>67.15</v>
      </c>
      <c r="F659" s="563">
        <v>68.26</v>
      </c>
      <c r="G659" s="1"/>
      <c r="H659" s="1"/>
      <c r="I659" s="1"/>
      <c r="J659" s="1"/>
      <c r="K659" s="1"/>
      <c r="L659" s="1"/>
      <c r="M659" s="1"/>
      <c r="N659" s="1"/>
      <c r="O659" s="1"/>
      <c r="P659" s="1"/>
      <c r="Q659" s="1"/>
      <c r="R659" s="1"/>
      <c r="S659" s="1"/>
      <c r="T659" s="1"/>
      <c r="U659" s="1"/>
    </row>
    <row r="660" ht="10.5" customHeight="1">
      <c r="A660" s="1"/>
      <c r="B660" s="48" t="s">
        <v>87</v>
      </c>
      <c r="C660" s="560">
        <v>9278.0</v>
      </c>
      <c r="D660" s="132">
        <v>32208.0</v>
      </c>
      <c r="E660" s="562">
        <v>79.69</v>
      </c>
      <c r="F660" s="563">
        <v>81.72</v>
      </c>
      <c r="G660" s="1"/>
      <c r="H660" s="1"/>
      <c r="I660" s="1"/>
      <c r="J660" s="1"/>
      <c r="K660" s="1"/>
      <c r="L660" s="1"/>
      <c r="M660" s="1"/>
      <c r="N660" s="1"/>
      <c r="O660" s="1"/>
      <c r="P660" s="1"/>
      <c r="Q660" s="1"/>
      <c r="R660" s="1"/>
      <c r="S660" s="1"/>
      <c r="T660" s="1"/>
      <c r="U660" s="1"/>
    </row>
    <row r="661" ht="10.5" customHeight="1">
      <c r="A661" s="1"/>
      <c r="B661" s="48" t="s">
        <v>90</v>
      </c>
      <c r="C661" s="560">
        <v>6355.0</v>
      </c>
      <c r="D661" s="132">
        <v>30768.0</v>
      </c>
      <c r="E661" s="562">
        <v>95.96</v>
      </c>
      <c r="F661" s="563">
        <v>108.7</v>
      </c>
      <c r="G661" s="1"/>
      <c r="H661" s="1"/>
      <c r="I661" s="1"/>
      <c r="J661" s="1"/>
      <c r="K661" s="1"/>
      <c r="L661" s="1"/>
      <c r="M661" s="1"/>
      <c r="N661" s="1"/>
      <c r="O661" s="1"/>
      <c r="P661" s="1"/>
      <c r="Q661" s="1"/>
      <c r="R661" s="1"/>
      <c r="S661" s="1"/>
      <c r="T661" s="1"/>
      <c r="U661" s="1"/>
    </row>
    <row r="662" ht="10.5" customHeight="1">
      <c r="A662" s="1"/>
      <c r="B662" s="48"/>
      <c r="C662" s="560"/>
      <c r="D662" s="132"/>
      <c r="E662" s="562"/>
      <c r="F662" s="563"/>
      <c r="G662" s="1"/>
      <c r="H662" s="1"/>
      <c r="I662" s="1"/>
      <c r="J662" s="1"/>
      <c r="K662" s="1"/>
      <c r="L662" s="1"/>
      <c r="M662" s="1"/>
      <c r="N662" s="1"/>
      <c r="O662" s="1"/>
      <c r="P662" s="1"/>
      <c r="Q662" s="1"/>
      <c r="R662" s="1"/>
      <c r="S662" s="1"/>
      <c r="T662" s="1"/>
      <c r="U662" s="1"/>
    </row>
    <row r="663" ht="10.5" customHeight="1">
      <c r="A663" s="1"/>
      <c r="B663" s="48" t="s">
        <v>93</v>
      </c>
      <c r="C663" s="560">
        <v>9385.0</v>
      </c>
      <c r="D663" s="132">
        <v>40085.0</v>
      </c>
      <c r="E663" s="562">
        <v>100.48</v>
      </c>
      <c r="F663" s="563">
        <v>128.35</v>
      </c>
      <c r="G663" s="1"/>
      <c r="H663" s="1"/>
      <c r="I663" s="1"/>
      <c r="J663" s="1"/>
      <c r="K663" s="1"/>
      <c r="L663" s="1"/>
      <c r="M663" s="1"/>
      <c r="N663" s="1"/>
      <c r="O663" s="1"/>
      <c r="P663" s="1"/>
      <c r="Q663" s="1"/>
      <c r="R663" s="1"/>
      <c r="S663" s="1"/>
      <c r="T663" s="1"/>
      <c r="U663" s="1"/>
    </row>
    <row r="664" ht="10.5" customHeight="1">
      <c r="A664" s="1"/>
      <c r="B664" s="48" t="s">
        <v>97</v>
      </c>
      <c r="C664" s="560">
        <v>10721.0</v>
      </c>
      <c r="D664" s="132">
        <v>33263.0</v>
      </c>
      <c r="E664" s="562">
        <v>109.14</v>
      </c>
      <c r="F664" s="563">
        <v>137.59</v>
      </c>
      <c r="G664" s="1"/>
      <c r="H664" s="1"/>
      <c r="I664" s="1"/>
      <c r="J664" s="1"/>
      <c r="K664" s="1"/>
      <c r="L664" s="1"/>
      <c r="M664" s="1"/>
      <c r="N664" s="1"/>
      <c r="O664" s="1"/>
      <c r="P664" s="1"/>
      <c r="Q664" s="1"/>
      <c r="R664" s="1"/>
      <c r="S664" s="1"/>
      <c r="T664" s="1"/>
      <c r="U664" s="1"/>
    </row>
    <row r="665" ht="10.5" customHeight="1">
      <c r="A665" s="1"/>
      <c r="B665" s="48" t="s">
        <v>101</v>
      </c>
      <c r="C665" s="560">
        <v>8820.0</v>
      </c>
      <c r="D665" s="132">
        <v>30137.0</v>
      </c>
      <c r="E665" s="562">
        <v>124.42</v>
      </c>
      <c r="F665" s="563">
        <v>148.95</v>
      </c>
      <c r="G665" s="1"/>
      <c r="H665" s="1"/>
      <c r="I665" s="1"/>
      <c r="J665" s="1"/>
      <c r="K665" s="1"/>
      <c r="L665" s="1"/>
      <c r="M665" s="1"/>
      <c r="N665" s="1"/>
      <c r="O665" s="1"/>
      <c r="P665" s="1"/>
      <c r="Q665" s="1"/>
      <c r="R665" s="1"/>
      <c r="S665" s="1"/>
      <c r="T665" s="1"/>
      <c r="U665" s="1"/>
    </row>
    <row r="666" ht="10.5" customHeight="1">
      <c r="A666" s="1"/>
      <c r="B666" s="48" t="s">
        <v>103</v>
      </c>
      <c r="C666" s="560">
        <v>8736.0</v>
      </c>
      <c r="D666" s="132">
        <v>23115.0</v>
      </c>
      <c r="E666" s="562">
        <v>156.53</v>
      </c>
      <c r="F666" s="563">
        <v>173.19</v>
      </c>
      <c r="G666" s="1"/>
      <c r="H666" s="1"/>
      <c r="I666" s="1"/>
      <c r="J666" s="1"/>
      <c r="K666" s="1"/>
      <c r="L666" s="1"/>
      <c r="M666" s="1"/>
      <c r="N666" s="1"/>
      <c r="O666" s="1"/>
      <c r="P666" s="1"/>
      <c r="Q666" s="1"/>
      <c r="R666" s="1"/>
      <c r="S666" s="1"/>
      <c r="T666" s="1"/>
      <c r="U666" s="1"/>
    </row>
    <row r="667" ht="10.5" customHeight="1">
      <c r="A667" s="1"/>
      <c r="B667" s="48" t="s">
        <v>104</v>
      </c>
      <c r="C667" s="560">
        <v>9186.0</v>
      </c>
      <c r="D667" s="132">
        <v>37075.0</v>
      </c>
      <c r="E667" s="562">
        <v>176.23</v>
      </c>
      <c r="F667" s="563">
        <v>214.71</v>
      </c>
      <c r="G667" s="1"/>
      <c r="H667" s="1"/>
      <c r="I667" s="1"/>
      <c r="J667" s="1"/>
      <c r="K667" s="1"/>
      <c r="L667" s="1"/>
      <c r="M667" s="1"/>
      <c r="N667" s="1"/>
      <c r="O667" s="1"/>
      <c r="P667" s="1"/>
      <c r="Q667" s="1"/>
      <c r="R667" s="1"/>
      <c r="S667" s="1"/>
      <c r="T667" s="1"/>
      <c r="U667" s="1"/>
    </row>
    <row r="668" ht="10.5" customHeight="1">
      <c r="A668" s="1"/>
      <c r="B668" s="48"/>
      <c r="C668" s="560"/>
      <c r="D668" s="132"/>
      <c r="E668" s="562"/>
      <c r="F668" s="563"/>
      <c r="G668" s="1"/>
      <c r="H668" s="1"/>
      <c r="I668" s="1"/>
      <c r="J668" s="1"/>
      <c r="K668" s="1"/>
      <c r="L668" s="1"/>
      <c r="M668" s="1"/>
      <c r="N668" s="1"/>
      <c r="O668" s="1"/>
      <c r="P668" s="1"/>
      <c r="Q668" s="1"/>
      <c r="R668" s="1"/>
      <c r="S668" s="1"/>
      <c r="T668" s="1"/>
      <c r="U668" s="1"/>
    </row>
    <row r="669" ht="10.5" customHeight="1">
      <c r="A669" s="1"/>
      <c r="B669" s="48" t="s">
        <v>108</v>
      </c>
      <c r="C669" s="560">
        <v>7549.0</v>
      </c>
      <c r="D669" s="132">
        <v>34098.0</v>
      </c>
      <c r="E669" s="562">
        <v>266.0</v>
      </c>
      <c r="F669" s="563">
        <v>179.0</v>
      </c>
      <c r="G669" s="1"/>
      <c r="H669" s="1"/>
      <c r="I669" s="1"/>
      <c r="J669" s="1"/>
      <c r="K669" s="1"/>
      <c r="L669" s="1"/>
      <c r="M669" s="1"/>
      <c r="N669" s="1"/>
      <c r="O669" s="1"/>
      <c r="P669" s="1"/>
      <c r="Q669" s="1"/>
      <c r="R669" s="1"/>
      <c r="S669" s="1"/>
      <c r="T669" s="1"/>
      <c r="U669" s="1"/>
    </row>
    <row r="670" ht="10.5" customHeight="1">
      <c r="A670" s="1"/>
      <c r="B670" s="48" t="s">
        <v>111</v>
      </c>
      <c r="C670" s="560">
        <v>6551.0</v>
      </c>
      <c r="D670" s="132">
        <v>43665.0</v>
      </c>
      <c r="E670" s="562">
        <v>296.0</v>
      </c>
      <c r="F670" s="563">
        <v>223.0</v>
      </c>
      <c r="G670" s="1"/>
      <c r="H670" s="1"/>
      <c r="I670" s="1"/>
      <c r="J670" s="1"/>
      <c r="K670" s="1"/>
      <c r="L670" s="1"/>
      <c r="M670" s="1"/>
      <c r="N670" s="1"/>
      <c r="O670" s="1"/>
      <c r="P670" s="1"/>
      <c r="Q670" s="1"/>
      <c r="R670" s="1"/>
      <c r="S670" s="1"/>
      <c r="T670" s="1"/>
      <c r="U670" s="1"/>
    </row>
    <row r="671" ht="10.5" customHeight="1">
      <c r="A671" s="1"/>
      <c r="B671" s="48" t="s">
        <v>112</v>
      </c>
      <c r="C671" s="560">
        <v>8358.0</v>
      </c>
      <c r="D671" s="132">
        <v>29773.0</v>
      </c>
      <c r="E671" s="562">
        <v>453.0</v>
      </c>
      <c r="F671" s="563">
        <v>281.0</v>
      </c>
      <c r="G671" s="1"/>
      <c r="H671" s="1"/>
      <c r="I671" s="1"/>
      <c r="J671" s="1"/>
      <c r="K671" s="1"/>
      <c r="L671" s="1"/>
      <c r="M671" s="1"/>
      <c r="N671" s="1"/>
      <c r="O671" s="1"/>
      <c r="P671" s="1"/>
      <c r="Q671" s="1"/>
      <c r="R671" s="1"/>
      <c r="S671" s="1"/>
      <c r="T671" s="1"/>
      <c r="U671" s="1"/>
    </row>
    <row r="672" ht="10.5" customHeight="1">
      <c r="A672" s="1"/>
      <c r="B672" s="48" t="s">
        <v>113</v>
      </c>
      <c r="C672" s="560">
        <v>5970.0</v>
      </c>
      <c r="D672" s="132">
        <v>34856.0</v>
      </c>
      <c r="E672" s="562">
        <v>361.0</v>
      </c>
      <c r="F672" s="563">
        <v>272.0</v>
      </c>
      <c r="G672" s="1"/>
      <c r="H672" s="1"/>
      <c r="I672" s="1"/>
      <c r="J672" s="1"/>
      <c r="K672" s="1"/>
      <c r="L672" s="1"/>
      <c r="M672" s="1"/>
      <c r="N672" s="1"/>
      <c r="O672" s="1"/>
      <c r="P672" s="1"/>
      <c r="Q672" s="1"/>
      <c r="R672" s="1"/>
      <c r="S672" s="1"/>
      <c r="T672" s="1"/>
      <c r="U672" s="1"/>
    </row>
    <row r="673" ht="10.5" customHeight="1">
      <c r="A673" s="1"/>
      <c r="B673" s="48" t="s">
        <v>114</v>
      </c>
      <c r="C673" s="560">
        <v>6102.0</v>
      </c>
      <c r="D673" s="132">
        <v>39657.0</v>
      </c>
      <c r="E673" s="562">
        <v>379.0</v>
      </c>
      <c r="F673" s="563">
        <v>294.0</v>
      </c>
      <c r="G673" s="1"/>
      <c r="H673" s="1"/>
      <c r="I673" s="1"/>
      <c r="J673" s="1"/>
      <c r="K673" s="1"/>
      <c r="L673" s="1"/>
      <c r="M673" s="1"/>
      <c r="N673" s="1"/>
      <c r="O673" s="1"/>
      <c r="P673" s="1"/>
      <c r="Q673" s="1"/>
      <c r="R673" s="1"/>
      <c r="S673" s="1"/>
      <c r="T673" s="1"/>
      <c r="U673" s="1"/>
    </row>
    <row r="674" ht="10.5" customHeight="1">
      <c r="A674" s="1"/>
      <c r="B674" s="48"/>
      <c r="C674" s="560"/>
      <c r="D674" s="132"/>
      <c r="E674" s="562"/>
      <c r="F674" s="563"/>
      <c r="G674" s="1"/>
      <c r="H674" s="1"/>
      <c r="I674" s="1"/>
      <c r="J674" s="1"/>
      <c r="K674" s="1"/>
      <c r="L674" s="1"/>
      <c r="M674" s="1"/>
      <c r="N674" s="1"/>
      <c r="O674" s="1"/>
      <c r="P674" s="1"/>
      <c r="Q674" s="1"/>
      <c r="R674" s="1"/>
      <c r="S674" s="1"/>
      <c r="T674" s="1"/>
      <c r="U674" s="1"/>
    </row>
    <row r="675" ht="10.5" customHeight="1">
      <c r="A675" s="1"/>
      <c r="B675" s="48" t="s">
        <v>115</v>
      </c>
      <c r="C675" s="560">
        <v>4615.0</v>
      </c>
      <c r="D675" s="132">
        <v>30077.0</v>
      </c>
      <c r="E675" s="562">
        <v>325.0</v>
      </c>
      <c r="F675" s="563">
        <v>326.0</v>
      </c>
      <c r="G675" s="1"/>
      <c r="H675" s="1"/>
      <c r="I675" s="1"/>
      <c r="J675" s="1"/>
      <c r="K675" s="1"/>
      <c r="L675" s="1"/>
      <c r="M675" s="1"/>
      <c r="N675" s="1"/>
      <c r="O675" s="1"/>
      <c r="P675" s="1"/>
      <c r="Q675" s="1"/>
      <c r="R675" s="1"/>
      <c r="S675" s="1"/>
      <c r="T675" s="1"/>
      <c r="U675" s="1"/>
    </row>
    <row r="676" ht="10.5" customHeight="1">
      <c r="A676" s="1"/>
      <c r="B676" s="48" t="s">
        <v>117</v>
      </c>
      <c r="C676" s="560">
        <v>6092.0</v>
      </c>
      <c r="D676" s="132">
        <v>41985.0</v>
      </c>
      <c r="E676" s="562">
        <v>348.0</v>
      </c>
      <c r="F676" s="563">
        <v>314.0</v>
      </c>
      <c r="G676" s="1"/>
      <c r="H676" s="1"/>
      <c r="I676" s="1"/>
      <c r="J676" s="1"/>
      <c r="K676" s="1"/>
      <c r="L676" s="1"/>
      <c r="M676" s="1"/>
      <c r="N676" s="1"/>
      <c r="O676" s="1"/>
      <c r="P676" s="1"/>
      <c r="Q676" s="1"/>
      <c r="R676" s="1"/>
      <c r="S676" s="1"/>
      <c r="T676" s="1"/>
      <c r="U676" s="1"/>
    </row>
    <row r="677" ht="10.5" customHeight="1">
      <c r="A677" s="1"/>
      <c r="B677" s="48" t="s">
        <v>121</v>
      </c>
      <c r="C677" s="560">
        <v>5772.0</v>
      </c>
      <c r="D677" s="132">
        <v>28335.0</v>
      </c>
      <c r="E677" s="562">
        <v>239.86</v>
      </c>
      <c r="F677" s="563">
        <v>416.5</v>
      </c>
      <c r="G677" s="1"/>
      <c r="H677" s="1"/>
      <c r="I677" s="1"/>
      <c r="J677" s="1"/>
      <c r="K677" s="1"/>
      <c r="L677" s="1"/>
      <c r="M677" s="1"/>
      <c r="N677" s="1"/>
      <c r="O677" s="1"/>
      <c r="P677" s="1"/>
      <c r="Q677" s="1"/>
      <c r="R677" s="1"/>
      <c r="S677" s="1"/>
      <c r="T677" s="1"/>
      <c r="U677" s="1"/>
    </row>
    <row r="678" ht="10.5" customHeight="1">
      <c r="A678" s="1"/>
      <c r="B678" s="168" t="s">
        <v>122</v>
      </c>
      <c r="C678" s="560">
        <v>6248.0</v>
      </c>
      <c r="D678" s="132">
        <v>42594.0</v>
      </c>
      <c r="E678" s="562">
        <v>462.78</v>
      </c>
      <c r="F678" s="563">
        <v>507.5</v>
      </c>
      <c r="G678" s="1"/>
      <c r="H678" s="1"/>
      <c r="I678" s="443"/>
      <c r="J678" s="1"/>
      <c r="K678" s="1"/>
      <c r="L678" s="1"/>
      <c r="M678" s="1"/>
      <c r="N678" s="1"/>
      <c r="O678" s="1"/>
      <c r="P678" s="1"/>
      <c r="Q678" s="1"/>
      <c r="R678" s="1"/>
      <c r="S678" s="1"/>
      <c r="T678" s="1"/>
      <c r="U678" s="1"/>
    </row>
    <row r="679" ht="10.5" customHeight="1">
      <c r="A679" s="1"/>
      <c r="B679" s="168" t="s">
        <v>123</v>
      </c>
      <c r="C679" s="560">
        <v>4916.0</v>
      </c>
      <c r="D679" s="132">
        <v>38142.0</v>
      </c>
      <c r="E679" s="562">
        <v>263.22</v>
      </c>
      <c r="F679" s="563">
        <v>466.06</v>
      </c>
      <c r="G679" s="1"/>
      <c r="H679" s="1"/>
      <c r="I679" s="1"/>
      <c r="J679" s="1"/>
      <c r="K679" s="1"/>
      <c r="L679" s="1"/>
      <c r="M679" s="1"/>
      <c r="N679" s="1"/>
      <c r="O679" s="1"/>
      <c r="P679" s="1"/>
      <c r="Q679" s="1"/>
      <c r="R679" s="1"/>
      <c r="S679" s="1"/>
      <c r="T679" s="1"/>
      <c r="U679" s="1"/>
    </row>
    <row r="680" ht="10.5" customHeight="1">
      <c r="A680" s="1"/>
      <c r="B680" s="48"/>
      <c r="C680" s="560"/>
      <c r="D680" s="132"/>
      <c r="E680" s="562"/>
      <c r="F680" s="563"/>
      <c r="G680" s="1"/>
      <c r="H680" s="1"/>
      <c r="I680" s="1"/>
      <c r="J680" s="1"/>
      <c r="K680" s="1"/>
      <c r="L680" s="1"/>
      <c r="M680" s="1"/>
      <c r="N680" s="1"/>
      <c r="O680" s="1"/>
      <c r="P680" s="1"/>
      <c r="Q680" s="1"/>
      <c r="R680" s="1"/>
      <c r="S680" s="1"/>
      <c r="T680" s="1"/>
      <c r="U680" s="1"/>
    </row>
    <row r="681" ht="10.5" customHeight="1">
      <c r="A681" s="1"/>
      <c r="B681" s="168" t="s">
        <v>125</v>
      </c>
      <c r="C681" s="560">
        <v>4302.0</v>
      </c>
      <c r="D681" s="132">
        <v>34843.0</v>
      </c>
      <c r="E681" s="562">
        <v>295.89</v>
      </c>
      <c r="F681" s="563">
        <v>418.8</v>
      </c>
      <c r="G681" s="1"/>
      <c r="H681" s="1"/>
      <c r="I681" s="1"/>
      <c r="J681" s="1"/>
      <c r="K681" s="1"/>
      <c r="L681" s="1"/>
      <c r="M681" s="1"/>
      <c r="N681" s="1"/>
      <c r="O681" s="1"/>
      <c r="P681" s="1"/>
      <c r="Q681" s="1"/>
      <c r="R681" s="1"/>
      <c r="S681" s="1"/>
      <c r="T681" s="1"/>
      <c r="U681" s="1"/>
    </row>
    <row r="682" ht="10.5" customHeight="1">
      <c r="A682" s="1"/>
      <c r="B682" s="168" t="s">
        <v>127</v>
      </c>
      <c r="C682" s="38">
        <v>4948.0</v>
      </c>
      <c r="D682" s="524">
        <v>42355.0</v>
      </c>
      <c r="E682" s="568">
        <v>319.57</v>
      </c>
      <c r="F682" s="563">
        <v>282.99</v>
      </c>
      <c r="G682" s="1"/>
      <c r="H682" s="1"/>
      <c r="I682" s="1"/>
      <c r="J682" s="1"/>
      <c r="K682" s="1"/>
      <c r="L682" s="1"/>
      <c r="M682" s="1"/>
      <c r="N682" s="1"/>
      <c r="O682" s="1"/>
      <c r="P682" s="1"/>
      <c r="Q682" s="1"/>
      <c r="R682" s="1"/>
      <c r="S682" s="1"/>
      <c r="T682" s="1"/>
      <c r="U682" s="1"/>
    </row>
    <row r="683" ht="10.5" customHeight="1">
      <c r="A683" s="1"/>
      <c r="B683" s="48" t="s">
        <v>128</v>
      </c>
      <c r="C683" s="38">
        <v>5697.0</v>
      </c>
      <c r="D683" s="524">
        <v>36727.0</v>
      </c>
      <c r="E683" s="568">
        <v>358.39</v>
      </c>
      <c r="F683" s="563">
        <v>482.78</v>
      </c>
      <c r="G683" s="1"/>
      <c r="H683" s="1"/>
      <c r="I683" s="1"/>
      <c r="J683" s="1"/>
      <c r="K683" s="1"/>
      <c r="L683" s="1"/>
      <c r="M683" s="1"/>
      <c r="N683" s="1"/>
      <c r="O683" s="1"/>
      <c r="P683" s="1"/>
      <c r="Q683" s="1"/>
      <c r="R683" s="1"/>
      <c r="S683" s="1"/>
      <c r="T683" s="1"/>
      <c r="U683" s="1"/>
    </row>
    <row r="684" ht="10.5" customHeight="1">
      <c r="A684" s="1"/>
      <c r="B684" s="48" t="s">
        <v>129</v>
      </c>
      <c r="C684" s="38">
        <v>5800.0</v>
      </c>
      <c r="D684" s="524">
        <v>39516.0</v>
      </c>
      <c r="E684" s="568">
        <v>261.03</v>
      </c>
      <c r="F684" s="461">
        <v>427.42</v>
      </c>
      <c r="G684" s="1"/>
      <c r="H684" s="1"/>
      <c r="I684" s="1"/>
      <c r="J684" s="1"/>
      <c r="K684" s="1"/>
      <c r="L684" s="1"/>
      <c r="M684" s="1"/>
      <c r="N684" s="1"/>
      <c r="O684" s="1"/>
      <c r="P684" s="1"/>
      <c r="Q684" s="1"/>
      <c r="R684" s="1"/>
      <c r="S684" s="1"/>
      <c r="T684" s="1"/>
      <c r="U684" s="1"/>
    </row>
    <row r="685" ht="10.5" customHeight="1">
      <c r="A685" s="1"/>
      <c r="B685" s="48" t="s">
        <v>130</v>
      </c>
      <c r="C685" s="38">
        <v>5875.0</v>
      </c>
      <c r="D685" s="524">
        <v>30416.0</v>
      </c>
      <c r="E685" s="568">
        <v>465.01</v>
      </c>
      <c r="F685" s="461">
        <v>439.01</v>
      </c>
      <c r="G685" s="1"/>
      <c r="H685" s="1"/>
      <c r="I685" s="1"/>
      <c r="J685" s="1"/>
      <c r="K685" s="1"/>
      <c r="L685" s="1"/>
      <c r="M685" s="1"/>
      <c r="N685" s="1"/>
      <c r="O685" s="1"/>
      <c r="P685" s="1"/>
      <c r="Q685" s="1"/>
      <c r="R685" s="1"/>
      <c r="S685" s="1"/>
      <c r="T685" s="1"/>
      <c r="U685" s="1"/>
    </row>
    <row r="686" ht="10.5" customHeight="1">
      <c r="A686" s="1"/>
      <c r="B686" s="48"/>
      <c r="C686" s="38"/>
      <c r="D686" s="172"/>
      <c r="E686" s="568"/>
      <c r="F686" s="461"/>
      <c r="G686" s="1"/>
      <c r="H686" s="1"/>
      <c r="I686" s="1"/>
      <c r="J686" s="1"/>
      <c r="K686" s="1"/>
      <c r="L686" s="1"/>
      <c r="M686" s="1"/>
      <c r="N686" s="1"/>
      <c r="O686" s="1"/>
      <c r="P686" s="1"/>
      <c r="Q686" s="1"/>
      <c r="R686" s="1"/>
      <c r="S686" s="1"/>
      <c r="T686" s="1"/>
      <c r="U686" s="1"/>
    </row>
    <row r="687" ht="10.5" customHeight="1">
      <c r="A687" s="1"/>
      <c r="B687" s="48" t="s">
        <v>131</v>
      </c>
      <c r="C687" s="38">
        <v>4890.0</v>
      </c>
      <c r="D687" s="572">
        <v>41229.0</v>
      </c>
      <c r="E687" s="568">
        <v>593.0</v>
      </c>
      <c r="F687" s="461">
        <v>448.0</v>
      </c>
      <c r="G687" s="1"/>
      <c r="H687" s="1"/>
      <c r="I687" s="1"/>
      <c r="J687" s="1"/>
      <c r="K687" s="1"/>
      <c r="L687" s="1"/>
      <c r="M687" s="1"/>
      <c r="N687" s="1"/>
      <c r="O687" s="1"/>
      <c r="P687" s="1"/>
      <c r="Q687" s="1"/>
      <c r="R687" s="1"/>
      <c r="S687" s="1"/>
      <c r="T687" s="1"/>
      <c r="U687" s="1"/>
    </row>
    <row r="688" ht="10.5" customHeight="1">
      <c r="A688" s="1"/>
      <c r="B688" s="48" t="s">
        <v>133</v>
      </c>
      <c r="C688" s="38">
        <v>5064.0</v>
      </c>
      <c r="D688" s="572">
        <v>44032.0</v>
      </c>
      <c r="E688" s="568">
        <v>656.0</v>
      </c>
      <c r="F688" s="461">
        <v>558.8</v>
      </c>
      <c r="G688" s="1"/>
      <c r="H688" s="1"/>
      <c r="I688" s="1"/>
      <c r="J688" s="1"/>
      <c r="K688" s="1"/>
      <c r="L688" s="1"/>
      <c r="M688" s="1"/>
      <c r="N688" s="1"/>
      <c r="O688" s="1"/>
      <c r="P688" s="1"/>
      <c r="Q688" s="1"/>
      <c r="R688" s="1"/>
      <c r="S688" s="1"/>
      <c r="T688" s="1"/>
      <c r="U688" s="1"/>
    </row>
    <row r="689" ht="10.5" customHeight="1">
      <c r="A689" s="1"/>
      <c r="B689" s="293">
        <v>39295.0</v>
      </c>
      <c r="C689" s="38">
        <v>4997.0</v>
      </c>
      <c r="D689" s="572">
        <v>42440.0</v>
      </c>
      <c r="E689" s="568">
        <v>667.35</v>
      </c>
      <c r="F689" s="461">
        <v>669.96</v>
      </c>
      <c r="G689" s="1"/>
      <c r="H689" s="1"/>
      <c r="I689" s="1"/>
      <c r="J689" s="1"/>
      <c r="K689" s="1"/>
      <c r="L689" s="1"/>
      <c r="M689" s="1"/>
      <c r="N689" s="1"/>
      <c r="O689" s="1"/>
      <c r="P689" s="1"/>
      <c r="Q689" s="1"/>
      <c r="R689" s="1"/>
      <c r="S689" s="1"/>
      <c r="T689" s="1"/>
      <c r="U689" s="1"/>
    </row>
    <row r="690" ht="10.5" customHeight="1">
      <c r="A690" s="1"/>
      <c r="B690" s="293">
        <v>39692.0</v>
      </c>
      <c r="C690" s="38">
        <v>5712.0</v>
      </c>
      <c r="D690" s="572">
        <v>32719.0</v>
      </c>
      <c r="E690" s="568">
        <v>688.04</v>
      </c>
      <c r="F690" s="461">
        <v>997.8</v>
      </c>
      <c r="G690" s="1"/>
      <c r="H690" s="1"/>
      <c r="I690" s="1"/>
      <c r="J690" s="1"/>
      <c r="K690" s="1"/>
      <c r="L690" s="1"/>
      <c r="M690" s="1"/>
      <c r="N690" s="1"/>
      <c r="O690" s="1"/>
      <c r="P690" s="1"/>
      <c r="Q690" s="1"/>
      <c r="R690" s="1"/>
      <c r="S690" s="1"/>
      <c r="T690" s="1"/>
      <c r="U690" s="1"/>
    </row>
    <row r="691" ht="10.5" customHeight="1">
      <c r="A691" s="1"/>
      <c r="B691" s="293">
        <v>40087.0</v>
      </c>
      <c r="C691" s="38">
        <v>6214.0</v>
      </c>
      <c r="D691" s="572">
        <v>50628.0</v>
      </c>
      <c r="E691" s="568">
        <v>697.73</v>
      </c>
      <c r="F691" s="461">
        <v>873.44</v>
      </c>
      <c r="G691" s="1"/>
      <c r="H691" s="1"/>
      <c r="I691" s="1"/>
      <c r="J691" s="1"/>
      <c r="K691" s="1"/>
      <c r="L691" s="1"/>
      <c r="M691" s="1"/>
      <c r="N691" s="1"/>
      <c r="O691" s="1"/>
      <c r="P691" s="1"/>
      <c r="Q691" s="1"/>
      <c r="R691" s="1"/>
      <c r="S691" s="1"/>
      <c r="T691" s="1"/>
      <c r="U691" s="1"/>
    </row>
    <row r="692" ht="10.5" customHeight="1">
      <c r="A692" s="1"/>
      <c r="B692" s="293"/>
      <c r="C692" s="38"/>
      <c r="D692" s="572"/>
      <c r="E692" s="568"/>
      <c r="F692" s="461"/>
      <c r="G692" s="1"/>
      <c r="H692" s="1"/>
      <c r="I692" s="1"/>
      <c r="J692" s="1"/>
      <c r="K692" s="1"/>
      <c r="L692" s="1"/>
      <c r="M692" s="1"/>
      <c r="N692" s="1"/>
      <c r="O692" s="1"/>
      <c r="P692" s="1"/>
      <c r="Q692" s="1"/>
      <c r="R692" s="1"/>
      <c r="S692" s="1"/>
      <c r="T692" s="1"/>
      <c r="U692" s="1"/>
    </row>
    <row r="693" ht="10.5" customHeight="1">
      <c r="A693" s="1"/>
      <c r="B693" s="11" t="s">
        <v>139</v>
      </c>
      <c r="C693" s="38">
        <v>5286.0</v>
      </c>
      <c r="D693" s="38">
        <v>28700.0</v>
      </c>
      <c r="E693" s="568">
        <v>735.92</v>
      </c>
      <c r="F693" s="574">
        <v>1192.91</v>
      </c>
      <c r="G693" s="1"/>
      <c r="H693" s="1"/>
      <c r="I693" s="1"/>
      <c r="J693" s="1"/>
      <c r="K693" s="1"/>
      <c r="L693" s="1"/>
      <c r="M693" s="1"/>
      <c r="N693" s="1"/>
      <c r="O693" s="1"/>
      <c r="P693" s="1"/>
      <c r="Q693" s="1"/>
      <c r="R693" s="1"/>
      <c r="S693" s="1"/>
      <c r="T693" s="1"/>
      <c r="U693" s="1"/>
    </row>
    <row r="694" ht="10.5" customHeight="1">
      <c r="A694" s="1"/>
      <c r="B694" s="11" t="s">
        <v>143</v>
      </c>
      <c r="C694" s="38">
        <v>5602.0</v>
      </c>
      <c r="D694" s="38">
        <v>37907.0</v>
      </c>
      <c r="E694" s="521">
        <v>1085.58</v>
      </c>
      <c r="F694" s="574">
        <v>1255.84</v>
      </c>
      <c r="G694" s="1"/>
      <c r="H694" s="1"/>
      <c r="I694" s="1"/>
      <c r="J694" s="1"/>
      <c r="K694" s="1"/>
      <c r="L694" s="1"/>
      <c r="M694" s="1"/>
      <c r="N694" s="1"/>
      <c r="O694" s="1"/>
      <c r="P694" s="1"/>
      <c r="Q694" s="1"/>
      <c r="R694" s="1"/>
      <c r="S694" s="1"/>
      <c r="T694" s="1"/>
      <c r="U694" s="1"/>
    </row>
    <row r="695" ht="10.5" customHeight="1">
      <c r="A695" s="1"/>
      <c r="B695" s="11" t="s">
        <v>149</v>
      </c>
      <c r="C695" s="38">
        <v>6255.0</v>
      </c>
      <c r="D695" s="38">
        <v>55789.0</v>
      </c>
      <c r="E695" s="521">
        <v>1122.74</v>
      </c>
      <c r="F695" s="574">
        <v>1199.66</v>
      </c>
      <c r="G695" s="1"/>
      <c r="H695" s="1"/>
      <c r="I695" s="1"/>
      <c r="J695" s="1"/>
      <c r="K695" s="1"/>
      <c r="L695" s="1"/>
      <c r="M695" s="1"/>
      <c r="N695" s="1"/>
      <c r="O695" s="1"/>
      <c r="P695" s="1"/>
      <c r="Q695" s="1"/>
      <c r="R695" s="1"/>
      <c r="S695" s="1"/>
      <c r="T695" s="1"/>
      <c r="U695" s="1"/>
    </row>
    <row r="696" ht="10.5" customHeight="1">
      <c r="A696" s="1"/>
      <c r="B696" s="11" t="s">
        <v>151</v>
      </c>
      <c r="C696" s="38">
        <v>5226.0</v>
      </c>
      <c r="D696" s="38">
        <v>46051.0</v>
      </c>
      <c r="E696" s="521">
        <v>1256.66</v>
      </c>
      <c r="F696" s="574">
        <v>1287.98</v>
      </c>
      <c r="G696" s="1"/>
      <c r="H696" s="1"/>
      <c r="I696" s="1"/>
      <c r="J696" s="1"/>
      <c r="K696" s="1"/>
      <c r="L696" s="1"/>
      <c r="M696" s="1"/>
      <c r="N696" s="1"/>
      <c r="O696" s="1"/>
      <c r="P696" s="1"/>
      <c r="Q696" s="1"/>
      <c r="R696" s="1"/>
      <c r="S696" s="1"/>
      <c r="T696" s="1"/>
      <c r="U696" s="1"/>
    </row>
    <row r="697" ht="10.5" customHeight="1">
      <c r="A697" s="1"/>
      <c r="B697" s="11" t="s">
        <v>153</v>
      </c>
      <c r="C697" s="38">
        <v>6907.0</v>
      </c>
      <c r="D697" s="38">
        <v>60537.0</v>
      </c>
      <c r="E697" s="433">
        <v>923.64</v>
      </c>
      <c r="F697" s="574">
        <v>1101.04</v>
      </c>
      <c r="G697" s="1"/>
      <c r="H697" s="1"/>
      <c r="I697" s="1"/>
      <c r="J697" s="1"/>
      <c r="K697" s="1"/>
      <c r="L697" s="1"/>
      <c r="M697" s="1"/>
      <c r="N697" s="1"/>
      <c r="O697" s="1"/>
      <c r="P697" s="1"/>
      <c r="Q697" s="1"/>
      <c r="R697" s="1"/>
      <c r="S697" s="1"/>
      <c r="T697" s="1"/>
      <c r="U697" s="1"/>
    </row>
    <row r="698" ht="10.5" customHeight="1">
      <c r="A698" s="1"/>
      <c r="B698" s="11"/>
      <c r="C698" s="38"/>
      <c r="D698" s="38"/>
      <c r="E698" s="433"/>
      <c r="F698" s="574"/>
      <c r="G698" s="1"/>
      <c r="H698" s="1"/>
      <c r="I698" s="1"/>
      <c r="J698" s="1"/>
      <c r="K698" s="1"/>
      <c r="L698" s="1"/>
      <c r="M698" s="1"/>
      <c r="N698" s="1"/>
      <c r="O698" s="1"/>
      <c r="P698" s="1"/>
      <c r="Q698" s="1"/>
      <c r="R698" s="1"/>
      <c r="S698" s="1"/>
      <c r="T698" s="1"/>
      <c r="U698" s="1"/>
    </row>
    <row r="699" ht="10.5" customHeight="1">
      <c r="A699" s="1"/>
      <c r="B699" s="11" t="s">
        <v>155</v>
      </c>
      <c r="C699" s="38">
        <v>6779.0</v>
      </c>
      <c r="D699" s="38">
        <v>54629.0</v>
      </c>
      <c r="E699" s="433">
        <v>1593.78</v>
      </c>
      <c r="F699" s="574">
        <v>1669.28</v>
      </c>
      <c r="G699" s="1"/>
      <c r="H699" s="1"/>
      <c r="I699" s="1"/>
      <c r="J699" s="1"/>
      <c r="K699" s="1"/>
      <c r="L699" s="1"/>
      <c r="M699" s="1"/>
      <c r="N699" s="1"/>
      <c r="O699" s="1"/>
      <c r="P699" s="1"/>
      <c r="Q699" s="1"/>
      <c r="R699" s="1"/>
      <c r="S699" s="1"/>
      <c r="T699" s="1"/>
      <c r="U699" s="1"/>
    </row>
    <row r="700" ht="10.5" customHeight="1">
      <c r="A700" s="1"/>
      <c r="B700" s="52" t="s">
        <v>958</v>
      </c>
      <c r="C700" s="56">
        <v>6181.0</v>
      </c>
      <c r="D700" s="56">
        <v>65589.0</v>
      </c>
      <c r="E700" s="575">
        <v>1493.41</v>
      </c>
      <c r="F700" s="576">
        <v>1406.44</v>
      </c>
      <c r="G700" s="1"/>
      <c r="H700" s="1"/>
      <c r="I700" s="1"/>
      <c r="J700" s="1"/>
      <c r="K700" s="1"/>
      <c r="L700" s="1"/>
      <c r="M700" s="1"/>
      <c r="N700" s="1"/>
      <c r="O700" s="1"/>
      <c r="P700" s="1"/>
      <c r="Q700" s="1"/>
      <c r="R700" s="1"/>
      <c r="S700" s="1"/>
      <c r="T700" s="1"/>
      <c r="U700" s="1"/>
    </row>
    <row r="701" ht="12.0" customHeight="1">
      <c r="A701" s="1"/>
      <c r="B701" s="152" t="s">
        <v>959</v>
      </c>
      <c r="C701" s="152" t="s">
        <v>960</v>
      </c>
      <c r="D701" s="577"/>
      <c r="E701" s="1"/>
      <c r="F701" s="1"/>
      <c r="G701" s="1"/>
      <c r="H701" s="1"/>
      <c r="I701" s="1"/>
      <c r="J701" s="1"/>
      <c r="K701" s="1"/>
      <c r="L701" s="1"/>
      <c r="M701" s="1"/>
      <c r="N701" s="1"/>
      <c r="O701" s="1"/>
      <c r="P701" s="1"/>
      <c r="Q701" s="1"/>
      <c r="R701" s="1"/>
      <c r="S701" s="1"/>
      <c r="T701" s="1"/>
      <c r="U701" s="1"/>
    </row>
    <row r="702" ht="10.5" customHeight="1">
      <c r="A702" s="1"/>
      <c r="B702" s="60"/>
      <c r="C702" s="60" t="s">
        <v>961</v>
      </c>
      <c r="D702" s="578"/>
      <c r="E702" s="1"/>
      <c r="F702" s="1"/>
      <c r="G702" s="1"/>
      <c r="H702" s="1"/>
      <c r="I702" s="1"/>
      <c r="J702" s="1"/>
      <c r="K702" s="1"/>
      <c r="L702" s="1"/>
      <c r="M702" s="1"/>
      <c r="N702" s="1"/>
      <c r="O702" s="1"/>
      <c r="P702" s="1"/>
      <c r="Q702" s="1"/>
      <c r="R702" s="1"/>
      <c r="S702" s="1"/>
      <c r="T702" s="1"/>
      <c r="U702" s="1"/>
    </row>
    <row r="703" ht="9.75" customHeight="1">
      <c r="A703" s="1"/>
      <c r="B703" s="60"/>
      <c r="C703" s="60"/>
      <c r="D703" s="579"/>
      <c r="E703" s="1"/>
      <c r="F703" s="1"/>
      <c r="G703" s="1"/>
      <c r="H703" s="1"/>
      <c r="I703" s="1"/>
      <c r="J703" s="1"/>
      <c r="K703" s="1"/>
      <c r="L703" s="1"/>
      <c r="M703" s="1"/>
      <c r="N703" s="1"/>
      <c r="O703" s="1"/>
      <c r="P703" s="1"/>
      <c r="Q703" s="1"/>
      <c r="R703" s="1"/>
      <c r="S703" s="1"/>
      <c r="T703" s="1"/>
      <c r="U703" s="1"/>
    </row>
    <row r="704" ht="10.5" customHeight="1">
      <c r="A704" s="1"/>
      <c r="B704" s="580" t="s">
        <v>962</v>
      </c>
      <c r="C704" s="60"/>
      <c r="D704" s="579"/>
      <c r="E704" s="1"/>
      <c r="F704" s="1"/>
      <c r="G704" s="1"/>
      <c r="H704" s="1"/>
      <c r="I704" s="1"/>
      <c r="J704" s="1"/>
      <c r="K704" s="1"/>
      <c r="L704" s="1"/>
      <c r="M704" s="1"/>
      <c r="N704" s="1"/>
      <c r="O704" s="1"/>
      <c r="P704" s="1"/>
      <c r="Q704" s="1"/>
      <c r="R704" s="1"/>
      <c r="S704" s="1"/>
      <c r="T704" s="1"/>
      <c r="U704" s="1"/>
    </row>
    <row r="705" ht="10.5" customHeight="1">
      <c r="A705" s="1"/>
      <c r="B705" s="65"/>
      <c r="C705" s="581"/>
      <c r="D705" s="581"/>
      <c r="E705" s="581"/>
      <c r="F705" s="581"/>
      <c r="G705" s="1"/>
      <c r="H705" s="1"/>
      <c r="I705" s="1"/>
      <c r="J705" s="1"/>
      <c r="K705" s="1"/>
      <c r="L705" s="1"/>
      <c r="M705" s="1"/>
      <c r="N705" s="1"/>
      <c r="O705" s="1"/>
      <c r="P705" s="1"/>
      <c r="Q705" s="1"/>
      <c r="R705" s="1"/>
      <c r="S705" s="1"/>
      <c r="T705" s="1"/>
      <c r="U705" s="1"/>
    </row>
    <row r="706" ht="10.5" customHeight="1">
      <c r="A706" s="1"/>
      <c r="B706" s="65"/>
      <c r="C706" s="1"/>
      <c r="D706" s="582"/>
      <c r="E706" s="1"/>
      <c r="F706" s="1"/>
      <c r="G706" s="1"/>
      <c r="H706" s="1"/>
      <c r="I706" s="1"/>
      <c r="J706" s="1"/>
      <c r="K706" s="1"/>
      <c r="L706" s="1"/>
      <c r="M706" s="1"/>
      <c r="N706" s="1"/>
      <c r="O706" s="1"/>
      <c r="P706" s="1"/>
      <c r="Q706" s="1"/>
      <c r="R706" s="1"/>
      <c r="S706" s="1"/>
      <c r="T706" s="1"/>
      <c r="U706" s="1"/>
    </row>
    <row r="707" ht="10.5" customHeight="1">
      <c r="A707" s="1"/>
      <c r="B707" s="65"/>
      <c r="C707" s="1"/>
      <c r="D707" s="582"/>
      <c r="E707" s="1"/>
      <c r="F707" s="1"/>
      <c r="G707" s="1"/>
      <c r="H707" s="1"/>
      <c r="I707" s="1"/>
      <c r="J707" s="1"/>
      <c r="K707" s="1"/>
      <c r="L707" s="1"/>
      <c r="M707" s="1"/>
      <c r="N707" s="1"/>
      <c r="O707" s="1"/>
      <c r="P707" s="1"/>
      <c r="Q707" s="1"/>
      <c r="R707" s="1"/>
      <c r="S707" s="1"/>
      <c r="T707" s="1"/>
      <c r="U707" s="1"/>
    </row>
    <row r="708" ht="10.5" customHeight="1">
      <c r="A708" s="1"/>
      <c r="B708" s="65"/>
      <c r="C708" s="1"/>
      <c r="D708" s="582"/>
      <c r="E708" s="1"/>
      <c r="F708" s="1"/>
      <c r="G708" s="1"/>
      <c r="H708" s="1"/>
      <c r="I708" s="1"/>
      <c r="J708" s="1"/>
      <c r="K708" s="1"/>
      <c r="L708" s="1"/>
      <c r="M708" s="1"/>
      <c r="N708" s="1"/>
      <c r="O708" s="1"/>
      <c r="P708" s="1"/>
      <c r="Q708" s="1"/>
      <c r="R708" s="1"/>
      <c r="S708" s="1"/>
      <c r="T708" s="1"/>
      <c r="U708" s="1"/>
    </row>
    <row r="709" ht="10.5" customHeight="1">
      <c r="A709" s="1"/>
      <c r="B709" s="65"/>
      <c r="C709" s="1"/>
      <c r="D709" s="582"/>
      <c r="E709" s="1"/>
      <c r="F709" s="1"/>
      <c r="G709" s="1"/>
      <c r="H709" s="1"/>
      <c r="I709" s="1"/>
      <c r="J709" s="1"/>
      <c r="K709" s="1"/>
      <c r="L709" s="1"/>
      <c r="M709" s="1"/>
      <c r="N709" s="1"/>
      <c r="O709" s="1"/>
      <c r="P709" s="1"/>
      <c r="Q709" s="1"/>
      <c r="R709" s="1"/>
      <c r="S709" s="1"/>
      <c r="T709" s="1"/>
      <c r="U709" s="1"/>
    </row>
    <row r="710" ht="10.5" customHeight="1">
      <c r="A710" s="1"/>
      <c r="B710" s="65"/>
      <c r="C710" s="1"/>
      <c r="D710" s="582"/>
      <c r="E710" s="1"/>
      <c r="F710" s="1"/>
      <c r="G710" s="1"/>
      <c r="H710" s="1"/>
      <c r="I710" s="1"/>
      <c r="J710" s="1"/>
      <c r="K710" s="1"/>
      <c r="L710" s="1"/>
      <c r="M710" s="1"/>
      <c r="N710" s="1"/>
      <c r="O710" s="1"/>
      <c r="P710" s="1"/>
      <c r="Q710" s="1"/>
      <c r="R710" s="1"/>
      <c r="S710" s="1"/>
      <c r="T710" s="1"/>
      <c r="U710" s="1"/>
    </row>
    <row r="711" ht="10.5" customHeight="1">
      <c r="A711" s="1"/>
      <c r="B711" s="65"/>
      <c r="C711" s="1"/>
      <c r="D711" s="582"/>
      <c r="E711" s="1"/>
      <c r="F711" s="1"/>
      <c r="G711" s="1"/>
      <c r="H711" s="1"/>
      <c r="I711" s="1"/>
      <c r="J711" s="1"/>
      <c r="K711" s="1"/>
      <c r="L711" s="1"/>
      <c r="M711" s="1"/>
      <c r="N711" s="1"/>
      <c r="O711" s="1"/>
      <c r="P711" s="1"/>
      <c r="Q711" s="1"/>
      <c r="R711" s="1"/>
      <c r="S711" s="1"/>
      <c r="T711" s="1"/>
      <c r="U711" s="1"/>
    </row>
    <row r="712" ht="10.5" customHeight="1">
      <c r="A712" s="1"/>
      <c r="B712" s="65"/>
      <c r="C712" s="1"/>
      <c r="D712" s="582"/>
      <c r="E712" s="1"/>
      <c r="F712" s="1"/>
      <c r="G712" s="1"/>
      <c r="H712" s="1"/>
      <c r="I712" s="1"/>
      <c r="J712" s="1"/>
      <c r="K712" s="1"/>
      <c r="L712" s="1"/>
      <c r="M712" s="1"/>
      <c r="N712" s="1"/>
      <c r="O712" s="1"/>
      <c r="P712" s="1"/>
      <c r="Q712" s="1"/>
      <c r="R712" s="1"/>
      <c r="S712" s="1"/>
      <c r="T712" s="1"/>
      <c r="U712" s="1"/>
    </row>
    <row r="713" ht="10.5" customHeight="1">
      <c r="A713" s="1"/>
      <c r="B713" s="65"/>
      <c r="C713" s="1"/>
      <c r="D713" s="582"/>
      <c r="E713" s="1"/>
      <c r="F713" s="1"/>
      <c r="G713" s="110">
        <v>44.0</v>
      </c>
      <c r="H713" s="1"/>
      <c r="I713" s="1"/>
      <c r="J713" s="1"/>
      <c r="K713" s="1"/>
      <c r="L713" s="1"/>
      <c r="M713" s="1"/>
      <c r="N713" s="1"/>
      <c r="O713" s="1"/>
      <c r="P713" s="1"/>
      <c r="Q713" s="1"/>
      <c r="R713" s="1"/>
      <c r="S713" s="1"/>
      <c r="T713" s="1"/>
      <c r="U713" s="1"/>
    </row>
    <row r="714" ht="10.5" customHeight="1">
      <c r="A714" s="1"/>
      <c r="B714" s="65"/>
      <c r="C714" s="1"/>
      <c r="D714" s="582"/>
      <c r="E714" s="1"/>
      <c r="F714" s="1"/>
      <c r="G714" s="1"/>
      <c r="H714" s="1"/>
      <c r="I714" s="1"/>
      <c r="J714" s="1"/>
      <c r="K714" s="1"/>
      <c r="L714" s="1"/>
      <c r="M714" s="1"/>
      <c r="N714" s="1"/>
      <c r="O714" s="1"/>
      <c r="P714" s="1"/>
      <c r="Q714" s="1"/>
      <c r="R714" s="1"/>
      <c r="S714" s="1"/>
      <c r="T714" s="1"/>
      <c r="U714" s="1"/>
    </row>
    <row r="715" ht="11.25" customHeight="1">
      <c r="A715" s="1"/>
      <c r="B715" s="1" t="s">
        <v>964</v>
      </c>
      <c r="C715" s="1"/>
      <c r="D715" s="111"/>
      <c r="E715" s="1"/>
      <c r="F715" s="1"/>
      <c r="G715" s="1"/>
      <c r="H715" s="1"/>
      <c r="I715" s="1"/>
      <c r="J715" s="1"/>
      <c r="K715" s="1"/>
      <c r="L715" s="1"/>
      <c r="M715" s="1"/>
      <c r="N715" s="1"/>
      <c r="O715" s="1"/>
      <c r="P715" s="1"/>
      <c r="Q715" s="1"/>
      <c r="R715" s="1"/>
      <c r="S715" s="1"/>
      <c r="T715" s="1"/>
      <c r="U715" s="1"/>
    </row>
    <row r="716" ht="11.25" customHeight="1">
      <c r="A716" s="1"/>
      <c r="B716" s="29" t="s">
        <v>1</v>
      </c>
      <c r="C716" s="114" t="s">
        <v>966</v>
      </c>
      <c r="D716" s="9"/>
      <c r="E716" s="9"/>
      <c r="F716" s="9"/>
      <c r="G716" s="9"/>
      <c r="H716" s="9"/>
      <c r="I716" s="9"/>
      <c r="J716" s="9"/>
      <c r="K716" s="9"/>
      <c r="L716" s="10"/>
      <c r="M716" s="114" t="s">
        <v>967</v>
      </c>
      <c r="N716" s="9"/>
      <c r="O716" s="10"/>
      <c r="P716" s="1"/>
      <c r="Q716" s="1"/>
      <c r="R716" s="1"/>
      <c r="S716" s="1"/>
      <c r="T716" s="1"/>
      <c r="U716" s="1"/>
    </row>
    <row r="717" ht="12.0" customHeight="1">
      <c r="A717" s="1"/>
      <c r="B717" s="5"/>
      <c r="C717" s="128" t="s">
        <v>969</v>
      </c>
      <c r="D717" s="10"/>
      <c r="E717" s="193" t="s">
        <v>971</v>
      </c>
      <c r="F717" s="10"/>
      <c r="G717" s="128" t="s">
        <v>972</v>
      </c>
      <c r="H717" s="10"/>
      <c r="I717" s="128" t="s">
        <v>974</v>
      </c>
      <c r="J717" s="10"/>
      <c r="K717" s="128" t="s">
        <v>975</v>
      </c>
      <c r="L717" s="10"/>
      <c r="M717" s="190" t="s">
        <v>969</v>
      </c>
      <c r="N717" s="128" t="s">
        <v>971</v>
      </c>
      <c r="O717" s="190" t="s">
        <v>977</v>
      </c>
      <c r="P717" s="1"/>
      <c r="Q717" s="1"/>
      <c r="R717" s="1"/>
      <c r="S717" s="1"/>
      <c r="T717" s="1"/>
      <c r="U717" s="1"/>
    </row>
    <row r="718" ht="11.25" customHeight="1">
      <c r="A718" s="1"/>
      <c r="B718" s="6"/>
      <c r="C718" s="586" t="s">
        <v>978</v>
      </c>
      <c r="D718" s="35"/>
      <c r="E718" s="35"/>
      <c r="F718" s="35"/>
      <c r="G718" s="35"/>
      <c r="H718" s="35"/>
      <c r="I718" s="35"/>
      <c r="J718" s="35"/>
      <c r="K718" s="35"/>
      <c r="L718" s="94"/>
      <c r="M718" s="587" t="s">
        <v>980</v>
      </c>
      <c r="N718" s="114" t="s">
        <v>982</v>
      </c>
      <c r="O718" s="10"/>
      <c r="P718" s="1"/>
      <c r="Q718" s="1"/>
      <c r="R718" s="1"/>
      <c r="S718" s="1"/>
      <c r="T718" s="1"/>
      <c r="U718" s="1"/>
    </row>
    <row r="719" ht="10.5" customHeight="1">
      <c r="A719" s="1"/>
      <c r="B719" s="238">
        <v>1990.0</v>
      </c>
      <c r="C719" s="278">
        <v>3.78337196E8</v>
      </c>
      <c r="D719" s="87"/>
      <c r="E719" s="191">
        <v>7.0607382E7</v>
      </c>
      <c r="F719" s="87"/>
      <c r="G719" s="278">
        <v>3.22393118E8</v>
      </c>
      <c r="H719" s="87"/>
      <c r="I719" s="278">
        <v>8.0712285E7</v>
      </c>
      <c r="J719" s="87"/>
      <c r="K719" s="278">
        <f t="shared" ref="K719:K723" si="56">SUM(C719:I719)</f>
        <v>852049981</v>
      </c>
      <c r="L719" s="87"/>
      <c r="M719" s="452">
        <v>95.4</v>
      </c>
      <c r="N719" s="451">
        <v>54.63</v>
      </c>
      <c r="O719" s="452">
        <v>41.17</v>
      </c>
      <c r="P719" s="1"/>
      <c r="Q719" s="1"/>
      <c r="R719" s="1"/>
      <c r="S719" s="1"/>
      <c r="T719" s="1"/>
      <c r="U719" s="1"/>
    </row>
    <row r="720" ht="10.5" customHeight="1">
      <c r="A720" s="1"/>
      <c r="B720" s="238">
        <v>1991.0</v>
      </c>
      <c r="C720" s="278">
        <v>3.96409885E8</v>
      </c>
      <c r="D720" s="87"/>
      <c r="E720" s="191">
        <v>1.09247429E8</v>
      </c>
      <c r="F720" s="87"/>
      <c r="G720" s="278">
        <v>2.96010535E8</v>
      </c>
      <c r="H720" s="87"/>
      <c r="I720" s="278">
        <v>5.5720871E7</v>
      </c>
      <c r="J720" s="87"/>
      <c r="K720" s="278">
        <f t="shared" si="56"/>
        <v>857388720</v>
      </c>
      <c r="L720" s="87"/>
      <c r="M720" s="452">
        <v>106.97</v>
      </c>
      <c r="N720" s="451">
        <v>67.39</v>
      </c>
      <c r="O720" s="452">
        <v>42.34</v>
      </c>
      <c r="P720" s="1"/>
      <c r="Q720" s="1"/>
      <c r="R720" s="1"/>
      <c r="S720" s="1"/>
      <c r="T720" s="1"/>
      <c r="U720" s="1"/>
    </row>
    <row r="721" ht="10.5" customHeight="1">
      <c r="A721" s="1"/>
      <c r="B721" s="238">
        <v>1992.0</v>
      </c>
      <c r="C721" s="278">
        <v>4.26592036E8</v>
      </c>
      <c r="D721" s="87"/>
      <c r="E721" s="191">
        <v>8.4577454E7</v>
      </c>
      <c r="F721" s="87"/>
      <c r="G721" s="278">
        <v>2.58839443E8</v>
      </c>
      <c r="H721" s="87"/>
      <c r="I721" s="278">
        <v>1.13856018E8</v>
      </c>
      <c r="J721" s="87"/>
      <c r="K721" s="278">
        <f t="shared" si="56"/>
        <v>883864951</v>
      </c>
      <c r="L721" s="87"/>
      <c r="M721" s="452">
        <v>121.87</v>
      </c>
      <c r="N721" s="451">
        <v>68.49</v>
      </c>
      <c r="O721" s="452">
        <v>40.21</v>
      </c>
      <c r="P721" s="1"/>
      <c r="Q721" s="1"/>
      <c r="R721" s="1"/>
      <c r="S721" s="1"/>
      <c r="T721" s="1"/>
      <c r="U721" s="1"/>
    </row>
    <row r="722" ht="10.5" customHeight="1">
      <c r="A722" s="1"/>
      <c r="B722" s="238">
        <v>1993.0</v>
      </c>
      <c r="C722" s="278">
        <v>3.95039213E8</v>
      </c>
      <c r="D722" s="87"/>
      <c r="E722" s="191">
        <v>4.5857111E7</v>
      </c>
      <c r="F722" s="87"/>
      <c r="G722" s="278">
        <v>1.87162544E8</v>
      </c>
      <c r="H722" s="87"/>
      <c r="I722" s="278">
        <v>1.83031719E8</v>
      </c>
      <c r="J722" s="87"/>
      <c r="K722" s="278">
        <f t="shared" si="56"/>
        <v>811090587</v>
      </c>
      <c r="L722" s="87"/>
      <c r="M722" s="452">
        <v>130.06</v>
      </c>
      <c r="N722" s="451">
        <v>68.99</v>
      </c>
      <c r="O722" s="452">
        <v>30.68</v>
      </c>
      <c r="P722" s="1"/>
      <c r="Q722" s="1"/>
      <c r="R722" s="1"/>
      <c r="S722" s="1"/>
      <c r="T722" s="1"/>
      <c r="U722" s="1"/>
    </row>
    <row r="723" ht="10.5" customHeight="1">
      <c r="A723" s="1"/>
      <c r="B723" s="238">
        <v>1994.0</v>
      </c>
      <c r="C723" s="278">
        <v>4.20720723E8</v>
      </c>
      <c r="D723" s="87"/>
      <c r="E723" s="191">
        <v>7.4429354E7</v>
      </c>
      <c r="F723" s="87"/>
      <c r="G723" s="278">
        <v>2.24778655E8</v>
      </c>
      <c r="H723" s="87"/>
      <c r="I723" s="278">
        <v>8.4454121E7</v>
      </c>
      <c r="J723" s="87"/>
      <c r="K723" s="278">
        <f t="shared" si="56"/>
        <v>804382853</v>
      </c>
      <c r="L723" s="87"/>
      <c r="M723" s="452">
        <v>127.26</v>
      </c>
      <c r="N723" s="451">
        <v>87.72</v>
      </c>
      <c r="O723" s="452">
        <v>56.24</v>
      </c>
      <c r="P723" s="1"/>
      <c r="Q723" s="1"/>
      <c r="R723" s="1"/>
      <c r="S723" s="1"/>
      <c r="T723" s="1"/>
      <c r="U723" s="1"/>
    </row>
    <row r="724" ht="10.5" customHeight="1">
      <c r="A724" s="1"/>
      <c r="B724" s="238"/>
      <c r="C724" s="278"/>
      <c r="D724" s="87"/>
      <c r="E724" s="191"/>
      <c r="F724" s="87"/>
      <c r="G724" s="278"/>
      <c r="H724" s="87"/>
      <c r="I724" s="278"/>
      <c r="J724" s="87"/>
      <c r="K724" s="278"/>
      <c r="L724" s="87"/>
      <c r="M724" s="452"/>
      <c r="N724" s="451"/>
      <c r="O724" s="452"/>
      <c r="P724" s="1"/>
      <c r="Q724" s="1"/>
      <c r="R724" s="1"/>
      <c r="S724" s="1"/>
      <c r="T724" s="1"/>
      <c r="U724" s="1"/>
    </row>
    <row r="725" ht="10.5" customHeight="1">
      <c r="A725" s="1"/>
      <c r="B725" s="238">
        <v>1995.0</v>
      </c>
      <c r="C725" s="278">
        <v>4.97584351E8</v>
      </c>
      <c r="D725" s="87"/>
      <c r="E725" s="191">
        <v>7.9633856E7</v>
      </c>
      <c r="F725" s="87"/>
      <c r="G725" s="278">
        <v>1.75449865E8</v>
      </c>
      <c r="H725" s="87"/>
      <c r="I725" s="278">
        <v>9.1960391E7</v>
      </c>
      <c r="J725" s="87"/>
      <c r="K725" s="278">
        <f t="shared" ref="K725:K729" si="57">SUM(C725:I725)</f>
        <v>844628463</v>
      </c>
      <c r="L725" s="87"/>
      <c r="M725" s="452">
        <v>143.28</v>
      </c>
      <c r="N725" s="451">
        <v>97.05</v>
      </c>
      <c r="O725" s="452">
        <v>58.89</v>
      </c>
      <c r="P725" s="1"/>
      <c r="Q725" s="1"/>
      <c r="R725" s="1"/>
      <c r="S725" s="1"/>
      <c r="T725" s="1"/>
      <c r="U725" s="1"/>
    </row>
    <row r="726" ht="10.5" customHeight="1">
      <c r="A726" s="1"/>
      <c r="B726" s="238">
        <v>1996.0</v>
      </c>
      <c r="C726" s="278">
        <v>5.76663976E8</v>
      </c>
      <c r="D726" s="87"/>
      <c r="E726" s="191">
        <v>1.26060326E8</v>
      </c>
      <c r="F726" s="87"/>
      <c r="G726" s="278">
        <v>1.42347061E8</v>
      </c>
      <c r="H726" s="87"/>
      <c r="I726" s="278">
        <v>5.4261522E7</v>
      </c>
      <c r="J726" s="87"/>
      <c r="K726" s="278">
        <f t="shared" si="57"/>
        <v>899332885</v>
      </c>
      <c r="L726" s="87"/>
      <c r="M726" s="452">
        <v>172.29</v>
      </c>
      <c r="N726" s="451">
        <v>115.17</v>
      </c>
      <c r="O726" s="452">
        <v>92.39</v>
      </c>
      <c r="P726" s="1"/>
      <c r="Q726" s="1"/>
      <c r="R726" s="1"/>
      <c r="S726" s="1"/>
      <c r="T726" s="1"/>
      <c r="U726" s="1"/>
    </row>
    <row r="727" ht="10.5" customHeight="1">
      <c r="A727" s="1"/>
      <c r="B727" s="238">
        <v>1997.0</v>
      </c>
      <c r="C727" s="278">
        <v>5.46688605E8</v>
      </c>
      <c r="D727" s="87"/>
      <c r="E727" s="191">
        <v>1.42354553E8</v>
      </c>
      <c r="F727" s="87"/>
      <c r="G727" s="278">
        <v>1.22413493E8</v>
      </c>
      <c r="H727" s="87"/>
      <c r="I727" s="278">
        <v>6.9458508E7</v>
      </c>
      <c r="J727" s="87"/>
      <c r="K727" s="278">
        <f t="shared" si="57"/>
        <v>880915159</v>
      </c>
      <c r="L727" s="87"/>
      <c r="M727" s="452">
        <v>204.01</v>
      </c>
      <c r="N727" s="451">
        <v>126.81</v>
      </c>
      <c r="O727" s="452">
        <v>80.0</v>
      </c>
      <c r="P727" s="1"/>
      <c r="Q727" s="1"/>
      <c r="R727" s="1"/>
      <c r="S727" s="1"/>
      <c r="T727" s="1"/>
      <c r="U727" s="1"/>
    </row>
    <row r="728" ht="10.5" customHeight="1">
      <c r="A728" s="1"/>
      <c r="B728" s="238">
        <v>1998.0</v>
      </c>
      <c r="C728" s="278">
        <v>5.44387811E8</v>
      </c>
      <c r="D728" s="87"/>
      <c r="E728" s="191">
        <v>1.07515284E8</v>
      </c>
      <c r="F728" s="87"/>
      <c r="G728" s="278">
        <v>1.18348265E8</v>
      </c>
      <c r="H728" s="87"/>
      <c r="I728" s="278">
        <v>4.5324129E7</v>
      </c>
      <c r="J728" s="87"/>
      <c r="K728" s="278">
        <f t="shared" si="57"/>
        <v>815575489</v>
      </c>
      <c r="L728" s="87"/>
      <c r="M728" s="452">
        <v>222.84</v>
      </c>
      <c r="N728" s="451">
        <v>132.79</v>
      </c>
      <c r="O728" s="452">
        <v>85.3</v>
      </c>
      <c r="P728" s="1"/>
      <c r="Q728" s="1"/>
      <c r="R728" s="1"/>
      <c r="S728" s="1"/>
      <c r="T728" s="1"/>
      <c r="U728" s="1"/>
    </row>
    <row r="729" ht="10.5" customHeight="1">
      <c r="A729" s="1"/>
      <c r="B729" s="238">
        <v>1999.0</v>
      </c>
      <c r="C729" s="278">
        <v>5.95907559E8</v>
      </c>
      <c r="D729" s="87"/>
      <c r="E729" s="191">
        <v>4.7972702E7</v>
      </c>
      <c r="F729" s="87"/>
      <c r="G729" s="267">
        <v>1.52961143E8</v>
      </c>
      <c r="H729" s="87"/>
      <c r="I729" s="278">
        <v>1.17254086E8</v>
      </c>
      <c r="J729" s="87"/>
      <c r="K729" s="278">
        <f t="shared" si="57"/>
        <v>914095490</v>
      </c>
      <c r="L729" s="87"/>
      <c r="M729" s="452">
        <v>214.72</v>
      </c>
      <c r="N729" s="451">
        <v>127.44</v>
      </c>
      <c r="O729" s="452">
        <v>73.06</v>
      </c>
      <c r="P729" s="1"/>
      <c r="Q729" s="1"/>
      <c r="R729" s="1"/>
      <c r="S729" s="1"/>
      <c r="T729" s="1"/>
      <c r="U729" s="1"/>
    </row>
    <row r="730" ht="10.5" customHeight="1">
      <c r="A730" s="1"/>
      <c r="B730" s="238"/>
      <c r="C730" s="278"/>
      <c r="D730" s="87"/>
      <c r="E730" s="191"/>
      <c r="F730" s="87"/>
      <c r="G730" s="278"/>
      <c r="H730" s="87"/>
      <c r="I730" s="278"/>
      <c r="J730" s="87"/>
      <c r="K730" s="278"/>
      <c r="L730" s="87"/>
      <c r="M730" s="452"/>
      <c r="N730" s="451"/>
      <c r="O730" s="452"/>
      <c r="P730" s="1"/>
      <c r="Q730" s="1"/>
      <c r="R730" s="1"/>
      <c r="S730" s="1"/>
      <c r="T730" s="1"/>
      <c r="U730" s="1"/>
    </row>
    <row r="731" ht="10.5" customHeight="1">
      <c r="A731" s="1"/>
      <c r="B731" s="238">
        <v>2000.0</v>
      </c>
      <c r="C731" s="278">
        <v>5.40233265E8</v>
      </c>
      <c r="D731" s="87"/>
      <c r="E731" s="191">
        <v>2.482556E7</v>
      </c>
      <c r="F731" s="87"/>
      <c r="G731" s="278">
        <v>1.29857983E8</v>
      </c>
      <c r="H731" s="87"/>
      <c r="I731" s="278">
        <v>1.42292995E8</v>
      </c>
      <c r="J731" s="87"/>
      <c r="K731" s="278">
        <f t="shared" ref="K731:K735" si="58">SUM(C731:I731)</f>
        <v>837209803</v>
      </c>
      <c r="L731" s="87"/>
      <c r="M731" s="452">
        <v>212.03</v>
      </c>
      <c r="N731" s="451">
        <v>119.56</v>
      </c>
      <c r="O731" s="452">
        <v>64.86</v>
      </c>
      <c r="P731" s="1"/>
      <c r="Q731" s="1"/>
      <c r="R731" s="1"/>
      <c r="S731" s="1"/>
      <c r="T731" s="1"/>
      <c r="U731" s="1"/>
    </row>
    <row r="732" ht="10.5" customHeight="1">
      <c r="A732" s="1"/>
      <c r="B732" s="238">
        <v>2001.0</v>
      </c>
      <c r="C732" s="278">
        <v>5.30399518E8</v>
      </c>
      <c r="D732" s="87"/>
      <c r="E732" s="191">
        <v>8130916.0</v>
      </c>
      <c r="F732" s="87"/>
      <c r="G732" s="267">
        <v>1.0854697E8</v>
      </c>
      <c r="H732" s="87"/>
      <c r="I732" s="278">
        <v>9.940783E7</v>
      </c>
      <c r="J732" s="87"/>
      <c r="K732" s="278">
        <f t="shared" si="58"/>
        <v>746485234</v>
      </c>
      <c r="L732" s="87"/>
      <c r="M732" s="452">
        <v>229.23</v>
      </c>
      <c r="N732" s="451">
        <v>115.2</v>
      </c>
      <c r="O732" s="452">
        <v>63.16</v>
      </c>
      <c r="P732" s="1"/>
      <c r="Q732" s="1"/>
      <c r="R732" s="1"/>
      <c r="S732" s="1"/>
      <c r="T732" s="1"/>
      <c r="U732" s="1"/>
    </row>
    <row r="733" ht="10.5" customHeight="1">
      <c r="A733" s="613">
        <v>45.0</v>
      </c>
      <c r="B733" s="129">
        <v>2002.0</v>
      </c>
      <c r="C733" s="278">
        <v>5.67239847E8</v>
      </c>
      <c r="D733" s="87"/>
      <c r="E733" s="191">
        <v>2.6797303E7</v>
      </c>
      <c r="F733" s="87"/>
      <c r="G733" s="267">
        <v>1.24794222E8</v>
      </c>
      <c r="H733" s="87"/>
      <c r="I733" s="278">
        <v>1.15324822E8</v>
      </c>
      <c r="J733" s="87"/>
      <c r="K733" s="278">
        <f t="shared" si="58"/>
        <v>834156194</v>
      </c>
      <c r="L733" s="87"/>
      <c r="M733" s="452">
        <v>299.36</v>
      </c>
      <c r="N733" s="451">
        <v>130.23</v>
      </c>
      <c r="O733" s="452">
        <v>73.5</v>
      </c>
      <c r="P733" s="1"/>
      <c r="Q733" s="1"/>
      <c r="R733" s="1"/>
      <c r="S733" s="1"/>
      <c r="T733" s="1"/>
      <c r="U733" s="1"/>
    </row>
    <row r="734" ht="10.5" customHeight="1">
      <c r="B734" s="129">
        <v>2003.0</v>
      </c>
      <c r="C734" s="278">
        <v>7.12660742E8</v>
      </c>
      <c r="D734" s="87"/>
      <c r="E734" s="191">
        <v>5.0453126E7</v>
      </c>
      <c r="F734" s="87"/>
      <c r="G734" s="278">
        <v>1.22209343E8</v>
      </c>
      <c r="H734" s="87"/>
      <c r="I734" s="278">
        <v>7.06923E7</v>
      </c>
      <c r="J734" s="87"/>
      <c r="K734" s="278">
        <f t="shared" si="58"/>
        <v>956015511</v>
      </c>
      <c r="L734" s="87"/>
      <c r="M734" s="452">
        <v>378.06</v>
      </c>
      <c r="N734" s="451">
        <v>186.57</v>
      </c>
      <c r="O734" s="452">
        <v>103.09</v>
      </c>
      <c r="P734" s="1"/>
      <c r="Q734" s="1"/>
      <c r="R734" s="1"/>
      <c r="S734" s="1"/>
      <c r="T734" s="1"/>
      <c r="U734" s="1"/>
    </row>
    <row r="735" ht="10.5" customHeight="1">
      <c r="A735" s="1"/>
      <c r="B735" s="129">
        <v>2004.0</v>
      </c>
      <c r="C735" s="278">
        <v>6.9678828E8</v>
      </c>
      <c r="D735" s="87"/>
      <c r="E735" s="191">
        <v>8.535718E7</v>
      </c>
      <c r="F735" s="87"/>
      <c r="G735" s="278">
        <v>1.45774848E8</v>
      </c>
      <c r="H735" s="87"/>
      <c r="I735" s="278">
        <v>8.7776683E7</v>
      </c>
      <c r="J735" s="87"/>
      <c r="K735" s="619">
        <f t="shared" si="58"/>
        <v>1015696991</v>
      </c>
      <c r="L735" s="87"/>
      <c r="M735" s="452">
        <v>354.16</v>
      </c>
      <c r="N735" s="451">
        <v>198.53</v>
      </c>
      <c r="O735" s="452">
        <v>94.65</v>
      </c>
      <c r="P735" s="1"/>
      <c r="Q735" s="1"/>
      <c r="R735" s="1"/>
      <c r="S735" s="1"/>
      <c r="T735" s="1"/>
      <c r="U735" s="1"/>
    </row>
    <row r="736" ht="10.5" customHeight="1">
      <c r="A736" s="1"/>
      <c r="B736" s="129"/>
      <c r="C736" s="278"/>
      <c r="D736" s="87"/>
      <c r="E736" s="191"/>
      <c r="F736" s="87"/>
      <c r="G736" s="278"/>
      <c r="H736" s="87"/>
      <c r="I736" s="278"/>
      <c r="J736" s="87"/>
      <c r="K736" s="191"/>
      <c r="L736" s="87"/>
      <c r="M736" s="452"/>
      <c r="N736" s="451"/>
      <c r="O736" s="452"/>
      <c r="P736" s="1"/>
      <c r="Q736" s="1"/>
      <c r="R736" s="1"/>
      <c r="S736" s="1"/>
      <c r="T736" s="1"/>
      <c r="U736" s="1"/>
    </row>
    <row r="737" ht="10.5" customHeight="1">
      <c r="A737" s="1"/>
      <c r="B737" s="129">
        <v>2005.0</v>
      </c>
      <c r="C737" s="278">
        <v>6.28482614E8</v>
      </c>
      <c r="D737" s="87"/>
      <c r="E737" s="191">
        <v>8.2927858E7</v>
      </c>
      <c r="F737" s="87"/>
      <c r="G737" s="278">
        <v>1.29238525E8</v>
      </c>
      <c r="H737" s="87"/>
      <c r="I737" s="278">
        <v>6.4577593E7</v>
      </c>
      <c r="J737" s="87"/>
      <c r="K737" s="191">
        <f t="shared" ref="K737:K741" si="59">SUM(C737:I737)</f>
        <v>905226590</v>
      </c>
      <c r="L737" s="87"/>
      <c r="M737" s="452">
        <v>338.35</v>
      </c>
      <c r="N737" s="451">
        <v>206.79</v>
      </c>
      <c r="O737" s="452">
        <v>97.43</v>
      </c>
      <c r="P737" s="1"/>
      <c r="Q737" s="1"/>
      <c r="R737" s="1"/>
      <c r="S737" s="1"/>
      <c r="T737" s="1"/>
      <c r="U737" s="1"/>
    </row>
    <row r="738" ht="10.5" customHeight="1">
      <c r="A738" s="1"/>
      <c r="B738" s="238">
        <v>2006.0</v>
      </c>
      <c r="C738" s="278">
        <v>7.09717222E8</v>
      </c>
      <c r="D738" s="87"/>
      <c r="E738" s="191">
        <v>8.2116414E7</v>
      </c>
      <c r="F738" s="87"/>
      <c r="G738" s="133">
        <v>1.47945171E8</v>
      </c>
      <c r="H738" s="87"/>
      <c r="I738" s="133">
        <v>7.3201381E7</v>
      </c>
      <c r="J738" s="87"/>
      <c r="K738" s="619">
        <f t="shared" si="59"/>
        <v>1012980188</v>
      </c>
      <c r="L738" s="87"/>
      <c r="M738" s="452">
        <v>338.42</v>
      </c>
      <c r="N738" s="622">
        <v>210.09</v>
      </c>
      <c r="O738" s="452">
        <v>94.15</v>
      </c>
      <c r="P738" s="1"/>
      <c r="Q738" s="1"/>
      <c r="R738" s="1"/>
      <c r="S738" s="1"/>
      <c r="T738" s="1"/>
      <c r="U738" s="1"/>
    </row>
    <row r="739" ht="10.5" customHeight="1">
      <c r="A739" s="1"/>
      <c r="B739" s="238">
        <v>2007.0</v>
      </c>
      <c r="C739" s="278">
        <v>7.30420212E8</v>
      </c>
      <c r="D739" s="87"/>
      <c r="E739" s="191">
        <v>1.01487106E8</v>
      </c>
      <c r="F739" s="87"/>
      <c r="G739" s="133">
        <v>1.46361237E8</v>
      </c>
      <c r="H739" s="87"/>
      <c r="I739" s="133">
        <v>6.5190234E7</v>
      </c>
      <c r="J739" s="87"/>
      <c r="K739" s="619">
        <f t="shared" si="59"/>
        <v>1043458789</v>
      </c>
      <c r="L739" s="87"/>
      <c r="M739" s="452">
        <v>334.87</v>
      </c>
      <c r="N739" s="624">
        <v>222.43</v>
      </c>
      <c r="O739" s="452">
        <v>93.36</v>
      </c>
      <c r="P739" s="1"/>
      <c r="Q739" s="1"/>
      <c r="R739" s="1"/>
      <c r="S739" s="1"/>
      <c r="T739" s="1"/>
      <c r="U739" s="1"/>
    </row>
    <row r="740" ht="10.5" customHeight="1">
      <c r="A740" s="1"/>
      <c r="B740" s="238">
        <v>2008.0</v>
      </c>
      <c r="C740" s="278">
        <v>7.63346054E8</v>
      </c>
      <c r="D740" s="87"/>
      <c r="E740" s="191">
        <v>8.6580058E7</v>
      </c>
      <c r="F740" s="87"/>
      <c r="G740" s="133">
        <v>1.66558133E8</v>
      </c>
      <c r="H740" s="87"/>
      <c r="I740" s="133">
        <v>7.253079E7</v>
      </c>
      <c r="J740" s="87"/>
      <c r="K740" s="619">
        <f t="shared" si="59"/>
        <v>1089015035</v>
      </c>
      <c r="L740" s="87"/>
      <c r="M740" s="452">
        <v>340.67</v>
      </c>
      <c r="N740" s="624">
        <v>225.45</v>
      </c>
      <c r="O740" s="452">
        <v>95.5</v>
      </c>
      <c r="P740" s="1"/>
      <c r="Q740" s="1"/>
      <c r="R740" s="1"/>
      <c r="S740" s="1"/>
      <c r="T740" s="1"/>
      <c r="U740" s="1"/>
    </row>
    <row r="741" ht="10.5" customHeight="1">
      <c r="A741" s="1"/>
      <c r="B741" s="238">
        <v>2009.0</v>
      </c>
      <c r="C741" s="278">
        <v>8.0511142E8</v>
      </c>
      <c r="D741" s="87"/>
      <c r="E741" s="306">
        <v>7.1424165E7</v>
      </c>
      <c r="F741" s="87"/>
      <c r="G741" s="133">
        <v>1.22123936E8</v>
      </c>
      <c r="H741" s="87"/>
      <c r="I741" s="179">
        <v>3.4759776E7</v>
      </c>
      <c r="J741" s="87"/>
      <c r="K741" s="619">
        <f t="shared" si="59"/>
        <v>1033419297</v>
      </c>
      <c r="L741" s="87"/>
      <c r="M741" s="452">
        <v>384.21</v>
      </c>
      <c r="N741" s="624">
        <v>236.33</v>
      </c>
      <c r="O741" s="455">
        <v>97.84</v>
      </c>
      <c r="P741" s="1"/>
      <c r="Q741" s="1"/>
      <c r="R741" s="1"/>
      <c r="S741" s="1"/>
      <c r="T741" s="1"/>
      <c r="U741" s="1"/>
    </row>
    <row r="742" ht="10.5" customHeight="1">
      <c r="A742" s="180"/>
      <c r="B742" s="627"/>
      <c r="C742" s="628"/>
      <c r="D742" s="87"/>
      <c r="E742" s="14"/>
      <c r="F742" s="87"/>
      <c r="G742" s="628"/>
      <c r="H742" s="87"/>
      <c r="I742" s="628"/>
      <c r="J742" s="87"/>
      <c r="K742" s="14"/>
      <c r="L742" s="87"/>
      <c r="M742" s="624"/>
      <c r="N742" s="624"/>
      <c r="O742" s="624"/>
      <c r="P742" s="1"/>
      <c r="Q742" s="1"/>
      <c r="R742" s="1"/>
      <c r="S742" s="1"/>
      <c r="T742" s="1"/>
      <c r="U742" s="1"/>
    </row>
    <row r="743" ht="10.5" customHeight="1">
      <c r="A743" s="1"/>
      <c r="B743" s="238">
        <v>2010.0</v>
      </c>
      <c r="C743" s="278">
        <v>7.79836438E8</v>
      </c>
      <c r="D743" s="87"/>
      <c r="E743" s="191">
        <v>3.9583031E7</v>
      </c>
      <c r="F743" s="87"/>
      <c r="G743" s="133">
        <v>1.13275957E8</v>
      </c>
      <c r="H743" s="87"/>
      <c r="I743" s="133">
        <v>5.2121679E7</v>
      </c>
      <c r="J743" s="87"/>
      <c r="K743" s="191">
        <f t="shared" ref="K743:K747" si="60">SUM(C743:I743)</f>
        <v>984817105</v>
      </c>
      <c r="L743" s="87"/>
      <c r="M743" s="452">
        <v>413.48</v>
      </c>
      <c r="N743" s="624">
        <v>261.14</v>
      </c>
      <c r="O743" s="452">
        <v>109.66</v>
      </c>
      <c r="P743" s="1"/>
      <c r="Q743" s="1"/>
      <c r="R743" s="1"/>
      <c r="S743" s="1"/>
      <c r="T743" s="1"/>
      <c r="U743" s="1"/>
    </row>
    <row r="744" ht="10.5" customHeight="1">
      <c r="A744" s="1"/>
      <c r="B744" s="11" t="s">
        <v>487</v>
      </c>
      <c r="C744" s="278">
        <v>8.31187919E8</v>
      </c>
      <c r="D744" s="87"/>
      <c r="E744" s="191">
        <v>3.4217371E7</v>
      </c>
      <c r="F744" s="87"/>
      <c r="G744" s="133">
        <v>1.07184033E8</v>
      </c>
      <c r="H744" s="87"/>
      <c r="I744" s="133">
        <v>4.0181527E7</v>
      </c>
      <c r="J744" s="87"/>
      <c r="K744" s="619">
        <f t="shared" si="60"/>
        <v>1012770850</v>
      </c>
      <c r="L744" s="87"/>
      <c r="M744" s="452">
        <v>424.9</v>
      </c>
      <c r="N744" s="624">
        <v>249.71</v>
      </c>
      <c r="O744" s="452">
        <v>111.42</v>
      </c>
      <c r="P744" s="1"/>
      <c r="Q744" s="1"/>
      <c r="R744" s="1"/>
      <c r="S744" s="1"/>
      <c r="T744" s="1"/>
      <c r="U744" s="1"/>
    </row>
    <row r="745" ht="10.5" customHeight="1">
      <c r="A745" s="1"/>
      <c r="B745" s="11" t="s">
        <v>489</v>
      </c>
      <c r="C745" s="278">
        <v>8.70940413E8</v>
      </c>
      <c r="D745" s="87"/>
      <c r="E745" s="191">
        <v>6.2257427E7</v>
      </c>
      <c r="F745" s="87"/>
      <c r="G745" s="133">
        <v>1.23643055E8</v>
      </c>
      <c r="H745" s="87"/>
      <c r="I745" s="133">
        <v>4.0122955E7</v>
      </c>
      <c r="J745" s="87"/>
      <c r="K745" s="619">
        <f t="shared" si="60"/>
        <v>1096963850</v>
      </c>
      <c r="L745" s="87"/>
      <c r="M745" s="452">
        <v>437.75</v>
      </c>
      <c r="N745" s="624">
        <v>289.58</v>
      </c>
      <c r="O745" s="452">
        <v>124.01</v>
      </c>
      <c r="P745" s="1"/>
      <c r="Q745" s="1"/>
      <c r="R745" s="1"/>
      <c r="S745" s="1"/>
      <c r="T745" s="1"/>
      <c r="U745" s="1"/>
    </row>
    <row r="746" ht="10.5" customHeight="1">
      <c r="A746" s="1"/>
      <c r="B746" s="11" t="s">
        <v>55</v>
      </c>
      <c r="C746" s="278">
        <v>9.15451775E8</v>
      </c>
      <c r="D746" s="87"/>
      <c r="E746" s="191">
        <v>4.1987289E7</v>
      </c>
      <c r="F746" s="87"/>
      <c r="G746" s="133">
        <v>1.40730471E8</v>
      </c>
      <c r="H746" s="87"/>
      <c r="I746" s="133">
        <v>5.87381E7</v>
      </c>
      <c r="J746" s="87"/>
      <c r="K746" s="619">
        <f t="shared" si="60"/>
        <v>1156907635</v>
      </c>
      <c r="L746" s="87"/>
      <c r="M746" s="452" t="s">
        <v>10</v>
      </c>
      <c r="N746" s="624" t="s">
        <v>10</v>
      </c>
      <c r="O746" s="452" t="s">
        <v>10</v>
      </c>
      <c r="P746" s="1"/>
      <c r="Q746" s="1"/>
      <c r="R746" s="1"/>
      <c r="S746" s="1"/>
      <c r="T746" s="1"/>
      <c r="U746" s="1"/>
    </row>
    <row r="747" ht="10.5" customHeight="1">
      <c r="A747" s="1"/>
      <c r="B747" s="11" t="s">
        <v>57</v>
      </c>
      <c r="C747" s="278">
        <v>9.58782992E8</v>
      </c>
      <c r="D747" s="87"/>
      <c r="E747" s="191">
        <v>5.362771E7</v>
      </c>
      <c r="F747" s="87"/>
      <c r="G747" s="133">
        <v>1.33595333E8</v>
      </c>
      <c r="H747" s="87"/>
      <c r="I747" s="133">
        <v>3.5079722E7</v>
      </c>
      <c r="J747" s="87"/>
      <c r="K747" s="619">
        <f t="shared" si="60"/>
        <v>1181085757</v>
      </c>
      <c r="L747" s="87"/>
      <c r="M747" s="452" t="s">
        <v>10</v>
      </c>
      <c r="N747" s="624" t="s">
        <v>10</v>
      </c>
      <c r="O747" s="452" t="s">
        <v>10</v>
      </c>
      <c r="P747" s="1"/>
      <c r="Q747" s="1"/>
      <c r="R747" s="1"/>
      <c r="S747" s="1"/>
      <c r="T747" s="1"/>
      <c r="U747" s="1"/>
    </row>
    <row r="748" ht="10.5" customHeight="1">
      <c r="A748" s="1"/>
      <c r="B748" s="11"/>
      <c r="C748" s="278"/>
      <c r="D748" s="87"/>
      <c r="E748" s="191"/>
      <c r="F748" s="87"/>
      <c r="G748" s="133"/>
      <c r="H748" s="87"/>
      <c r="I748" s="133"/>
      <c r="J748" s="87"/>
      <c r="K748" s="223"/>
      <c r="L748" s="87"/>
      <c r="M748" s="452"/>
      <c r="N748" s="624"/>
      <c r="O748" s="452"/>
      <c r="P748" s="1"/>
      <c r="Q748" s="1"/>
      <c r="R748" s="1"/>
      <c r="S748" s="1"/>
      <c r="T748" s="1"/>
      <c r="U748" s="1"/>
    </row>
    <row r="749" ht="10.5" customHeight="1">
      <c r="A749" s="1"/>
      <c r="B749" s="11" t="s">
        <v>58</v>
      </c>
      <c r="C749" s="278">
        <v>9.68375112E8</v>
      </c>
      <c r="D749" s="87"/>
      <c r="E749" s="191">
        <v>4.1809165E7</v>
      </c>
      <c r="F749" s="87"/>
      <c r="G749" s="133">
        <v>1.12919147E8</v>
      </c>
      <c r="H749" s="87"/>
      <c r="I749" s="133">
        <v>3.0937089E7</v>
      </c>
      <c r="J749" s="87"/>
      <c r="K749" s="223">
        <v>1.154640513E9</v>
      </c>
      <c r="L749" s="87"/>
      <c r="M749" s="452" t="s">
        <v>10</v>
      </c>
      <c r="N749" s="624" t="s">
        <v>10</v>
      </c>
      <c r="O749" s="452" t="s">
        <v>10</v>
      </c>
      <c r="P749" s="1"/>
      <c r="Q749" s="1"/>
      <c r="R749" s="1"/>
      <c r="S749" s="1"/>
      <c r="T749" s="1"/>
      <c r="U749" s="1"/>
    </row>
    <row r="750" ht="10.5" customHeight="1">
      <c r="A750" s="1"/>
      <c r="B750" s="11" t="s">
        <v>59</v>
      </c>
      <c r="C750" s="278">
        <v>8.98382758E8</v>
      </c>
      <c r="D750" s="87"/>
      <c r="E750" s="191">
        <v>3.7806121E7</v>
      </c>
      <c r="F750" s="87"/>
      <c r="G750" s="179">
        <v>1.16909186E8</v>
      </c>
      <c r="H750" s="87"/>
      <c r="I750" s="179">
        <v>3.5869946E7</v>
      </c>
      <c r="J750" s="87"/>
      <c r="K750" s="619">
        <v>1.088968011E9</v>
      </c>
      <c r="L750" s="87"/>
      <c r="M750" s="365" t="s">
        <v>10</v>
      </c>
      <c r="N750" s="392" t="s">
        <v>10</v>
      </c>
      <c r="O750" s="389" t="s">
        <v>10</v>
      </c>
      <c r="P750" s="253"/>
      <c r="Q750" s="1"/>
      <c r="R750" s="1"/>
      <c r="S750" s="1"/>
      <c r="T750" s="1"/>
      <c r="U750" s="1"/>
    </row>
    <row r="751" ht="10.5" customHeight="1">
      <c r="A751" s="180"/>
      <c r="B751" s="52" t="s">
        <v>1000</v>
      </c>
      <c r="C751" s="327">
        <v>9.18653196E8</v>
      </c>
      <c r="D751" s="94"/>
      <c r="E751" s="327">
        <v>4.7885137E7</v>
      </c>
      <c r="F751" s="94"/>
      <c r="G751" s="143">
        <v>1.1356022E8</v>
      </c>
      <c r="H751" s="94"/>
      <c r="I751" s="327">
        <v>3.8227616E7</v>
      </c>
      <c r="J751" s="94"/>
      <c r="K751" s="636">
        <v>1.118326169E9</v>
      </c>
      <c r="L751" s="94"/>
      <c r="M751" s="404" t="s">
        <v>10</v>
      </c>
      <c r="N751" s="637" t="s">
        <v>10</v>
      </c>
      <c r="O751" s="404" t="s">
        <v>10</v>
      </c>
      <c r="P751" s="1"/>
      <c r="Q751" s="1"/>
      <c r="R751" s="1"/>
      <c r="S751" s="1"/>
      <c r="T751" s="1"/>
      <c r="U751" s="1"/>
    </row>
    <row r="752" ht="12.0" customHeight="1">
      <c r="A752" s="1"/>
      <c r="B752" s="60" t="s">
        <v>1004</v>
      </c>
      <c r="C752" s="443"/>
      <c r="D752" s="1"/>
      <c r="F752" s="443"/>
      <c r="G752" s="443"/>
      <c r="H752" s="443"/>
      <c r="I752" s="443"/>
      <c r="J752" s="443"/>
      <c r="K752" s="443"/>
      <c r="L752" s="443"/>
      <c r="M752" s="638"/>
      <c r="N752" s="638"/>
      <c r="O752" s="125"/>
      <c r="P752" s="443"/>
      <c r="Q752" s="1"/>
      <c r="R752" s="1"/>
      <c r="S752" s="1"/>
      <c r="T752" s="1"/>
      <c r="U752" s="1"/>
    </row>
    <row r="753" ht="6.0" customHeight="1">
      <c r="A753" s="1"/>
      <c r="B753" s="152"/>
      <c r="C753" s="1"/>
      <c r="D753" s="640"/>
      <c r="E753" s="1"/>
      <c r="F753" s="1"/>
      <c r="G753" s="1"/>
      <c r="H753" s="1"/>
      <c r="I753" s="1"/>
      <c r="J753" s="1"/>
      <c r="K753" s="1"/>
      <c r="L753" s="1"/>
      <c r="M753" s="1"/>
      <c r="N753" s="1"/>
      <c r="O753" s="1"/>
      <c r="P753" s="1"/>
      <c r="Q753" s="1"/>
      <c r="R753" s="1"/>
      <c r="S753" s="1"/>
      <c r="T753" s="1"/>
      <c r="U753" s="1"/>
    </row>
    <row r="754" ht="10.5" customHeight="1">
      <c r="A754" s="1"/>
      <c r="B754" s="642" t="s">
        <v>1007</v>
      </c>
      <c r="C754" s="1"/>
      <c r="D754" s="640"/>
      <c r="E754" s="1"/>
      <c r="F754" s="1"/>
      <c r="G754" s="1"/>
      <c r="H754" s="1"/>
      <c r="I754" s="1"/>
      <c r="J754" s="1"/>
      <c r="K754" s="1"/>
      <c r="L754" s="1"/>
      <c r="M754" s="1"/>
      <c r="N754" s="1"/>
      <c r="O754" s="1"/>
      <c r="P754" s="1"/>
      <c r="Q754" s="1"/>
      <c r="R754" s="1"/>
      <c r="S754" s="1"/>
      <c r="T754" s="1"/>
      <c r="U754" s="1"/>
    </row>
    <row r="755" ht="10.5" customHeight="1">
      <c r="A755" s="1"/>
      <c r="B755" s="65"/>
      <c r="C755" s="15"/>
      <c r="D755" s="15"/>
      <c r="E755" s="15"/>
      <c r="F755" s="15"/>
      <c r="G755" s="15"/>
      <c r="H755" s="15"/>
      <c r="I755" s="15"/>
      <c r="J755" s="15"/>
      <c r="K755" s="15"/>
      <c r="L755" s="15"/>
      <c r="M755" s="15"/>
      <c r="N755" s="15"/>
      <c r="O755" s="15"/>
      <c r="P755" s="1"/>
      <c r="Q755" s="1"/>
      <c r="R755" s="1"/>
      <c r="S755" s="1"/>
      <c r="T755" s="1"/>
      <c r="U755" s="1"/>
    </row>
    <row r="756" ht="10.5" customHeight="1">
      <c r="A756" s="1"/>
      <c r="B756" s="65"/>
      <c r="C756" s="1"/>
      <c r="D756" s="640"/>
      <c r="E756" s="1"/>
      <c r="F756" s="1"/>
      <c r="G756" s="1"/>
      <c r="H756" s="1"/>
      <c r="I756" s="1"/>
      <c r="J756" s="1"/>
      <c r="K756" s="1"/>
      <c r="L756" s="1"/>
      <c r="M756" s="1"/>
      <c r="N756" s="1"/>
      <c r="O756" s="1"/>
      <c r="P756" s="1"/>
      <c r="Q756" s="1"/>
      <c r="R756" s="1"/>
      <c r="S756" s="1"/>
      <c r="T756" s="1"/>
      <c r="U756" s="1"/>
    </row>
    <row r="757" ht="10.5" customHeight="1">
      <c r="A757" s="1"/>
      <c r="B757" s="125"/>
      <c r="C757" s="125"/>
      <c r="D757" s="443"/>
      <c r="E757" s="125"/>
      <c r="F757" s="125"/>
      <c r="G757" s="125"/>
      <c r="H757" s="125"/>
      <c r="I757" s="125"/>
      <c r="J757" s="125"/>
      <c r="K757" s="125"/>
      <c r="L757" s="125"/>
      <c r="M757" s="125"/>
      <c r="N757" s="1"/>
      <c r="O757" s="1"/>
      <c r="P757" s="1"/>
      <c r="Q757" s="1"/>
      <c r="R757" s="1"/>
      <c r="S757" s="1"/>
      <c r="T757" s="1"/>
      <c r="U757" s="1"/>
    </row>
    <row r="758" ht="11.25" customHeight="1">
      <c r="A758" s="1"/>
      <c r="B758" s="643" t="s">
        <v>1010</v>
      </c>
      <c r="C758" s="643"/>
      <c r="D758" s="443"/>
      <c r="E758" s="643"/>
      <c r="F758" s="643"/>
      <c r="G758" s="643"/>
      <c r="H758" s="125"/>
      <c r="I758" s="125"/>
      <c r="J758" s="125"/>
      <c r="K758" s="125"/>
      <c r="L758" s="125"/>
      <c r="M758" s="125"/>
      <c r="N758" s="1"/>
      <c r="O758" s="1"/>
      <c r="P758" s="1"/>
      <c r="Q758" s="1"/>
      <c r="R758" s="1"/>
      <c r="S758" s="1"/>
      <c r="T758" s="1"/>
      <c r="U758" s="1"/>
    </row>
    <row r="759" ht="11.25" customHeight="1">
      <c r="A759" s="1"/>
      <c r="B759" s="29" t="s">
        <v>938</v>
      </c>
      <c r="C759" s="128" t="s">
        <v>1013</v>
      </c>
      <c r="D759" s="9"/>
      <c r="E759" s="9"/>
      <c r="F759" s="9"/>
      <c r="G759" s="9"/>
      <c r="H759" s="10"/>
      <c r="I759" s="128" t="s">
        <v>1015</v>
      </c>
      <c r="J759" s="9"/>
      <c r="K759" s="9"/>
      <c r="L759" s="10"/>
      <c r="M759" s="125"/>
      <c r="N759" s="1"/>
      <c r="O759" s="1"/>
      <c r="P759" s="1"/>
      <c r="Q759" s="1"/>
      <c r="R759" s="1"/>
      <c r="S759" s="1"/>
      <c r="T759" s="1"/>
      <c r="U759" s="1"/>
    </row>
    <row r="760" ht="11.25" customHeight="1">
      <c r="A760" s="1"/>
      <c r="B760" s="5"/>
      <c r="C760" s="31" t="s">
        <v>508</v>
      </c>
      <c r="D760" s="644" t="s">
        <v>640</v>
      </c>
      <c r="E760" s="128" t="s">
        <v>1016</v>
      </c>
      <c r="F760" s="10"/>
      <c r="G760" s="128" t="s">
        <v>243</v>
      </c>
      <c r="H760" s="10"/>
      <c r="I760" s="31" t="s">
        <v>508</v>
      </c>
      <c r="J760" s="31" t="s">
        <v>640</v>
      </c>
      <c r="K760" s="193" t="s">
        <v>1017</v>
      </c>
      <c r="L760" s="10"/>
      <c r="M760" s="125"/>
      <c r="N760" s="1"/>
      <c r="O760" s="1"/>
      <c r="P760" s="1"/>
      <c r="Q760" s="1"/>
      <c r="R760" s="1"/>
      <c r="S760" s="1"/>
      <c r="T760" s="1"/>
      <c r="U760" s="1"/>
    </row>
    <row r="761" ht="22.5" customHeight="1">
      <c r="A761" s="1"/>
      <c r="B761" s="5"/>
      <c r="C761" s="6"/>
      <c r="D761" s="118"/>
      <c r="E761" s="190" t="s">
        <v>514</v>
      </c>
      <c r="F761" s="7" t="s">
        <v>515</v>
      </c>
      <c r="G761" s="7" t="s">
        <v>514</v>
      </c>
      <c r="H761" s="7" t="s">
        <v>515</v>
      </c>
      <c r="I761" s="6"/>
      <c r="J761" s="6"/>
      <c r="K761" s="7" t="s">
        <v>514</v>
      </c>
      <c r="L761" s="273" t="s">
        <v>515</v>
      </c>
      <c r="M761" s="125"/>
      <c r="N761" s="1"/>
      <c r="O761" s="1"/>
      <c r="P761" s="1"/>
      <c r="Q761" s="1"/>
      <c r="R761" s="1"/>
      <c r="S761" s="1"/>
      <c r="T761" s="1"/>
      <c r="U761" s="1"/>
    </row>
    <row r="762" ht="11.25" customHeight="1">
      <c r="A762" s="1"/>
      <c r="B762" s="6"/>
      <c r="C762" s="482" t="s">
        <v>520</v>
      </c>
      <c r="D762" s="482" t="s">
        <v>50</v>
      </c>
      <c r="E762" s="134" t="s">
        <v>520</v>
      </c>
      <c r="F762" s="134" t="s">
        <v>52</v>
      </c>
      <c r="G762" s="134" t="s">
        <v>520</v>
      </c>
      <c r="H762" s="134" t="s">
        <v>52</v>
      </c>
      <c r="I762" s="134" t="s">
        <v>520</v>
      </c>
      <c r="J762" s="134" t="s">
        <v>50</v>
      </c>
      <c r="K762" s="134" t="s">
        <v>520</v>
      </c>
      <c r="L762" s="134" t="s">
        <v>52</v>
      </c>
      <c r="M762" s="125"/>
      <c r="N762" s="1"/>
      <c r="O762" s="1"/>
      <c r="P762" s="1"/>
      <c r="Q762" s="1"/>
      <c r="R762" s="1"/>
      <c r="S762" s="1"/>
      <c r="T762" s="1"/>
      <c r="U762" s="1"/>
    </row>
    <row r="763" ht="10.5" customHeight="1">
      <c r="A763" s="1"/>
      <c r="B763" s="48" t="s">
        <v>56</v>
      </c>
      <c r="C763" s="136">
        <v>21135.0</v>
      </c>
      <c r="D763" s="164">
        <v>13374.0</v>
      </c>
      <c r="E763" s="136">
        <v>7298.0</v>
      </c>
      <c r="F763" s="136">
        <v>593.0</v>
      </c>
      <c r="G763" s="136">
        <v>11622.0</v>
      </c>
      <c r="H763" s="645">
        <v>769.35</v>
      </c>
      <c r="I763" s="136">
        <v>111548.0</v>
      </c>
      <c r="J763" s="136">
        <v>25893.0</v>
      </c>
      <c r="K763" s="136">
        <v>43441.0</v>
      </c>
      <c r="L763" s="373">
        <v>351.0</v>
      </c>
      <c r="M763" s="125"/>
      <c r="N763" s="1"/>
      <c r="O763" s="1"/>
      <c r="P763" s="1"/>
      <c r="Q763" s="1"/>
      <c r="R763" s="1"/>
      <c r="S763" s="1"/>
      <c r="T763" s="1"/>
      <c r="U763" s="1"/>
    </row>
    <row r="764" ht="10.5" customHeight="1">
      <c r="A764" s="1"/>
      <c r="B764" s="238" t="s">
        <v>81</v>
      </c>
      <c r="C764" s="136">
        <v>21967.0</v>
      </c>
      <c r="D764" s="164">
        <v>15396.0</v>
      </c>
      <c r="E764" s="136">
        <v>8848.0</v>
      </c>
      <c r="F764" s="136">
        <v>623.0</v>
      </c>
      <c r="G764" s="136">
        <v>10660.0</v>
      </c>
      <c r="H764" s="645">
        <v>907.22</v>
      </c>
      <c r="I764" s="136">
        <v>113714.0</v>
      </c>
      <c r="J764" s="136">
        <v>30031.0</v>
      </c>
      <c r="K764" s="136">
        <v>43611.0</v>
      </c>
      <c r="L764" s="373">
        <v>386.0</v>
      </c>
      <c r="M764" s="125"/>
      <c r="N764" s="1"/>
      <c r="O764" s="1"/>
      <c r="P764" s="1"/>
      <c r="Q764" s="1"/>
      <c r="R764" s="1"/>
      <c r="S764" s="1"/>
      <c r="T764" s="1"/>
      <c r="U764" s="1"/>
    </row>
    <row r="765" ht="10.5" customHeight="1">
      <c r="A765" s="1"/>
      <c r="B765" s="238" t="s">
        <v>86</v>
      </c>
      <c r="C765" s="136">
        <v>26581.0</v>
      </c>
      <c r="D765" s="164">
        <v>17345.0</v>
      </c>
      <c r="E765" s="136">
        <v>10493.0</v>
      </c>
      <c r="F765" s="136">
        <v>660.0</v>
      </c>
      <c r="G765" s="136">
        <v>10823.0</v>
      </c>
      <c r="H765" s="645">
        <v>959.71</v>
      </c>
      <c r="I765" s="136">
        <v>135784.0</v>
      </c>
      <c r="J765" s="136">
        <v>34647.0</v>
      </c>
      <c r="K765" s="136">
        <v>53915.0</v>
      </c>
      <c r="L765" s="373">
        <v>388.0</v>
      </c>
      <c r="M765" s="125"/>
      <c r="N765" s="1"/>
      <c r="O765" s="1"/>
      <c r="P765" s="1"/>
      <c r="Q765" s="1"/>
      <c r="R765" s="1"/>
      <c r="S765" s="1"/>
      <c r="T765" s="1"/>
      <c r="U765" s="1"/>
    </row>
    <row r="766" ht="10.5" customHeight="1">
      <c r="A766" s="1"/>
      <c r="B766" s="238" t="s">
        <v>87</v>
      </c>
      <c r="C766" s="136">
        <v>22132.0</v>
      </c>
      <c r="D766" s="164">
        <v>16514.0</v>
      </c>
      <c r="E766" s="136">
        <v>10526.0</v>
      </c>
      <c r="F766" s="136">
        <v>781.0</v>
      </c>
      <c r="G766" s="136">
        <v>9474.0</v>
      </c>
      <c r="H766" s="645">
        <v>879.85</v>
      </c>
      <c r="I766" s="136">
        <v>116207.0</v>
      </c>
      <c r="J766" s="136">
        <v>44069.0</v>
      </c>
      <c r="K766" s="136">
        <v>43739.0</v>
      </c>
      <c r="L766" s="373">
        <v>558.0</v>
      </c>
      <c r="M766" s="125"/>
      <c r="N766" s="1"/>
      <c r="O766" s="1"/>
      <c r="P766" s="1"/>
      <c r="Q766" s="1"/>
      <c r="R766" s="1"/>
      <c r="S766" s="1"/>
      <c r="T766" s="1"/>
      <c r="U766" s="1"/>
    </row>
    <row r="767" ht="10.5" customHeight="1">
      <c r="A767" s="1"/>
      <c r="B767" s="238" t="s">
        <v>90</v>
      </c>
      <c r="C767" s="136">
        <v>25506.0</v>
      </c>
      <c r="D767" s="164">
        <v>23208.0</v>
      </c>
      <c r="E767" s="136">
        <v>10201.0</v>
      </c>
      <c r="F767" s="136">
        <v>837.0</v>
      </c>
      <c r="G767" s="136">
        <v>13430.0</v>
      </c>
      <c r="H767" s="645">
        <v>1097.27</v>
      </c>
      <c r="I767" s="136">
        <v>140823.0</v>
      </c>
      <c r="J767" s="136">
        <v>51867.0</v>
      </c>
      <c r="K767" s="136">
        <v>57095.0</v>
      </c>
      <c r="L767" s="373">
        <v>539.0</v>
      </c>
      <c r="M767" s="125"/>
      <c r="N767" s="1"/>
      <c r="O767" s="1"/>
      <c r="P767" s="1"/>
      <c r="Q767" s="1"/>
      <c r="R767" s="1"/>
      <c r="S767" s="1"/>
      <c r="T767" s="1"/>
      <c r="U767" s="1"/>
    </row>
    <row r="768" ht="10.5" customHeight="1">
      <c r="A768" s="1"/>
      <c r="B768" s="238"/>
      <c r="C768" s="136"/>
      <c r="D768" s="164"/>
      <c r="E768" s="136"/>
      <c r="F768" s="136"/>
      <c r="G768" s="136"/>
      <c r="H768" s="645"/>
      <c r="I768" s="136"/>
      <c r="J768" s="136"/>
      <c r="K768" s="136"/>
      <c r="L768" s="373"/>
      <c r="M768" s="125"/>
      <c r="N768" s="1"/>
      <c r="O768" s="1"/>
      <c r="P768" s="1"/>
      <c r="Q768" s="1"/>
      <c r="R768" s="1"/>
      <c r="S768" s="1"/>
      <c r="T768" s="1"/>
      <c r="U768" s="1"/>
    </row>
    <row r="769" ht="10.5" customHeight="1">
      <c r="A769" s="1"/>
      <c r="B769" s="238" t="s">
        <v>93</v>
      </c>
      <c r="C769" s="136">
        <v>32553.0</v>
      </c>
      <c r="D769" s="164">
        <v>32633.0</v>
      </c>
      <c r="E769" s="136">
        <v>11948.0</v>
      </c>
      <c r="F769" s="136">
        <v>839.0</v>
      </c>
      <c r="G769" s="136">
        <v>18487.0</v>
      </c>
      <c r="H769" s="645">
        <v>1227.64</v>
      </c>
      <c r="I769" s="136">
        <v>150825.0</v>
      </c>
      <c r="J769" s="136">
        <v>58771.0</v>
      </c>
      <c r="K769" s="136">
        <v>60386.0</v>
      </c>
      <c r="L769" s="373">
        <v>559.0</v>
      </c>
      <c r="M769" s="125"/>
      <c r="N769" s="1"/>
      <c r="O769" s="1"/>
      <c r="P769" s="1"/>
      <c r="Q769" s="1"/>
      <c r="R769" s="1"/>
      <c r="S769" s="1"/>
      <c r="T769" s="1"/>
      <c r="U769" s="1"/>
    </row>
    <row r="770" ht="10.5" customHeight="1">
      <c r="A770" s="1"/>
      <c r="B770" s="238" t="s">
        <v>97</v>
      </c>
      <c r="C770" s="136">
        <v>38270.0</v>
      </c>
      <c r="D770" s="164">
        <v>40277.0</v>
      </c>
      <c r="E770" s="136">
        <v>12362.0</v>
      </c>
      <c r="F770" s="136">
        <v>926.0</v>
      </c>
      <c r="G770" s="136">
        <v>23087.0</v>
      </c>
      <c r="H770" s="645">
        <v>1245.64</v>
      </c>
      <c r="I770" s="136">
        <v>177124.0</v>
      </c>
      <c r="J770" s="136">
        <v>71768.0</v>
      </c>
      <c r="K770" s="136">
        <v>72901.0</v>
      </c>
      <c r="L770" s="373">
        <v>595.0</v>
      </c>
      <c r="M770" s="125"/>
      <c r="N770" s="1"/>
      <c r="O770" s="1"/>
      <c r="P770" s="1"/>
      <c r="Q770" s="1"/>
      <c r="R770" s="1"/>
      <c r="S770" s="1"/>
      <c r="T770" s="1"/>
      <c r="U770" s="1"/>
    </row>
    <row r="771" ht="10.5" customHeight="1">
      <c r="A771" s="1"/>
      <c r="B771" s="238" t="s">
        <v>101</v>
      </c>
      <c r="C771" s="136">
        <v>41217.0</v>
      </c>
      <c r="D771" s="164">
        <v>44524.0</v>
      </c>
      <c r="E771" s="136">
        <v>14339.0</v>
      </c>
      <c r="F771" s="136">
        <v>990.0</v>
      </c>
      <c r="G771" s="136">
        <v>23423.0</v>
      </c>
      <c r="H771" s="645">
        <v>1289.09</v>
      </c>
      <c r="I771" s="136">
        <v>177859.0</v>
      </c>
      <c r="J771" s="136">
        <v>79984.0</v>
      </c>
      <c r="K771" s="136">
        <v>65875.0</v>
      </c>
      <c r="L771" s="373">
        <v>694.0</v>
      </c>
      <c r="M771" s="125"/>
      <c r="N771" s="1"/>
      <c r="O771" s="1"/>
      <c r="P771" s="1"/>
      <c r="Q771" s="1"/>
      <c r="R771" s="1"/>
      <c r="S771" s="1"/>
      <c r="T771" s="1"/>
      <c r="U771" s="1"/>
    </row>
    <row r="772" ht="10.5" customHeight="1">
      <c r="A772" s="1"/>
      <c r="B772" s="238" t="s">
        <v>103</v>
      </c>
      <c r="C772" s="136">
        <v>41004.0</v>
      </c>
      <c r="D772" s="164">
        <v>54184.0</v>
      </c>
      <c r="E772" s="136">
        <v>11097.0</v>
      </c>
      <c r="F772" s="136">
        <v>1249.0</v>
      </c>
      <c r="G772" s="136">
        <v>28114.0</v>
      </c>
      <c r="H772" s="645">
        <v>1440.49</v>
      </c>
      <c r="I772" s="136">
        <v>194937.0</v>
      </c>
      <c r="J772" s="136">
        <v>98659.0</v>
      </c>
      <c r="K772" s="136">
        <v>72175.0</v>
      </c>
      <c r="L772" s="373">
        <v>768.0</v>
      </c>
      <c r="M772" s="125"/>
      <c r="N772" s="1"/>
      <c r="O772" s="1"/>
      <c r="P772" s="1"/>
      <c r="Q772" s="1"/>
      <c r="R772" s="1"/>
      <c r="S772" s="1"/>
      <c r="T772" s="1"/>
      <c r="U772" s="1"/>
    </row>
    <row r="773" ht="10.5" customHeight="1">
      <c r="A773" s="1"/>
      <c r="B773" s="238" t="s">
        <v>104</v>
      </c>
      <c r="C773" s="136">
        <v>51808.0</v>
      </c>
      <c r="D773" s="164">
        <v>67724.0</v>
      </c>
      <c r="E773" s="136">
        <v>16005.0</v>
      </c>
      <c r="F773" s="136">
        <v>1237.0</v>
      </c>
      <c r="G773" s="136">
        <v>32590.0</v>
      </c>
      <c r="H773" s="645">
        <v>1476.73</v>
      </c>
      <c r="I773" s="136">
        <v>230994.0</v>
      </c>
      <c r="J773" s="136">
        <v>116367.0</v>
      </c>
      <c r="K773" s="136">
        <v>95091.0</v>
      </c>
      <c r="L773" s="373">
        <v>774.0</v>
      </c>
      <c r="M773" s="125"/>
      <c r="N773" s="1"/>
      <c r="O773" s="1"/>
      <c r="P773" s="1"/>
      <c r="Q773" s="1"/>
      <c r="R773" s="1"/>
      <c r="S773" s="1"/>
      <c r="T773" s="1"/>
      <c r="U773" s="1"/>
    </row>
    <row r="774" ht="10.5" customHeight="1">
      <c r="A774" s="1"/>
      <c r="B774" s="238"/>
      <c r="C774" s="136"/>
      <c r="D774" s="164"/>
      <c r="E774" s="136"/>
      <c r="F774" s="136"/>
      <c r="G774" s="136"/>
      <c r="H774" s="645"/>
      <c r="I774" s="136"/>
      <c r="J774" s="136"/>
      <c r="K774" s="136"/>
      <c r="L774" s="373"/>
      <c r="M774" s="125"/>
      <c r="N774" s="1"/>
      <c r="O774" s="1"/>
      <c r="P774" s="1"/>
      <c r="Q774" s="1"/>
      <c r="R774" s="1"/>
      <c r="S774" s="1"/>
      <c r="T774" s="1"/>
      <c r="U774" s="1"/>
    </row>
    <row r="775" ht="10.5" customHeight="1">
      <c r="A775" s="1"/>
      <c r="B775" s="238" t="s">
        <v>108</v>
      </c>
      <c r="C775" s="136">
        <v>48565.0</v>
      </c>
      <c r="D775" s="164">
        <v>68328.0</v>
      </c>
      <c r="E775" s="136">
        <v>13158.0</v>
      </c>
      <c r="F775" s="136">
        <v>1494.0</v>
      </c>
      <c r="G775" s="136">
        <v>32355.0</v>
      </c>
      <c r="H775" s="645">
        <v>1510.25</v>
      </c>
      <c r="I775" s="136">
        <v>223413.0</v>
      </c>
      <c r="J775" s="136">
        <v>141573.0</v>
      </c>
      <c r="K775" s="136">
        <v>99495.0</v>
      </c>
      <c r="L775" s="373">
        <v>937.0</v>
      </c>
      <c r="M775" s="125"/>
      <c r="N775" s="1"/>
      <c r="O775" s="1"/>
      <c r="P775" s="1"/>
      <c r="Q775" s="1"/>
      <c r="R775" s="1"/>
      <c r="S775" s="1"/>
      <c r="T775" s="1"/>
      <c r="U775" s="1"/>
    </row>
    <row r="776" ht="10.5" customHeight="1">
      <c r="A776" s="342">
        <v>46.0</v>
      </c>
      <c r="B776" s="238" t="s">
        <v>111</v>
      </c>
      <c r="C776" s="136">
        <v>45710.0</v>
      </c>
      <c r="D776" s="164">
        <v>71593.0</v>
      </c>
      <c r="E776" s="136">
        <v>12980.0</v>
      </c>
      <c r="F776" s="136">
        <v>1675.0</v>
      </c>
      <c r="G776" s="136">
        <v>29166.0</v>
      </c>
      <c r="H776" s="645">
        <v>1699.46</v>
      </c>
      <c r="I776" s="136">
        <v>243075.0</v>
      </c>
      <c r="J776" s="136">
        <v>152018.0</v>
      </c>
      <c r="K776" s="136">
        <v>108643.0</v>
      </c>
      <c r="L776" s="373">
        <v>945.0</v>
      </c>
      <c r="M776" s="125"/>
      <c r="N776" s="1"/>
      <c r="O776" s="1"/>
      <c r="P776" s="1"/>
      <c r="Q776" s="1"/>
      <c r="R776" s="1"/>
      <c r="S776" s="1"/>
      <c r="T776" s="1"/>
      <c r="U776" s="1"/>
    </row>
    <row r="777" ht="10.5" customHeight="1">
      <c r="A777" s="87"/>
      <c r="B777" s="238" t="s">
        <v>112</v>
      </c>
      <c r="C777" s="136">
        <v>36921.0</v>
      </c>
      <c r="D777" s="164">
        <v>66222.0</v>
      </c>
      <c r="E777" s="136">
        <v>11583.0</v>
      </c>
      <c r="F777" s="136">
        <v>1995.0</v>
      </c>
      <c r="G777" s="136">
        <v>22814.0</v>
      </c>
      <c r="H777" s="645">
        <v>1891.3</v>
      </c>
      <c r="I777" s="136">
        <v>128357.0</v>
      </c>
      <c r="J777" s="136">
        <v>137212.0</v>
      </c>
      <c r="K777" s="136">
        <v>67725.0</v>
      </c>
      <c r="L777" s="373">
        <v>1520.0</v>
      </c>
      <c r="M777" s="125"/>
      <c r="N777" s="1"/>
      <c r="O777" s="1"/>
      <c r="P777" s="1"/>
      <c r="Q777" s="1"/>
      <c r="R777" s="1"/>
      <c r="S777" s="1"/>
      <c r="T777" s="1"/>
      <c r="U777" s="1"/>
    </row>
    <row r="778" ht="10.5" customHeight="1">
      <c r="A778" s="1"/>
      <c r="B778" s="238" t="s">
        <v>113</v>
      </c>
      <c r="C778" s="136">
        <v>41072.0</v>
      </c>
      <c r="D778" s="164">
        <v>77152.0</v>
      </c>
      <c r="E778" s="136">
        <v>15407.0</v>
      </c>
      <c r="F778" s="136">
        <v>2026.0</v>
      </c>
      <c r="G778" s="136">
        <v>22303.0</v>
      </c>
      <c r="H778" s="645">
        <v>2065.58</v>
      </c>
      <c r="I778" s="136">
        <v>126445.0</v>
      </c>
      <c r="J778" s="136">
        <v>90153.0</v>
      </c>
      <c r="K778" s="136">
        <v>120806.0</v>
      </c>
      <c r="L778" s="373">
        <v>1128.0</v>
      </c>
      <c r="M778" s="125"/>
      <c r="N778" s="1"/>
      <c r="O778" s="1"/>
      <c r="P778" s="1"/>
      <c r="Q778" s="1"/>
      <c r="R778" s="1"/>
      <c r="S778" s="1"/>
      <c r="T778" s="1"/>
      <c r="U778" s="1"/>
    </row>
    <row r="779" ht="10.5" customHeight="1">
      <c r="A779" s="1"/>
      <c r="B779" s="238" t="s">
        <v>114</v>
      </c>
      <c r="C779" s="136">
        <v>45042.0</v>
      </c>
      <c r="D779" s="164">
        <v>92154.0</v>
      </c>
      <c r="E779" s="136">
        <v>16483.0</v>
      </c>
      <c r="F779" s="136">
        <v>2203.0</v>
      </c>
      <c r="G779" s="136">
        <v>25121.0</v>
      </c>
      <c r="H779" s="645">
        <v>2229.55</v>
      </c>
      <c r="I779" s="136">
        <v>111983.0</v>
      </c>
      <c r="J779" s="136">
        <v>110816.0</v>
      </c>
      <c r="K779" s="136">
        <v>98685.0</v>
      </c>
      <c r="L779" s="373">
        <v>1672.0</v>
      </c>
      <c r="M779" s="125"/>
      <c r="N779" s="1"/>
      <c r="O779" s="1"/>
      <c r="P779" s="1"/>
      <c r="Q779" s="1"/>
      <c r="R779" s="1"/>
      <c r="S779" s="1"/>
      <c r="T779" s="1"/>
      <c r="U779" s="1"/>
    </row>
    <row r="780" ht="10.5" customHeight="1">
      <c r="A780" s="1"/>
      <c r="B780" s="238"/>
      <c r="C780" s="136"/>
      <c r="D780" s="164"/>
      <c r="E780" s="136"/>
      <c r="F780" s="136"/>
      <c r="G780" s="136"/>
      <c r="H780" s="645"/>
      <c r="I780" s="136"/>
      <c r="J780" s="136"/>
      <c r="K780" s="136"/>
      <c r="L780" s="373"/>
      <c r="M780" s="125"/>
      <c r="N780" s="1"/>
      <c r="O780" s="1"/>
      <c r="P780" s="1"/>
      <c r="Q780" s="1"/>
      <c r="R780" s="1"/>
      <c r="S780" s="1"/>
      <c r="T780" s="1"/>
      <c r="U780" s="1"/>
    </row>
    <row r="781" ht="10.5" customHeight="1">
      <c r="A781" s="1"/>
      <c r="B781" s="238" t="s">
        <v>115</v>
      </c>
      <c r="C781" s="136">
        <v>50580.0</v>
      </c>
      <c r="D781" s="164">
        <v>114740.0</v>
      </c>
      <c r="E781" s="136">
        <v>16312.0</v>
      </c>
      <c r="F781" s="136">
        <v>2308.0</v>
      </c>
      <c r="G781" s="136">
        <v>30089.0</v>
      </c>
      <c r="H781" s="645">
        <v>2555.06</v>
      </c>
      <c r="I781" s="136">
        <v>158853.0</v>
      </c>
      <c r="J781" s="136">
        <v>139174.0</v>
      </c>
      <c r="K781" s="136">
        <v>147329.0</v>
      </c>
      <c r="L781" s="373">
        <v>1501.0</v>
      </c>
      <c r="M781" s="125"/>
      <c r="N781" s="1"/>
      <c r="O781" s="1"/>
      <c r="P781" s="1"/>
      <c r="Q781" s="1"/>
      <c r="R781" s="1"/>
      <c r="S781" s="1"/>
      <c r="T781" s="1"/>
      <c r="U781" s="1"/>
    </row>
    <row r="782" ht="10.5" customHeight="1">
      <c r="A782" s="1"/>
      <c r="B782" s="238" t="s">
        <v>117</v>
      </c>
      <c r="C782" s="136">
        <v>49877.0</v>
      </c>
      <c r="D782" s="164">
        <v>106514.0</v>
      </c>
      <c r="E782" s="136">
        <v>23377.0</v>
      </c>
      <c r="F782" s="136">
        <v>2129.0</v>
      </c>
      <c r="G782" s="136">
        <v>22396.0</v>
      </c>
      <c r="H782" s="645">
        <v>2559.92</v>
      </c>
      <c r="I782" s="136">
        <v>183343.0</v>
      </c>
      <c r="J782" s="136">
        <v>163269.0</v>
      </c>
      <c r="K782" s="136">
        <v>180761.0</v>
      </c>
      <c r="L782" s="373">
        <v>1411.0</v>
      </c>
      <c r="M782" s="125"/>
      <c r="N782" s="1"/>
      <c r="O782" s="1"/>
      <c r="P782" s="1"/>
      <c r="Q782" s="1"/>
      <c r="R782" s="1"/>
      <c r="S782" s="1"/>
      <c r="T782" s="1"/>
      <c r="U782" s="1"/>
    </row>
    <row r="783" ht="10.5" customHeight="1">
      <c r="A783" s="1"/>
      <c r="B783" s="238" t="s">
        <v>121</v>
      </c>
      <c r="C783" s="136">
        <v>57053.0</v>
      </c>
      <c r="D783" s="164">
        <v>137463.0</v>
      </c>
      <c r="E783" s="136">
        <v>20073.0</v>
      </c>
      <c r="F783" s="136">
        <v>2339.0</v>
      </c>
      <c r="G783" s="136">
        <v>31580.0</v>
      </c>
      <c r="H783" s="645">
        <v>2868.41</v>
      </c>
      <c r="I783" s="136">
        <v>215655.0</v>
      </c>
      <c r="J783" s="136">
        <v>200979.0</v>
      </c>
      <c r="K783" s="136">
        <v>202013.0</v>
      </c>
      <c r="L783" s="373">
        <v>1500.0</v>
      </c>
      <c r="M783" s="125"/>
      <c r="N783" s="1"/>
      <c r="O783" s="1"/>
      <c r="P783" s="1"/>
      <c r="Q783" s="1"/>
      <c r="R783" s="1"/>
      <c r="S783" s="1"/>
      <c r="T783" s="1"/>
      <c r="U783" s="1"/>
    </row>
    <row r="784" ht="10.5" customHeight="1">
      <c r="A784" s="1"/>
      <c r="B784" s="437" t="s">
        <v>122</v>
      </c>
      <c r="C784" s="136">
        <v>79910.0</v>
      </c>
      <c r="D784" s="164">
        <v>181937.0</v>
      </c>
      <c r="E784" s="136">
        <v>28051.0</v>
      </c>
      <c r="F784" s="136">
        <v>2108.0</v>
      </c>
      <c r="G784" s="136">
        <v>45312.0</v>
      </c>
      <c r="H784" s="645">
        <v>2719.07</v>
      </c>
      <c r="I784" s="136">
        <v>343822.0</v>
      </c>
      <c r="J784" s="136">
        <v>435177.0</v>
      </c>
      <c r="K784" s="136">
        <v>212790.0</v>
      </c>
      <c r="L784" s="373">
        <v>1452.0</v>
      </c>
      <c r="M784" s="125"/>
      <c r="N784" s="1"/>
      <c r="O784" s="1"/>
      <c r="P784" s="1"/>
      <c r="Q784" s="1"/>
      <c r="R784" s="1"/>
      <c r="S784" s="1"/>
      <c r="T784" s="1"/>
      <c r="U784" s="1"/>
    </row>
    <row r="785" ht="10.5" customHeight="1">
      <c r="A785" s="1"/>
      <c r="B785" s="437" t="s">
        <v>123</v>
      </c>
      <c r="C785" s="136">
        <v>68876.0</v>
      </c>
      <c r="D785" s="164">
        <v>160682.0</v>
      </c>
      <c r="E785" s="136">
        <v>19536.0</v>
      </c>
      <c r="F785" s="136">
        <v>2570.0</v>
      </c>
      <c r="G785" s="136">
        <v>43458.0</v>
      </c>
      <c r="H785" s="645">
        <v>2535.1</v>
      </c>
      <c r="I785" s="136">
        <v>373177.0</v>
      </c>
      <c r="J785" s="136">
        <v>515028.0</v>
      </c>
      <c r="K785" s="136">
        <v>227505.0</v>
      </c>
      <c r="L785" s="373">
        <v>1580.0</v>
      </c>
      <c r="M785" s="125"/>
      <c r="N785" s="1"/>
      <c r="O785" s="1"/>
      <c r="P785" s="1"/>
      <c r="Q785" s="1"/>
      <c r="R785" s="1"/>
      <c r="S785" s="1"/>
      <c r="T785" s="1"/>
      <c r="U785" s="1"/>
    </row>
    <row r="786" ht="10.5" customHeight="1">
      <c r="A786" s="1"/>
      <c r="B786" s="238"/>
      <c r="C786" s="136"/>
      <c r="D786" s="164"/>
      <c r="E786" s="136"/>
      <c r="F786" s="136"/>
      <c r="G786" s="136"/>
      <c r="H786" s="645"/>
      <c r="I786" s="136"/>
      <c r="J786" s="136"/>
      <c r="K786" s="136"/>
      <c r="L786" s="373"/>
      <c r="M786" s="125"/>
      <c r="N786" s="1"/>
      <c r="O786" s="1"/>
      <c r="P786" s="1"/>
      <c r="Q786" s="1"/>
      <c r="R786" s="1"/>
      <c r="S786" s="1"/>
      <c r="T786" s="1"/>
      <c r="U786" s="1"/>
    </row>
    <row r="787" ht="10.5" customHeight="1">
      <c r="A787" s="1"/>
      <c r="B787" s="437" t="s">
        <v>125</v>
      </c>
      <c r="C787" s="136">
        <v>68968.0</v>
      </c>
      <c r="D787" s="164">
        <v>169529.0</v>
      </c>
      <c r="E787" s="136">
        <v>25519.0</v>
      </c>
      <c r="F787" s="136">
        <v>2338.0</v>
      </c>
      <c r="G787" s="136">
        <v>37598.0</v>
      </c>
      <c r="H787" s="645">
        <v>2525.73</v>
      </c>
      <c r="I787" s="136">
        <v>372204.0</v>
      </c>
      <c r="J787" s="136">
        <v>510849.0</v>
      </c>
      <c r="K787" s="136">
        <v>234042.0</v>
      </c>
      <c r="L787" s="373">
        <v>1583.0</v>
      </c>
      <c r="M787" s="125"/>
      <c r="N787" s="1"/>
      <c r="O787" s="1"/>
      <c r="P787" s="1"/>
      <c r="Q787" s="1"/>
      <c r="R787" s="1"/>
      <c r="S787" s="1"/>
      <c r="T787" s="1"/>
      <c r="U787" s="1"/>
    </row>
    <row r="788" ht="10.5" customHeight="1">
      <c r="A788" s="1"/>
      <c r="B788" s="437" t="s">
        <v>127</v>
      </c>
      <c r="C788" s="169">
        <v>66523.0</v>
      </c>
      <c r="D788" s="164">
        <v>195015.0</v>
      </c>
      <c r="E788" s="136">
        <v>22037.0</v>
      </c>
      <c r="F788" s="169">
        <v>2267.0</v>
      </c>
      <c r="G788" s="169">
        <v>38389.0</v>
      </c>
      <c r="H788" s="651">
        <v>3748.42</v>
      </c>
      <c r="I788" s="169">
        <v>392491.0</v>
      </c>
      <c r="J788" s="169">
        <v>564078.0</v>
      </c>
      <c r="K788" s="169">
        <v>249117.0</v>
      </c>
      <c r="L788" s="373">
        <v>1643.0</v>
      </c>
      <c r="M788" s="125"/>
      <c r="N788" s="1"/>
      <c r="O788" s="1"/>
      <c r="P788" s="1"/>
      <c r="Q788" s="1"/>
      <c r="R788" s="1"/>
      <c r="S788" s="1"/>
      <c r="T788" s="1"/>
      <c r="U788" s="1"/>
    </row>
    <row r="789" ht="10.5" customHeight="1">
      <c r="A789" s="1"/>
      <c r="B789" s="238" t="s">
        <v>128</v>
      </c>
      <c r="C789" s="169">
        <v>77224.0</v>
      </c>
      <c r="D789" s="164">
        <v>264587.0</v>
      </c>
      <c r="E789" s="136">
        <v>21316.0</v>
      </c>
      <c r="F789" s="169">
        <v>3488.0</v>
      </c>
      <c r="G789" s="169">
        <v>47712.0</v>
      </c>
      <c r="H789" s="651">
        <v>3941.71</v>
      </c>
      <c r="I789" s="169">
        <v>352025.0</v>
      </c>
      <c r="J789" s="169">
        <v>625383.0</v>
      </c>
      <c r="K789" s="169">
        <v>210099.0</v>
      </c>
      <c r="L789" s="373">
        <v>2085.0</v>
      </c>
      <c r="M789" s="125"/>
      <c r="N789" s="1"/>
      <c r="O789" s="1"/>
      <c r="P789" s="1"/>
      <c r="Q789" s="1"/>
      <c r="R789" s="1"/>
      <c r="S789" s="1"/>
      <c r="T789" s="1"/>
      <c r="U789" s="1"/>
    </row>
    <row r="790" ht="10.5" customHeight="1">
      <c r="A790" s="1"/>
      <c r="B790" s="238" t="s">
        <v>129</v>
      </c>
      <c r="C790" s="169">
        <v>57064.0</v>
      </c>
      <c r="D790" s="164">
        <v>236442.0</v>
      </c>
      <c r="E790" s="136">
        <v>17014.0</v>
      </c>
      <c r="F790" s="169">
        <v>4378.0</v>
      </c>
      <c r="G790" s="169">
        <v>32509.0</v>
      </c>
      <c r="H790" s="651">
        <v>4859.58</v>
      </c>
      <c r="I790" s="169">
        <v>277034.0</v>
      </c>
      <c r="J790" s="169">
        <v>642527.0</v>
      </c>
      <c r="K790" s="169">
        <v>165411.0</v>
      </c>
      <c r="L790" s="408">
        <v>2662.0</v>
      </c>
      <c r="M790" s="125"/>
      <c r="N790" s="1"/>
      <c r="O790" s="1"/>
      <c r="P790" s="1"/>
      <c r="Q790" s="1"/>
      <c r="R790" s="1"/>
      <c r="S790" s="1"/>
      <c r="T790" s="1"/>
      <c r="U790" s="1"/>
    </row>
    <row r="791" ht="10.5" customHeight="1">
      <c r="A791" s="1"/>
      <c r="B791" s="238" t="s">
        <v>130</v>
      </c>
      <c r="C791" s="169">
        <v>82096.0</v>
      </c>
      <c r="D791" s="164">
        <v>277755.0</v>
      </c>
      <c r="E791" s="136">
        <v>21428.0</v>
      </c>
      <c r="F791" s="169">
        <v>4206.0</v>
      </c>
      <c r="G791" s="169">
        <v>49557.0</v>
      </c>
      <c r="H791" s="651">
        <v>3630.12</v>
      </c>
      <c r="I791" s="169">
        <v>316258.0</v>
      </c>
      <c r="J791" s="169">
        <v>708433.0</v>
      </c>
      <c r="K791" s="169">
        <v>188904.0</v>
      </c>
      <c r="L791" s="408">
        <v>2570.0</v>
      </c>
      <c r="M791" s="125"/>
      <c r="N791" s="1"/>
      <c r="O791" s="1"/>
      <c r="P791" s="1"/>
      <c r="Q791" s="1"/>
      <c r="R791" s="1"/>
      <c r="S791" s="1"/>
      <c r="T791" s="1"/>
      <c r="U791" s="1"/>
    </row>
    <row r="792" ht="10.5" customHeight="1">
      <c r="A792" s="1"/>
      <c r="B792" s="238"/>
      <c r="C792" s="169"/>
      <c r="D792" s="164"/>
      <c r="E792" s="136"/>
      <c r="F792" s="169"/>
      <c r="G792" s="169"/>
      <c r="H792" s="651"/>
      <c r="I792" s="169"/>
      <c r="J792" s="169"/>
      <c r="K792" s="169"/>
      <c r="L792" s="408"/>
      <c r="M792" s="125"/>
      <c r="N792" s="1"/>
      <c r="O792" s="1"/>
      <c r="P792" s="1"/>
      <c r="Q792" s="1"/>
      <c r="R792" s="1"/>
      <c r="S792" s="1"/>
      <c r="T792" s="1"/>
      <c r="U792" s="1"/>
    </row>
    <row r="793" ht="10.5" customHeight="1">
      <c r="A793" s="1"/>
      <c r="B793" s="11" t="s">
        <v>131</v>
      </c>
      <c r="C793" s="169">
        <v>74537.0</v>
      </c>
      <c r="D793" s="217">
        <v>226276.0</v>
      </c>
      <c r="E793" s="136">
        <v>20318.0</v>
      </c>
      <c r="F793" s="169">
        <v>4413.0</v>
      </c>
      <c r="G793" s="169">
        <v>44447.0</v>
      </c>
      <c r="H793" s="651">
        <v>2979.25</v>
      </c>
      <c r="I793" s="169">
        <v>365118.0</v>
      </c>
      <c r="J793" s="169">
        <v>837945.0</v>
      </c>
      <c r="K793" s="169">
        <v>218452.0</v>
      </c>
      <c r="L793" s="408">
        <v>2630.0</v>
      </c>
      <c r="M793" s="125"/>
      <c r="N793" s="1"/>
      <c r="O793" s="1"/>
      <c r="P793" s="1"/>
      <c r="Q793" s="1"/>
      <c r="R793" s="1"/>
      <c r="S793" s="1"/>
      <c r="T793" s="1"/>
      <c r="U793" s="1"/>
    </row>
    <row r="794" ht="10.5" customHeight="1">
      <c r="A794" s="1"/>
      <c r="B794" s="11" t="s">
        <v>133</v>
      </c>
      <c r="C794" s="169">
        <v>72304.0</v>
      </c>
      <c r="D794" s="217">
        <v>297534.0</v>
      </c>
      <c r="E794" s="136">
        <v>21537.0</v>
      </c>
      <c r="F794" s="169">
        <v>4680.0</v>
      </c>
      <c r="G794" s="169">
        <v>42501.0</v>
      </c>
      <c r="H794" s="651">
        <v>4567.62</v>
      </c>
      <c r="I794" s="169">
        <v>357191.0</v>
      </c>
      <c r="J794" s="169">
        <v>877444.0</v>
      </c>
      <c r="K794" s="169">
        <v>213904.0</v>
      </c>
      <c r="L794" s="408">
        <v>2814.0</v>
      </c>
      <c r="M794" s="125"/>
      <c r="N794" s="1"/>
      <c r="O794" s="1"/>
      <c r="P794" s="1"/>
      <c r="Q794" s="1"/>
      <c r="R794" s="1"/>
      <c r="S794" s="1"/>
      <c r="T794" s="1"/>
      <c r="U794" s="1"/>
    </row>
    <row r="795" ht="10.5" customHeight="1">
      <c r="A795" s="1"/>
      <c r="B795" s="11" t="s">
        <v>134</v>
      </c>
      <c r="C795" s="169">
        <v>72123.0</v>
      </c>
      <c r="D795" s="217">
        <v>344464.0</v>
      </c>
      <c r="E795" s="136">
        <v>18679.0</v>
      </c>
      <c r="F795" s="169">
        <v>5758.0</v>
      </c>
      <c r="G795" s="169">
        <v>46372.0</v>
      </c>
      <c r="H795" s="651">
        <v>5041.64</v>
      </c>
      <c r="I795" s="169">
        <v>334205.0</v>
      </c>
      <c r="J795" s="169">
        <v>989405.0</v>
      </c>
      <c r="K795" s="169">
        <v>200204.0</v>
      </c>
      <c r="L795" s="408">
        <v>3391.0</v>
      </c>
      <c r="M795" s="125"/>
      <c r="N795" s="1"/>
      <c r="O795" s="1"/>
      <c r="P795" s="1"/>
      <c r="Q795" s="1"/>
      <c r="R795" s="1"/>
      <c r="S795" s="1"/>
      <c r="T795" s="1"/>
      <c r="U795" s="1"/>
    </row>
    <row r="796" ht="10.5" customHeight="1">
      <c r="A796" s="1"/>
      <c r="B796" s="11" t="s">
        <v>135</v>
      </c>
      <c r="C796" s="169">
        <v>95857.0</v>
      </c>
      <c r="D796" s="217">
        <v>409112.0</v>
      </c>
      <c r="E796" s="136">
        <v>23809.0</v>
      </c>
      <c r="F796" s="169">
        <v>5668.0</v>
      </c>
      <c r="G796" s="169">
        <v>61771.0</v>
      </c>
      <c r="H796" s="651">
        <v>4303.41</v>
      </c>
      <c r="I796" s="169">
        <v>404917.0</v>
      </c>
      <c r="J796" s="169">
        <v>1201011.0</v>
      </c>
      <c r="K796" s="169">
        <v>242271.0</v>
      </c>
      <c r="L796" s="408">
        <v>3400.0</v>
      </c>
      <c r="M796" s="125"/>
      <c r="N796" s="1"/>
      <c r="O796" s="1"/>
      <c r="P796" s="1"/>
      <c r="Q796" s="1"/>
      <c r="R796" s="1"/>
      <c r="S796" s="1"/>
      <c r="T796" s="1"/>
      <c r="U796" s="1"/>
    </row>
    <row r="797" ht="10.5" customHeight="1">
      <c r="A797" s="1"/>
      <c r="B797" s="11" t="s">
        <v>138</v>
      </c>
      <c r="C797" s="169">
        <v>64072.0</v>
      </c>
      <c r="D797" s="217">
        <v>365082.0</v>
      </c>
      <c r="E797" s="136">
        <v>20447.0</v>
      </c>
      <c r="F797" s="169">
        <v>5624.0</v>
      </c>
      <c r="G797" s="169">
        <v>35784.0</v>
      </c>
      <c r="H797" s="651">
        <v>6854.24</v>
      </c>
      <c r="I797" s="169">
        <v>382336.0</v>
      </c>
      <c r="J797" s="169">
        <v>1217775.0</v>
      </c>
      <c r="K797" s="169">
        <v>229096.0</v>
      </c>
      <c r="L797" s="408">
        <v>3648.0</v>
      </c>
      <c r="M797" s="125"/>
      <c r="N797" s="1"/>
      <c r="O797" s="1"/>
      <c r="P797" s="1"/>
      <c r="Q797" s="1"/>
      <c r="R797" s="1"/>
      <c r="S797" s="1"/>
      <c r="T797" s="1"/>
      <c r="U797" s="1"/>
    </row>
    <row r="798" ht="10.5" customHeight="1">
      <c r="A798" s="1"/>
      <c r="B798" s="238"/>
      <c r="C798" s="169"/>
      <c r="D798" s="217"/>
      <c r="E798" s="136"/>
      <c r="F798" s="169"/>
      <c r="G798" s="169"/>
      <c r="H798" s="651"/>
      <c r="I798" s="169"/>
      <c r="J798" s="169"/>
      <c r="K798" s="169"/>
      <c r="L798" s="408"/>
      <c r="M798" s="125"/>
      <c r="N798" s="1"/>
      <c r="O798" s="1"/>
      <c r="P798" s="1"/>
      <c r="Q798" s="1"/>
      <c r="R798" s="1"/>
      <c r="S798" s="1"/>
      <c r="T798" s="1"/>
      <c r="U798" s="1"/>
    </row>
    <row r="799" ht="10.5" customHeight="1">
      <c r="A799" s="1"/>
      <c r="B799" s="85" t="s">
        <v>139</v>
      </c>
      <c r="C799" s="169">
        <v>81858.0</v>
      </c>
      <c r="D799" s="217">
        <v>486388.0</v>
      </c>
      <c r="E799" s="169">
        <v>22733.0</v>
      </c>
      <c r="F799" s="169">
        <v>6311.0</v>
      </c>
      <c r="G799" s="169">
        <v>49714.0</v>
      </c>
      <c r="H799" s="651">
        <v>6737.85</v>
      </c>
      <c r="I799" s="169">
        <v>402790.0</v>
      </c>
      <c r="J799" s="169">
        <v>1308883.0</v>
      </c>
      <c r="K799" s="169">
        <v>241270.0</v>
      </c>
      <c r="L799" s="216">
        <v>3810.0</v>
      </c>
      <c r="M799" s="264"/>
      <c r="N799" s="1"/>
      <c r="O799" s="1"/>
      <c r="P799" s="1"/>
      <c r="Q799" s="1"/>
      <c r="R799" s="1"/>
      <c r="S799" s="1"/>
      <c r="T799" s="1"/>
      <c r="U799" s="1"/>
    </row>
    <row r="800" ht="10.5" customHeight="1">
      <c r="A800" s="1"/>
      <c r="B800" s="85" t="s">
        <v>143</v>
      </c>
      <c r="C800" s="169">
        <v>88109.0</v>
      </c>
      <c r="D800" s="217">
        <v>592557.0</v>
      </c>
      <c r="E800" s="169">
        <v>20395.0</v>
      </c>
      <c r="F800" s="169">
        <v>7373.0</v>
      </c>
      <c r="G800" s="169">
        <v>58653.0</v>
      </c>
      <c r="H800" s="651">
        <v>7444.42</v>
      </c>
      <c r="I800" s="169">
        <v>371251.0</v>
      </c>
      <c r="J800" s="169">
        <v>1399554.0</v>
      </c>
      <c r="K800" s="169">
        <v>222248.0</v>
      </c>
      <c r="L800" s="216">
        <v>4321.0</v>
      </c>
      <c r="M800" s="125"/>
      <c r="N800" s="1"/>
      <c r="O800" s="1"/>
      <c r="P800" s="1"/>
      <c r="Q800" s="1"/>
      <c r="R800" s="1"/>
      <c r="S800" s="1"/>
      <c r="T800" s="1"/>
      <c r="U800" s="1"/>
    </row>
    <row r="801" ht="10.5" customHeight="1">
      <c r="A801" s="1"/>
      <c r="B801" s="85" t="s">
        <v>149</v>
      </c>
      <c r="C801" s="169">
        <v>87027.0</v>
      </c>
      <c r="D801" s="217">
        <v>788243.0</v>
      </c>
      <c r="E801" s="169">
        <v>26699.0</v>
      </c>
      <c r="F801" s="169">
        <v>6733.0</v>
      </c>
      <c r="G801" s="169">
        <v>49855.0</v>
      </c>
      <c r="H801" s="651">
        <v>12096.1</v>
      </c>
      <c r="I801" s="169">
        <v>392248.0</v>
      </c>
      <c r="J801" s="169">
        <v>1510686.0</v>
      </c>
      <c r="K801" s="169">
        <v>235189.0</v>
      </c>
      <c r="L801" s="216">
        <v>4408.0</v>
      </c>
      <c r="M801" s="125"/>
      <c r="N801" s="1"/>
      <c r="O801" s="1"/>
      <c r="P801" s="1"/>
      <c r="Q801" s="1"/>
      <c r="R801" s="1"/>
      <c r="S801" s="1"/>
      <c r="T801" s="1"/>
      <c r="U801" s="1"/>
    </row>
    <row r="802" ht="10.5" customHeight="1">
      <c r="A802" s="1"/>
      <c r="B802" s="85" t="s">
        <v>151</v>
      </c>
      <c r="C802" s="169">
        <v>97675.0</v>
      </c>
      <c r="D802" s="33">
        <v>1078944.0</v>
      </c>
      <c r="E802" s="169">
        <v>27157.0</v>
      </c>
      <c r="F802" s="169">
        <v>7063.0</v>
      </c>
      <c r="G802" s="169">
        <v>59771.0</v>
      </c>
      <c r="H802" s="651">
        <v>14737.93</v>
      </c>
      <c r="I802" s="169">
        <v>463344.0</v>
      </c>
      <c r="J802" s="169">
        <v>1730667.0</v>
      </c>
      <c r="K802" s="169">
        <v>277633.0</v>
      </c>
      <c r="L802" s="216">
        <v>4278.0</v>
      </c>
      <c r="M802" s="125"/>
      <c r="N802" s="1"/>
      <c r="O802" s="1"/>
      <c r="P802" s="1"/>
      <c r="Q802" s="1"/>
      <c r="R802" s="1"/>
      <c r="S802" s="1"/>
      <c r="T802" s="1"/>
      <c r="U802" s="1"/>
    </row>
    <row r="803" ht="10.5" customHeight="1">
      <c r="A803" s="1"/>
      <c r="B803" s="85" t="s">
        <v>153</v>
      </c>
      <c r="C803" s="169">
        <v>98374.0</v>
      </c>
      <c r="D803" s="33">
        <v>1097854.0</v>
      </c>
      <c r="E803" s="169">
        <v>30737.0</v>
      </c>
      <c r="F803" s="169">
        <v>7144.0</v>
      </c>
      <c r="G803" s="169">
        <v>58572.0</v>
      </c>
      <c r="H803" s="651">
        <v>14938.53</v>
      </c>
      <c r="I803" s="169">
        <v>425715.0</v>
      </c>
      <c r="J803" s="169">
        <v>1836353.0</v>
      </c>
      <c r="K803" s="169">
        <v>255085.0</v>
      </c>
      <c r="L803" s="216">
        <v>4940.0</v>
      </c>
      <c r="M803" s="125"/>
      <c r="N803" s="1"/>
      <c r="O803" s="1"/>
      <c r="P803" s="1"/>
      <c r="Q803" s="1"/>
      <c r="R803" s="1"/>
      <c r="S803" s="1"/>
      <c r="T803" s="1"/>
      <c r="U803" s="1"/>
    </row>
    <row r="804" ht="10.5" customHeight="1">
      <c r="A804" s="1"/>
      <c r="B804" s="85"/>
      <c r="C804" s="169"/>
      <c r="D804" s="33"/>
      <c r="E804" s="169"/>
      <c r="F804" s="169"/>
      <c r="G804" s="169"/>
      <c r="H804" s="651"/>
      <c r="I804" s="169"/>
      <c r="J804" s="169"/>
      <c r="K804" s="169"/>
      <c r="L804" s="216"/>
      <c r="M804" s="125"/>
      <c r="N804" s="1"/>
      <c r="O804" s="1"/>
      <c r="P804" s="1"/>
      <c r="Q804" s="1"/>
      <c r="R804" s="1"/>
      <c r="S804" s="1"/>
      <c r="T804" s="1"/>
      <c r="U804" s="1"/>
    </row>
    <row r="805" ht="10.5" customHeight="1">
      <c r="A805" s="1"/>
      <c r="B805" s="85" t="s">
        <v>155</v>
      </c>
      <c r="C805" s="169">
        <v>87824.0</v>
      </c>
      <c r="D805" s="33">
        <v>1083028.0</v>
      </c>
      <c r="E805" s="169">
        <v>27636.0</v>
      </c>
      <c r="F805" s="169">
        <v>9114.0</v>
      </c>
      <c r="G805" s="169">
        <v>49850.0</v>
      </c>
      <c r="H805" s="651" t="s">
        <v>1026</v>
      </c>
      <c r="I805" s="169">
        <v>402002.0</v>
      </c>
      <c r="J805" s="169">
        <v>1914767.0</v>
      </c>
      <c r="K805" s="169">
        <v>240413.0</v>
      </c>
      <c r="L805" s="216">
        <v>5463.0</v>
      </c>
      <c r="M805" s="125"/>
      <c r="N805" s="1"/>
      <c r="O805" s="1"/>
      <c r="P805" s="1"/>
      <c r="Q805" s="1"/>
      <c r="R805" s="1"/>
      <c r="S805" s="1"/>
      <c r="T805" s="1"/>
      <c r="U805" s="1"/>
    </row>
    <row r="806" ht="10.5" customHeight="1">
      <c r="A806" s="1"/>
      <c r="B806" s="96" t="s">
        <v>1028</v>
      </c>
      <c r="C806" s="260">
        <v>77508.0</v>
      </c>
      <c r="D806" s="57">
        <v>1036570.0</v>
      </c>
      <c r="E806" s="260">
        <v>24637.0</v>
      </c>
      <c r="F806" s="260">
        <v>10578.0</v>
      </c>
      <c r="G806" s="260">
        <v>44763.0</v>
      </c>
      <c r="H806" s="659" t="s">
        <v>1029</v>
      </c>
      <c r="I806" s="260">
        <v>287912.0</v>
      </c>
      <c r="J806" s="260">
        <v>1865917.0</v>
      </c>
      <c r="K806" s="260">
        <v>171858.0</v>
      </c>
      <c r="L806" s="240">
        <v>7445.0</v>
      </c>
      <c r="M806" s="125"/>
      <c r="N806" s="1"/>
      <c r="O806" s="1"/>
      <c r="P806" s="1"/>
      <c r="Q806" s="1"/>
      <c r="R806" s="1"/>
      <c r="S806" s="1"/>
      <c r="T806" s="1"/>
      <c r="U806" s="1"/>
    </row>
    <row r="807" ht="6.0" customHeight="1">
      <c r="A807" s="1"/>
      <c r="B807" s="291"/>
      <c r="C807" s="267"/>
      <c r="D807" s="306"/>
      <c r="E807" s="267"/>
      <c r="F807" s="267"/>
      <c r="G807" s="267"/>
      <c r="H807" s="661"/>
      <c r="I807" s="267"/>
      <c r="J807" s="267"/>
      <c r="K807" s="267"/>
      <c r="L807" s="243"/>
      <c r="M807" s="125"/>
      <c r="N807" s="1"/>
      <c r="O807" s="1"/>
      <c r="P807" s="1"/>
      <c r="Q807" s="1"/>
      <c r="R807" s="1"/>
      <c r="S807" s="1"/>
      <c r="T807" s="1"/>
      <c r="U807" s="1"/>
    </row>
    <row r="808" ht="10.5" customHeight="1">
      <c r="A808" s="1"/>
      <c r="B808" s="185" t="s">
        <v>1030</v>
      </c>
      <c r="C808" s="185"/>
      <c r="D808" s="185"/>
      <c r="E808" s="185"/>
      <c r="F808" s="185"/>
      <c r="G808" s="185"/>
      <c r="H808" s="185"/>
      <c r="I808" s="663"/>
      <c r="J808" s="663"/>
      <c r="K808" s="663"/>
      <c r="L808" s="663"/>
      <c r="M808" s="125"/>
      <c r="N808" s="1"/>
      <c r="O808" s="1"/>
      <c r="P808" s="1"/>
      <c r="Q808" s="1"/>
      <c r="R808" s="1"/>
      <c r="S808" s="1"/>
      <c r="T808" s="1"/>
      <c r="U808" s="1"/>
    </row>
    <row r="809" ht="10.5" customHeight="1">
      <c r="A809" s="1"/>
      <c r="B809" s="185" t="s">
        <v>662</v>
      </c>
      <c r="C809" s="185"/>
      <c r="D809" s="185"/>
      <c r="E809" s="185"/>
      <c r="F809" s="185"/>
      <c r="G809" s="185"/>
      <c r="H809" s="185"/>
      <c r="I809" s="125"/>
      <c r="J809" s="125"/>
      <c r="K809" s="125"/>
      <c r="L809" s="125"/>
      <c r="M809" s="125"/>
      <c r="N809" s="1"/>
      <c r="O809" s="1"/>
      <c r="P809" s="1"/>
      <c r="Q809" s="1"/>
      <c r="R809" s="1"/>
      <c r="S809" s="1"/>
      <c r="T809" s="1"/>
      <c r="U809" s="1"/>
    </row>
    <row r="810" ht="10.5" customHeight="1">
      <c r="A810" s="1"/>
      <c r="B810" s="185" t="s">
        <v>663</v>
      </c>
      <c r="C810" s="185"/>
      <c r="D810" s="185"/>
      <c r="E810" s="185"/>
      <c r="F810" s="185"/>
      <c r="G810" s="185"/>
      <c r="H810" s="185"/>
      <c r="I810" s="125"/>
      <c r="J810" s="125"/>
      <c r="K810" s="125"/>
      <c r="L810" s="125"/>
      <c r="M810" s="125"/>
      <c r="N810" s="1"/>
      <c r="O810" s="1"/>
      <c r="P810" s="1"/>
      <c r="Q810" s="1"/>
      <c r="R810" s="1"/>
      <c r="S810" s="1"/>
      <c r="T810" s="1"/>
      <c r="U810" s="1"/>
    </row>
    <row r="811" ht="10.5" customHeight="1">
      <c r="A811" s="1"/>
      <c r="B811" s="185" t="s">
        <v>664</v>
      </c>
      <c r="C811" s="185"/>
      <c r="D811" s="185"/>
      <c r="E811" s="185"/>
      <c r="F811" s="185"/>
      <c r="G811" s="185"/>
      <c r="H811" s="185"/>
      <c r="I811" s="125"/>
      <c r="J811" s="125"/>
      <c r="K811" s="125"/>
      <c r="L811" s="125"/>
      <c r="M811" s="125"/>
      <c r="N811" s="1"/>
      <c r="O811" s="1"/>
      <c r="P811" s="1"/>
      <c r="Q811" s="1"/>
      <c r="R811" s="1"/>
      <c r="S811" s="1"/>
      <c r="T811" s="1"/>
      <c r="U811" s="1"/>
    </row>
    <row r="812" ht="10.5" customHeight="1">
      <c r="A812" s="1"/>
      <c r="B812" s="185" t="s">
        <v>665</v>
      </c>
      <c r="C812" s="185"/>
      <c r="D812" s="185"/>
      <c r="E812" s="185"/>
      <c r="F812" s="185"/>
      <c r="G812" s="185"/>
      <c r="H812" s="185"/>
      <c r="I812" s="125"/>
      <c r="J812" s="125"/>
      <c r="K812" s="125"/>
      <c r="L812" s="125"/>
      <c r="M812" s="125"/>
      <c r="N812" s="1"/>
      <c r="O812" s="1"/>
      <c r="P812" s="1"/>
      <c r="Q812" s="1"/>
      <c r="R812" s="1"/>
      <c r="S812" s="1"/>
      <c r="T812" s="1"/>
      <c r="U812" s="1"/>
    </row>
    <row r="813" ht="10.5" customHeight="1">
      <c r="A813" s="1"/>
      <c r="B813" s="311" t="s">
        <v>666</v>
      </c>
      <c r="I813" s="125"/>
      <c r="J813" s="125"/>
      <c r="K813" s="125"/>
      <c r="L813" s="125"/>
      <c r="M813" s="125"/>
      <c r="N813" s="1"/>
      <c r="O813" s="1"/>
      <c r="P813" s="1"/>
      <c r="Q813" s="1"/>
      <c r="R813" s="1"/>
      <c r="S813" s="1"/>
      <c r="T813" s="1"/>
      <c r="U813" s="1"/>
    </row>
    <row r="814" ht="10.5" customHeight="1">
      <c r="A814" s="1"/>
      <c r="B814" s="311" t="s">
        <v>667</v>
      </c>
      <c r="C814" s="311"/>
      <c r="D814" s="311"/>
      <c r="E814" s="311"/>
      <c r="F814" s="311"/>
      <c r="G814" s="311"/>
      <c r="H814" s="311"/>
      <c r="I814" s="125"/>
      <c r="J814" s="125"/>
      <c r="K814" s="125"/>
      <c r="L814" s="125"/>
      <c r="M814" s="125"/>
      <c r="N814" s="1"/>
      <c r="O814" s="1"/>
      <c r="P814" s="1"/>
      <c r="Q814" s="1"/>
      <c r="R814" s="1"/>
      <c r="S814" s="1"/>
      <c r="T814" s="1"/>
      <c r="U814" s="1"/>
    </row>
    <row r="815" ht="10.5" customHeight="1">
      <c r="A815" s="1"/>
      <c r="B815" s="311" t="s">
        <v>669</v>
      </c>
      <c r="C815" s="311"/>
      <c r="D815" s="311"/>
      <c r="E815" s="311"/>
      <c r="F815" s="311"/>
      <c r="G815" s="311"/>
      <c r="H815" s="311"/>
      <c r="I815" s="125"/>
      <c r="J815" s="125"/>
      <c r="K815" s="125"/>
      <c r="L815" s="125"/>
      <c r="M815" s="125"/>
      <c r="N815" s="1"/>
      <c r="O815" s="1"/>
      <c r="P815" s="1"/>
      <c r="Q815" s="1"/>
      <c r="R815" s="1"/>
      <c r="S815" s="1"/>
      <c r="T815" s="1"/>
      <c r="U815" s="1"/>
    </row>
    <row r="816" ht="10.5" customHeight="1">
      <c r="A816" s="1"/>
      <c r="B816" s="185" t="s">
        <v>1039</v>
      </c>
      <c r="C816" s="185"/>
      <c r="D816" s="185"/>
      <c r="E816" s="185"/>
      <c r="F816" s="185"/>
      <c r="G816" s="185"/>
      <c r="H816" s="185"/>
      <c r="I816" s="125"/>
      <c r="J816" s="125"/>
      <c r="K816" s="125"/>
      <c r="L816" s="125"/>
      <c r="M816" s="125"/>
      <c r="N816" s="1"/>
      <c r="O816" s="1"/>
      <c r="P816" s="1"/>
      <c r="Q816" s="1"/>
      <c r="R816" s="1"/>
      <c r="S816" s="1"/>
      <c r="T816" s="1"/>
      <c r="U816" s="1"/>
    </row>
    <row r="817" ht="10.5" customHeight="1">
      <c r="A817" s="1"/>
      <c r="B817" s="65"/>
      <c r="C817" s="65"/>
      <c r="D817" s="125"/>
      <c r="E817" s="125"/>
      <c r="F817" s="125"/>
      <c r="G817" s="125"/>
      <c r="H817" s="125"/>
      <c r="I817" s="125"/>
      <c r="J817" s="125"/>
      <c r="K817" s="125"/>
      <c r="L817" s="125"/>
      <c r="M817" s="125"/>
      <c r="N817" s="1"/>
      <c r="O817" s="1"/>
      <c r="P817" s="1"/>
      <c r="Q817" s="1"/>
      <c r="R817" s="1"/>
      <c r="S817" s="1"/>
      <c r="T817" s="1"/>
      <c r="U817" s="1"/>
    </row>
    <row r="818" ht="10.5" customHeight="1">
      <c r="A818" s="1"/>
      <c r="B818" s="1"/>
      <c r="C818" s="113"/>
      <c r="D818" s="113"/>
      <c r="E818" s="113"/>
      <c r="F818" s="113"/>
      <c r="G818" s="113"/>
      <c r="H818" s="113"/>
      <c r="I818" s="113"/>
      <c r="J818" s="113"/>
      <c r="K818" s="113"/>
      <c r="L818" s="113"/>
      <c r="M818" s="1"/>
      <c r="N818" s="1"/>
      <c r="O818" s="1"/>
      <c r="P818" s="1"/>
      <c r="Q818" s="1"/>
      <c r="R818" s="1"/>
      <c r="S818" s="1"/>
      <c r="T818" s="1"/>
      <c r="U818" s="1"/>
    </row>
    <row r="819" ht="11.25" customHeight="1">
      <c r="A819" s="1"/>
      <c r="B819" s="111" t="s">
        <v>1041</v>
      </c>
      <c r="C819" s="1"/>
      <c r="D819" s="670"/>
      <c r="E819" s="1"/>
      <c r="F819" s="1"/>
      <c r="G819" s="1"/>
      <c r="H819" s="1"/>
      <c r="I819" s="1"/>
      <c r="J819" s="1"/>
      <c r="K819" s="1"/>
      <c r="L819" s="1"/>
      <c r="M819" s="1"/>
      <c r="N819" s="1"/>
      <c r="O819" s="1"/>
      <c r="P819" s="1"/>
      <c r="Q819" s="1"/>
      <c r="R819" s="1"/>
      <c r="S819" s="1"/>
      <c r="T819" s="1"/>
      <c r="U819" s="1"/>
    </row>
    <row r="820" ht="11.25" customHeight="1">
      <c r="A820" s="1"/>
      <c r="B820" s="29" t="s">
        <v>938</v>
      </c>
      <c r="C820" s="128" t="s">
        <v>1042</v>
      </c>
      <c r="D820" s="9"/>
      <c r="E820" s="9"/>
      <c r="F820" s="9"/>
      <c r="G820" s="9"/>
      <c r="H820" s="10"/>
      <c r="I820" s="128" t="s">
        <v>1043</v>
      </c>
      <c r="J820" s="9"/>
      <c r="K820" s="9"/>
      <c r="L820" s="10"/>
      <c r="M820" s="1"/>
      <c r="N820" s="1"/>
      <c r="O820" s="1"/>
      <c r="P820" s="1"/>
      <c r="Q820" s="1"/>
      <c r="R820" s="1"/>
      <c r="S820" s="1"/>
      <c r="T820" s="1"/>
      <c r="U820" s="1"/>
    </row>
    <row r="821" ht="11.25" customHeight="1">
      <c r="A821" s="1"/>
      <c r="B821" s="5"/>
      <c r="C821" s="671" t="s">
        <v>508</v>
      </c>
      <c r="D821" s="644" t="s">
        <v>640</v>
      </c>
      <c r="E821" s="128" t="s">
        <v>1044</v>
      </c>
      <c r="F821" s="10"/>
      <c r="G821" s="128" t="s">
        <v>510</v>
      </c>
      <c r="H821" s="10"/>
      <c r="I821" s="31" t="s">
        <v>508</v>
      </c>
      <c r="J821" s="31" t="s">
        <v>640</v>
      </c>
      <c r="K821" s="128" t="s">
        <v>1045</v>
      </c>
      <c r="L821" s="10"/>
      <c r="M821" s="1"/>
      <c r="N821" s="1"/>
      <c r="O821" s="1"/>
      <c r="P821" s="1"/>
      <c r="Q821" s="1"/>
      <c r="R821" s="1"/>
      <c r="S821" s="1"/>
      <c r="T821" s="1"/>
      <c r="U821" s="1"/>
    </row>
    <row r="822" ht="22.5" customHeight="1">
      <c r="A822" s="1"/>
      <c r="B822" s="5"/>
      <c r="C822" s="94"/>
      <c r="D822" s="118"/>
      <c r="E822" s="190" t="s">
        <v>514</v>
      </c>
      <c r="F822" s="7" t="s">
        <v>515</v>
      </c>
      <c r="G822" s="7" t="s">
        <v>514</v>
      </c>
      <c r="H822" s="7" t="s">
        <v>515</v>
      </c>
      <c r="I822" s="6"/>
      <c r="J822" s="6"/>
      <c r="K822" s="7" t="s">
        <v>514</v>
      </c>
      <c r="L822" s="273" t="s">
        <v>515</v>
      </c>
      <c r="M822" s="1"/>
      <c r="N822" s="1"/>
      <c r="O822" s="1"/>
      <c r="P822" s="1"/>
      <c r="Q822" s="1"/>
      <c r="R822" s="1"/>
      <c r="S822" s="1"/>
      <c r="T822" s="1"/>
      <c r="U822" s="1"/>
    </row>
    <row r="823" ht="11.25" customHeight="1">
      <c r="A823" s="1"/>
      <c r="B823" s="6"/>
      <c r="C823" s="8" t="s">
        <v>520</v>
      </c>
      <c r="D823" s="482" t="s">
        <v>50</v>
      </c>
      <c r="E823" s="134" t="s">
        <v>520</v>
      </c>
      <c r="F823" s="134" t="s">
        <v>52</v>
      </c>
      <c r="G823" s="134" t="s">
        <v>520</v>
      </c>
      <c r="H823" s="134" t="s">
        <v>52</v>
      </c>
      <c r="I823" s="134" t="s">
        <v>520</v>
      </c>
      <c r="J823" s="134" t="s">
        <v>50</v>
      </c>
      <c r="K823" s="134" t="s">
        <v>520</v>
      </c>
      <c r="L823" s="134" t="s">
        <v>52</v>
      </c>
      <c r="M823" s="1"/>
      <c r="N823" s="1"/>
      <c r="O823" s="1"/>
      <c r="P823" s="1"/>
      <c r="Q823" s="1"/>
      <c r="R823" s="1"/>
      <c r="S823" s="1"/>
      <c r="T823" s="1"/>
      <c r="U823" s="1"/>
    </row>
    <row r="824" ht="10.5" customHeight="1">
      <c r="A824" s="1"/>
      <c r="B824" s="48" t="s">
        <v>56</v>
      </c>
      <c r="C824" s="136">
        <v>1008.0</v>
      </c>
      <c r="D824" s="546">
        <v>398.0</v>
      </c>
      <c r="E824" s="136">
        <v>508.0</v>
      </c>
      <c r="F824" s="136">
        <v>499.0</v>
      </c>
      <c r="G824" s="136">
        <v>374.0</v>
      </c>
      <c r="H824" s="249">
        <v>349.15</v>
      </c>
      <c r="I824" s="136">
        <v>3021.0</v>
      </c>
      <c r="J824" s="136">
        <v>1887.0</v>
      </c>
      <c r="K824" s="136">
        <v>1886.0</v>
      </c>
      <c r="L824" s="136">
        <v>563.0</v>
      </c>
      <c r="M824" s="1"/>
      <c r="N824" s="1"/>
      <c r="O824" s="1"/>
      <c r="P824" s="1"/>
      <c r="Q824" s="1"/>
      <c r="R824" s="1"/>
      <c r="S824" s="1"/>
      <c r="T824" s="1"/>
      <c r="U824" s="1"/>
    </row>
    <row r="825" ht="10.5" customHeight="1">
      <c r="A825" s="1"/>
      <c r="B825" s="48" t="s">
        <v>81</v>
      </c>
      <c r="C825" s="136">
        <v>884.0</v>
      </c>
      <c r="D825" s="546">
        <v>369.0</v>
      </c>
      <c r="E825" s="136">
        <v>533.0</v>
      </c>
      <c r="F825" s="136">
        <v>499.0</v>
      </c>
      <c r="G825" s="136">
        <v>225.0</v>
      </c>
      <c r="H825" s="249">
        <v>396.15</v>
      </c>
      <c r="I825" s="136">
        <v>3490.0</v>
      </c>
      <c r="J825" s="136">
        <v>2519.0</v>
      </c>
      <c r="K825" s="136">
        <v>2169.0</v>
      </c>
      <c r="L825" s="136">
        <v>683.0</v>
      </c>
      <c r="M825" s="1"/>
      <c r="N825" s="1"/>
      <c r="O825" s="1"/>
      <c r="P825" s="1"/>
      <c r="Q825" s="1"/>
      <c r="R825" s="1"/>
      <c r="S825" s="1"/>
      <c r="T825" s="1"/>
      <c r="U825" s="1"/>
    </row>
    <row r="826" ht="10.5" customHeight="1">
      <c r="A826" s="1"/>
      <c r="B826" s="48" t="s">
        <v>86</v>
      </c>
      <c r="C826" s="136">
        <v>1354.0</v>
      </c>
      <c r="D826" s="546">
        <v>489.0</v>
      </c>
      <c r="E826" s="136">
        <v>918.0</v>
      </c>
      <c r="F826" s="136">
        <v>406.0</v>
      </c>
      <c r="G826" s="136">
        <v>240.0</v>
      </c>
      <c r="H826" s="249">
        <v>439.03</v>
      </c>
      <c r="I826" s="136">
        <v>4835.0</v>
      </c>
      <c r="J826" s="136">
        <v>3610.0</v>
      </c>
      <c r="K826" s="136">
        <v>2658.0</v>
      </c>
      <c r="L826" s="136">
        <v>679.0</v>
      </c>
      <c r="M826" s="1"/>
      <c r="N826" s="1"/>
      <c r="O826" s="1"/>
      <c r="P826" s="1"/>
      <c r="Q826" s="1"/>
      <c r="R826" s="1"/>
      <c r="S826" s="1"/>
      <c r="T826" s="1"/>
      <c r="U826" s="1"/>
    </row>
    <row r="827" ht="10.5" customHeight="1">
      <c r="A827" s="1"/>
      <c r="B827" s="48" t="s">
        <v>87</v>
      </c>
      <c r="C827" s="136">
        <v>1146.0</v>
      </c>
      <c r="D827" s="546">
        <v>430.0</v>
      </c>
      <c r="E827" s="136">
        <v>790.0</v>
      </c>
      <c r="F827" s="136">
        <v>419.0</v>
      </c>
      <c r="G827" s="136">
        <v>188.0</v>
      </c>
      <c r="H827" s="249">
        <v>470.01</v>
      </c>
      <c r="I827" s="136">
        <v>4074.0</v>
      </c>
      <c r="J827" s="136">
        <v>3350.0</v>
      </c>
      <c r="K827" s="136">
        <v>2194.0</v>
      </c>
      <c r="L827" s="136">
        <v>744.0</v>
      </c>
      <c r="M827" s="1"/>
      <c r="N827" s="1"/>
      <c r="O827" s="1"/>
      <c r="P827" s="1"/>
      <c r="Q827" s="1"/>
      <c r="R827" s="1"/>
      <c r="S827" s="1"/>
      <c r="T827" s="1"/>
      <c r="U827" s="1"/>
    </row>
    <row r="828" ht="10.5" customHeight="1">
      <c r="A828" s="1"/>
      <c r="B828" s="48" t="s">
        <v>90</v>
      </c>
      <c r="C828" s="136">
        <v>1560.0</v>
      </c>
      <c r="D828" s="546">
        <v>596.0</v>
      </c>
      <c r="E828" s="136">
        <v>1079.0</v>
      </c>
      <c r="F828" s="136">
        <v>436.0</v>
      </c>
      <c r="G828" s="136">
        <v>253.0</v>
      </c>
      <c r="H828" s="249">
        <v>441.66</v>
      </c>
      <c r="I828" s="136">
        <v>2785.0</v>
      </c>
      <c r="J828" s="136">
        <v>2563.0</v>
      </c>
      <c r="K828" s="136">
        <v>1818.0</v>
      </c>
      <c r="L828" s="136">
        <v>764.0</v>
      </c>
      <c r="M828" s="1"/>
      <c r="N828" s="1"/>
      <c r="O828" s="1"/>
      <c r="P828" s="1"/>
      <c r="Q828" s="1"/>
      <c r="R828" s="1"/>
      <c r="S828" s="1"/>
      <c r="T828" s="1"/>
      <c r="U828" s="1"/>
    </row>
    <row r="829" ht="10.5" customHeight="1">
      <c r="A829" s="1"/>
      <c r="B829" s="48"/>
      <c r="C829" s="136"/>
      <c r="D829" s="546"/>
      <c r="E829" s="136"/>
      <c r="F829" s="136"/>
      <c r="G829" s="136"/>
      <c r="H829" s="249"/>
      <c r="I829" s="136"/>
      <c r="J829" s="136"/>
      <c r="K829" s="136"/>
      <c r="L829" s="136"/>
      <c r="M829" s="1"/>
      <c r="N829" s="1"/>
      <c r="O829" s="1"/>
      <c r="P829" s="1"/>
      <c r="Q829" s="1"/>
      <c r="R829" s="1"/>
      <c r="S829" s="1"/>
      <c r="T829" s="1"/>
      <c r="U829" s="1"/>
    </row>
    <row r="830" ht="10.5" customHeight="1">
      <c r="A830" s="1"/>
      <c r="B830" s="48" t="s">
        <v>93</v>
      </c>
      <c r="C830" s="136">
        <v>1451.0</v>
      </c>
      <c r="D830" s="546">
        <v>668.0</v>
      </c>
      <c r="E830" s="136">
        <v>1049.0</v>
      </c>
      <c r="F830" s="136">
        <v>511.0</v>
      </c>
      <c r="G830" s="136">
        <v>181.0</v>
      </c>
      <c r="H830" s="249">
        <v>330.85</v>
      </c>
      <c r="I830" s="136">
        <v>5196.0</v>
      </c>
      <c r="J830" s="136">
        <v>7320.0</v>
      </c>
      <c r="K830" s="136">
        <v>2404.0</v>
      </c>
      <c r="L830" s="136">
        <v>1021.0</v>
      </c>
      <c r="M830" s="1"/>
      <c r="N830" s="1"/>
      <c r="O830" s="1"/>
      <c r="P830" s="1"/>
      <c r="Q830" s="1"/>
      <c r="R830" s="1"/>
      <c r="S830" s="1"/>
      <c r="T830" s="1"/>
      <c r="U830" s="1"/>
    </row>
    <row r="831" ht="10.5" customHeight="1">
      <c r="A831" s="1"/>
      <c r="B831" s="48" t="s">
        <v>97</v>
      </c>
      <c r="C831" s="136">
        <v>917.0</v>
      </c>
      <c r="D831" s="546">
        <v>659.0</v>
      </c>
      <c r="E831" s="136">
        <v>606.0</v>
      </c>
      <c r="F831" s="136">
        <v>908.0</v>
      </c>
      <c r="G831" s="136">
        <v>182.0</v>
      </c>
      <c r="H831" s="249">
        <v>506.33</v>
      </c>
      <c r="I831" s="136">
        <v>5141.0</v>
      </c>
      <c r="J831" s="136">
        <v>8588.0</v>
      </c>
      <c r="K831" s="136">
        <v>2366.0</v>
      </c>
      <c r="L831" s="136">
        <v>1091.0</v>
      </c>
      <c r="M831" s="1"/>
      <c r="N831" s="1"/>
      <c r="O831" s="1"/>
      <c r="P831" s="1"/>
      <c r="Q831" s="1"/>
      <c r="R831" s="1"/>
      <c r="S831" s="1"/>
      <c r="T831" s="1"/>
      <c r="U831" s="1"/>
    </row>
    <row r="832" ht="10.5" customHeight="1">
      <c r="A832" s="1"/>
      <c r="B832" s="48" t="s">
        <v>101</v>
      </c>
      <c r="C832" s="136">
        <v>850.0</v>
      </c>
      <c r="D832" s="546">
        <v>696.0</v>
      </c>
      <c r="E832" s="136">
        <v>619.0</v>
      </c>
      <c r="F832" s="136">
        <v>990.0</v>
      </c>
      <c r="G832" s="136">
        <v>98.0</v>
      </c>
      <c r="H832" s="249">
        <v>661.83</v>
      </c>
      <c r="I832" s="136">
        <v>5836.0</v>
      </c>
      <c r="J832" s="136">
        <v>8386.0</v>
      </c>
      <c r="K832" s="136">
        <v>2802.0</v>
      </c>
      <c r="L832" s="136">
        <v>1147.0</v>
      </c>
      <c r="M832" s="1"/>
      <c r="N832" s="1"/>
      <c r="O832" s="1"/>
      <c r="P832" s="1"/>
      <c r="Q832" s="1"/>
      <c r="R832" s="1"/>
      <c r="S832" s="1"/>
      <c r="T832" s="1"/>
      <c r="U832" s="1"/>
    </row>
    <row r="833" ht="10.5" customHeight="1">
      <c r="A833" s="1"/>
      <c r="B833" s="48" t="s">
        <v>103</v>
      </c>
      <c r="C833" s="136">
        <v>800.0</v>
      </c>
      <c r="D833" s="546">
        <v>952.0</v>
      </c>
      <c r="E833" s="136">
        <v>481.0</v>
      </c>
      <c r="F833" s="136">
        <v>1516.0</v>
      </c>
      <c r="G833" s="136">
        <v>218.0</v>
      </c>
      <c r="H833" s="249">
        <v>920.83</v>
      </c>
      <c r="I833" s="136">
        <v>4283.0</v>
      </c>
      <c r="J833" s="136">
        <v>8546.0</v>
      </c>
      <c r="K833" s="136">
        <v>1658.0</v>
      </c>
      <c r="L833" s="136">
        <v>2018.0</v>
      </c>
      <c r="M833" s="1"/>
      <c r="N833" s="1"/>
      <c r="O833" s="1"/>
      <c r="P833" s="1"/>
      <c r="Q833" s="1"/>
      <c r="R833" s="1"/>
      <c r="S833" s="1"/>
      <c r="T833" s="1"/>
      <c r="U833" s="1"/>
    </row>
    <row r="834" ht="10.5" customHeight="1">
      <c r="A834" s="1"/>
      <c r="B834" s="48" t="s">
        <v>104</v>
      </c>
      <c r="C834" s="136">
        <v>837.0</v>
      </c>
      <c r="D834" s="546">
        <v>952.0</v>
      </c>
      <c r="E834" s="136">
        <v>459.0</v>
      </c>
      <c r="F834" s="136">
        <v>1706.0</v>
      </c>
      <c r="G834" s="136">
        <v>281.0</v>
      </c>
      <c r="H834" s="249">
        <v>518.3</v>
      </c>
      <c r="I834" s="136">
        <v>5014.0</v>
      </c>
      <c r="J834" s="136">
        <v>10902.0</v>
      </c>
      <c r="K834" s="136">
        <v>2066.0</v>
      </c>
      <c r="L834" s="136">
        <v>2589.0</v>
      </c>
      <c r="M834" s="1"/>
      <c r="N834" s="1"/>
      <c r="O834" s="1"/>
      <c r="P834" s="1"/>
      <c r="Q834" s="1"/>
      <c r="R834" s="1"/>
      <c r="S834" s="1"/>
      <c r="T834" s="1"/>
      <c r="U834" s="1"/>
    </row>
    <row r="835" ht="10.5" customHeight="1">
      <c r="A835" s="1"/>
      <c r="B835" s="48"/>
      <c r="C835" s="136"/>
      <c r="D835" s="546"/>
      <c r="E835" s="136"/>
      <c r="F835" s="136"/>
      <c r="G835" s="136"/>
      <c r="H835" s="249"/>
      <c r="I835" s="136"/>
      <c r="J835" s="136"/>
      <c r="K835" s="136"/>
      <c r="L835" s="136"/>
      <c r="M835" s="1"/>
      <c r="N835" s="1"/>
      <c r="O835" s="1"/>
      <c r="P835" s="1"/>
      <c r="Q835" s="1"/>
      <c r="R835" s="1"/>
      <c r="S835" s="1"/>
      <c r="T835" s="1"/>
      <c r="U835" s="1"/>
    </row>
    <row r="836" ht="10.5" customHeight="1">
      <c r="A836" s="1"/>
      <c r="B836" s="48" t="s">
        <v>108</v>
      </c>
      <c r="C836" s="136">
        <v>477.0</v>
      </c>
      <c r="D836" s="546">
        <v>948.0</v>
      </c>
      <c r="E836" s="136">
        <v>346.0</v>
      </c>
      <c r="F836" s="136">
        <v>2572.0</v>
      </c>
      <c r="G836" s="136">
        <v>57.0</v>
      </c>
      <c r="H836" s="249">
        <v>539.68</v>
      </c>
      <c r="I836" s="136">
        <v>4443.0</v>
      </c>
      <c r="J836" s="136">
        <v>10484.0</v>
      </c>
      <c r="K836" s="136">
        <v>1744.0</v>
      </c>
      <c r="L836" s="136">
        <v>2902.0</v>
      </c>
      <c r="M836" s="1"/>
      <c r="N836" s="1"/>
      <c r="O836" s="1"/>
      <c r="P836" s="1"/>
      <c r="Q836" s="1"/>
      <c r="R836" s="1"/>
      <c r="S836" s="1"/>
      <c r="T836" s="1"/>
      <c r="U836" s="1"/>
    </row>
    <row r="837" ht="10.5" customHeight="1">
      <c r="A837" s="1"/>
      <c r="B837" s="48" t="s">
        <v>111</v>
      </c>
      <c r="C837" s="136">
        <v>315.0</v>
      </c>
      <c r="D837" s="541">
        <v>1058.0</v>
      </c>
      <c r="E837" s="136">
        <v>259.0</v>
      </c>
      <c r="F837" s="136">
        <v>3949.0</v>
      </c>
      <c r="G837" s="136">
        <v>2.0</v>
      </c>
      <c r="H837" s="249">
        <v>2281.0</v>
      </c>
      <c r="I837" s="136">
        <v>5286.0</v>
      </c>
      <c r="J837" s="136">
        <v>11893.0</v>
      </c>
      <c r="K837" s="136">
        <v>2163.0</v>
      </c>
      <c r="L837" s="136">
        <v>2844.0</v>
      </c>
      <c r="M837" s="1"/>
      <c r="N837" s="1"/>
      <c r="O837" s="1"/>
      <c r="P837" s="1"/>
      <c r="Q837" s="1"/>
      <c r="R837" s="1"/>
      <c r="S837" s="1"/>
      <c r="T837" s="1"/>
      <c r="U837" s="1"/>
    </row>
    <row r="838" ht="10.5" customHeight="1">
      <c r="A838" s="1"/>
      <c r="B838" s="48" t="s">
        <v>112</v>
      </c>
      <c r="C838" s="136">
        <v>633.0</v>
      </c>
      <c r="D838" s="541">
        <v>1411.0</v>
      </c>
      <c r="E838" s="136">
        <v>496.0</v>
      </c>
      <c r="F838" s="136">
        <v>2701.0</v>
      </c>
      <c r="G838" s="136">
        <v>32.0</v>
      </c>
      <c r="H838" s="249">
        <v>972.94</v>
      </c>
      <c r="I838" s="136">
        <v>4823.0</v>
      </c>
      <c r="J838" s="136">
        <v>11676.0</v>
      </c>
      <c r="K838" s="136">
        <v>2067.0</v>
      </c>
      <c r="L838" s="136">
        <v>2954.0</v>
      </c>
      <c r="M838" s="1"/>
      <c r="N838" s="1"/>
      <c r="O838" s="1"/>
      <c r="P838" s="1"/>
      <c r="Q838" s="1"/>
      <c r="R838" s="1"/>
      <c r="S838" s="1"/>
      <c r="T838" s="1"/>
      <c r="U838" s="1"/>
    </row>
    <row r="839" ht="10.5" customHeight="1">
      <c r="A839" s="1"/>
      <c r="B839" s="48" t="s">
        <v>113</v>
      </c>
      <c r="C839" s="136">
        <v>675.0</v>
      </c>
      <c r="D839" s="541">
        <v>1810.0</v>
      </c>
      <c r="E839" s="136">
        <v>533.0</v>
      </c>
      <c r="F839" s="136">
        <v>3245.0</v>
      </c>
      <c r="G839" s="136">
        <v>29.0</v>
      </c>
      <c r="H839" s="249">
        <v>975.81</v>
      </c>
      <c r="I839" s="136">
        <v>6163.0</v>
      </c>
      <c r="J839" s="136">
        <v>13617.0</v>
      </c>
      <c r="K839" s="136">
        <v>2723.0</v>
      </c>
      <c r="L839" s="136">
        <v>2760.0</v>
      </c>
      <c r="M839" s="1"/>
      <c r="N839" s="1"/>
      <c r="O839" s="1"/>
      <c r="P839" s="1"/>
      <c r="Q839" s="1"/>
      <c r="R839" s="1"/>
      <c r="S839" s="1"/>
      <c r="T839" s="1"/>
      <c r="U839" s="1"/>
    </row>
    <row r="840" ht="10.5" customHeight="1">
      <c r="A840" s="342">
        <v>47.0</v>
      </c>
      <c r="B840" s="48" t="s">
        <v>114</v>
      </c>
      <c r="C840" s="136">
        <v>544.0</v>
      </c>
      <c r="D840" s="541">
        <v>1964.0</v>
      </c>
      <c r="E840" s="136">
        <v>443.0</v>
      </c>
      <c r="F840" s="136">
        <v>4285.0</v>
      </c>
      <c r="G840" s="136">
        <v>7.0</v>
      </c>
      <c r="H840" s="249">
        <v>1229.7</v>
      </c>
      <c r="I840" s="136">
        <v>5139.0</v>
      </c>
      <c r="J840" s="136">
        <v>14238.0</v>
      </c>
      <c r="K840" s="136">
        <v>2273.0</v>
      </c>
      <c r="L840" s="136">
        <v>3673.0</v>
      </c>
      <c r="M840" s="1"/>
      <c r="N840" s="1"/>
      <c r="O840" s="1"/>
      <c r="P840" s="1"/>
      <c r="Q840" s="1"/>
      <c r="R840" s="1"/>
      <c r="S840" s="1"/>
      <c r="T840" s="1"/>
      <c r="U840" s="1"/>
    </row>
    <row r="841" ht="10.5" customHeight="1">
      <c r="A841" s="87"/>
      <c r="B841" s="48"/>
      <c r="C841" s="136"/>
      <c r="D841" s="546"/>
      <c r="E841" s="136"/>
      <c r="F841" s="136"/>
      <c r="G841" s="136"/>
      <c r="H841" s="249"/>
      <c r="I841" s="136"/>
      <c r="J841" s="136"/>
      <c r="K841" s="136"/>
      <c r="L841" s="136"/>
      <c r="M841" s="1"/>
      <c r="N841" s="1"/>
      <c r="O841" s="1"/>
      <c r="P841" s="1"/>
      <c r="Q841" s="1"/>
      <c r="R841" s="1"/>
      <c r="S841" s="1"/>
      <c r="T841" s="1"/>
      <c r="U841" s="1"/>
    </row>
    <row r="842" ht="10.5" customHeight="1">
      <c r="A842" s="1"/>
      <c r="B842" s="48" t="s">
        <v>115</v>
      </c>
      <c r="C842" s="136">
        <v>514.0</v>
      </c>
      <c r="D842" s="541">
        <v>2187.0</v>
      </c>
      <c r="E842" s="136">
        <v>419.0</v>
      </c>
      <c r="F842" s="136">
        <v>5048.0</v>
      </c>
      <c r="G842" s="136">
        <v>5.0</v>
      </c>
      <c r="H842" s="249">
        <v>1582.4</v>
      </c>
      <c r="I842" s="136">
        <v>4756.0</v>
      </c>
      <c r="J842" s="136">
        <v>14468.0</v>
      </c>
      <c r="K842" s="136">
        <v>2069.0</v>
      </c>
      <c r="L842" s="136">
        <v>4177.0</v>
      </c>
      <c r="M842" s="1"/>
      <c r="N842" s="1"/>
      <c r="O842" s="1"/>
      <c r="P842" s="1"/>
      <c r="Q842" s="1"/>
      <c r="R842" s="1"/>
      <c r="S842" s="1"/>
      <c r="T842" s="1"/>
      <c r="U842" s="1"/>
    </row>
    <row r="843" ht="10.5" customHeight="1">
      <c r="A843" s="1"/>
      <c r="B843" s="48" t="s">
        <v>117</v>
      </c>
      <c r="C843" s="136">
        <v>453.0</v>
      </c>
      <c r="D843" s="541">
        <v>2226.0</v>
      </c>
      <c r="E843" s="136">
        <v>369.0</v>
      </c>
      <c r="F843" s="136">
        <v>5817.0</v>
      </c>
      <c r="G843" s="136">
        <v>6.0</v>
      </c>
      <c r="H843" s="249">
        <v>2391.3</v>
      </c>
      <c r="I843" s="136">
        <v>4543.0</v>
      </c>
      <c r="J843" s="136">
        <v>15678.0</v>
      </c>
      <c r="K843" s="136">
        <v>1823.0</v>
      </c>
      <c r="L843" s="136">
        <v>5294.0</v>
      </c>
      <c r="M843" s="1"/>
      <c r="N843" s="1"/>
      <c r="O843" s="1"/>
      <c r="P843" s="1"/>
      <c r="Q843" s="1"/>
      <c r="R843" s="1"/>
      <c r="S843" s="1"/>
      <c r="T843" s="1"/>
      <c r="U843" s="1"/>
    </row>
    <row r="844" ht="10.5" customHeight="1">
      <c r="A844" s="1"/>
      <c r="B844" s="48" t="s">
        <v>121</v>
      </c>
      <c r="C844" s="136">
        <v>744.0</v>
      </c>
      <c r="D844" s="541">
        <v>3374.0</v>
      </c>
      <c r="E844" s="136">
        <v>528.0</v>
      </c>
      <c r="F844" s="136">
        <v>5779.0</v>
      </c>
      <c r="G844" s="136">
        <v>104.0</v>
      </c>
      <c r="H844" s="249">
        <v>2217.73</v>
      </c>
      <c r="I844" s="136">
        <v>6485.0</v>
      </c>
      <c r="J844" s="136">
        <v>22022.0</v>
      </c>
      <c r="K844" s="136">
        <v>3177.0</v>
      </c>
      <c r="L844" s="136">
        <v>4246.0</v>
      </c>
      <c r="M844" s="1"/>
      <c r="N844" s="1"/>
      <c r="O844" s="1"/>
      <c r="P844" s="1"/>
      <c r="Q844" s="1"/>
      <c r="R844" s="1"/>
      <c r="S844" s="1"/>
      <c r="T844" s="1"/>
      <c r="U844" s="1"/>
    </row>
    <row r="845" ht="10.5" customHeight="1">
      <c r="A845" s="1"/>
      <c r="B845" s="48" t="s">
        <v>122</v>
      </c>
      <c r="C845" s="136">
        <v>1049.0</v>
      </c>
      <c r="D845" s="541">
        <v>3746.0</v>
      </c>
      <c r="E845" s="136">
        <v>749.0</v>
      </c>
      <c r="F845" s="136">
        <v>4544.0</v>
      </c>
      <c r="G845" s="136">
        <v>141.0</v>
      </c>
      <c r="H845" s="249">
        <v>1696.45</v>
      </c>
      <c r="I845" s="136">
        <v>10707.0</v>
      </c>
      <c r="J845" s="136">
        <v>45221.0</v>
      </c>
      <c r="K845" s="136">
        <v>3717.0</v>
      </c>
      <c r="L845" s="136">
        <v>3526.0</v>
      </c>
      <c r="M845" s="1"/>
      <c r="N845" s="1"/>
      <c r="O845" s="1"/>
      <c r="P845" s="1"/>
      <c r="Q845" s="1"/>
      <c r="R845" s="1"/>
      <c r="S845" s="1"/>
      <c r="T845" s="1"/>
      <c r="U845" s="1"/>
    </row>
    <row r="846" ht="10.5" customHeight="1">
      <c r="A846" s="1"/>
      <c r="B846" s="48" t="s">
        <v>123</v>
      </c>
      <c r="C846" s="136">
        <v>908.0</v>
      </c>
      <c r="D846" s="541">
        <v>3408.0</v>
      </c>
      <c r="E846" s="136">
        <v>721.0</v>
      </c>
      <c r="F846" s="136">
        <v>4522.0</v>
      </c>
      <c r="G846" s="136">
        <v>35.0</v>
      </c>
      <c r="H846" s="249">
        <v>1391.6</v>
      </c>
      <c r="I846" s="136">
        <v>4724.0</v>
      </c>
      <c r="J846" s="136">
        <v>23547.0</v>
      </c>
      <c r="K846" s="136">
        <v>2312.0</v>
      </c>
      <c r="L846" s="136">
        <v>4628.0</v>
      </c>
      <c r="M846" s="1"/>
      <c r="N846" s="1"/>
      <c r="O846" s="1"/>
      <c r="P846" s="1"/>
      <c r="Q846" s="1"/>
      <c r="R846" s="1"/>
      <c r="S846" s="1"/>
      <c r="T846" s="1"/>
      <c r="U846" s="1"/>
    </row>
    <row r="847" ht="10.5" customHeight="1">
      <c r="A847" s="1"/>
      <c r="B847" s="48"/>
      <c r="C847" s="136"/>
      <c r="D847" s="546"/>
      <c r="E847" s="136"/>
      <c r="F847" s="136"/>
      <c r="G847" s="136"/>
      <c r="H847" s="249"/>
      <c r="I847" s="136"/>
      <c r="J847" s="136"/>
      <c r="K847" s="136"/>
      <c r="L847" s="136"/>
      <c r="M847" s="1"/>
      <c r="N847" s="1"/>
      <c r="O847" s="1"/>
      <c r="P847" s="1"/>
      <c r="Q847" s="1"/>
      <c r="R847" s="1"/>
      <c r="S847" s="1"/>
      <c r="T847" s="1"/>
      <c r="U847" s="1"/>
    </row>
    <row r="848" ht="10.5" customHeight="1">
      <c r="A848" s="1"/>
      <c r="B848" s="168" t="s">
        <v>125</v>
      </c>
      <c r="C848" s="136">
        <v>1114.0</v>
      </c>
      <c r="D848" s="541">
        <v>4562.0</v>
      </c>
      <c r="E848" s="136">
        <v>768.0</v>
      </c>
      <c r="F848" s="136">
        <v>4883.0</v>
      </c>
      <c r="G848" s="136">
        <v>184.0</v>
      </c>
      <c r="H848" s="249">
        <v>3804.07</v>
      </c>
      <c r="I848" s="136">
        <v>8447.0</v>
      </c>
      <c r="J848" s="136">
        <v>45478.0</v>
      </c>
      <c r="K848" s="136">
        <v>3548.0</v>
      </c>
      <c r="L848" s="136">
        <v>4556.0</v>
      </c>
      <c r="M848" s="1"/>
      <c r="N848" s="1"/>
      <c r="O848" s="1"/>
      <c r="P848" s="1"/>
      <c r="Q848" s="1"/>
      <c r="R848" s="1"/>
      <c r="S848" s="1"/>
      <c r="T848" s="1"/>
      <c r="U848" s="1"/>
    </row>
    <row r="849" ht="10.5" customHeight="1">
      <c r="A849" s="1"/>
      <c r="B849" s="168" t="s">
        <v>127</v>
      </c>
      <c r="C849" s="169">
        <v>1395.0</v>
      </c>
      <c r="D849" s="172">
        <v>5540.0</v>
      </c>
      <c r="E849" s="169">
        <v>1006.0</v>
      </c>
      <c r="F849" s="169">
        <v>4657.0</v>
      </c>
      <c r="G849" s="169">
        <v>176.0</v>
      </c>
      <c r="H849" s="252">
        <v>4049.37</v>
      </c>
      <c r="I849" s="169">
        <v>5331.0</v>
      </c>
      <c r="J849" s="169">
        <v>34662.0</v>
      </c>
      <c r="K849" s="169">
        <v>1849.0</v>
      </c>
      <c r="L849" s="169">
        <v>6388.0</v>
      </c>
      <c r="M849" s="1"/>
      <c r="N849" s="1"/>
      <c r="O849" s="1"/>
      <c r="P849" s="1"/>
      <c r="Q849" s="1"/>
      <c r="R849" s="1"/>
      <c r="S849" s="1"/>
      <c r="T849" s="1"/>
      <c r="U849" s="1"/>
    </row>
    <row r="850" ht="10.5" customHeight="1">
      <c r="A850" s="1"/>
      <c r="B850" s="48" t="s">
        <v>128</v>
      </c>
      <c r="C850" s="169">
        <v>1498.0</v>
      </c>
      <c r="D850" s="172">
        <v>6245.0</v>
      </c>
      <c r="E850" s="169">
        <v>1093.0</v>
      </c>
      <c r="F850" s="169">
        <v>4935.0</v>
      </c>
      <c r="G850" s="169">
        <v>172.0</v>
      </c>
      <c r="H850" s="252">
        <v>4005.99</v>
      </c>
      <c r="I850" s="169">
        <v>12102.0</v>
      </c>
      <c r="J850" s="169">
        <v>81650.0</v>
      </c>
      <c r="K850" s="169">
        <v>2659.0</v>
      </c>
      <c r="L850" s="169">
        <v>6082.0</v>
      </c>
      <c r="M850" s="1"/>
      <c r="N850" s="1"/>
      <c r="O850" s="1"/>
      <c r="P850" s="1"/>
      <c r="Q850" s="1"/>
      <c r="R850" s="1"/>
      <c r="S850" s="1"/>
      <c r="T850" s="1"/>
      <c r="U850" s="1"/>
    </row>
    <row r="851" ht="10.5" customHeight="1">
      <c r="A851" s="1"/>
      <c r="B851" s="48" t="s">
        <v>129</v>
      </c>
      <c r="C851" s="169">
        <v>1697.0</v>
      </c>
      <c r="D851" s="172">
        <v>6899.0</v>
      </c>
      <c r="E851" s="169">
        <v>1257.0</v>
      </c>
      <c r="F851" s="169">
        <v>4791.0</v>
      </c>
      <c r="G851" s="169">
        <v>173.0</v>
      </c>
      <c r="H851" s="252">
        <v>4019.7</v>
      </c>
      <c r="I851" s="169">
        <v>9869.0</v>
      </c>
      <c r="J851" s="169">
        <v>72980.0</v>
      </c>
      <c r="K851" s="169">
        <v>2761.0</v>
      </c>
      <c r="L851" s="169">
        <v>6811.0</v>
      </c>
      <c r="M851" s="1"/>
      <c r="N851" s="1"/>
      <c r="O851" s="1"/>
      <c r="P851" s="1"/>
      <c r="Q851" s="1"/>
      <c r="R851" s="1"/>
      <c r="S851" s="1"/>
      <c r="T851" s="1"/>
      <c r="U851" s="1"/>
    </row>
    <row r="852" ht="10.5" customHeight="1">
      <c r="A852" s="1"/>
      <c r="B852" s="48" t="s">
        <v>130</v>
      </c>
      <c r="C852" s="169">
        <v>1549.0</v>
      </c>
      <c r="D852" s="172">
        <v>6701.0</v>
      </c>
      <c r="E852" s="169">
        <v>1263.0</v>
      </c>
      <c r="F852" s="169">
        <v>5043.0</v>
      </c>
      <c r="G852" s="169">
        <v>18.0</v>
      </c>
      <c r="H852" s="252">
        <v>7642.74</v>
      </c>
      <c r="I852" s="169">
        <v>4177.0</v>
      </c>
      <c r="J852" s="169">
        <v>32487.0</v>
      </c>
      <c r="K852" s="169">
        <v>1433.0</v>
      </c>
      <c r="L852" s="169">
        <v>9520.0</v>
      </c>
      <c r="M852" s="1"/>
      <c r="N852" s="1"/>
      <c r="O852" s="1"/>
      <c r="P852" s="1"/>
      <c r="Q852" s="1"/>
      <c r="R852" s="1"/>
      <c r="S852" s="1"/>
      <c r="T852" s="1"/>
      <c r="U852" s="1"/>
    </row>
    <row r="853" ht="10.5" customHeight="1">
      <c r="A853" s="1"/>
      <c r="B853" s="48"/>
      <c r="C853" s="169"/>
      <c r="D853" s="676"/>
      <c r="E853" s="169"/>
      <c r="F853" s="169"/>
      <c r="G853" s="169"/>
      <c r="H853" s="252"/>
      <c r="I853" s="169"/>
      <c r="J853" s="169"/>
      <c r="K853" s="169"/>
      <c r="L853" s="169"/>
      <c r="M853" s="1"/>
      <c r="N853" s="1"/>
      <c r="O853" s="1"/>
      <c r="P853" s="1"/>
      <c r="Q853" s="1"/>
      <c r="R853" s="1"/>
      <c r="S853" s="1"/>
      <c r="T853" s="1"/>
      <c r="U853" s="1"/>
    </row>
    <row r="854" ht="10.5" customHeight="1">
      <c r="A854" s="1"/>
      <c r="B854" s="48" t="s">
        <v>131</v>
      </c>
      <c r="C854" s="169">
        <v>1188.0</v>
      </c>
      <c r="D854" s="169">
        <v>6613.0</v>
      </c>
      <c r="E854" s="169">
        <v>967.0</v>
      </c>
      <c r="F854" s="169">
        <v>6513.0</v>
      </c>
      <c r="G854" s="169">
        <v>16.0</v>
      </c>
      <c r="H854" s="252">
        <v>8075.19</v>
      </c>
      <c r="I854" s="169">
        <v>4621.0</v>
      </c>
      <c r="J854" s="169">
        <v>37929.0</v>
      </c>
      <c r="K854" s="169">
        <v>1706.0</v>
      </c>
      <c r="L854" s="169">
        <v>9063.0</v>
      </c>
      <c r="M854" s="1"/>
      <c r="N854" s="1"/>
      <c r="O854" s="1"/>
      <c r="P854" s="1"/>
      <c r="Q854" s="1"/>
      <c r="R854" s="1"/>
      <c r="S854" s="1"/>
      <c r="T854" s="1"/>
      <c r="U854" s="1"/>
    </row>
    <row r="855" ht="10.5" customHeight="1">
      <c r="A855" s="1"/>
      <c r="B855" s="48" t="s">
        <v>133</v>
      </c>
      <c r="C855" s="169">
        <v>749.0</v>
      </c>
      <c r="D855" s="169">
        <v>6918.0</v>
      </c>
      <c r="E855" s="169">
        <v>611.0</v>
      </c>
      <c r="F855" s="169">
        <v>10874.0</v>
      </c>
      <c r="G855" s="169">
        <v>9.0</v>
      </c>
      <c r="H855" s="252">
        <v>8417.5</v>
      </c>
      <c r="I855" s="169">
        <v>6016.0</v>
      </c>
      <c r="J855" s="169">
        <v>50281.0</v>
      </c>
      <c r="K855" s="169">
        <v>2368.0</v>
      </c>
      <c r="L855" s="169">
        <v>8355.0</v>
      </c>
      <c r="M855" s="1"/>
      <c r="N855" s="1"/>
      <c r="O855" s="1"/>
      <c r="P855" s="1"/>
      <c r="Q855" s="1"/>
      <c r="R855" s="1"/>
      <c r="S855" s="1"/>
      <c r="T855" s="1"/>
      <c r="U855" s="1"/>
    </row>
    <row r="856" ht="10.5" customHeight="1">
      <c r="A856" s="1"/>
      <c r="B856" s="293">
        <v>39295.0</v>
      </c>
      <c r="C856" s="169">
        <v>719.0</v>
      </c>
      <c r="D856" s="169">
        <v>7457.0</v>
      </c>
      <c r="E856" s="169">
        <v>582.0</v>
      </c>
      <c r="F856" s="169">
        <v>12204.0</v>
      </c>
      <c r="G856" s="169">
        <v>13.0</v>
      </c>
      <c r="H856" s="252">
        <v>11191.04</v>
      </c>
      <c r="I856" s="169">
        <v>6533.0</v>
      </c>
      <c r="J856" s="169">
        <v>62933.0</v>
      </c>
      <c r="K856" s="169">
        <v>2612.0</v>
      </c>
      <c r="L856" s="169">
        <v>7731.0</v>
      </c>
      <c r="M856" s="1"/>
      <c r="N856" s="1"/>
      <c r="O856" s="1"/>
      <c r="P856" s="1"/>
      <c r="Q856" s="1"/>
      <c r="R856" s="1"/>
      <c r="S856" s="1"/>
      <c r="T856" s="1"/>
      <c r="U856" s="1"/>
    </row>
    <row r="857" ht="10.5" customHeight="1">
      <c r="A857" s="1"/>
      <c r="B857" s="293">
        <v>39692.0</v>
      </c>
      <c r="C857" s="169">
        <v>578.0</v>
      </c>
      <c r="D857" s="169">
        <v>5935.0</v>
      </c>
      <c r="E857" s="169">
        <v>474.0</v>
      </c>
      <c r="F857" s="169">
        <v>12084.0</v>
      </c>
      <c r="G857" s="169">
        <v>2.0</v>
      </c>
      <c r="H857" s="252">
        <v>15384.0</v>
      </c>
      <c r="I857" s="169">
        <v>5599.0</v>
      </c>
      <c r="J857" s="169">
        <v>82758.0</v>
      </c>
      <c r="K857" s="169">
        <v>1701.0</v>
      </c>
      <c r="L857" s="169">
        <v>9698.0</v>
      </c>
      <c r="M857" s="1"/>
      <c r="N857" s="1"/>
      <c r="O857" s="1"/>
      <c r="P857" s="1"/>
      <c r="Q857" s="1"/>
      <c r="R857" s="1"/>
      <c r="S857" s="1"/>
      <c r="T857" s="1"/>
      <c r="U857" s="1"/>
    </row>
    <row r="858" ht="10.5" customHeight="1">
      <c r="A858" s="1"/>
      <c r="B858" s="293">
        <v>40087.0</v>
      </c>
      <c r="C858" s="169">
        <v>550.0</v>
      </c>
      <c r="D858" s="169">
        <v>7980.0</v>
      </c>
      <c r="E858" s="169">
        <v>452.0</v>
      </c>
      <c r="F858" s="169">
        <v>17062.0</v>
      </c>
      <c r="G858" s="169">
        <v>2.0</v>
      </c>
      <c r="H858" s="252">
        <v>16772.4</v>
      </c>
      <c r="I858" s="169">
        <v>6076.0</v>
      </c>
      <c r="J858" s="169">
        <v>59515.0</v>
      </c>
      <c r="K858" s="169">
        <v>1929.0</v>
      </c>
      <c r="L858" s="169">
        <v>10787.0</v>
      </c>
      <c r="M858" s="1"/>
      <c r="N858" s="1"/>
      <c r="O858" s="1"/>
      <c r="P858" s="1"/>
      <c r="Q858" s="1"/>
      <c r="R858" s="1"/>
      <c r="S858" s="1"/>
      <c r="T858" s="1"/>
      <c r="U858" s="1"/>
    </row>
    <row r="859" ht="10.5" customHeight="1">
      <c r="A859" s="1"/>
      <c r="B859" s="293"/>
      <c r="C859" s="169"/>
      <c r="D859" s="169"/>
      <c r="E859" s="169"/>
      <c r="F859" s="169"/>
      <c r="G859" s="169"/>
      <c r="H859" s="252"/>
      <c r="I859" s="169"/>
      <c r="J859" s="169"/>
      <c r="K859" s="169"/>
      <c r="L859" s="169"/>
      <c r="M859" s="1"/>
      <c r="N859" s="1"/>
      <c r="O859" s="1"/>
      <c r="P859" s="1"/>
      <c r="Q859" s="1"/>
      <c r="R859" s="1"/>
      <c r="S859" s="1"/>
      <c r="T859" s="1"/>
      <c r="U859" s="1"/>
    </row>
    <row r="860" ht="10.5" customHeight="1">
      <c r="A860" s="1"/>
      <c r="B860" s="85" t="s">
        <v>139</v>
      </c>
      <c r="C860" s="216">
        <v>707.0</v>
      </c>
      <c r="D860" s="132">
        <v>9390.0</v>
      </c>
      <c r="E860" s="216">
        <v>582.0</v>
      </c>
      <c r="F860" s="216">
        <v>15633.0</v>
      </c>
      <c r="G860" s="216" t="s">
        <v>10</v>
      </c>
      <c r="H860" s="252" t="s">
        <v>10</v>
      </c>
      <c r="I860" s="216">
        <v>6225.0</v>
      </c>
      <c r="J860" s="216">
        <v>74007.0</v>
      </c>
      <c r="K860" s="169">
        <v>2169.0</v>
      </c>
      <c r="L860" s="169">
        <v>10780.0</v>
      </c>
      <c r="M860" s="253"/>
      <c r="N860" s="1"/>
      <c r="O860" s="1"/>
      <c r="P860" s="1"/>
      <c r="Q860" s="1"/>
      <c r="R860" s="1"/>
      <c r="S860" s="1"/>
      <c r="T860" s="1"/>
      <c r="U860" s="1"/>
    </row>
    <row r="861" ht="10.5" customHeight="1">
      <c r="A861" s="1"/>
      <c r="B861" s="85" t="s">
        <v>143</v>
      </c>
      <c r="C861" s="216">
        <v>533.0</v>
      </c>
      <c r="D861" s="132">
        <v>8961.0</v>
      </c>
      <c r="E861" s="216">
        <v>439.0</v>
      </c>
      <c r="F861" s="216">
        <v>19806.0</v>
      </c>
      <c r="G861" s="216" t="s">
        <v>10</v>
      </c>
      <c r="H861" s="252" t="s">
        <v>10</v>
      </c>
      <c r="I861" s="216">
        <v>7829.0</v>
      </c>
      <c r="J861" s="216">
        <v>109018.0</v>
      </c>
      <c r="K861" s="169">
        <v>1987.0</v>
      </c>
      <c r="L861" s="169">
        <v>12368.0</v>
      </c>
      <c r="M861" s="1"/>
      <c r="N861" s="1"/>
      <c r="O861" s="1"/>
      <c r="P861" s="1"/>
      <c r="Q861" s="1"/>
      <c r="R861" s="1"/>
      <c r="S861" s="1"/>
      <c r="T861" s="1"/>
      <c r="U861" s="1"/>
    </row>
    <row r="862" ht="10.5" customHeight="1">
      <c r="A862" s="1"/>
      <c r="B862" s="85" t="s">
        <v>149</v>
      </c>
      <c r="C862" s="216">
        <v>785.0</v>
      </c>
      <c r="D862" s="132">
        <v>11128.0</v>
      </c>
      <c r="E862" s="216">
        <v>631.0</v>
      </c>
      <c r="F862" s="216">
        <v>16824.0</v>
      </c>
      <c r="G862" s="216">
        <v>21.0</v>
      </c>
      <c r="H862" s="252">
        <v>9502.28</v>
      </c>
      <c r="I862" s="216">
        <v>5648.0</v>
      </c>
      <c r="J862" s="216">
        <v>116219.0</v>
      </c>
      <c r="K862" s="169">
        <v>1317.0</v>
      </c>
      <c r="L862" s="169">
        <v>18065.0</v>
      </c>
      <c r="M862" s="1"/>
      <c r="N862" s="1"/>
      <c r="O862" s="1"/>
      <c r="P862" s="1"/>
      <c r="Q862" s="1"/>
      <c r="R862" s="1"/>
      <c r="S862" s="1"/>
      <c r="T862" s="1"/>
      <c r="U862" s="1"/>
    </row>
    <row r="863" ht="10.5" customHeight="1">
      <c r="A863" s="1"/>
      <c r="B863" s="85" t="s">
        <v>151</v>
      </c>
      <c r="C863" s="216">
        <v>748.0</v>
      </c>
      <c r="D863" s="132">
        <v>13644.0</v>
      </c>
      <c r="E863" s="216">
        <v>526.0</v>
      </c>
      <c r="F863" s="216">
        <v>22976.0</v>
      </c>
      <c r="G863" s="216">
        <v>111.0</v>
      </c>
      <c r="H863" s="252">
        <v>10853.79</v>
      </c>
      <c r="I863" s="216">
        <v>8349.0</v>
      </c>
      <c r="J863" s="216">
        <v>282065.0</v>
      </c>
      <c r="K863" s="169">
        <v>1100.0</v>
      </c>
      <c r="L863" s="169">
        <v>19735.0</v>
      </c>
      <c r="M863" s="1"/>
      <c r="N863" s="1"/>
      <c r="O863" s="1"/>
      <c r="P863" s="1"/>
      <c r="Q863" s="1"/>
      <c r="R863" s="1"/>
      <c r="S863" s="1"/>
      <c r="T863" s="1"/>
      <c r="U863" s="1"/>
    </row>
    <row r="864" ht="10.5" customHeight="1">
      <c r="A864" s="1"/>
      <c r="B864" s="85" t="s">
        <v>153</v>
      </c>
      <c r="C864" s="216">
        <v>759.0</v>
      </c>
      <c r="D864" s="132">
        <v>14338.0</v>
      </c>
      <c r="E864" s="216">
        <v>545.0</v>
      </c>
      <c r="F864" s="216">
        <v>23427.0</v>
      </c>
      <c r="G864" s="216">
        <v>98.0</v>
      </c>
      <c r="H864" s="252">
        <v>12094.66</v>
      </c>
      <c r="I864" s="216">
        <v>8379.0</v>
      </c>
      <c r="J864" s="216">
        <v>247230.0</v>
      </c>
      <c r="K864" s="169">
        <v>1028.0</v>
      </c>
      <c r="L864" s="169">
        <v>22423.0</v>
      </c>
      <c r="M864" s="1"/>
      <c r="N864" s="1"/>
      <c r="O864" s="1"/>
      <c r="P864" s="1"/>
      <c r="Q864" s="1"/>
      <c r="R864" s="1"/>
      <c r="S864" s="1"/>
      <c r="T864" s="1"/>
      <c r="U864" s="1"/>
    </row>
    <row r="865" ht="10.5" customHeight="1">
      <c r="A865" s="1"/>
      <c r="B865" s="85"/>
      <c r="C865" s="216"/>
      <c r="D865" s="132"/>
      <c r="E865" s="216"/>
      <c r="F865" s="216"/>
      <c r="G865" s="216"/>
      <c r="H865" s="252"/>
      <c r="I865" s="216"/>
      <c r="J865" s="216"/>
      <c r="K865" s="169"/>
      <c r="L865" s="169"/>
      <c r="M865" s="1"/>
      <c r="N865" s="1"/>
      <c r="O865" s="1"/>
      <c r="P865" s="1"/>
      <c r="Q865" s="1"/>
      <c r="R865" s="1"/>
      <c r="S865" s="1"/>
      <c r="T865" s="1"/>
      <c r="U865" s="1"/>
    </row>
    <row r="866" ht="10.5" customHeight="1">
      <c r="A866" s="1"/>
      <c r="B866" s="85" t="s">
        <v>155</v>
      </c>
      <c r="C866" s="216">
        <v>777.0</v>
      </c>
      <c r="D866" s="132">
        <v>13667.0</v>
      </c>
      <c r="E866" s="216">
        <v>567.0</v>
      </c>
      <c r="F866" s="216">
        <v>22558.0</v>
      </c>
      <c r="G866" s="216">
        <v>89.0</v>
      </c>
      <c r="H866" s="252">
        <v>5527.43</v>
      </c>
      <c r="I866" s="216">
        <v>8440.0</v>
      </c>
      <c r="J866" s="216">
        <v>252997.0</v>
      </c>
      <c r="K866" s="169">
        <v>1494.0</v>
      </c>
      <c r="L866" s="169">
        <v>20503.0</v>
      </c>
      <c r="M866" s="1"/>
      <c r="N866" s="1"/>
      <c r="O866" s="1"/>
      <c r="P866" s="1"/>
      <c r="Q866" s="1"/>
      <c r="R866" s="1"/>
      <c r="S866" s="1"/>
      <c r="T866" s="1"/>
      <c r="U866" s="1"/>
    </row>
    <row r="867" ht="10.5" customHeight="1">
      <c r="A867" s="1"/>
      <c r="B867" s="96" t="s">
        <v>1055</v>
      </c>
      <c r="C867" s="240">
        <v>848.0</v>
      </c>
      <c r="D867" s="141">
        <v>13556.0</v>
      </c>
      <c r="E867" s="240">
        <v>599.0</v>
      </c>
      <c r="F867" s="240">
        <v>21373.0</v>
      </c>
      <c r="G867" s="240">
        <v>122.0</v>
      </c>
      <c r="H867" s="263">
        <v>3009.34</v>
      </c>
      <c r="I867" s="240">
        <v>10444.0</v>
      </c>
      <c r="J867" s="240">
        <v>264591.0</v>
      </c>
      <c r="K867" s="260">
        <v>1386.0</v>
      </c>
      <c r="L867" s="260">
        <v>22332.0</v>
      </c>
      <c r="M867" s="1"/>
      <c r="N867" s="1"/>
      <c r="O867" s="1"/>
      <c r="P867" s="1"/>
      <c r="Q867" s="1"/>
      <c r="R867" s="1"/>
      <c r="S867" s="1"/>
      <c r="T867" s="1"/>
      <c r="U867" s="1"/>
    </row>
    <row r="868" ht="6.0" customHeight="1">
      <c r="A868" s="1"/>
      <c r="B868" s="291"/>
      <c r="C868" s="243"/>
      <c r="D868" s="524"/>
      <c r="E868" s="243"/>
      <c r="F868" s="243"/>
      <c r="G868" s="243"/>
      <c r="H868" s="270"/>
      <c r="I868" s="243"/>
      <c r="J868" s="243"/>
      <c r="K868" s="267"/>
      <c r="L868" s="267"/>
      <c r="M868" s="1"/>
      <c r="N868" s="1"/>
      <c r="O868" s="1"/>
      <c r="P868" s="1"/>
      <c r="Q868" s="1"/>
      <c r="R868" s="1"/>
      <c r="S868" s="1"/>
      <c r="T868" s="1"/>
      <c r="U868" s="1"/>
    </row>
    <row r="869" ht="10.5" customHeight="1">
      <c r="A869" s="1"/>
      <c r="B869" s="185" t="s">
        <v>1057</v>
      </c>
      <c r="C869" s="185"/>
      <c r="D869" s="185"/>
      <c r="E869" s="185"/>
      <c r="F869" s="185"/>
      <c r="G869" s="185"/>
      <c r="H869" s="185"/>
      <c r="I869" s="1"/>
      <c r="J869" s="1"/>
      <c r="K869" s="1"/>
      <c r="L869" s="1"/>
      <c r="M869" s="1"/>
      <c r="N869" s="1"/>
      <c r="O869" s="1"/>
      <c r="P869" s="1"/>
      <c r="Q869" s="1"/>
      <c r="R869" s="1"/>
      <c r="S869" s="1"/>
      <c r="T869" s="1"/>
      <c r="U869" s="1"/>
    </row>
    <row r="870" ht="10.5" customHeight="1">
      <c r="A870" s="1"/>
      <c r="B870" s="185" t="s">
        <v>662</v>
      </c>
      <c r="C870" s="185"/>
      <c r="D870" s="185"/>
      <c r="E870" s="185"/>
      <c r="F870" s="185"/>
      <c r="G870" s="185"/>
      <c r="H870" s="185"/>
      <c r="I870" s="1"/>
      <c r="J870" s="1"/>
      <c r="K870" s="1"/>
      <c r="L870" s="1"/>
      <c r="M870" s="1"/>
      <c r="N870" s="1"/>
      <c r="O870" s="1"/>
      <c r="P870" s="1"/>
      <c r="Q870" s="1"/>
      <c r="R870" s="1"/>
      <c r="S870" s="1"/>
      <c r="T870" s="1"/>
      <c r="U870" s="1"/>
    </row>
    <row r="871" ht="10.5" customHeight="1">
      <c r="A871" s="1"/>
      <c r="B871" s="185" t="s">
        <v>663</v>
      </c>
      <c r="C871" s="185"/>
      <c r="D871" s="185"/>
      <c r="E871" s="185"/>
      <c r="F871" s="185"/>
      <c r="G871" s="185"/>
      <c r="H871" s="185"/>
      <c r="I871" s="1"/>
      <c r="J871" s="1"/>
      <c r="K871" s="1"/>
      <c r="L871" s="1"/>
      <c r="M871" s="1"/>
      <c r="N871" s="1"/>
      <c r="O871" s="1"/>
      <c r="P871" s="1"/>
      <c r="Q871" s="1"/>
      <c r="R871" s="1"/>
      <c r="S871" s="1"/>
      <c r="T871" s="1"/>
      <c r="U871" s="1"/>
    </row>
    <row r="872" ht="10.5" customHeight="1">
      <c r="A872" s="1"/>
      <c r="B872" s="185" t="s">
        <v>664</v>
      </c>
      <c r="C872" s="185"/>
      <c r="D872" s="185"/>
      <c r="E872" s="185"/>
      <c r="F872" s="185"/>
      <c r="G872" s="185"/>
      <c r="H872" s="185"/>
      <c r="I872" s="1"/>
      <c r="J872" s="1"/>
      <c r="K872" s="1"/>
      <c r="L872" s="1"/>
      <c r="M872" s="1"/>
      <c r="N872" s="1"/>
      <c r="O872" s="1"/>
      <c r="P872" s="1"/>
      <c r="Q872" s="1"/>
      <c r="R872" s="1"/>
      <c r="S872" s="1"/>
      <c r="T872" s="1"/>
      <c r="U872" s="1"/>
    </row>
    <row r="873" ht="10.5" customHeight="1">
      <c r="A873" s="1"/>
      <c r="B873" s="185" t="s">
        <v>665</v>
      </c>
      <c r="C873" s="185"/>
      <c r="D873" s="185"/>
      <c r="E873" s="185"/>
      <c r="F873" s="185"/>
      <c r="G873" s="185"/>
      <c r="H873" s="185"/>
      <c r="I873" s="1"/>
      <c r="J873" s="1"/>
      <c r="K873" s="1"/>
      <c r="L873" s="1"/>
      <c r="M873" s="1"/>
      <c r="N873" s="1"/>
      <c r="O873" s="1"/>
      <c r="P873" s="1"/>
      <c r="Q873" s="1"/>
      <c r="R873" s="1"/>
      <c r="S873" s="1"/>
      <c r="T873" s="1"/>
      <c r="U873" s="1"/>
    </row>
    <row r="874" ht="10.5" customHeight="1">
      <c r="A874" s="1"/>
      <c r="B874" s="311" t="s">
        <v>666</v>
      </c>
      <c r="I874" s="1"/>
      <c r="J874" s="1"/>
      <c r="K874" s="1"/>
      <c r="L874" s="1"/>
      <c r="M874" s="1"/>
      <c r="N874" s="1"/>
      <c r="O874" s="1"/>
      <c r="P874" s="1"/>
      <c r="Q874" s="1"/>
      <c r="R874" s="1"/>
      <c r="S874" s="1"/>
      <c r="T874" s="1"/>
      <c r="U874" s="1"/>
    </row>
    <row r="875" ht="10.5" customHeight="1">
      <c r="A875" s="1"/>
      <c r="B875" s="311" t="s">
        <v>667</v>
      </c>
      <c r="C875" s="311"/>
      <c r="D875" s="311"/>
      <c r="E875" s="311"/>
      <c r="F875" s="311"/>
      <c r="G875" s="311"/>
      <c r="H875" s="311"/>
      <c r="I875" s="1"/>
      <c r="J875" s="1"/>
      <c r="K875" s="1"/>
      <c r="L875" s="1"/>
      <c r="M875" s="1"/>
      <c r="N875" s="1"/>
      <c r="O875" s="1"/>
      <c r="P875" s="1"/>
      <c r="Q875" s="1"/>
      <c r="R875" s="1"/>
      <c r="S875" s="1"/>
      <c r="T875" s="1"/>
      <c r="U875" s="1"/>
    </row>
    <row r="876" ht="10.5" customHeight="1">
      <c r="A876" s="1"/>
      <c r="B876" s="311" t="s">
        <v>669</v>
      </c>
      <c r="C876" s="311"/>
      <c r="D876" s="311"/>
      <c r="E876" s="311"/>
      <c r="F876" s="311"/>
      <c r="G876" s="311"/>
      <c r="H876" s="311"/>
      <c r="I876" s="1"/>
      <c r="J876" s="1"/>
      <c r="K876" s="1"/>
      <c r="L876" s="1"/>
      <c r="M876" s="1"/>
      <c r="N876" s="1"/>
      <c r="O876" s="1"/>
      <c r="P876" s="1"/>
      <c r="Q876" s="1"/>
      <c r="R876" s="1"/>
      <c r="S876" s="1"/>
      <c r="T876" s="1"/>
      <c r="U876" s="1"/>
    </row>
    <row r="877" ht="10.5" customHeight="1">
      <c r="A877" s="1"/>
      <c r="B877" s="185" t="s">
        <v>1058</v>
      </c>
      <c r="C877" s="185"/>
      <c r="D877" s="185"/>
      <c r="E877" s="185"/>
      <c r="F877" s="185"/>
      <c r="G877" s="185"/>
      <c r="H877" s="185"/>
      <c r="I877" s="1"/>
      <c r="J877" s="1"/>
      <c r="K877" s="1"/>
      <c r="L877" s="1"/>
      <c r="M877" s="1"/>
      <c r="N877" s="1"/>
      <c r="O877" s="1"/>
      <c r="P877" s="1"/>
      <c r="Q877" s="1"/>
      <c r="R877" s="1"/>
      <c r="S877" s="1"/>
      <c r="T877" s="1"/>
      <c r="U877" s="1"/>
    </row>
    <row r="878" ht="10.5" customHeight="1">
      <c r="A878" s="1"/>
      <c r="B878" s="185"/>
      <c r="C878" s="185"/>
      <c r="D878" s="185"/>
      <c r="E878" s="185"/>
      <c r="F878" s="185"/>
      <c r="G878" s="185"/>
      <c r="H878" s="185"/>
      <c r="I878" s="1"/>
      <c r="J878" s="1"/>
      <c r="K878" s="1"/>
      <c r="L878" s="1"/>
      <c r="M878" s="1"/>
      <c r="N878" s="1"/>
      <c r="O878" s="1"/>
      <c r="P878" s="1"/>
      <c r="Q878" s="1"/>
      <c r="R878" s="1"/>
      <c r="S878" s="1"/>
      <c r="T878" s="1"/>
      <c r="U878" s="1"/>
    </row>
    <row r="879" ht="10.5" customHeight="1">
      <c r="A879" s="1"/>
      <c r="B879" s="185"/>
      <c r="C879" s="185"/>
      <c r="D879" s="185"/>
      <c r="E879" s="185"/>
      <c r="F879" s="185"/>
      <c r="G879" s="185"/>
      <c r="H879" s="185"/>
      <c r="I879" s="1"/>
      <c r="J879" s="1"/>
      <c r="K879" s="1"/>
      <c r="L879" s="1"/>
      <c r="M879" s="1"/>
      <c r="N879" s="1"/>
      <c r="O879" s="1"/>
      <c r="P879" s="1"/>
      <c r="Q879" s="1"/>
      <c r="R879" s="1"/>
      <c r="S879" s="1"/>
      <c r="T879" s="1"/>
      <c r="U879" s="1"/>
    </row>
    <row r="880" ht="10.5" customHeight="1">
      <c r="A880" s="1"/>
      <c r="B880" s="1"/>
      <c r="C880" s="113"/>
      <c r="D880" s="113"/>
      <c r="E880" s="113"/>
      <c r="F880" s="113"/>
      <c r="G880" s="113"/>
      <c r="H880" s="113"/>
      <c r="I880" s="113"/>
      <c r="J880" s="113"/>
      <c r="K880" s="113"/>
      <c r="L880" s="113"/>
      <c r="M880" s="1"/>
      <c r="N880" s="1"/>
      <c r="O880" s="1"/>
      <c r="P880" s="1"/>
      <c r="Q880" s="1"/>
      <c r="R880" s="1"/>
      <c r="S880" s="1"/>
      <c r="T880" s="1"/>
      <c r="U880" s="1"/>
    </row>
    <row r="881" ht="11.25" customHeight="1">
      <c r="A881" s="1"/>
      <c r="B881" s="1" t="s">
        <v>1059</v>
      </c>
      <c r="C881" s="1"/>
      <c r="D881" s="111"/>
      <c r="E881" s="1"/>
      <c r="F881" s="1"/>
      <c r="G881" s="1"/>
      <c r="H881" s="1"/>
      <c r="I881" s="1"/>
      <c r="J881" s="1"/>
      <c r="K881" s="1"/>
      <c r="L881" s="1"/>
      <c r="M881" s="1"/>
      <c r="N881" s="1"/>
      <c r="O881" s="1"/>
      <c r="P881" s="1"/>
      <c r="Q881" s="1"/>
      <c r="R881" s="1"/>
      <c r="S881" s="1"/>
      <c r="T881" s="1"/>
      <c r="U881" s="1"/>
    </row>
    <row r="882" ht="11.25" customHeight="1">
      <c r="A882" s="1"/>
      <c r="B882" s="29" t="s">
        <v>938</v>
      </c>
      <c r="C882" s="128" t="s">
        <v>1061</v>
      </c>
      <c r="D882" s="9"/>
      <c r="E882" s="9"/>
      <c r="F882" s="9"/>
      <c r="G882" s="9"/>
      <c r="H882" s="10"/>
      <c r="I882" s="128" t="s">
        <v>1063</v>
      </c>
      <c r="J882" s="10"/>
      <c r="K882" s="1"/>
      <c r="L882" s="1"/>
      <c r="M882" s="1"/>
      <c r="N882" s="1"/>
      <c r="O882" s="1"/>
      <c r="P882" s="1"/>
      <c r="Q882" s="1"/>
      <c r="R882" s="1"/>
      <c r="S882" s="1"/>
      <c r="T882" s="1"/>
      <c r="U882" s="1"/>
    </row>
    <row r="883" ht="11.25" customHeight="1">
      <c r="A883" s="1"/>
      <c r="B883" s="5"/>
      <c r="C883" s="682" t="s">
        <v>508</v>
      </c>
      <c r="D883" s="644" t="s">
        <v>640</v>
      </c>
      <c r="E883" s="128" t="s">
        <v>1067</v>
      </c>
      <c r="F883" s="10"/>
      <c r="G883" s="128" t="s">
        <v>510</v>
      </c>
      <c r="H883" s="10"/>
      <c r="I883" s="31" t="s">
        <v>508</v>
      </c>
      <c r="J883" s="31" t="s">
        <v>640</v>
      </c>
      <c r="K883" s="1"/>
      <c r="L883" s="1"/>
      <c r="M883" s="1"/>
      <c r="N883" s="1"/>
      <c r="O883" s="1"/>
      <c r="P883" s="1"/>
      <c r="Q883" s="1"/>
      <c r="R883" s="1"/>
      <c r="S883" s="1"/>
      <c r="T883" s="1"/>
      <c r="U883" s="1"/>
    </row>
    <row r="884" ht="14.25" customHeight="1">
      <c r="A884" s="1"/>
      <c r="B884" s="5"/>
      <c r="D884" s="118"/>
      <c r="E884" s="190" t="s">
        <v>514</v>
      </c>
      <c r="F884" s="7" t="s">
        <v>515</v>
      </c>
      <c r="G884" s="7" t="s">
        <v>514</v>
      </c>
      <c r="H884" s="7" t="s">
        <v>515</v>
      </c>
      <c r="I884" s="6"/>
      <c r="J884" s="6"/>
      <c r="K884" s="1"/>
      <c r="L884" s="1"/>
      <c r="M884" s="1"/>
      <c r="N884" s="1"/>
      <c r="O884" s="1"/>
      <c r="P884" s="1"/>
      <c r="Q884" s="1"/>
      <c r="R884" s="1"/>
      <c r="S884" s="1"/>
      <c r="T884" s="1"/>
      <c r="U884" s="1"/>
    </row>
    <row r="885" ht="11.25" customHeight="1">
      <c r="A885" s="1"/>
      <c r="B885" s="6"/>
      <c r="C885" s="482" t="s">
        <v>520</v>
      </c>
      <c r="D885" s="351" t="s">
        <v>50</v>
      </c>
      <c r="E885" s="482" t="s">
        <v>520</v>
      </c>
      <c r="F885" s="134" t="s">
        <v>52</v>
      </c>
      <c r="G885" s="134" t="s">
        <v>520</v>
      </c>
      <c r="H885" s="134" t="s">
        <v>52</v>
      </c>
      <c r="I885" s="134" t="s">
        <v>520</v>
      </c>
      <c r="J885" s="134" t="s">
        <v>50</v>
      </c>
      <c r="K885" s="1"/>
      <c r="L885" s="1"/>
      <c r="M885" s="1"/>
      <c r="N885" s="1"/>
      <c r="O885" s="1"/>
      <c r="P885" s="1"/>
      <c r="Q885" s="1"/>
      <c r="R885" s="1"/>
      <c r="S885" s="1"/>
      <c r="T885" s="1"/>
      <c r="U885" s="1"/>
    </row>
    <row r="886" ht="10.5" customHeight="1">
      <c r="A886" s="180"/>
      <c r="B886" s="48" t="s">
        <v>56</v>
      </c>
      <c r="C886" s="169">
        <v>20546.0</v>
      </c>
      <c r="D886" s="169">
        <v>1927.0</v>
      </c>
      <c r="E886" s="136">
        <v>6312.0</v>
      </c>
      <c r="F886" s="136">
        <v>149.0</v>
      </c>
      <c r="G886" s="136">
        <v>12923.0</v>
      </c>
      <c r="H886" s="276">
        <v>74.57</v>
      </c>
      <c r="I886" s="228">
        <v>212.0</v>
      </c>
      <c r="J886" s="228">
        <v>97.0</v>
      </c>
      <c r="K886" s="1"/>
      <c r="L886" s="1"/>
      <c r="M886" s="1"/>
      <c r="N886" s="1"/>
      <c r="O886" s="1"/>
      <c r="P886" s="1"/>
      <c r="Q886" s="1"/>
      <c r="R886" s="1"/>
      <c r="S886" s="1"/>
      <c r="T886" s="1"/>
      <c r="U886" s="1"/>
    </row>
    <row r="887" ht="10.5" customHeight="1">
      <c r="A887" s="180"/>
      <c r="B887" s="48" t="s">
        <v>81</v>
      </c>
      <c r="C887" s="169">
        <v>25754.0</v>
      </c>
      <c r="D887" s="169">
        <v>3093.0</v>
      </c>
      <c r="E887" s="136">
        <v>6456.0</v>
      </c>
      <c r="F887" s="136">
        <v>188.0</v>
      </c>
      <c r="G887" s="136">
        <v>17958.0</v>
      </c>
      <c r="H887" s="276">
        <v>103.01</v>
      </c>
      <c r="I887" s="228">
        <v>109.0</v>
      </c>
      <c r="J887" s="228">
        <v>49.0</v>
      </c>
      <c r="K887" s="1"/>
      <c r="L887" s="1"/>
      <c r="M887" s="1"/>
      <c r="N887" s="1"/>
      <c r="O887" s="1"/>
      <c r="P887" s="1"/>
      <c r="Q887" s="1"/>
      <c r="R887" s="1"/>
      <c r="S887" s="1"/>
      <c r="T887" s="1"/>
      <c r="U887" s="1"/>
    </row>
    <row r="888" ht="10.5" customHeight="1">
      <c r="A888" s="180"/>
      <c r="B888" s="48" t="s">
        <v>86</v>
      </c>
      <c r="C888" s="169">
        <v>28249.0</v>
      </c>
      <c r="D888" s="169">
        <v>4124.0</v>
      </c>
      <c r="E888" s="136">
        <v>7151.0</v>
      </c>
      <c r="F888" s="136">
        <v>206.0</v>
      </c>
      <c r="G888" s="136">
        <v>19777.0</v>
      </c>
      <c r="H888" s="276">
        <v>133.37</v>
      </c>
      <c r="I888" s="228">
        <v>210.0</v>
      </c>
      <c r="J888" s="228">
        <v>109.0</v>
      </c>
      <c r="K888" s="1"/>
      <c r="L888" s="1"/>
      <c r="M888" s="1"/>
      <c r="N888" s="1"/>
      <c r="O888" s="1"/>
      <c r="P888" s="1"/>
      <c r="Q888" s="1"/>
      <c r="R888" s="1"/>
      <c r="S888" s="1"/>
      <c r="T888" s="1"/>
      <c r="U888" s="1"/>
    </row>
    <row r="889" ht="10.5" customHeight="1">
      <c r="A889" s="180"/>
      <c r="B889" s="48" t="s">
        <v>87</v>
      </c>
      <c r="C889" s="169">
        <v>28747.0</v>
      </c>
      <c r="D889" s="169">
        <v>4111.0</v>
      </c>
      <c r="E889" s="136">
        <v>7767.0</v>
      </c>
      <c r="F889" s="136">
        <v>217.0</v>
      </c>
      <c r="G889" s="136">
        <v>19548.0</v>
      </c>
      <c r="H889" s="276">
        <v>123.57</v>
      </c>
      <c r="I889" s="228">
        <v>232.0</v>
      </c>
      <c r="J889" s="228">
        <v>92.0</v>
      </c>
      <c r="K889" s="1"/>
      <c r="L889" s="1"/>
      <c r="M889" s="1"/>
      <c r="N889" s="1"/>
      <c r="O889" s="1"/>
      <c r="P889" s="1"/>
      <c r="Q889" s="1"/>
      <c r="R889" s="1"/>
      <c r="S889" s="1"/>
      <c r="T889" s="1"/>
      <c r="U889" s="1"/>
    </row>
    <row r="890" ht="10.5" customHeight="1">
      <c r="A890" s="180"/>
      <c r="B890" s="48" t="s">
        <v>90</v>
      </c>
      <c r="C890" s="169">
        <v>27328.0</v>
      </c>
      <c r="D890" s="169">
        <v>3873.0</v>
      </c>
      <c r="E890" s="136">
        <v>9250.0</v>
      </c>
      <c r="F890" s="136">
        <v>219.0</v>
      </c>
      <c r="G890" s="136">
        <v>16372.0</v>
      </c>
      <c r="H890" s="276">
        <v>112.01</v>
      </c>
      <c r="I890" s="228">
        <v>209.0</v>
      </c>
      <c r="J890" s="228">
        <v>119.0</v>
      </c>
      <c r="K890" s="1"/>
      <c r="L890" s="1"/>
      <c r="M890" s="1"/>
      <c r="N890" s="1"/>
      <c r="O890" s="1"/>
      <c r="P890" s="1"/>
      <c r="Q890" s="1"/>
      <c r="R890" s="1"/>
      <c r="S890" s="1"/>
      <c r="T890" s="1"/>
      <c r="U890" s="1"/>
    </row>
    <row r="891" ht="10.5" customHeight="1">
      <c r="A891" s="1"/>
      <c r="B891" s="48"/>
      <c r="C891" s="136"/>
      <c r="D891" s="169"/>
      <c r="E891" s="136"/>
      <c r="F891" s="136"/>
      <c r="G891" s="136"/>
      <c r="H891" s="276"/>
      <c r="I891" s="228"/>
      <c r="J891" s="228"/>
      <c r="K891" s="1"/>
      <c r="L891" s="1"/>
      <c r="M891" s="1"/>
      <c r="N891" s="1"/>
      <c r="O891" s="1"/>
      <c r="P891" s="1"/>
      <c r="Q891" s="1"/>
      <c r="R891" s="1"/>
      <c r="S891" s="1"/>
      <c r="T891" s="1"/>
      <c r="U891" s="1"/>
    </row>
    <row r="892" ht="10.5" customHeight="1">
      <c r="A892" s="1"/>
      <c r="B892" s="48" t="s">
        <v>93</v>
      </c>
      <c r="C892" s="136">
        <v>32526.0</v>
      </c>
      <c r="D892" s="178">
        <v>5267.0</v>
      </c>
      <c r="E892" s="136">
        <v>9307.0</v>
      </c>
      <c r="F892" s="136">
        <v>289.0</v>
      </c>
      <c r="G892" s="136">
        <v>21502.0</v>
      </c>
      <c r="H892" s="276">
        <v>119.19</v>
      </c>
      <c r="I892" s="228">
        <v>205.0</v>
      </c>
      <c r="J892" s="228">
        <v>188.0</v>
      </c>
      <c r="K892" s="1"/>
      <c r="L892" s="1"/>
      <c r="M892" s="1"/>
      <c r="N892" s="1"/>
      <c r="O892" s="1"/>
      <c r="P892" s="1"/>
      <c r="Q892" s="1"/>
      <c r="R892" s="1"/>
      <c r="S892" s="1"/>
      <c r="T892" s="1"/>
      <c r="U892" s="1"/>
    </row>
    <row r="893" ht="10.5" customHeight="1">
      <c r="A893" s="1"/>
      <c r="B893" s="48" t="s">
        <v>97</v>
      </c>
      <c r="C893" s="136">
        <v>25063.0</v>
      </c>
      <c r="D893" s="178">
        <v>5120.0</v>
      </c>
      <c r="E893" s="136">
        <v>8291.0</v>
      </c>
      <c r="F893" s="136">
        <v>380.0</v>
      </c>
      <c r="G893" s="136">
        <v>15240.0</v>
      </c>
      <c r="H893" s="276">
        <v>127.6</v>
      </c>
      <c r="I893" s="228">
        <v>106.0</v>
      </c>
      <c r="J893" s="228">
        <v>70.0</v>
      </c>
      <c r="K893" s="1"/>
      <c r="L893" s="1"/>
      <c r="M893" s="1"/>
      <c r="N893" s="1"/>
      <c r="O893" s="1"/>
      <c r="P893" s="1"/>
      <c r="Q893" s="1"/>
      <c r="R893" s="1"/>
      <c r="S893" s="1"/>
      <c r="T893" s="1"/>
      <c r="U893" s="1"/>
    </row>
    <row r="894" ht="10.5" customHeight="1">
      <c r="A894" s="1"/>
      <c r="B894" s="48" t="s">
        <v>101</v>
      </c>
      <c r="C894" s="136">
        <v>31638.0</v>
      </c>
      <c r="D894" s="178">
        <v>6515.0</v>
      </c>
      <c r="E894" s="136">
        <v>7826.0</v>
      </c>
      <c r="F894" s="136">
        <v>410.0</v>
      </c>
      <c r="G894" s="136">
        <v>22367.0</v>
      </c>
      <c r="H894" s="276">
        <v>146.95</v>
      </c>
      <c r="I894" s="228">
        <v>202.0</v>
      </c>
      <c r="J894" s="228">
        <v>178.0</v>
      </c>
      <c r="K894" s="1"/>
      <c r="L894" s="1"/>
      <c r="M894" s="1"/>
      <c r="N894" s="1"/>
      <c r="O894" s="1"/>
      <c r="P894" s="1"/>
      <c r="Q894" s="1"/>
      <c r="R894" s="1"/>
      <c r="S894" s="1"/>
      <c r="T894" s="1"/>
      <c r="U894" s="1"/>
    </row>
    <row r="895" ht="10.5" customHeight="1">
      <c r="A895" s="1"/>
      <c r="B895" s="48" t="s">
        <v>103</v>
      </c>
      <c r="C895" s="136">
        <v>24169.0</v>
      </c>
      <c r="D895" s="178">
        <v>6578.0</v>
      </c>
      <c r="E895" s="136">
        <v>6563.0</v>
      </c>
      <c r="F895" s="136">
        <v>544.0</v>
      </c>
      <c r="G895" s="136">
        <v>16394.0</v>
      </c>
      <c r="H895" s="276">
        <v>181.97</v>
      </c>
      <c r="I895" s="228">
        <v>209.0</v>
      </c>
      <c r="J895" s="228">
        <v>175.0</v>
      </c>
      <c r="K895" s="1"/>
      <c r="L895" s="1"/>
      <c r="M895" s="1"/>
      <c r="N895" s="1"/>
      <c r="O895" s="1"/>
      <c r="P895" s="1"/>
      <c r="Q895" s="1"/>
      <c r="R895" s="1"/>
      <c r="S895" s="1"/>
      <c r="T895" s="1"/>
      <c r="U895" s="1"/>
    </row>
    <row r="896" ht="10.5" customHeight="1">
      <c r="A896" s="1"/>
      <c r="B896" s="48" t="s">
        <v>104</v>
      </c>
      <c r="C896" s="136">
        <v>22523.0</v>
      </c>
      <c r="D896" s="178">
        <v>7207.0</v>
      </c>
      <c r="E896" s="136">
        <v>7004.0</v>
      </c>
      <c r="F896" s="136">
        <v>625.0</v>
      </c>
      <c r="G896" s="136">
        <v>14227.0</v>
      </c>
      <c r="H896" s="276">
        <v>196.96</v>
      </c>
      <c r="I896" s="228">
        <v>101.0</v>
      </c>
      <c r="J896" s="228">
        <v>80.0</v>
      </c>
      <c r="K896" s="1"/>
      <c r="L896" s="1"/>
      <c r="M896" s="1"/>
      <c r="N896" s="1"/>
      <c r="O896" s="1"/>
      <c r="P896" s="1"/>
      <c r="Q896" s="1"/>
      <c r="R896" s="1"/>
      <c r="S896" s="1"/>
      <c r="T896" s="1"/>
      <c r="U896" s="1"/>
    </row>
    <row r="897" ht="10.5" customHeight="1">
      <c r="A897" s="1"/>
      <c r="B897" s="48"/>
      <c r="C897" s="136"/>
      <c r="D897" s="178"/>
      <c r="E897" s="136"/>
      <c r="F897" s="136"/>
      <c r="G897" s="136"/>
      <c r="H897" s="276"/>
      <c r="I897" s="228"/>
      <c r="J897" s="228"/>
      <c r="K897" s="1"/>
      <c r="L897" s="1"/>
      <c r="M897" s="1"/>
      <c r="N897" s="1"/>
      <c r="O897" s="1"/>
      <c r="P897" s="1"/>
      <c r="Q897" s="1"/>
      <c r="R897" s="1"/>
      <c r="S897" s="1"/>
      <c r="T897" s="1"/>
      <c r="U897" s="1"/>
    </row>
    <row r="898" ht="10.5" customHeight="1">
      <c r="A898" s="1"/>
      <c r="B898" s="48" t="s">
        <v>108</v>
      </c>
      <c r="C898" s="136">
        <v>22867.0</v>
      </c>
      <c r="D898" s="178">
        <v>8487.0</v>
      </c>
      <c r="E898" s="136">
        <v>7540.0</v>
      </c>
      <c r="F898" s="136">
        <v>704.0</v>
      </c>
      <c r="G898" s="136">
        <v>13936.0</v>
      </c>
      <c r="H898" s="276">
        <v>225.38</v>
      </c>
      <c r="I898" s="228">
        <v>203.0</v>
      </c>
      <c r="J898" s="228">
        <v>165.0</v>
      </c>
      <c r="K898" s="1"/>
      <c r="L898" s="1"/>
      <c r="M898" s="1"/>
      <c r="N898" s="1"/>
      <c r="O898" s="1"/>
      <c r="P898" s="1"/>
      <c r="Q898" s="1"/>
      <c r="R898" s="1"/>
      <c r="S898" s="1"/>
      <c r="T898" s="1"/>
      <c r="U898" s="1"/>
    </row>
    <row r="899" ht="10.5" customHeight="1">
      <c r="A899" s="1"/>
      <c r="B899" s="48" t="s">
        <v>111</v>
      </c>
      <c r="C899" s="136">
        <v>23250.0</v>
      </c>
      <c r="D899" s="178">
        <v>9506.0</v>
      </c>
      <c r="E899" s="136">
        <v>6485.0</v>
      </c>
      <c r="F899" s="136">
        <v>840.0</v>
      </c>
      <c r="G899" s="136">
        <v>15569.0</v>
      </c>
      <c r="H899" s="276">
        <v>258.29</v>
      </c>
      <c r="I899" s="228">
        <v>100.0</v>
      </c>
      <c r="J899" s="228">
        <v>178.0</v>
      </c>
      <c r="K899" s="1"/>
      <c r="L899" s="1"/>
      <c r="M899" s="1"/>
      <c r="N899" s="1"/>
      <c r="O899" s="1"/>
      <c r="P899" s="1"/>
      <c r="Q899" s="1"/>
      <c r="R899" s="1"/>
      <c r="S899" s="1"/>
      <c r="T899" s="1"/>
      <c r="U899" s="1"/>
    </row>
    <row r="900" ht="10.5" customHeight="1">
      <c r="A900" s="1"/>
      <c r="B900" s="48" t="s">
        <v>112</v>
      </c>
      <c r="C900" s="136">
        <v>19931.0</v>
      </c>
      <c r="D900" s="178">
        <v>10336.0</v>
      </c>
      <c r="E900" s="136">
        <v>4619.0</v>
      </c>
      <c r="F900" s="136">
        <v>1135.0</v>
      </c>
      <c r="G900" s="136">
        <v>14461.0</v>
      </c>
      <c r="H900" s="276">
        <v>349.64</v>
      </c>
      <c r="I900" s="228">
        <v>202.0</v>
      </c>
      <c r="J900" s="228">
        <v>156.0</v>
      </c>
      <c r="K900" s="1"/>
      <c r="L900" s="1"/>
      <c r="M900" s="1"/>
      <c r="N900" s="1"/>
      <c r="O900" s="1"/>
      <c r="P900" s="1"/>
      <c r="Q900" s="1"/>
      <c r="R900" s="1"/>
      <c r="S900" s="1"/>
      <c r="T900" s="1"/>
      <c r="U900" s="1"/>
    </row>
    <row r="901" ht="10.5" customHeight="1">
      <c r="A901" s="1"/>
      <c r="B901" s="48" t="s">
        <v>113</v>
      </c>
      <c r="C901" s="136">
        <v>28151.0</v>
      </c>
      <c r="D901" s="178">
        <v>12893.0</v>
      </c>
      <c r="E901" s="136">
        <v>5118.0</v>
      </c>
      <c r="F901" s="136">
        <v>1141.0</v>
      </c>
      <c r="G901" s="136">
        <v>22090.0</v>
      </c>
      <c r="H901" s="276">
        <v>317.52</v>
      </c>
      <c r="I901" s="228">
        <v>201.0</v>
      </c>
      <c r="J901" s="228">
        <v>167.0</v>
      </c>
      <c r="K901" s="1"/>
      <c r="L901" s="1"/>
      <c r="M901" s="1"/>
      <c r="N901" s="1"/>
      <c r="O901" s="1"/>
      <c r="P901" s="1"/>
      <c r="Q901" s="1"/>
      <c r="R901" s="1"/>
      <c r="S901" s="1"/>
      <c r="T901" s="1"/>
      <c r="U901" s="1"/>
    </row>
    <row r="902" ht="10.5" customHeight="1">
      <c r="A902" s="1"/>
      <c r="B902" s="48" t="s">
        <v>114</v>
      </c>
      <c r="C902" s="136">
        <v>23100.0</v>
      </c>
      <c r="D902" s="178">
        <v>13232.0</v>
      </c>
      <c r="E902" s="136">
        <v>4361.0</v>
      </c>
      <c r="F902" s="136">
        <v>1482.0</v>
      </c>
      <c r="G902" s="136">
        <v>17934.0</v>
      </c>
      <c r="H902" s="276">
        <v>375.04</v>
      </c>
      <c r="I902" s="228">
        <v>201.0</v>
      </c>
      <c r="J902" s="228">
        <v>95.0</v>
      </c>
      <c r="K902" s="253"/>
      <c r="L902" s="1"/>
      <c r="M902" s="1"/>
      <c r="N902" s="1"/>
      <c r="O902" s="1"/>
      <c r="P902" s="1"/>
      <c r="Q902" s="1"/>
      <c r="R902" s="1"/>
      <c r="S902" s="1"/>
      <c r="T902" s="1"/>
      <c r="U902" s="1"/>
    </row>
    <row r="903" ht="10.5" customHeight="1">
      <c r="A903" s="1"/>
      <c r="B903" s="48"/>
      <c r="C903" s="136"/>
      <c r="D903" s="178"/>
      <c r="E903" s="136"/>
      <c r="F903" s="136"/>
      <c r="G903" s="136"/>
      <c r="H903" s="276"/>
      <c r="I903" s="228"/>
      <c r="J903" s="228"/>
      <c r="K903" s="1"/>
      <c r="L903" s="1"/>
      <c r="M903" s="1"/>
      <c r="N903" s="1"/>
      <c r="O903" s="1"/>
      <c r="P903" s="1"/>
      <c r="Q903" s="1"/>
      <c r="R903" s="1"/>
      <c r="S903" s="1"/>
      <c r="T903" s="1"/>
      <c r="U903" s="1"/>
    </row>
    <row r="904" ht="10.5" customHeight="1">
      <c r="A904" s="1"/>
      <c r="B904" s="48" t="s">
        <v>115</v>
      </c>
      <c r="C904" s="136">
        <v>21166.0</v>
      </c>
      <c r="D904" s="178">
        <v>15702.0</v>
      </c>
      <c r="E904" s="136">
        <v>3863.0</v>
      </c>
      <c r="F904" s="136">
        <v>1783.0</v>
      </c>
      <c r="G904" s="136">
        <v>16589.0</v>
      </c>
      <c r="H904" s="276">
        <v>528.6</v>
      </c>
      <c r="I904" s="228">
        <v>100.0</v>
      </c>
      <c r="J904" s="228">
        <v>53.0</v>
      </c>
      <c r="K904" s="1"/>
      <c r="L904" s="1"/>
      <c r="M904" s="1"/>
      <c r="N904" s="1"/>
      <c r="O904" s="1"/>
      <c r="P904" s="1"/>
      <c r="Q904" s="1"/>
      <c r="R904" s="1"/>
      <c r="S904" s="1"/>
      <c r="T904" s="1"/>
      <c r="U904" s="1"/>
    </row>
    <row r="905" ht="10.5" customHeight="1">
      <c r="A905" s="1"/>
      <c r="B905" s="48" t="s">
        <v>117</v>
      </c>
      <c r="C905" s="136">
        <v>16582.0</v>
      </c>
      <c r="D905" s="178">
        <v>15052.0</v>
      </c>
      <c r="E905" s="136">
        <v>3097.0</v>
      </c>
      <c r="F905" s="136">
        <v>2132.0</v>
      </c>
      <c r="G905" s="136">
        <v>12914.0</v>
      </c>
      <c r="H905" s="276">
        <v>650.83</v>
      </c>
      <c r="I905" s="228">
        <v>208.0</v>
      </c>
      <c r="J905" s="228">
        <v>335.0</v>
      </c>
      <c r="K905" s="1"/>
      <c r="L905" s="1"/>
      <c r="M905" s="1"/>
      <c r="N905" s="1"/>
      <c r="O905" s="1"/>
      <c r="P905" s="1"/>
      <c r="Q905" s="1"/>
      <c r="R905" s="1"/>
      <c r="S905" s="1"/>
      <c r="T905" s="1"/>
      <c r="U905" s="1"/>
    </row>
    <row r="906" ht="10.5" customHeight="1">
      <c r="A906" s="1"/>
      <c r="B906" s="48" t="s">
        <v>121</v>
      </c>
      <c r="C906" s="136">
        <v>28559.0</v>
      </c>
      <c r="D906" s="178">
        <v>19111.0</v>
      </c>
      <c r="E906" s="136">
        <v>3946.0</v>
      </c>
      <c r="F906" s="136">
        <v>1927.0</v>
      </c>
      <c r="G906" s="136">
        <v>23884.0</v>
      </c>
      <c r="H906" s="276">
        <v>479.54</v>
      </c>
      <c r="I906" s="228">
        <v>100.0</v>
      </c>
      <c r="J906" s="228">
        <v>161.0</v>
      </c>
      <c r="K906" s="1"/>
      <c r="L906" s="1"/>
      <c r="M906" s="1"/>
      <c r="N906" s="1"/>
      <c r="O906" s="1"/>
      <c r="P906" s="1"/>
      <c r="Q906" s="1"/>
      <c r="R906" s="1"/>
      <c r="S906" s="1"/>
      <c r="T906" s="1"/>
      <c r="U906" s="1"/>
    </row>
    <row r="907" ht="10.5" customHeight="1">
      <c r="A907" s="1"/>
      <c r="B907" s="48" t="s">
        <v>122</v>
      </c>
      <c r="C907" s="136">
        <v>18053.0</v>
      </c>
      <c r="D907" s="178">
        <v>14342.0</v>
      </c>
      <c r="E907" s="136">
        <v>3696.0</v>
      </c>
      <c r="F907" s="136">
        <v>2082.0</v>
      </c>
      <c r="G907" s="136">
        <v>13676.0</v>
      </c>
      <c r="H907" s="276">
        <v>482.05</v>
      </c>
      <c r="I907" s="228">
        <v>130.0</v>
      </c>
      <c r="J907" s="228">
        <v>324.0</v>
      </c>
      <c r="K907" s="1"/>
      <c r="L907" s="1"/>
      <c r="M907" s="1"/>
      <c r="N907" s="1"/>
      <c r="O907" s="1"/>
      <c r="P907" s="1"/>
      <c r="Q907" s="1"/>
      <c r="R907" s="1"/>
      <c r="S907" s="1"/>
      <c r="T907" s="1"/>
      <c r="U907" s="1"/>
    </row>
    <row r="908" ht="10.5" customHeight="1">
      <c r="A908" s="496"/>
      <c r="B908" s="48" t="s">
        <v>123</v>
      </c>
      <c r="C908" s="136">
        <v>21911.0</v>
      </c>
      <c r="D908" s="178">
        <v>16624.0</v>
      </c>
      <c r="E908" s="136">
        <v>3240.0</v>
      </c>
      <c r="F908" s="136">
        <v>2362.0</v>
      </c>
      <c r="G908" s="136">
        <v>18074.0</v>
      </c>
      <c r="H908" s="276">
        <v>493.49</v>
      </c>
      <c r="I908" s="228">
        <v>100.0</v>
      </c>
      <c r="J908" s="228">
        <v>119.0</v>
      </c>
      <c r="K908" s="1"/>
      <c r="L908" s="1"/>
      <c r="M908" s="1"/>
      <c r="N908" s="1"/>
      <c r="O908" s="1"/>
      <c r="P908" s="1"/>
      <c r="Q908" s="1"/>
      <c r="R908" s="1"/>
      <c r="S908" s="1"/>
      <c r="T908" s="1"/>
      <c r="U908" s="1"/>
    </row>
    <row r="909" ht="10.5" customHeight="1">
      <c r="A909" s="496"/>
      <c r="B909" s="48"/>
      <c r="C909" s="136"/>
      <c r="D909" s="178"/>
      <c r="E909" s="136"/>
      <c r="F909" s="136"/>
      <c r="G909" s="136"/>
      <c r="H909" s="276"/>
      <c r="I909" s="228"/>
      <c r="J909" s="228"/>
      <c r="K909" s="1"/>
      <c r="L909" s="1"/>
      <c r="M909" s="1"/>
      <c r="N909" s="1"/>
      <c r="O909" s="1"/>
      <c r="P909" s="1"/>
      <c r="Q909" s="1"/>
      <c r="R909" s="1"/>
      <c r="S909" s="1"/>
      <c r="T909" s="1"/>
      <c r="U909" s="1"/>
    </row>
    <row r="910" ht="10.5" customHeight="1">
      <c r="A910" s="1"/>
      <c r="B910" s="168" t="s">
        <v>125</v>
      </c>
      <c r="C910" s="136">
        <v>25179.0</v>
      </c>
      <c r="D910" s="178">
        <v>19120.0</v>
      </c>
      <c r="E910" s="136">
        <v>2937.0</v>
      </c>
      <c r="F910" s="136">
        <v>2581.0</v>
      </c>
      <c r="G910" s="136">
        <v>21699.0</v>
      </c>
      <c r="H910" s="276">
        <v>529.38</v>
      </c>
      <c r="I910" s="228">
        <v>100.0</v>
      </c>
      <c r="J910" s="228">
        <v>90.0</v>
      </c>
      <c r="K910" s="1"/>
      <c r="L910" s="1"/>
      <c r="M910" s="1"/>
      <c r="N910" s="1"/>
      <c r="O910" s="1"/>
      <c r="P910" s="1"/>
      <c r="Q910" s="1"/>
      <c r="R910" s="1"/>
      <c r="S910" s="1"/>
      <c r="T910" s="1"/>
      <c r="U910" s="1"/>
    </row>
    <row r="911" ht="10.5" customHeight="1">
      <c r="A911" s="1"/>
      <c r="B911" s="168" t="s">
        <v>127</v>
      </c>
      <c r="C911" s="169">
        <v>26637.0</v>
      </c>
      <c r="D911" s="179">
        <v>19545.0</v>
      </c>
      <c r="E911" s="169">
        <v>3076.0</v>
      </c>
      <c r="F911" s="169">
        <v>2757.0</v>
      </c>
      <c r="G911" s="169">
        <v>22993.0</v>
      </c>
      <c r="H911" s="289">
        <v>478.83</v>
      </c>
      <c r="I911" s="217">
        <v>100.0</v>
      </c>
      <c r="J911" s="228">
        <v>159.0</v>
      </c>
      <c r="K911" s="1"/>
      <c r="L911" s="1"/>
      <c r="M911" s="1"/>
      <c r="N911" s="1"/>
      <c r="O911" s="1"/>
      <c r="P911" s="1"/>
      <c r="Q911" s="1"/>
      <c r="R911" s="1"/>
      <c r="S911" s="1"/>
      <c r="T911" s="1"/>
      <c r="U911" s="1"/>
    </row>
    <row r="912" ht="10.5" customHeight="1">
      <c r="A912" s="1"/>
      <c r="B912" s="48" t="s">
        <v>128</v>
      </c>
      <c r="C912" s="169">
        <v>26441.0</v>
      </c>
      <c r="D912" s="179">
        <v>25434.0</v>
      </c>
      <c r="E912" s="169">
        <v>2854.0</v>
      </c>
      <c r="F912" s="169">
        <v>3328.0</v>
      </c>
      <c r="G912" s="169">
        <v>23060.0</v>
      </c>
      <c r="H912" s="289">
        <v>688.27</v>
      </c>
      <c r="I912" s="217" t="s">
        <v>40</v>
      </c>
      <c r="J912" s="217" t="s">
        <v>40</v>
      </c>
      <c r="K912" s="1"/>
      <c r="L912" s="1"/>
      <c r="M912" s="1"/>
      <c r="N912" s="1"/>
      <c r="O912" s="1"/>
      <c r="P912" s="1"/>
      <c r="Q912" s="1"/>
      <c r="R912" s="1"/>
      <c r="S912" s="1"/>
      <c r="T912" s="1"/>
      <c r="U912" s="1"/>
    </row>
    <row r="913" ht="10.5" customHeight="1">
      <c r="A913" s="1"/>
      <c r="B913" s="48" t="s">
        <v>129</v>
      </c>
      <c r="C913" s="169">
        <v>24132.0</v>
      </c>
      <c r="D913" s="179">
        <v>27599.0</v>
      </c>
      <c r="E913" s="169">
        <v>2607.0</v>
      </c>
      <c r="F913" s="169">
        <v>3730.0</v>
      </c>
      <c r="G913" s="169">
        <v>21043.0</v>
      </c>
      <c r="H913" s="289">
        <v>846.21</v>
      </c>
      <c r="I913" s="217" t="s">
        <v>40</v>
      </c>
      <c r="J913" s="217" t="s">
        <v>40</v>
      </c>
      <c r="K913" s="1"/>
      <c r="L913" s="1"/>
      <c r="M913" s="1"/>
      <c r="N913" s="1"/>
      <c r="O913" s="1"/>
      <c r="P913" s="1"/>
      <c r="Q913" s="1"/>
      <c r="R913" s="1"/>
      <c r="S913" s="1"/>
      <c r="T913" s="1"/>
      <c r="U913" s="1"/>
    </row>
    <row r="914" ht="10.5" customHeight="1">
      <c r="A914" s="1"/>
      <c r="B914" s="48" t="s">
        <v>130</v>
      </c>
      <c r="C914" s="169">
        <v>28278.0</v>
      </c>
      <c r="D914" s="179">
        <v>32027.0</v>
      </c>
      <c r="E914" s="169">
        <v>3006.0</v>
      </c>
      <c r="F914" s="169">
        <v>3732.0</v>
      </c>
      <c r="G914" s="169">
        <v>24718.0</v>
      </c>
      <c r="H914" s="289">
        <v>838.72</v>
      </c>
      <c r="I914" s="217" t="s">
        <v>40</v>
      </c>
      <c r="J914" s="217" t="s">
        <v>40</v>
      </c>
      <c r="K914" s="1"/>
      <c r="L914" s="1"/>
      <c r="M914" s="1"/>
      <c r="N914" s="1"/>
      <c r="O914" s="1"/>
      <c r="P914" s="1"/>
      <c r="Q914" s="1"/>
      <c r="R914" s="1"/>
      <c r="S914" s="1"/>
      <c r="T914" s="1"/>
      <c r="U914" s="1"/>
    </row>
    <row r="915" ht="10.5" customHeight="1">
      <c r="A915" s="1"/>
      <c r="B915" s="48"/>
      <c r="C915" s="169"/>
      <c r="D915" s="179"/>
      <c r="E915" s="169"/>
      <c r="F915" s="169"/>
      <c r="G915" s="169"/>
      <c r="H915" s="289"/>
      <c r="I915" s="217"/>
      <c r="J915" s="217"/>
      <c r="K915" s="1"/>
      <c r="L915" s="1"/>
      <c r="M915" s="1"/>
      <c r="N915" s="1"/>
      <c r="O915" s="1"/>
      <c r="P915" s="1"/>
      <c r="Q915" s="1"/>
      <c r="R915" s="1"/>
      <c r="S915" s="1"/>
      <c r="T915" s="1"/>
      <c r="U915" s="1"/>
    </row>
    <row r="916" ht="10.5" customHeight="1">
      <c r="A916" s="1"/>
      <c r="B916" s="48" t="s">
        <v>131</v>
      </c>
      <c r="C916" s="169">
        <v>28540.0</v>
      </c>
      <c r="D916" s="179">
        <v>33383.0</v>
      </c>
      <c r="E916" s="169">
        <v>2242.0</v>
      </c>
      <c r="F916" s="169">
        <v>4643.0</v>
      </c>
      <c r="G916" s="169">
        <v>25883.0</v>
      </c>
      <c r="H916" s="289">
        <v>884.81</v>
      </c>
      <c r="I916" s="217" t="s">
        <v>40</v>
      </c>
      <c r="J916" s="217" t="s">
        <v>40</v>
      </c>
      <c r="K916" s="1"/>
      <c r="L916" s="1"/>
      <c r="M916" s="1"/>
      <c r="N916" s="1"/>
      <c r="O916" s="1"/>
      <c r="P916" s="1"/>
      <c r="Q916" s="1"/>
      <c r="R916" s="1"/>
      <c r="S916" s="1"/>
      <c r="T916" s="1"/>
      <c r="U916" s="1"/>
    </row>
    <row r="917" ht="10.5" customHeight="1">
      <c r="A917" s="1"/>
      <c r="B917" s="48" t="s">
        <v>133</v>
      </c>
      <c r="C917" s="169">
        <v>27003.0</v>
      </c>
      <c r="D917" s="179">
        <v>39617.0</v>
      </c>
      <c r="E917" s="169">
        <v>2804.0</v>
      </c>
      <c r="F917" s="169">
        <v>4897.0</v>
      </c>
      <c r="G917" s="169">
        <v>23681.0</v>
      </c>
      <c r="H917" s="289">
        <v>1089.03</v>
      </c>
      <c r="I917" s="217" t="s">
        <v>40</v>
      </c>
      <c r="J917" s="217" t="s">
        <v>40</v>
      </c>
      <c r="K917" s="1"/>
      <c r="L917" s="1"/>
      <c r="M917" s="1"/>
      <c r="N917" s="1"/>
      <c r="O917" s="1"/>
      <c r="P917" s="1"/>
      <c r="Q917" s="1"/>
      <c r="R917" s="1"/>
      <c r="S917" s="1"/>
      <c r="T917" s="1"/>
      <c r="U917" s="1"/>
    </row>
    <row r="918" ht="10.5" customHeight="1">
      <c r="A918" s="1"/>
      <c r="B918" s="293">
        <v>39295.0</v>
      </c>
      <c r="C918" s="169">
        <v>27486.0</v>
      </c>
      <c r="D918" s="179">
        <v>43103.0</v>
      </c>
      <c r="E918" s="169">
        <v>2466.0</v>
      </c>
      <c r="F918" s="169">
        <v>5597.0</v>
      </c>
      <c r="G918" s="169">
        <v>24565.0</v>
      </c>
      <c r="H918" s="289">
        <v>1188.91</v>
      </c>
      <c r="I918" s="217">
        <v>100.0</v>
      </c>
      <c r="J918" s="217">
        <v>242.0</v>
      </c>
      <c r="K918" s="1"/>
      <c r="L918" s="1"/>
      <c r="M918" s="1"/>
      <c r="N918" s="1"/>
      <c r="O918" s="1"/>
      <c r="P918" s="1"/>
      <c r="Q918" s="1"/>
      <c r="R918" s="1"/>
      <c r="S918" s="1"/>
      <c r="T918" s="1"/>
      <c r="U918" s="1"/>
    </row>
    <row r="919" ht="10.5" customHeight="1">
      <c r="A919" s="1"/>
      <c r="B919" s="293">
        <v>39692.0</v>
      </c>
      <c r="C919" s="169">
        <v>26294.0</v>
      </c>
      <c r="D919" s="179">
        <v>45782.0</v>
      </c>
      <c r="E919" s="169">
        <v>2553.0</v>
      </c>
      <c r="F919" s="169">
        <v>6726.0</v>
      </c>
      <c r="G919" s="169">
        <v>23270.0</v>
      </c>
      <c r="H919" s="289">
        <v>1224.43</v>
      </c>
      <c r="I919" s="217" t="s">
        <v>40</v>
      </c>
      <c r="J919" s="217" t="s">
        <v>40</v>
      </c>
      <c r="K919" s="1"/>
      <c r="L919" s="1"/>
      <c r="M919" s="1"/>
      <c r="N919" s="1"/>
      <c r="O919" s="1"/>
      <c r="P919" s="1"/>
      <c r="Q919" s="1"/>
      <c r="R919" s="1"/>
      <c r="S919" s="1"/>
      <c r="T919" s="1"/>
      <c r="U919" s="1"/>
    </row>
    <row r="920" ht="10.5" customHeight="1">
      <c r="A920" s="1"/>
      <c r="B920" s="293">
        <v>40087.0</v>
      </c>
      <c r="C920" s="169">
        <v>25865.0</v>
      </c>
      <c r="D920" s="179">
        <v>46743.0</v>
      </c>
      <c r="E920" s="169">
        <v>2517.0</v>
      </c>
      <c r="F920" s="169">
        <v>6981.0</v>
      </c>
      <c r="G920" s="169">
        <v>22884.0</v>
      </c>
      <c r="H920" s="289">
        <v>1269.49</v>
      </c>
      <c r="I920" s="217" t="s">
        <v>40</v>
      </c>
      <c r="J920" s="217" t="s">
        <v>40</v>
      </c>
      <c r="K920" s="1"/>
      <c r="L920" s="1"/>
      <c r="M920" s="1"/>
      <c r="N920" s="1"/>
      <c r="O920" s="1"/>
      <c r="P920" s="1"/>
      <c r="Q920" s="1"/>
      <c r="R920" s="1"/>
      <c r="S920" s="1"/>
      <c r="T920" s="1"/>
      <c r="U920" s="1"/>
    </row>
    <row r="921" ht="10.5" customHeight="1">
      <c r="A921" s="1"/>
      <c r="B921" s="293"/>
      <c r="C921" s="169"/>
      <c r="D921" s="179"/>
      <c r="E921" s="169"/>
      <c r="F921" s="169"/>
      <c r="G921" s="169"/>
      <c r="H921" s="289"/>
      <c r="I921" s="217"/>
      <c r="J921" s="217"/>
      <c r="K921" s="1"/>
      <c r="L921" s="1"/>
      <c r="M921" s="1"/>
      <c r="N921" s="1"/>
      <c r="O921" s="1"/>
      <c r="P921" s="1"/>
      <c r="Q921" s="1"/>
      <c r="R921" s="1"/>
      <c r="S921" s="1"/>
      <c r="T921" s="1"/>
      <c r="U921" s="1"/>
    </row>
    <row r="922" ht="10.5" customHeight="1">
      <c r="A922" s="1"/>
      <c r="B922" s="11" t="s">
        <v>139</v>
      </c>
      <c r="C922" s="169">
        <v>31420.0</v>
      </c>
      <c r="D922" s="178">
        <v>47250.0</v>
      </c>
      <c r="E922" s="169">
        <v>2678.0</v>
      </c>
      <c r="F922" s="169">
        <v>6762.0</v>
      </c>
      <c r="G922" s="169">
        <v>28247.0</v>
      </c>
      <c r="H922" s="289">
        <v>1027.28</v>
      </c>
      <c r="I922" s="217" t="s">
        <v>40</v>
      </c>
      <c r="J922" s="217" t="s">
        <v>40</v>
      </c>
      <c r="K922" s="1"/>
      <c r="L922" s="1"/>
      <c r="M922" s="1"/>
      <c r="N922" s="1"/>
      <c r="O922" s="1"/>
      <c r="P922" s="1"/>
      <c r="Q922" s="1"/>
      <c r="R922" s="1"/>
      <c r="S922" s="1"/>
      <c r="T922" s="1"/>
      <c r="U922" s="1"/>
    </row>
    <row r="923" ht="10.5" customHeight="1">
      <c r="A923" s="1"/>
      <c r="B923" s="11" t="s">
        <v>143</v>
      </c>
      <c r="C923" s="169">
        <v>23672.0</v>
      </c>
      <c r="D923" s="178">
        <v>37564.0</v>
      </c>
      <c r="E923" s="169">
        <v>2343.0</v>
      </c>
      <c r="F923" s="169">
        <v>6824.0</v>
      </c>
      <c r="G923" s="169">
        <v>20896.0</v>
      </c>
      <c r="H923" s="289">
        <v>1027.25</v>
      </c>
      <c r="I923" s="217" t="s">
        <v>40</v>
      </c>
      <c r="J923" s="217" t="s">
        <v>40</v>
      </c>
      <c r="K923" s="1"/>
      <c r="L923" s="1"/>
      <c r="M923" s="1"/>
      <c r="N923" s="1"/>
      <c r="O923" s="1"/>
      <c r="P923" s="1"/>
      <c r="Q923" s="1"/>
      <c r="R923" s="1"/>
      <c r="S923" s="1"/>
      <c r="T923" s="1"/>
      <c r="U923" s="1"/>
    </row>
    <row r="924" ht="10.5" customHeight="1">
      <c r="A924" s="1"/>
      <c r="B924" s="11" t="s">
        <v>149</v>
      </c>
      <c r="C924" s="169">
        <v>33574.0</v>
      </c>
      <c r="D924" s="178">
        <v>53439.0</v>
      </c>
      <c r="E924" s="169">
        <v>2491.0</v>
      </c>
      <c r="F924" s="169">
        <v>7025.0</v>
      </c>
      <c r="G924" s="169">
        <v>30658.0</v>
      </c>
      <c r="H924" s="289">
        <v>1174.87</v>
      </c>
      <c r="I924" s="217" t="s">
        <v>40</v>
      </c>
      <c r="J924" s="217" t="s">
        <v>40</v>
      </c>
      <c r="K924" s="1"/>
      <c r="L924" s="1"/>
      <c r="M924" s="1"/>
      <c r="N924" s="1"/>
      <c r="O924" s="1"/>
      <c r="P924" s="1"/>
      <c r="Q924" s="1"/>
      <c r="R924" s="1"/>
      <c r="S924" s="1"/>
      <c r="T924" s="1"/>
      <c r="U924" s="1"/>
    </row>
    <row r="925" ht="10.5" customHeight="1">
      <c r="A925" s="1"/>
      <c r="B925" s="11" t="s">
        <v>151</v>
      </c>
      <c r="C925" s="169">
        <v>31584.0</v>
      </c>
      <c r="D925" s="178">
        <v>52609.0</v>
      </c>
      <c r="E925" s="169">
        <v>1652.0</v>
      </c>
      <c r="F925" s="169">
        <v>8378.0</v>
      </c>
      <c r="G925" s="169">
        <v>29581.0</v>
      </c>
      <c r="H925" s="289">
        <v>1322.31</v>
      </c>
      <c r="I925" s="217" t="s">
        <v>998</v>
      </c>
      <c r="J925" s="217" t="s">
        <v>998</v>
      </c>
      <c r="K925" s="1"/>
      <c r="L925" s="1"/>
      <c r="M925" s="1"/>
      <c r="N925" s="1"/>
      <c r="O925" s="1"/>
      <c r="P925" s="1"/>
      <c r="Q925" s="1"/>
      <c r="R925" s="1"/>
      <c r="S925" s="1"/>
      <c r="T925" s="1"/>
      <c r="U925" s="1"/>
    </row>
    <row r="926" ht="10.5" customHeight="1">
      <c r="A926" s="1"/>
      <c r="B926" s="11" t="s">
        <v>153</v>
      </c>
      <c r="C926" s="169">
        <v>31837.0</v>
      </c>
      <c r="D926" s="178">
        <v>69609.0</v>
      </c>
      <c r="E926" s="169">
        <v>2358.0</v>
      </c>
      <c r="F926" s="169">
        <v>8245.0</v>
      </c>
      <c r="G926" s="169">
        <v>29035.0</v>
      </c>
      <c r="H926" s="289">
        <v>1755.97</v>
      </c>
      <c r="I926" s="217" t="s">
        <v>40</v>
      </c>
      <c r="J926" s="217" t="s">
        <v>40</v>
      </c>
      <c r="K926" s="1"/>
      <c r="L926" s="1"/>
      <c r="M926" s="1"/>
      <c r="N926" s="1"/>
      <c r="O926" s="1"/>
      <c r="P926" s="1"/>
      <c r="Q926" s="1"/>
      <c r="R926" s="1"/>
      <c r="S926" s="1"/>
      <c r="T926" s="1"/>
      <c r="U926" s="1"/>
    </row>
    <row r="927" ht="10.5" customHeight="1">
      <c r="A927" s="1"/>
      <c r="B927" s="11"/>
      <c r="C927" s="169"/>
      <c r="D927" s="178"/>
      <c r="E927" s="169"/>
      <c r="F927" s="169"/>
      <c r="G927" s="169"/>
      <c r="H927" s="289"/>
      <c r="I927" s="217"/>
      <c r="J927" s="217"/>
      <c r="K927" s="1"/>
      <c r="L927" s="1"/>
      <c r="M927" s="1"/>
      <c r="N927" s="1"/>
      <c r="O927" s="1"/>
      <c r="P927" s="1"/>
      <c r="Q927" s="1"/>
      <c r="R927" s="1"/>
      <c r="S927" s="1"/>
      <c r="T927" s="1"/>
      <c r="U927" s="1"/>
    </row>
    <row r="928" ht="10.5" customHeight="1">
      <c r="A928" s="1"/>
      <c r="B928" s="11" t="s">
        <v>155</v>
      </c>
      <c r="C928" s="169">
        <v>26566.0</v>
      </c>
      <c r="D928" s="178">
        <v>87580.0</v>
      </c>
      <c r="E928" s="169">
        <v>1714.0</v>
      </c>
      <c r="F928" s="169">
        <v>8996.0</v>
      </c>
      <c r="G928" s="169">
        <v>24003.0</v>
      </c>
      <c r="H928" s="289">
        <v>2931.96</v>
      </c>
      <c r="I928" s="217" t="s">
        <v>40</v>
      </c>
      <c r="J928" s="217" t="s">
        <v>40</v>
      </c>
      <c r="K928" s="1"/>
      <c r="L928" s="1"/>
      <c r="M928" s="1"/>
      <c r="N928" s="1"/>
      <c r="O928" s="1"/>
      <c r="P928" s="1"/>
      <c r="Q928" s="1"/>
      <c r="R928" s="1"/>
      <c r="S928" s="1"/>
      <c r="T928" s="1"/>
      <c r="U928" s="1"/>
    </row>
    <row r="929" ht="10.5" customHeight="1">
      <c r="A929" s="1"/>
      <c r="B929" s="52" t="s">
        <v>1076</v>
      </c>
      <c r="C929" s="260">
        <v>28108.0</v>
      </c>
      <c r="D929" s="184">
        <v>93616.0</v>
      </c>
      <c r="E929" s="260">
        <v>1520.0</v>
      </c>
      <c r="F929" s="260">
        <v>9805.0</v>
      </c>
      <c r="G929" s="260">
        <v>25997.0</v>
      </c>
      <c r="H929" s="290">
        <v>3029.17</v>
      </c>
      <c r="I929" s="241" t="s">
        <v>40</v>
      </c>
      <c r="J929" s="241" t="s">
        <v>40</v>
      </c>
      <c r="K929" s="1"/>
      <c r="L929" s="1"/>
      <c r="M929" s="1"/>
      <c r="N929" s="1"/>
      <c r="O929" s="1"/>
      <c r="P929" s="1"/>
      <c r="Q929" s="1"/>
      <c r="R929" s="1"/>
      <c r="S929" s="1"/>
      <c r="T929" s="1"/>
      <c r="U929" s="1"/>
    </row>
    <row r="930" ht="6.0" customHeight="1">
      <c r="A930" s="1"/>
      <c r="B930" s="242"/>
      <c r="C930" s="660"/>
      <c r="D930" s="689"/>
      <c r="E930" s="660"/>
      <c r="F930" s="267"/>
      <c r="G930" s="267"/>
      <c r="H930" s="292"/>
      <c r="I930" s="244"/>
      <c r="J930" s="244"/>
      <c r="K930" s="1"/>
      <c r="L930" s="1"/>
      <c r="M930" s="1"/>
      <c r="N930" s="1"/>
      <c r="O930" s="1"/>
      <c r="P930" s="1"/>
      <c r="Q930" s="1"/>
      <c r="R930" s="1"/>
      <c r="S930" s="1"/>
      <c r="T930" s="1"/>
      <c r="U930" s="1"/>
    </row>
    <row r="931" ht="10.5" customHeight="1">
      <c r="A931" s="1"/>
      <c r="B931" s="185" t="s">
        <v>1077</v>
      </c>
      <c r="C931" s="185"/>
      <c r="D931" s="691"/>
      <c r="E931" s="185"/>
      <c r="F931" s="185"/>
      <c r="G931" s="185"/>
      <c r="H931" s="185"/>
      <c r="I931" s="1"/>
      <c r="J931" s="1"/>
      <c r="K931" s="1"/>
      <c r="L931" s="1"/>
      <c r="M931" s="1"/>
      <c r="N931" s="1"/>
      <c r="O931" s="1"/>
      <c r="P931" s="1"/>
      <c r="Q931" s="1"/>
      <c r="R931" s="1"/>
      <c r="S931" s="1"/>
      <c r="T931" s="1"/>
      <c r="U931" s="1"/>
    </row>
    <row r="932" ht="10.5" customHeight="1">
      <c r="A932" s="1"/>
      <c r="B932" s="185" t="s">
        <v>1078</v>
      </c>
      <c r="C932" s="185"/>
      <c r="D932" s="185"/>
      <c r="E932" s="185"/>
      <c r="F932" s="185"/>
      <c r="G932" s="185"/>
      <c r="H932" s="185"/>
      <c r="I932" s="1"/>
      <c r="J932" s="1"/>
      <c r="K932" s="1"/>
      <c r="L932" s="1"/>
      <c r="M932" s="1"/>
      <c r="N932" s="1"/>
      <c r="O932" s="1"/>
      <c r="P932" s="1"/>
      <c r="Q932" s="1"/>
      <c r="R932" s="1"/>
      <c r="S932" s="1"/>
      <c r="T932" s="1"/>
      <c r="U932" s="1"/>
    </row>
    <row r="933" ht="10.5" customHeight="1">
      <c r="A933" s="1"/>
      <c r="B933" s="185" t="s">
        <v>662</v>
      </c>
      <c r="C933" s="185"/>
      <c r="D933" s="185"/>
      <c r="E933" s="185"/>
      <c r="F933" s="185"/>
      <c r="G933" s="185"/>
      <c r="H933" s="185"/>
      <c r="I933" s="1"/>
      <c r="J933" s="1"/>
      <c r="K933" s="1"/>
      <c r="L933" s="1"/>
      <c r="M933" s="1"/>
      <c r="N933" s="1"/>
      <c r="O933" s="1"/>
      <c r="P933" s="1"/>
      <c r="Q933" s="1"/>
      <c r="R933" s="1"/>
      <c r="S933" s="1"/>
      <c r="T933" s="1"/>
      <c r="U933" s="1"/>
    </row>
    <row r="934" ht="10.5" customHeight="1">
      <c r="A934" s="1"/>
      <c r="B934" s="185" t="s">
        <v>663</v>
      </c>
      <c r="C934" s="185"/>
      <c r="D934" s="185"/>
      <c r="E934" s="185"/>
      <c r="F934" s="185"/>
      <c r="G934" s="185"/>
      <c r="H934" s="185"/>
      <c r="I934" s="1"/>
      <c r="J934" s="1"/>
      <c r="K934" s="1"/>
      <c r="L934" s="1"/>
      <c r="M934" s="1"/>
      <c r="N934" s="1"/>
      <c r="O934" s="1"/>
      <c r="P934" s="1"/>
      <c r="Q934" s="1"/>
      <c r="R934" s="1"/>
      <c r="S934" s="1"/>
      <c r="T934" s="1"/>
      <c r="U934" s="1"/>
    </row>
    <row r="935" ht="10.5" customHeight="1">
      <c r="A935" s="1"/>
      <c r="B935" s="185" t="s">
        <v>664</v>
      </c>
      <c r="C935" s="185"/>
      <c r="D935" s="185"/>
      <c r="E935" s="185"/>
      <c r="F935" s="185"/>
      <c r="G935" s="185"/>
      <c r="H935" s="185"/>
      <c r="I935" s="1"/>
      <c r="J935" s="1"/>
      <c r="K935" s="1"/>
      <c r="L935" s="1"/>
      <c r="M935" s="1"/>
      <c r="N935" s="1"/>
      <c r="O935" s="1"/>
      <c r="P935" s="1"/>
      <c r="Q935" s="1"/>
      <c r="R935" s="1"/>
      <c r="S935" s="1"/>
      <c r="T935" s="1"/>
      <c r="U935" s="1"/>
    </row>
    <row r="936" ht="10.5" customHeight="1">
      <c r="A936" s="1"/>
      <c r="B936" s="185" t="s">
        <v>665</v>
      </c>
      <c r="C936" s="185"/>
      <c r="D936" s="185"/>
      <c r="E936" s="185"/>
      <c r="F936" s="185"/>
      <c r="G936" s="185"/>
      <c r="H936" s="185"/>
      <c r="I936" s="1"/>
      <c r="J936" s="1"/>
      <c r="K936" s="1"/>
      <c r="L936" s="1"/>
      <c r="M936" s="1"/>
      <c r="N936" s="1"/>
      <c r="O936" s="1"/>
      <c r="P936" s="1"/>
      <c r="Q936" s="1"/>
      <c r="R936" s="1"/>
      <c r="S936" s="1"/>
      <c r="T936" s="1"/>
      <c r="U936" s="1"/>
    </row>
    <row r="937" ht="10.5" customHeight="1">
      <c r="A937" s="1"/>
      <c r="B937" s="311" t="s">
        <v>666</v>
      </c>
      <c r="I937" s="1"/>
      <c r="J937" s="1"/>
      <c r="K937" s="1"/>
      <c r="L937" s="1"/>
      <c r="M937" s="1"/>
      <c r="N937" s="1"/>
      <c r="O937" s="1"/>
      <c r="P937" s="1"/>
      <c r="Q937" s="1"/>
      <c r="R937" s="1"/>
      <c r="S937" s="1"/>
      <c r="T937" s="1"/>
      <c r="U937" s="1"/>
    </row>
    <row r="938" ht="10.5" customHeight="1">
      <c r="A938" s="1"/>
      <c r="B938" s="311" t="s">
        <v>667</v>
      </c>
      <c r="C938" s="311"/>
      <c r="D938" s="311"/>
      <c r="E938" s="311"/>
      <c r="F938" s="311"/>
      <c r="G938" s="311"/>
      <c r="H938" s="311"/>
      <c r="I938" s="1"/>
      <c r="J938" s="1"/>
      <c r="K938" s="1"/>
      <c r="L938" s="1"/>
      <c r="M938" s="1"/>
      <c r="N938" s="1"/>
      <c r="O938" s="1"/>
      <c r="P938" s="1"/>
      <c r="Q938" s="1"/>
      <c r="R938" s="1"/>
      <c r="S938" s="1"/>
      <c r="T938" s="1"/>
      <c r="U938" s="1"/>
    </row>
    <row r="939" ht="10.5" customHeight="1">
      <c r="A939" s="1"/>
      <c r="B939" s="311" t="s">
        <v>669</v>
      </c>
      <c r="C939" s="311"/>
      <c r="D939" s="311"/>
      <c r="E939" s="311"/>
      <c r="F939" s="311"/>
      <c r="G939" s="311"/>
      <c r="H939" s="311"/>
      <c r="I939" s="1"/>
      <c r="J939" s="1"/>
      <c r="K939" s="1"/>
      <c r="L939" s="1"/>
      <c r="M939" s="1"/>
      <c r="N939" s="1"/>
      <c r="O939" s="1"/>
      <c r="P939" s="1"/>
      <c r="Q939" s="1"/>
      <c r="R939" s="1"/>
      <c r="S939" s="1"/>
      <c r="T939" s="1"/>
      <c r="U939" s="1"/>
    </row>
    <row r="940" ht="10.5" customHeight="1">
      <c r="A940" s="1"/>
      <c r="B940" s="185" t="s">
        <v>1082</v>
      </c>
      <c r="C940" s="185"/>
      <c r="D940" s="185"/>
      <c r="E940" s="185"/>
      <c r="F940" s="185"/>
      <c r="G940" s="185"/>
      <c r="H940" s="185"/>
      <c r="I940" s="1"/>
      <c r="J940" s="1"/>
      <c r="K940" s="1"/>
      <c r="L940" s="1"/>
      <c r="M940" s="1"/>
      <c r="N940" s="1"/>
      <c r="O940" s="1"/>
      <c r="P940" s="1"/>
      <c r="Q940" s="1"/>
      <c r="R940" s="1"/>
      <c r="S940" s="1"/>
      <c r="T940" s="1"/>
      <c r="U940" s="1"/>
    </row>
    <row r="941" ht="10.5" customHeight="1">
      <c r="A941" s="1"/>
      <c r="B941" s="1"/>
      <c r="C941" s="15"/>
      <c r="D941" s="15"/>
      <c r="E941" s="15"/>
      <c r="F941" s="15"/>
      <c r="G941" s="15"/>
      <c r="H941" s="15"/>
      <c r="I941" s="15"/>
      <c r="J941" s="15"/>
      <c r="K941" s="1"/>
      <c r="L941" s="1"/>
      <c r="M941" s="1"/>
      <c r="N941" s="1"/>
      <c r="O941" s="1"/>
      <c r="P941" s="1"/>
      <c r="Q941" s="1"/>
      <c r="R941" s="1"/>
      <c r="S941" s="1"/>
      <c r="T941" s="1"/>
      <c r="U941" s="1"/>
    </row>
    <row r="942" ht="10.5" customHeight="1">
      <c r="A942" s="1"/>
      <c r="B942" s="1"/>
      <c r="C942" s="1"/>
      <c r="D942" s="1"/>
      <c r="E942" s="1"/>
      <c r="F942" s="1"/>
      <c r="G942" s="1"/>
      <c r="H942" s="1"/>
      <c r="I942" s="1"/>
      <c r="J942" s="1"/>
      <c r="K942" s="1"/>
      <c r="L942" s="1"/>
      <c r="M942" s="1"/>
      <c r="N942" s="1"/>
      <c r="O942" s="1"/>
      <c r="P942" s="1"/>
      <c r="Q942" s="1"/>
      <c r="R942" s="1"/>
      <c r="S942" s="1"/>
      <c r="T942" s="1"/>
      <c r="U942" s="1"/>
    </row>
    <row r="943" ht="10.5" customHeight="1">
      <c r="A943" s="1"/>
      <c r="B943" s="1"/>
      <c r="C943" s="1"/>
      <c r="D943" s="1"/>
      <c r="E943" s="1"/>
      <c r="F943" s="1"/>
      <c r="G943" s="1"/>
      <c r="H943" s="1"/>
      <c r="I943" s="1"/>
      <c r="J943" s="1"/>
      <c r="K943" s="1"/>
      <c r="L943" s="1"/>
      <c r="M943" s="1"/>
      <c r="N943" s="1"/>
      <c r="O943" s="1"/>
      <c r="P943" s="1"/>
      <c r="Q943" s="1"/>
      <c r="R943" s="1"/>
      <c r="S943" s="1"/>
      <c r="T943" s="1"/>
      <c r="U943" s="1"/>
    </row>
    <row r="944" ht="10.5" customHeight="1">
      <c r="A944" s="1"/>
      <c r="B944" s="1"/>
      <c r="C944" s="1"/>
      <c r="D944" s="1"/>
      <c r="E944" s="1"/>
      <c r="F944" s="1"/>
      <c r="G944" s="1"/>
      <c r="H944" s="1"/>
      <c r="I944" s="1"/>
      <c r="J944" s="1"/>
      <c r="K944" s="1"/>
      <c r="L944" s="1"/>
      <c r="M944" s="1"/>
      <c r="N944" s="1"/>
      <c r="O944" s="1"/>
      <c r="P944" s="1"/>
      <c r="Q944" s="1"/>
      <c r="R944" s="1"/>
      <c r="S944" s="1"/>
      <c r="T944" s="1"/>
      <c r="U944" s="1"/>
    </row>
    <row r="945" ht="10.5" customHeight="1">
      <c r="A945" s="1"/>
      <c r="B945" s="1"/>
      <c r="C945" s="1"/>
      <c r="D945" s="1"/>
      <c r="E945" s="1"/>
      <c r="F945" s="1"/>
      <c r="G945" s="1"/>
      <c r="H945" s="1"/>
      <c r="I945" s="1"/>
      <c r="J945" s="1"/>
      <c r="K945" s="1"/>
      <c r="L945" s="1"/>
      <c r="M945" s="1"/>
      <c r="N945" s="1"/>
      <c r="O945" s="1"/>
      <c r="P945" s="1"/>
      <c r="Q945" s="1"/>
      <c r="R945" s="1"/>
      <c r="S945" s="1"/>
      <c r="T945" s="1"/>
      <c r="U945" s="1"/>
    </row>
    <row r="946" ht="10.5" customHeight="1">
      <c r="A946" s="1"/>
      <c r="B946" s="1"/>
      <c r="C946" s="1"/>
      <c r="D946" s="1"/>
      <c r="E946" s="1"/>
      <c r="F946" s="1"/>
      <c r="G946" s="1"/>
      <c r="H946" s="1"/>
      <c r="I946" s="1"/>
      <c r="J946" s="1"/>
      <c r="K946" s="1"/>
      <c r="L946" s="1"/>
      <c r="M946" s="1"/>
      <c r="N946" s="1"/>
      <c r="O946" s="1"/>
      <c r="P946" s="1"/>
      <c r="Q946" s="1"/>
      <c r="R946" s="1"/>
      <c r="S946" s="1"/>
      <c r="T946" s="1"/>
      <c r="U946" s="1"/>
    </row>
    <row r="947" ht="10.5" customHeight="1">
      <c r="A947" s="1"/>
      <c r="B947" s="1"/>
      <c r="C947" s="1"/>
      <c r="D947" s="1"/>
      <c r="E947" s="1"/>
      <c r="F947" s="1"/>
      <c r="G947" s="1"/>
      <c r="H947" s="1"/>
      <c r="I947" s="1"/>
      <c r="J947" s="1"/>
      <c r="K947" s="1"/>
      <c r="L947" s="1"/>
      <c r="M947" s="1"/>
      <c r="N947" s="1"/>
      <c r="O947" s="1"/>
      <c r="P947" s="1"/>
      <c r="Q947" s="1"/>
      <c r="R947" s="1"/>
      <c r="S947" s="1"/>
      <c r="T947" s="1"/>
      <c r="U947" s="1"/>
    </row>
    <row r="948" ht="10.5" customHeight="1">
      <c r="A948" s="1"/>
      <c r="B948" s="1"/>
      <c r="C948" s="1"/>
      <c r="D948" s="1"/>
      <c r="E948" s="1"/>
      <c r="F948" s="1"/>
      <c r="G948" s="1"/>
      <c r="H948" s="1"/>
      <c r="I948" s="1"/>
      <c r="J948" s="1"/>
      <c r="K948" s="1"/>
      <c r="L948" s="1"/>
      <c r="M948" s="1"/>
      <c r="N948" s="1"/>
      <c r="O948" s="1"/>
      <c r="P948" s="1"/>
      <c r="Q948" s="1"/>
      <c r="R948" s="1"/>
      <c r="S948" s="1"/>
      <c r="T948" s="1"/>
      <c r="U948" s="1"/>
    </row>
    <row r="949" ht="10.5" customHeight="1">
      <c r="A949" s="1"/>
      <c r="B949" s="1"/>
      <c r="C949" s="1"/>
      <c r="D949" s="1"/>
      <c r="E949" s="1"/>
      <c r="F949" s="1"/>
      <c r="G949" s="1"/>
      <c r="H949" s="1"/>
      <c r="I949" s="1"/>
      <c r="J949" s="1"/>
      <c r="K949" s="1"/>
      <c r="L949" s="1"/>
      <c r="M949" s="1"/>
      <c r="N949" s="1"/>
      <c r="O949" s="1"/>
      <c r="P949" s="1"/>
      <c r="Q949" s="1"/>
      <c r="R949" s="1"/>
      <c r="S949" s="1"/>
      <c r="T949" s="1"/>
      <c r="U949" s="1"/>
    </row>
    <row r="950" ht="10.5" customHeight="1">
      <c r="A950" s="1"/>
      <c r="B950" s="1"/>
      <c r="C950" s="1"/>
      <c r="D950" s="1"/>
      <c r="E950" s="1"/>
      <c r="F950" s="1"/>
      <c r="G950" s="1"/>
      <c r="H950" s="1"/>
      <c r="I950" s="1"/>
      <c r="J950" s="1"/>
      <c r="K950" s="1"/>
      <c r="L950" s="1"/>
      <c r="M950" s="1"/>
      <c r="N950" s="1"/>
      <c r="O950" s="1"/>
      <c r="P950" s="1"/>
      <c r="Q950" s="1"/>
      <c r="R950" s="1"/>
      <c r="S950" s="1"/>
      <c r="T950" s="1"/>
      <c r="U950" s="1"/>
    </row>
    <row r="951" ht="10.5" customHeight="1">
      <c r="A951" s="1"/>
      <c r="B951" s="1"/>
      <c r="C951" s="1"/>
      <c r="D951" s="1"/>
      <c r="E951" s="1"/>
      <c r="F951" s="1"/>
      <c r="G951" s="1"/>
      <c r="H951" s="1"/>
      <c r="I951" s="1"/>
      <c r="J951" s="1"/>
      <c r="K951" s="1"/>
      <c r="L951" s="1"/>
      <c r="M951" s="1"/>
      <c r="N951" s="1"/>
      <c r="O951" s="1"/>
      <c r="P951" s="1"/>
      <c r="Q951" s="1"/>
      <c r="R951" s="1"/>
      <c r="S951" s="1"/>
      <c r="T951" s="1"/>
      <c r="U951" s="1"/>
    </row>
    <row r="952" ht="10.5" customHeight="1">
      <c r="A952" s="1"/>
      <c r="B952" s="1"/>
      <c r="C952" s="1"/>
      <c r="D952" s="1"/>
      <c r="E952" s="1"/>
      <c r="F952" s="1"/>
      <c r="G952" s="1"/>
      <c r="H952" s="1"/>
      <c r="I952" s="1"/>
      <c r="J952" s="1"/>
      <c r="K952" s="1"/>
      <c r="L952" s="1"/>
      <c r="M952" s="1"/>
      <c r="N952" s="1"/>
      <c r="O952" s="1"/>
      <c r="P952" s="1"/>
      <c r="Q952" s="1"/>
      <c r="R952" s="1"/>
      <c r="S952" s="1"/>
      <c r="T952" s="1"/>
      <c r="U952" s="1"/>
    </row>
    <row r="953" ht="10.5" customHeight="1">
      <c r="A953" s="1"/>
      <c r="B953" s="1"/>
      <c r="C953" s="1"/>
      <c r="D953" s="1"/>
      <c r="E953" s="1"/>
      <c r="F953" s="1"/>
      <c r="G953" s="110">
        <v>48.0</v>
      </c>
      <c r="H953" s="1"/>
      <c r="I953" s="1"/>
      <c r="J953" s="1"/>
      <c r="K953" s="1"/>
      <c r="L953" s="1"/>
      <c r="M953" s="1"/>
      <c r="N953" s="1"/>
      <c r="O953" s="1"/>
      <c r="P953" s="1"/>
      <c r="Q953" s="1"/>
      <c r="R953" s="1"/>
      <c r="S953" s="1"/>
      <c r="T953" s="1"/>
      <c r="U953" s="1"/>
    </row>
    <row r="954" ht="10.5" customHeight="1">
      <c r="A954" s="1"/>
      <c r="B954" s="1"/>
      <c r="C954" s="1"/>
      <c r="D954" s="1"/>
      <c r="E954" s="1"/>
      <c r="F954" s="1"/>
      <c r="G954" s="1"/>
      <c r="H954" s="1"/>
      <c r="I954" s="1"/>
      <c r="J954" s="1"/>
      <c r="K954" s="1"/>
      <c r="L954" s="1"/>
      <c r="M954" s="1"/>
      <c r="N954" s="1"/>
      <c r="O954" s="1"/>
      <c r="P954" s="1"/>
      <c r="Q954" s="1"/>
      <c r="R954" s="1"/>
      <c r="S954" s="1"/>
      <c r="T954" s="1"/>
      <c r="U954" s="1"/>
    </row>
    <row r="955" ht="11.25" customHeight="1">
      <c r="A955" s="1"/>
      <c r="B955" s="1" t="s">
        <v>1087</v>
      </c>
      <c r="C955" s="1"/>
      <c r="D955" s="111"/>
      <c r="E955" s="1"/>
      <c r="F955" s="1"/>
      <c r="G955" s="1"/>
      <c r="H955" s="1"/>
      <c r="I955" s="1"/>
      <c r="J955" s="1"/>
      <c r="K955" s="1"/>
      <c r="L955" s="1"/>
      <c r="M955" s="1"/>
      <c r="N955" s="1"/>
      <c r="O955" s="1"/>
      <c r="P955" s="1"/>
      <c r="Q955" s="1"/>
      <c r="R955" s="1"/>
      <c r="S955" s="1"/>
      <c r="T955" s="1"/>
      <c r="U955" s="1"/>
    </row>
    <row r="956" ht="11.25" customHeight="1">
      <c r="A956" s="1"/>
      <c r="B956" s="29" t="s">
        <v>938</v>
      </c>
      <c r="C956" s="128" t="s">
        <v>1089</v>
      </c>
      <c r="D956" s="9"/>
      <c r="E956" s="9"/>
      <c r="F956" s="10"/>
      <c r="G956" s="128" t="s">
        <v>1090</v>
      </c>
      <c r="H956" s="9"/>
      <c r="I956" s="9"/>
      <c r="J956" s="10"/>
      <c r="K956" s="1"/>
      <c r="L956" s="1"/>
      <c r="M956" s="1"/>
      <c r="N956" s="1"/>
      <c r="O956" s="1"/>
      <c r="P956" s="1"/>
      <c r="Q956" s="1"/>
      <c r="R956" s="1"/>
      <c r="S956" s="1"/>
      <c r="T956" s="1"/>
      <c r="U956" s="1"/>
    </row>
    <row r="957" ht="11.25" customHeight="1">
      <c r="A957" s="1"/>
      <c r="B957" s="5"/>
      <c r="C957" s="31" t="s">
        <v>508</v>
      </c>
      <c r="D957" s="644" t="s">
        <v>640</v>
      </c>
      <c r="E957" s="128" t="s">
        <v>1094</v>
      </c>
      <c r="F957" s="10"/>
      <c r="G957" s="31" t="s">
        <v>508</v>
      </c>
      <c r="H957" s="31" t="s">
        <v>640</v>
      </c>
      <c r="I957" s="128" t="s">
        <v>1097</v>
      </c>
      <c r="J957" s="10"/>
      <c r="K957" s="1"/>
      <c r="L957" s="1"/>
      <c r="M957" s="1"/>
      <c r="N957" s="1"/>
      <c r="O957" s="1"/>
      <c r="P957" s="1"/>
      <c r="Q957" s="1"/>
      <c r="R957" s="1"/>
      <c r="S957" s="1"/>
      <c r="T957" s="1"/>
      <c r="U957" s="1"/>
    </row>
    <row r="958" ht="22.5" customHeight="1">
      <c r="A958" s="1"/>
      <c r="B958" s="5"/>
      <c r="C958" s="5"/>
      <c r="D958" s="118"/>
      <c r="E958" s="190" t="s">
        <v>514</v>
      </c>
      <c r="F958" s="7" t="s">
        <v>515</v>
      </c>
      <c r="G958" s="6"/>
      <c r="H958" s="6"/>
      <c r="I958" s="7" t="s">
        <v>514</v>
      </c>
      <c r="J958" s="273" t="s">
        <v>515</v>
      </c>
      <c r="K958" s="1"/>
      <c r="L958" s="1"/>
      <c r="M958" s="1"/>
      <c r="N958" s="1"/>
      <c r="O958" s="1"/>
      <c r="P958" s="1"/>
      <c r="Q958" s="1"/>
      <c r="R958" s="1"/>
      <c r="S958" s="1"/>
      <c r="T958" s="1"/>
      <c r="U958" s="1"/>
    </row>
    <row r="959" ht="11.25" customHeight="1">
      <c r="A959" s="1"/>
      <c r="B959" s="6"/>
      <c r="C959" s="482" t="s">
        <v>520</v>
      </c>
      <c r="D959" s="351" t="s">
        <v>50</v>
      </c>
      <c r="E959" s="134" t="s">
        <v>520</v>
      </c>
      <c r="F959" s="134" t="s">
        <v>52</v>
      </c>
      <c r="G959" s="134" t="s">
        <v>520</v>
      </c>
      <c r="H959" s="134" t="s">
        <v>50</v>
      </c>
      <c r="I959" s="134" t="s">
        <v>520</v>
      </c>
      <c r="J959" s="134" t="s">
        <v>52</v>
      </c>
      <c r="K959" s="1"/>
      <c r="L959" s="1"/>
      <c r="M959" s="1"/>
      <c r="N959" s="1"/>
      <c r="O959" s="1"/>
      <c r="P959" s="1"/>
      <c r="Q959" s="1"/>
      <c r="R959" s="1"/>
      <c r="S959" s="1"/>
      <c r="T959" s="1"/>
      <c r="U959" s="1"/>
    </row>
    <row r="960" ht="10.5" customHeight="1">
      <c r="A960" s="1"/>
      <c r="B960" s="48" t="s">
        <v>56</v>
      </c>
      <c r="C960" s="136">
        <v>14233.0</v>
      </c>
      <c r="D960" s="692">
        <v>4655.0</v>
      </c>
      <c r="E960" s="169">
        <v>10907.0</v>
      </c>
      <c r="F960" s="136">
        <v>366.0</v>
      </c>
      <c r="G960" s="136">
        <v>24643.0</v>
      </c>
      <c r="H960" s="136">
        <v>3820.0</v>
      </c>
      <c r="I960" s="136">
        <v>18104.0</v>
      </c>
      <c r="J960" s="136">
        <v>184.0</v>
      </c>
      <c r="K960" s="1"/>
      <c r="L960" s="1"/>
      <c r="M960" s="1"/>
      <c r="N960" s="1"/>
      <c r="O960" s="1"/>
      <c r="P960" s="1"/>
      <c r="Q960" s="1"/>
      <c r="R960" s="1"/>
      <c r="S960" s="1"/>
      <c r="T960" s="1"/>
      <c r="U960" s="1"/>
    </row>
    <row r="961" ht="10.5" customHeight="1">
      <c r="A961" s="1"/>
      <c r="B961" s="48" t="s">
        <v>81</v>
      </c>
      <c r="C961" s="136">
        <v>5134.0</v>
      </c>
      <c r="D961" s="692">
        <v>2899.0</v>
      </c>
      <c r="E961" s="169">
        <v>3976.0</v>
      </c>
      <c r="F961" s="136">
        <v>667.0</v>
      </c>
      <c r="G961" s="136">
        <v>19374.0</v>
      </c>
      <c r="H961" s="136">
        <v>3951.0</v>
      </c>
      <c r="I961" s="136">
        <v>14520.0</v>
      </c>
      <c r="J961" s="136">
        <v>244.0</v>
      </c>
      <c r="K961" s="1"/>
      <c r="L961" s="1"/>
      <c r="M961" s="1"/>
      <c r="N961" s="1"/>
      <c r="O961" s="1"/>
      <c r="P961" s="1"/>
      <c r="Q961" s="1"/>
      <c r="R961" s="1"/>
      <c r="S961" s="1"/>
      <c r="T961" s="1"/>
      <c r="U961" s="1"/>
    </row>
    <row r="962" ht="10.5" customHeight="1">
      <c r="A962" s="1"/>
      <c r="B962" s="48" t="s">
        <v>86</v>
      </c>
      <c r="C962" s="136">
        <v>14408.0</v>
      </c>
      <c r="D962" s="692">
        <v>7745.0</v>
      </c>
      <c r="E962" s="169">
        <v>10683.0</v>
      </c>
      <c r="F962" s="136">
        <v>574.0</v>
      </c>
      <c r="G962" s="136">
        <v>19577.0</v>
      </c>
      <c r="H962" s="136">
        <v>5818.0</v>
      </c>
      <c r="I962" s="136">
        <v>14873.0</v>
      </c>
      <c r="J962" s="136">
        <v>348.0</v>
      </c>
      <c r="K962" s="1"/>
      <c r="L962" s="1"/>
      <c r="M962" s="1"/>
      <c r="N962" s="1"/>
      <c r="O962" s="1"/>
      <c r="P962" s="1"/>
      <c r="Q962" s="1"/>
      <c r="R962" s="1"/>
      <c r="S962" s="1"/>
      <c r="T962" s="1"/>
      <c r="U962" s="1"/>
    </row>
    <row r="963" ht="10.5" customHeight="1">
      <c r="A963" s="1"/>
      <c r="B963" s="48" t="s">
        <v>87</v>
      </c>
      <c r="C963" s="136">
        <v>18791.0</v>
      </c>
      <c r="D963" s="692">
        <v>8187.0</v>
      </c>
      <c r="E963" s="169">
        <v>12764.0</v>
      </c>
      <c r="F963" s="136">
        <v>543.0</v>
      </c>
      <c r="G963" s="136">
        <v>19761.0</v>
      </c>
      <c r="H963" s="136">
        <v>6260.0</v>
      </c>
      <c r="I963" s="136">
        <v>15033.0</v>
      </c>
      <c r="J963" s="136">
        <v>373.0</v>
      </c>
      <c r="K963" s="1"/>
      <c r="L963" s="1"/>
      <c r="M963" s="1"/>
      <c r="N963" s="1"/>
      <c r="O963" s="1"/>
      <c r="P963" s="1"/>
      <c r="Q963" s="1"/>
      <c r="R963" s="1"/>
      <c r="S963" s="1"/>
      <c r="T963" s="1"/>
      <c r="U963" s="1"/>
    </row>
    <row r="964" ht="10.5" customHeight="1">
      <c r="A964" s="1"/>
      <c r="B964" s="48" t="s">
        <v>90</v>
      </c>
      <c r="C964" s="136">
        <v>17402.0</v>
      </c>
      <c r="D964" s="692">
        <v>8766.0</v>
      </c>
      <c r="E964" s="169">
        <v>10062.0</v>
      </c>
      <c r="F964" s="136">
        <v>680.0</v>
      </c>
      <c r="G964" s="136">
        <v>23240.0</v>
      </c>
      <c r="H964" s="136">
        <v>7365.0</v>
      </c>
      <c r="I964" s="136">
        <v>17693.0</v>
      </c>
      <c r="J964" s="136">
        <v>373.0</v>
      </c>
      <c r="K964" s="1"/>
      <c r="L964" s="1"/>
      <c r="M964" s="1"/>
      <c r="N964" s="1"/>
      <c r="O964" s="1"/>
      <c r="P964" s="1"/>
      <c r="Q964" s="1"/>
      <c r="R964" s="1"/>
      <c r="S964" s="1"/>
      <c r="T964" s="1"/>
      <c r="U964" s="1"/>
    </row>
    <row r="965" ht="10.5" customHeight="1">
      <c r="A965" s="1"/>
      <c r="B965" s="48"/>
      <c r="C965" s="136"/>
      <c r="D965" s="692"/>
      <c r="E965" s="169"/>
      <c r="F965" s="136"/>
      <c r="G965" s="136"/>
      <c r="H965" s="136"/>
      <c r="I965" s="136"/>
      <c r="J965" s="136"/>
      <c r="K965" s="1"/>
      <c r="L965" s="1"/>
      <c r="M965" s="1"/>
      <c r="N965" s="1"/>
      <c r="O965" s="1"/>
      <c r="P965" s="1"/>
      <c r="Q965" s="1"/>
      <c r="R965" s="1"/>
      <c r="S965" s="1"/>
      <c r="T965" s="1"/>
      <c r="U965" s="1"/>
    </row>
    <row r="966" ht="10.5" customHeight="1">
      <c r="A966" s="1"/>
      <c r="B966" s="48" t="s">
        <v>93</v>
      </c>
      <c r="C966" s="136">
        <v>22403.0</v>
      </c>
      <c r="D966" s="692">
        <v>12011.0</v>
      </c>
      <c r="E966" s="169">
        <v>13147.0</v>
      </c>
      <c r="F966" s="136">
        <v>664.0</v>
      </c>
      <c r="G966" s="136">
        <v>22975.0</v>
      </c>
      <c r="H966" s="136">
        <v>7208.0</v>
      </c>
      <c r="I966" s="136">
        <v>17472.0</v>
      </c>
      <c r="J966" s="136">
        <v>368.0</v>
      </c>
      <c r="K966" s="1"/>
      <c r="L966" s="1"/>
      <c r="M966" s="1"/>
      <c r="N966" s="1"/>
      <c r="O966" s="1"/>
      <c r="P966" s="1"/>
      <c r="Q966" s="1"/>
      <c r="R966" s="1"/>
      <c r="S966" s="1"/>
      <c r="T966" s="1"/>
      <c r="U966" s="1"/>
    </row>
    <row r="967" ht="10.5" customHeight="1">
      <c r="A967" s="1"/>
      <c r="B967" s="48" t="s">
        <v>97</v>
      </c>
      <c r="C967" s="136">
        <v>28162.0</v>
      </c>
      <c r="D967" s="692">
        <v>16820.0</v>
      </c>
      <c r="E967" s="169">
        <v>18510.0</v>
      </c>
      <c r="F967" s="136">
        <v>713.0</v>
      </c>
      <c r="G967" s="136">
        <v>27521.0</v>
      </c>
      <c r="H967" s="136">
        <v>9534.0</v>
      </c>
      <c r="I967" s="136">
        <v>20883.0</v>
      </c>
      <c r="J967" s="136">
        <v>403.0</v>
      </c>
      <c r="K967" s="1"/>
      <c r="L967" s="1"/>
      <c r="M967" s="1"/>
      <c r="N967" s="1"/>
      <c r="O967" s="1"/>
      <c r="P967" s="1"/>
      <c r="Q967" s="1"/>
      <c r="R967" s="1"/>
      <c r="S967" s="1"/>
      <c r="T967" s="1"/>
      <c r="U967" s="1"/>
    </row>
    <row r="968" ht="10.5" customHeight="1">
      <c r="A968" s="1"/>
      <c r="B968" s="48" t="s">
        <v>101</v>
      </c>
      <c r="C968" s="136">
        <v>22621.0</v>
      </c>
      <c r="D968" s="692">
        <v>14658.0</v>
      </c>
      <c r="E968" s="169">
        <v>13375.0</v>
      </c>
      <c r="F968" s="136">
        <v>863.0</v>
      </c>
      <c r="G968" s="136">
        <v>30923.0</v>
      </c>
      <c r="H968" s="136">
        <v>11468.0</v>
      </c>
      <c r="I968" s="136">
        <v>23114.0</v>
      </c>
      <c r="J968" s="136">
        <v>435.0</v>
      </c>
      <c r="K968" s="1"/>
      <c r="L968" s="1"/>
      <c r="M968" s="1"/>
      <c r="N968" s="1"/>
      <c r="O968" s="1"/>
      <c r="P968" s="1"/>
      <c r="Q968" s="1"/>
      <c r="R968" s="1"/>
      <c r="S968" s="1"/>
      <c r="T968" s="1"/>
      <c r="U968" s="1"/>
    </row>
    <row r="969" ht="10.5" customHeight="1">
      <c r="A969" s="1"/>
      <c r="B969" s="48" t="s">
        <v>103</v>
      </c>
      <c r="C969" s="136">
        <v>24600.0</v>
      </c>
      <c r="D969" s="692">
        <v>20075.0</v>
      </c>
      <c r="E969" s="169">
        <v>14114.0</v>
      </c>
      <c r="F969" s="136">
        <v>1095.0</v>
      </c>
      <c r="G969" s="136">
        <v>25921.0</v>
      </c>
      <c r="H969" s="136">
        <v>11935.0</v>
      </c>
      <c r="I969" s="136">
        <v>19217.0</v>
      </c>
      <c r="J969" s="136">
        <v>550.0</v>
      </c>
      <c r="K969" s="1"/>
      <c r="L969" s="1"/>
      <c r="M969" s="1"/>
      <c r="N969" s="1"/>
      <c r="O969" s="1"/>
      <c r="P969" s="1"/>
      <c r="Q969" s="1"/>
      <c r="R969" s="1"/>
      <c r="S969" s="1"/>
      <c r="T969" s="1"/>
      <c r="U969" s="1"/>
    </row>
    <row r="970" ht="10.5" customHeight="1">
      <c r="A970" s="1"/>
      <c r="B970" s="48" t="s">
        <v>104</v>
      </c>
      <c r="C970" s="136">
        <v>25801.0</v>
      </c>
      <c r="D970" s="692">
        <v>25484.0</v>
      </c>
      <c r="E970" s="169">
        <v>16311.0</v>
      </c>
      <c r="F970" s="136">
        <v>1152.0</v>
      </c>
      <c r="G970" s="136">
        <v>30019.0</v>
      </c>
      <c r="H970" s="136">
        <v>17461.0</v>
      </c>
      <c r="I970" s="136">
        <v>22648.0</v>
      </c>
      <c r="J970" s="136">
        <v>687.0</v>
      </c>
      <c r="K970" s="1"/>
      <c r="L970" s="1"/>
      <c r="M970" s="1"/>
      <c r="N970" s="1"/>
      <c r="O970" s="1"/>
      <c r="P970" s="1"/>
      <c r="Q970" s="1"/>
      <c r="R970" s="1"/>
      <c r="S970" s="1"/>
      <c r="T970" s="1"/>
      <c r="U970" s="1"/>
    </row>
    <row r="971" ht="10.5" customHeight="1">
      <c r="A971" s="1"/>
      <c r="B971" s="48"/>
      <c r="C971" s="136"/>
      <c r="D971" s="692"/>
      <c r="E971" s="169"/>
      <c r="F971" s="136"/>
      <c r="G971" s="136"/>
      <c r="H971" s="136"/>
      <c r="I971" s="136"/>
      <c r="J971" s="136"/>
      <c r="K971" s="1"/>
      <c r="L971" s="1"/>
      <c r="M971" s="1"/>
      <c r="N971" s="1"/>
      <c r="O971" s="1"/>
      <c r="P971" s="1"/>
      <c r="Q971" s="1"/>
      <c r="R971" s="1"/>
      <c r="S971" s="1"/>
      <c r="T971" s="1"/>
      <c r="U971" s="1"/>
    </row>
    <row r="972" ht="10.5" customHeight="1">
      <c r="A972" s="1"/>
      <c r="B972" s="48" t="s">
        <v>108</v>
      </c>
      <c r="C972" s="136">
        <v>28227.0</v>
      </c>
      <c r="D972" s="692">
        <v>28678.0</v>
      </c>
      <c r="E972" s="169">
        <v>14602.0</v>
      </c>
      <c r="F972" s="136">
        <v>1355.0</v>
      </c>
      <c r="G972" s="136">
        <v>26186.0</v>
      </c>
      <c r="H972" s="136">
        <v>18680.0</v>
      </c>
      <c r="I972" s="136">
        <v>19842.0</v>
      </c>
      <c r="J972" s="136">
        <v>842.0</v>
      </c>
      <c r="K972" s="1"/>
      <c r="L972" s="1"/>
      <c r="M972" s="1"/>
      <c r="N972" s="1"/>
      <c r="O972" s="1"/>
      <c r="P972" s="1"/>
      <c r="Q972" s="1"/>
      <c r="R972" s="1"/>
      <c r="S972" s="1"/>
      <c r="T972" s="1"/>
      <c r="U972" s="1"/>
    </row>
    <row r="973" ht="10.5" customHeight="1">
      <c r="A973" s="1"/>
      <c r="B973" s="48" t="s">
        <v>111</v>
      </c>
      <c r="C973" s="136">
        <v>32741.0</v>
      </c>
      <c r="D973" s="692">
        <v>37020.0</v>
      </c>
      <c r="E973" s="169">
        <v>14441.0</v>
      </c>
      <c r="F973" s="136">
        <v>1601.0</v>
      </c>
      <c r="G973" s="136">
        <v>26494.0</v>
      </c>
      <c r="H973" s="136">
        <v>18275.0</v>
      </c>
      <c r="I973" s="136">
        <v>19619.0</v>
      </c>
      <c r="J973" s="136">
        <v>821.0</v>
      </c>
      <c r="K973" s="1"/>
      <c r="L973" s="1"/>
      <c r="M973" s="1"/>
      <c r="N973" s="1"/>
      <c r="O973" s="1"/>
      <c r="P973" s="1"/>
      <c r="Q973" s="1"/>
      <c r="R973" s="1"/>
      <c r="S973" s="1"/>
      <c r="T973" s="1"/>
      <c r="U973" s="1"/>
    </row>
    <row r="974" ht="10.5" customHeight="1">
      <c r="A974" s="1"/>
      <c r="B974" s="48" t="s">
        <v>112</v>
      </c>
      <c r="C974" s="136">
        <v>34682.0</v>
      </c>
      <c r="D974" s="692">
        <v>45524.0</v>
      </c>
      <c r="E974" s="169">
        <v>13925.0</v>
      </c>
      <c r="F974" s="136">
        <v>1819.0</v>
      </c>
      <c r="G974" s="136">
        <v>14965.0</v>
      </c>
      <c r="H974" s="136">
        <v>17095.0</v>
      </c>
      <c r="I974" s="136">
        <v>11395.0</v>
      </c>
      <c r="J974" s="136">
        <v>1343.0</v>
      </c>
      <c r="K974" s="1"/>
      <c r="L974" s="1"/>
      <c r="M974" s="1"/>
      <c r="N974" s="1"/>
      <c r="O974" s="1"/>
      <c r="P974" s="1"/>
      <c r="Q974" s="1"/>
      <c r="R974" s="1"/>
      <c r="S974" s="1"/>
      <c r="T974" s="1"/>
      <c r="U974" s="1"/>
    </row>
    <row r="975" ht="10.5" customHeight="1">
      <c r="A975" s="1"/>
      <c r="B975" s="48" t="s">
        <v>113</v>
      </c>
      <c r="C975" s="136">
        <v>39117.0</v>
      </c>
      <c r="D975" s="692">
        <v>64693.0</v>
      </c>
      <c r="E975" s="169">
        <v>17550.0</v>
      </c>
      <c r="F975" s="136">
        <v>1699.0</v>
      </c>
      <c r="G975" s="136">
        <v>22116.0</v>
      </c>
      <c r="H975" s="136">
        <v>20497.0</v>
      </c>
      <c r="I975" s="136">
        <v>16693.0</v>
      </c>
      <c r="J975" s="136">
        <v>1086.0</v>
      </c>
      <c r="K975" s="1"/>
      <c r="L975" s="1"/>
      <c r="M975" s="1"/>
      <c r="N975" s="1"/>
      <c r="O975" s="1"/>
      <c r="P975" s="1"/>
      <c r="Q975" s="1"/>
      <c r="R975" s="1"/>
      <c r="S975" s="1"/>
      <c r="T975" s="1"/>
      <c r="U975" s="1"/>
    </row>
    <row r="976" ht="10.5" customHeight="1">
      <c r="A976" s="1"/>
      <c r="B976" s="48" t="s">
        <v>114</v>
      </c>
      <c r="C976" s="136">
        <v>36332.0</v>
      </c>
      <c r="D976" s="692">
        <v>65308.0</v>
      </c>
      <c r="E976" s="169">
        <v>14485.0</v>
      </c>
      <c r="F976" s="136">
        <v>2179.0</v>
      </c>
      <c r="G976" s="136">
        <v>19576.0</v>
      </c>
      <c r="H976" s="136">
        <v>19111.0</v>
      </c>
      <c r="I976" s="136">
        <v>14524.0</v>
      </c>
      <c r="J976" s="136">
        <v>1149.0</v>
      </c>
      <c r="K976" s="1"/>
      <c r="L976" s="1"/>
      <c r="M976" s="1"/>
      <c r="N976" s="1"/>
      <c r="O976" s="1"/>
      <c r="P976" s="1"/>
      <c r="Q976" s="1"/>
      <c r="R976" s="1"/>
      <c r="S976" s="1"/>
      <c r="T976" s="1"/>
      <c r="U976" s="1"/>
    </row>
    <row r="977" ht="10.5" customHeight="1">
      <c r="A977" s="1"/>
      <c r="B977" s="48"/>
      <c r="C977" s="136"/>
      <c r="D977" s="164"/>
      <c r="E977" s="136"/>
      <c r="F977" s="136"/>
      <c r="G977" s="136"/>
      <c r="H977" s="136"/>
      <c r="I977" s="136"/>
      <c r="J977" s="136"/>
      <c r="K977" s="1"/>
      <c r="L977" s="1"/>
      <c r="M977" s="1"/>
      <c r="N977" s="1"/>
      <c r="O977" s="1"/>
      <c r="P977" s="1"/>
      <c r="Q977" s="1"/>
      <c r="R977" s="1"/>
      <c r="S977" s="1"/>
      <c r="T977" s="1"/>
      <c r="U977" s="1"/>
    </row>
    <row r="978" ht="10.5" customHeight="1">
      <c r="A978" s="1"/>
      <c r="B978" s="48" t="s">
        <v>115</v>
      </c>
      <c r="C978" s="136">
        <v>33561.0</v>
      </c>
      <c r="D978" s="692">
        <v>63466.0</v>
      </c>
      <c r="E978" s="169">
        <v>14594.0</v>
      </c>
      <c r="F978" s="136">
        <v>2472.0</v>
      </c>
      <c r="G978" s="136">
        <v>24310.0</v>
      </c>
      <c r="H978" s="136">
        <v>25675.0</v>
      </c>
      <c r="I978" s="136">
        <v>17667.0</v>
      </c>
      <c r="J978" s="136">
        <v>1264.0</v>
      </c>
      <c r="K978" s="1"/>
      <c r="L978" s="1"/>
      <c r="M978" s="1"/>
      <c r="N978" s="1"/>
      <c r="O978" s="1"/>
      <c r="P978" s="1"/>
      <c r="Q978" s="1"/>
      <c r="R978" s="1"/>
      <c r="S978" s="1"/>
      <c r="T978" s="1"/>
      <c r="U978" s="1"/>
    </row>
    <row r="979" ht="10.5" customHeight="1">
      <c r="A979" s="1"/>
      <c r="B979" s="48" t="s">
        <v>117</v>
      </c>
      <c r="C979" s="136">
        <v>31580.0</v>
      </c>
      <c r="D979" s="692">
        <v>65815.0</v>
      </c>
      <c r="E979" s="169">
        <v>13108.0</v>
      </c>
      <c r="F979" s="136">
        <v>2674.0</v>
      </c>
      <c r="G979" s="136">
        <v>25535.0</v>
      </c>
      <c r="H979" s="136">
        <v>26396.0</v>
      </c>
      <c r="I979" s="136">
        <v>18942.0</v>
      </c>
      <c r="J979" s="136">
        <v>1195.0</v>
      </c>
      <c r="K979" s="1"/>
      <c r="L979" s="1"/>
      <c r="M979" s="1"/>
      <c r="N979" s="1"/>
      <c r="O979" s="1"/>
      <c r="P979" s="1"/>
      <c r="Q979" s="1"/>
      <c r="R979" s="1"/>
      <c r="S979" s="1"/>
      <c r="T979" s="1"/>
      <c r="U979" s="1"/>
    </row>
    <row r="980" ht="10.5" customHeight="1">
      <c r="A980" s="1"/>
      <c r="B980" s="48" t="s">
        <v>121</v>
      </c>
      <c r="C980" s="136">
        <v>41717.0</v>
      </c>
      <c r="D980" s="692">
        <v>88001.0</v>
      </c>
      <c r="E980" s="169">
        <v>18170.0</v>
      </c>
      <c r="F980" s="136">
        <v>2554.0</v>
      </c>
      <c r="G980" s="136">
        <v>22393.0</v>
      </c>
      <c r="H980" s="136">
        <v>28684.0</v>
      </c>
      <c r="I980" s="136">
        <v>15559.0</v>
      </c>
      <c r="J980" s="136">
        <v>1595.0</v>
      </c>
      <c r="K980" s="1"/>
      <c r="L980" s="1"/>
      <c r="M980" s="1"/>
      <c r="N980" s="1"/>
      <c r="O980" s="1"/>
      <c r="P980" s="1"/>
      <c r="Q980" s="1"/>
      <c r="R980" s="1"/>
      <c r="S980" s="1"/>
      <c r="T980" s="1"/>
      <c r="U980" s="1"/>
    </row>
    <row r="981" ht="10.5" customHeight="1">
      <c r="A981" s="1"/>
      <c r="B981" s="48" t="s">
        <v>122</v>
      </c>
      <c r="C981" s="136">
        <v>70445.0</v>
      </c>
      <c r="D981" s="692">
        <v>111072.0</v>
      </c>
      <c r="E981" s="169">
        <v>20852.0</v>
      </c>
      <c r="F981" s="136">
        <v>2456.0</v>
      </c>
      <c r="G981" s="136">
        <v>23208.0</v>
      </c>
      <c r="H981" s="136">
        <v>35168.0</v>
      </c>
      <c r="I981" s="136">
        <v>17029.0</v>
      </c>
      <c r="J981" s="136">
        <v>1720.0</v>
      </c>
      <c r="K981" s="1"/>
      <c r="L981" s="1"/>
      <c r="M981" s="1"/>
      <c r="N981" s="1"/>
      <c r="O981" s="1"/>
      <c r="P981" s="1"/>
      <c r="Q981" s="1"/>
      <c r="R981" s="1"/>
      <c r="S981" s="1"/>
      <c r="T981" s="1"/>
      <c r="U981" s="1"/>
    </row>
    <row r="982" ht="10.5" customHeight="1">
      <c r="A982" s="496"/>
      <c r="B982" s="48" t="s">
        <v>123</v>
      </c>
      <c r="C982" s="136">
        <v>66059.0</v>
      </c>
      <c r="D982" s="692">
        <v>107036.0</v>
      </c>
      <c r="E982" s="169">
        <v>20166.0</v>
      </c>
      <c r="F982" s="136">
        <v>2487.0</v>
      </c>
      <c r="G982" s="136">
        <v>23550.0</v>
      </c>
      <c r="H982" s="136">
        <v>40182.0</v>
      </c>
      <c r="I982" s="136">
        <v>16774.0</v>
      </c>
      <c r="J982" s="136">
        <v>2004.0</v>
      </c>
      <c r="K982" s="1"/>
      <c r="L982" s="1"/>
      <c r="M982" s="1"/>
      <c r="N982" s="1"/>
      <c r="O982" s="1"/>
      <c r="P982" s="1"/>
      <c r="Q982" s="1"/>
      <c r="R982" s="1"/>
      <c r="S982" s="1"/>
      <c r="T982" s="1"/>
      <c r="U982" s="1"/>
    </row>
    <row r="983" ht="10.5" customHeight="1">
      <c r="A983" s="496"/>
      <c r="B983" s="48"/>
      <c r="C983" s="136"/>
      <c r="D983" s="692"/>
      <c r="E983" s="169"/>
      <c r="F983" s="136"/>
      <c r="G983" s="136"/>
      <c r="H983" s="136"/>
      <c r="I983" s="136"/>
      <c r="J983" s="136"/>
      <c r="K983" s="1"/>
      <c r="L983" s="1"/>
      <c r="M983" s="1"/>
      <c r="N983" s="1"/>
      <c r="O983" s="1"/>
      <c r="P983" s="1"/>
      <c r="Q983" s="1"/>
      <c r="R983" s="1"/>
      <c r="S983" s="1"/>
      <c r="T983" s="1"/>
      <c r="U983" s="1"/>
    </row>
    <row r="984" ht="10.5" customHeight="1">
      <c r="A984" s="1"/>
      <c r="B984" s="168" t="s">
        <v>125</v>
      </c>
      <c r="C984" s="169">
        <v>67851.0</v>
      </c>
      <c r="D984" s="692">
        <v>118526.0</v>
      </c>
      <c r="E984" s="169">
        <v>17336.0</v>
      </c>
      <c r="F984" s="169">
        <v>2782.0</v>
      </c>
      <c r="G984" s="169">
        <v>19516.0</v>
      </c>
      <c r="H984" s="169">
        <v>33745.0</v>
      </c>
      <c r="I984" s="169">
        <v>13493.0</v>
      </c>
      <c r="J984" s="136">
        <v>2148.0</v>
      </c>
      <c r="K984" s="1"/>
      <c r="L984" s="1"/>
      <c r="M984" s="1"/>
      <c r="N984" s="1"/>
      <c r="O984" s="1"/>
      <c r="P984" s="1"/>
      <c r="Q984" s="1"/>
      <c r="R984" s="1"/>
      <c r="S984" s="1"/>
      <c r="T984" s="1"/>
      <c r="U984" s="1"/>
    </row>
    <row r="985" ht="10.5" customHeight="1">
      <c r="A985" s="1"/>
      <c r="B985" s="168" t="s">
        <v>127</v>
      </c>
      <c r="C985" s="136">
        <v>95558.0</v>
      </c>
      <c r="D985" s="692">
        <v>168338.0</v>
      </c>
      <c r="E985" s="169">
        <v>24504.0</v>
      </c>
      <c r="F985" s="136">
        <v>2625.0</v>
      </c>
      <c r="G985" s="136">
        <v>22202.0</v>
      </c>
      <c r="H985" s="136">
        <v>41361.0</v>
      </c>
      <c r="I985" s="136">
        <v>15368.0</v>
      </c>
      <c r="J985" s="136">
        <v>2285.0</v>
      </c>
      <c r="K985" s="1"/>
      <c r="L985" s="1"/>
      <c r="M985" s="1"/>
      <c r="N985" s="1"/>
      <c r="O985" s="1"/>
      <c r="P985" s="1"/>
      <c r="Q985" s="1"/>
      <c r="R985" s="1"/>
      <c r="S985" s="1"/>
      <c r="T985" s="1"/>
      <c r="U985" s="1"/>
    </row>
    <row r="986" ht="10.5" customHeight="1">
      <c r="A986" s="1"/>
      <c r="B986" s="48" t="s">
        <v>128</v>
      </c>
      <c r="C986" s="136">
        <v>74033.0</v>
      </c>
      <c r="D986" s="692">
        <v>178227.0</v>
      </c>
      <c r="E986" s="169">
        <v>16562.0</v>
      </c>
      <c r="F986" s="136">
        <v>3592.0</v>
      </c>
      <c r="G986" s="136">
        <v>15449.0</v>
      </c>
      <c r="H986" s="136">
        <v>40443.0</v>
      </c>
      <c r="I986" s="136">
        <v>11248.0</v>
      </c>
      <c r="J986" s="136">
        <v>3142.0</v>
      </c>
      <c r="K986" s="1"/>
      <c r="L986" s="1"/>
      <c r="M986" s="1"/>
      <c r="N986" s="1"/>
      <c r="O986" s="1"/>
      <c r="P986" s="1"/>
      <c r="Q986" s="1"/>
      <c r="R986" s="1"/>
      <c r="S986" s="1"/>
      <c r="T986" s="1"/>
      <c r="U986" s="1"/>
    </row>
    <row r="987" ht="10.5" customHeight="1">
      <c r="A987" s="1"/>
      <c r="B987" s="48" t="s">
        <v>129</v>
      </c>
      <c r="C987" s="169">
        <v>79943.0</v>
      </c>
      <c r="D987" s="692">
        <v>168568.0</v>
      </c>
      <c r="E987" s="169">
        <v>16988.0</v>
      </c>
      <c r="F987" s="169">
        <v>3779.0</v>
      </c>
      <c r="G987" s="169">
        <v>12648.0</v>
      </c>
      <c r="H987" s="169">
        <v>37541.0</v>
      </c>
      <c r="I987" s="169">
        <v>8745.0</v>
      </c>
      <c r="J987" s="169">
        <v>3759.0</v>
      </c>
      <c r="K987" s="1"/>
      <c r="L987" s="1"/>
      <c r="M987" s="1"/>
      <c r="N987" s="1"/>
      <c r="O987" s="1"/>
      <c r="P987" s="1"/>
      <c r="Q987" s="1"/>
      <c r="R987" s="1"/>
      <c r="S987" s="1"/>
      <c r="T987" s="1"/>
      <c r="U987" s="1"/>
    </row>
    <row r="988" ht="10.5" customHeight="1">
      <c r="A988" s="1"/>
      <c r="B988" s="48" t="s">
        <v>130</v>
      </c>
      <c r="C988" s="169">
        <v>93420.0</v>
      </c>
      <c r="D988" s="692">
        <v>191299.0</v>
      </c>
      <c r="E988" s="169">
        <v>18276.0</v>
      </c>
      <c r="F988" s="169">
        <v>3694.0</v>
      </c>
      <c r="G988" s="169">
        <v>16904.0</v>
      </c>
      <c r="H988" s="169">
        <v>41408.0</v>
      </c>
      <c r="I988" s="169">
        <v>11904.0</v>
      </c>
      <c r="J988" s="169">
        <v>3046.0</v>
      </c>
      <c r="K988" s="1"/>
      <c r="L988" s="1"/>
      <c r="M988" s="1"/>
      <c r="N988" s="1"/>
      <c r="O988" s="1"/>
      <c r="P988" s="1"/>
      <c r="Q988" s="1"/>
      <c r="R988" s="1"/>
      <c r="S988" s="1"/>
      <c r="T988" s="1"/>
      <c r="U988" s="1"/>
    </row>
    <row r="989" ht="10.5" customHeight="1">
      <c r="A989" s="1"/>
      <c r="B989" s="48"/>
      <c r="C989" s="169"/>
      <c r="D989" s="692"/>
      <c r="E989" s="169"/>
      <c r="F989" s="169"/>
      <c r="G989" s="169"/>
      <c r="H989" s="169"/>
      <c r="I989" s="169"/>
      <c r="J989" s="169"/>
      <c r="K989" s="1"/>
      <c r="L989" s="1"/>
      <c r="M989" s="1"/>
      <c r="N989" s="1"/>
      <c r="O989" s="1"/>
      <c r="P989" s="1"/>
      <c r="Q989" s="1"/>
      <c r="R989" s="1"/>
      <c r="S989" s="1"/>
      <c r="T989" s="1"/>
      <c r="U989" s="1"/>
    </row>
    <row r="990" ht="10.5" customHeight="1">
      <c r="A990" s="1"/>
      <c r="B990" s="48" t="s">
        <v>131</v>
      </c>
      <c r="C990" s="169">
        <v>63879.0</v>
      </c>
      <c r="D990" s="164">
        <v>148314.0</v>
      </c>
      <c r="E990" s="169">
        <v>16169.0</v>
      </c>
      <c r="F990" s="169">
        <v>4269.0</v>
      </c>
      <c r="G990" s="169">
        <v>14467.0</v>
      </c>
      <c r="H990" s="169">
        <v>47657.0</v>
      </c>
      <c r="I990" s="169">
        <v>10785.0</v>
      </c>
      <c r="J990" s="169">
        <v>3916.0</v>
      </c>
      <c r="K990" s="1"/>
      <c r="L990" s="1"/>
      <c r="M990" s="1"/>
      <c r="N990" s="1"/>
      <c r="O990" s="1"/>
      <c r="P990" s="1"/>
      <c r="Q990" s="1"/>
      <c r="R990" s="1"/>
      <c r="S990" s="1"/>
      <c r="T990" s="1"/>
      <c r="U990" s="1"/>
    </row>
    <row r="991" ht="10.5" customHeight="1">
      <c r="A991" s="1"/>
      <c r="B991" s="48" t="s">
        <v>133</v>
      </c>
      <c r="C991" s="169">
        <v>80143.0</v>
      </c>
      <c r="D991" s="164">
        <v>197890.0</v>
      </c>
      <c r="E991" s="169">
        <v>20098.0</v>
      </c>
      <c r="F991" s="169">
        <v>3771.0</v>
      </c>
      <c r="G991" s="169">
        <v>14350.0</v>
      </c>
      <c r="H991" s="169">
        <v>45278.0</v>
      </c>
      <c r="I991" s="169">
        <v>10182.0</v>
      </c>
      <c r="J991" s="169">
        <v>3911.0</v>
      </c>
      <c r="K991" s="1"/>
      <c r="L991" s="1"/>
      <c r="M991" s="1"/>
      <c r="N991" s="1"/>
      <c r="O991" s="1"/>
      <c r="P991" s="1"/>
      <c r="Q991" s="1"/>
      <c r="R991" s="1"/>
      <c r="S991" s="1"/>
      <c r="T991" s="1"/>
      <c r="U991" s="1"/>
    </row>
    <row r="992" ht="10.5" customHeight="1">
      <c r="A992" s="1"/>
      <c r="B992" s="293">
        <v>39295.0</v>
      </c>
      <c r="C992" s="169">
        <v>90646.0</v>
      </c>
      <c r="D992" s="164">
        <v>214147.0</v>
      </c>
      <c r="E992" s="169">
        <v>18984.0</v>
      </c>
      <c r="F992" s="169">
        <v>4570.0</v>
      </c>
      <c r="G992" s="169">
        <v>17436.0</v>
      </c>
      <c r="H992" s="169">
        <v>61116.0</v>
      </c>
      <c r="I992" s="169">
        <v>13005.0</v>
      </c>
      <c r="J992" s="169">
        <v>4103.0</v>
      </c>
      <c r="K992" s="1"/>
      <c r="L992" s="1"/>
      <c r="M992" s="1"/>
      <c r="N992" s="1"/>
      <c r="O992" s="1"/>
      <c r="P992" s="1"/>
      <c r="Q992" s="1"/>
      <c r="R992" s="1"/>
      <c r="S992" s="1"/>
      <c r="T992" s="1"/>
      <c r="U992" s="1"/>
    </row>
    <row r="993" ht="10.5" customHeight="1">
      <c r="A993" s="1"/>
      <c r="B993" s="293">
        <v>39692.0</v>
      </c>
      <c r="C993" s="169">
        <v>48361.0</v>
      </c>
      <c r="D993" s="164">
        <v>183771.0</v>
      </c>
      <c r="E993" s="169">
        <v>14367.0</v>
      </c>
      <c r="F993" s="169">
        <v>4849.0</v>
      </c>
      <c r="G993" s="169">
        <v>13725.0</v>
      </c>
      <c r="H993" s="169">
        <v>58584.0</v>
      </c>
      <c r="I993" s="169">
        <v>10144.0</v>
      </c>
      <c r="J993" s="169">
        <v>5049.0</v>
      </c>
      <c r="K993" s="1"/>
      <c r="L993" s="1"/>
      <c r="M993" s="1"/>
      <c r="N993" s="1"/>
      <c r="O993" s="1"/>
      <c r="P993" s="1"/>
      <c r="Q993" s="1"/>
      <c r="R993" s="1"/>
      <c r="S993" s="1"/>
      <c r="T993" s="1"/>
      <c r="U993" s="1"/>
    </row>
    <row r="994" ht="10.5" customHeight="1">
      <c r="A994" s="1"/>
      <c r="B994" s="293">
        <v>40087.0</v>
      </c>
      <c r="C994" s="169">
        <v>55271.0</v>
      </c>
      <c r="D994" s="164">
        <v>196117.0</v>
      </c>
      <c r="E994" s="169">
        <v>15279.0</v>
      </c>
      <c r="F994" s="169">
        <v>5892.0</v>
      </c>
      <c r="G994" s="169">
        <v>13534.0</v>
      </c>
      <c r="H994" s="169">
        <v>58255.0</v>
      </c>
      <c r="I994" s="169">
        <v>8948.0</v>
      </c>
      <c r="J994" s="169">
        <v>5281.0</v>
      </c>
      <c r="K994" s="1"/>
      <c r="L994" s="1"/>
      <c r="M994" s="1"/>
      <c r="N994" s="1"/>
      <c r="O994" s="1"/>
      <c r="P994" s="1"/>
      <c r="Q994" s="1"/>
      <c r="R994" s="1"/>
      <c r="S994" s="1"/>
      <c r="T994" s="1"/>
      <c r="U994" s="1"/>
    </row>
    <row r="995" ht="10.5" customHeight="1">
      <c r="A995" s="1"/>
      <c r="B995" s="293"/>
      <c r="C995" s="169"/>
      <c r="D995" s="164"/>
      <c r="E995" s="169"/>
      <c r="F995" s="169"/>
      <c r="G995" s="169"/>
      <c r="H995" s="169"/>
      <c r="I995" s="169"/>
      <c r="J995" s="169"/>
      <c r="K995" s="1"/>
      <c r="L995" s="1"/>
      <c r="M995" s="1"/>
      <c r="N995" s="1"/>
      <c r="O995" s="1"/>
      <c r="P995" s="1"/>
      <c r="Q995" s="1"/>
      <c r="R995" s="1"/>
      <c r="S995" s="1"/>
      <c r="T995" s="1"/>
      <c r="U995" s="1"/>
    </row>
    <row r="996" ht="10.5" customHeight="1">
      <c r="A996" s="1"/>
      <c r="B996" s="85" t="s">
        <v>139</v>
      </c>
      <c r="C996" s="169">
        <v>52672.0</v>
      </c>
      <c r="D996" s="164">
        <v>176573.0</v>
      </c>
      <c r="E996" s="169">
        <v>13102.0</v>
      </c>
      <c r="F996" s="169">
        <v>6411.0</v>
      </c>
      <c r="G996" s="169">
        <v>12683.0</v>
      </c>
      <c r="H996" s="169">
        <v>62558.0</v>
      </c>
      <c r="I996" s="169">
        <v>8540.0</v>
      </c>
      <c r="J996" s="169">
        <v>6138.0</v>
      </c>
      <c r="K996" s="1"/>
      <c r="L996" s="1"/>
      <c r="M996" s="1"/>
      <c r="N996" s="1"/>
      <c r="O996" s="1"/>
      <c r="P996" s="1"/>
      <c r="Q996" s="1"/>
      <c r="R996" s="1"/>
      <c r="S996" s="1"/>
      <c r="T996" s="1"/>
      <c r="U996" s="1"/>
    </row>
    <row r="997" ht="10.5" customHeight="1">
      <c r="A997" s="1"/>
      <c r="B997" s="85" t="s">
        <v>143</v>
      </c>
      <c r="C997" s="169">
        <v>65131.0</v>
      </c>
      <c r="D997" s="164">
        <v>205039.0</v>
      </c>
      <c r="E997" s="169">
        <v>14891.0</v>
      </c>
      <c r="F997" s="169">
        <v>6875.0</v>
      </c>
      <c r="G997" s="169">
        <v>12713.0</v>
      </c>
      <c r="H997" s="169">
        <v>61099.0</v>
      </c>
      <c r="I997" s="169">
        <v>7756.0</v>
      </c>
      <c r="J997" s="169">
        <v>6397.0</v>
      </c>
      <c r="K997" s="1"/>
      <c r="L997" s="1"/>
      <c r="M997" s="1"/>
      <c r="N997" s="1"/>
      <c r="O997" s="1"/>
      <c r="P997" s="1"/>
      <c r="Q997" s="1"/>
      <c r="R997" s="1"/>
      <c r="S997" s="1"/>
      <c r="T997" s="1"/>
      <c r="U997" s="1"/>
    </row>
    <row r="998" ht="10.5" customHeight="1">
      <c r="A998" s="1"/>
      <c r="B998" s="85" t="s">
        <v>149</v>
      </c>
      <c r="C998" s="169">
        <v>52643.0</v>
      </c>
      <c r="D998" s="164">
        <v>157090.0</v>
      </c>
      <c r="E998" s="169">
        <v>17982.0</v>
      </c>
      <c r="F998" s="169">
        <v>5378.0</v>
      </c>
      <c r="G998" s="169">
        <v>14875.0</v>
      </c>
      <c r="H998" s="169">
        <v>71591.0</v>
      </c>
      <c r="I998" s="169">
        <v>9619.0</v>
      </c>
      <c r="J998" s="169">
        <v>6058.0</v>
      </c>
      <c r="K998" s="1"/>
      <c r="L998" s="1"/>
      <c r="M998" s="1"/>
      <c r="N998" s="1"/>
      <c r="O998" s="1"/>
      <c r="P998" s="1"/>
      <c r="Q998" s="1"/>
      <c r="R998" s="1"/>
      <c r="S998" s="1"/>
      <c r="T998" s="1"/>
      <c r="U998" s="1"/>
    </row>
    <row r="999" ht="10.5" customHeight="1">
      <c r="A999" s="1"/>
      <c r="B999" s="85" t="s">
        <v>151</v>
      </c>
      <c r="C999" s="169">
        <v>57582.0</v>
      </c>
      <c r="D999" s="164">
        <v>233295.0</v>
      </c>
      <c r="E999" s="169">
        <v>15335.0</v>
      </c>
      <c r="F999" s="169">
        <v>7128.0</v>
      </c>
      <c r="G999" s="169">
        <v>13685.0</v>
      </c>
      <c r="H999" s="169">
        <v>83094.0</v>
      </c>
      <c r="I999" s="169">
        <v>8720.0</v>
      </c>
      <c r="J999" s="169">
        <v>7745.0</v>
      </c>
      <c r="K999" s="1"/>
      <c r="L999" s="1"/>
      <c r="M999" s="1"/>
      <c r="N999" s="1"/>
      <c r="O999" s="1"/>
      <c r="P999" s="1"/>
      <c r="Q999" s="1"/>
      <c r="R999" s="1"/>
      <c r="S999" s="1"/>
      <c r="T999" s="1"/>
      <c r="U999" s="1"/>
    </row>
    <row r="1000" ht="10.5" customHeight="1">
      <c r="A1000" s="1"/>
      <c r="B1000" s="85" t="s">
        <v>153</v>
      </c>
      <c r="C1000" s="169">
        <v>75662.0</v>
      </c>
      <c r="D1000" s="164">
        <v>343932.0</v>
      </c>
      <c r="E1000" s="169">
        <v>16251.0</v>
      </c>
      <c r="F1000" s="169">
        <v>8421.0</v>
      </c>
      <c r="G1000" s="169">
        <v>15869.0</v>
      </c>
      <c r="H1000" s="169">
        <v>87786.0</v>
      </c>
      <c r="I1000" s="169">
        <v>9983.0</v>
      </c>
      <c r="J1000" s="169">
        <v>7042.0</v>
      </c>
      <c r="K1000" s="1"/>
      <c r="L1000" s="1"/>
      <c r="M1000" s="1"/>
      <c r="N1000" s="1"/>
      <c r="O1000" s="1"/>
      <c r="P1000" s="1"/>
      <c r="Q1000" s="1"/>
      <c r="R1000" s="1"/>
      <c r="S1000" s="1"/>
      <c r="T1000" s="1"/>
      <c r="U1000" s="1"/>
    </row>
    <row r="1001" ht="10.5" customHeight="1">
      <c r="A1001" s="1"/>
      <c r="B1001" s="85"/>
      <c r="C1001" s="169"/>
      <c r="D1001" s="164"/>
      <c r="E1001" s="169"/>
      <c r="F1001" s="169"/>
      <c r="G1001" s="169"/>
      <c r="H1001" s="169"/>
      <c r="I1001" s="169"/>
      <c r="J1001" s="169"/>
      <c r="K1001" s="1"/>
      <c r="L1001" s="1"/>
      <c r="M1001" s="1"/>
      <c r="N1001" s="1"/>
      <c r="O1001" s="1"/>
      <c r="P1001" s="1"/>
      <c r="Q1001" s="1"/>
      <c r="R1001" s="1"/>
      <c r="S1001" s="1"/>
      <c r="T1001" s="1"/>
      <c r="U1001" s="1"/>
    </row>
    <row r="1002" ht="10.5" customHeight="1">
      <c r="A1002" s="1"/>
      <c r="B1002" s="85" t="s">
        <v>155</v>
      </c>
      <c r="C1002" s="169">
        <v>40988.0</v>
      </c>
      <c r="D1002" s="164">
        <v>253271.0</v>
      </c>
      <c r="E1002" s="169">
        <v>13270.0</v>
      </c>
      <c r="F1002" s="169">
        <v>10102.0</v>
      </c>
      <c r="G1002" s="169">
        <v>14039.0</v>
      </c>
      <c r="H1002" s="169">
        <v>98872.0</v>
      </c>
      <c r="I1002" s="169">
        <v>9575.0</v>
      </c>
      <c r="J1002" s="169">
        <v>8329.0</v>
      </c>
      <c r="K1002" s="1"/>
      <c r="L1002" s="1"/>
      <c r="M1002" s="1"/>
      <c r="N1002" s="1"/>
      <c r="O1002" s="1"/>
      <c r="P1002" s="1"/>
      <c r="Q1002" s="1"/>
      <c r="R1002" s="1"/>
      <c r="S1002" s="1"/>
      <c r="T1002" s="1"/>
      <c r="U1002" s="1"/>
    </row>
    <row r="1003" ht="10.5" customHeight="1">
      <c r="A1003" s="1"/>
      <c r="B1003" s="96" t="s">
        <v>1110</v>
      </c>
      <c r="C1003" s="260">
        <v>60693.0</v>
      </c>
      <c r="D1003" s="210">
        <v>352760.0</v>
      </c>
      <c r="E1003" s="260">
        <v>18114.0</v>
      </c>
      <c r="F1003" s="260">
        <v>9009.0</v>
      </c>
      <c r="G1003" s="260">
        <v>15212.0</v>
      </c>
      <c r="H1003" s="260">
        <v>100531.0</v>
      </c>
      <c r="I1003" s="260">
        <v>9875.0</v>
      </c>
      <c r="J1003" s="260">
        <v>8470.0</v>
      </c>
      <c r="K1003" s="1"/>
      <c r="L1003" s="1"/>
      <c r="M1003" s="1"/>
      <c r="N1003" s="1"/>
      <c r="O1003" s="1"/>
      <c r="P1003" s="1"/>
      <c r="Q1003" s="1"/>
      <c r="R1003" s="1"/>
      <c r="S1003" s="1"/>
      <c r="T1003" s="1"/>
      <c r="U1003" s="1"/>
    </row>
    <row r="1004" ht="6.0" customHeight="1">
      <c r="A1004" s="1"/>
      <c r="B1004" s="291"/>
      <c r="C1004" s="267"/>
      <c r="D1004" s="692"/>
      <c r="E1004" s="267"/>
      <c r="F1004" s="267"/>
      <c r="G1004" s="267"/>
      <c r="H1004" s="267"/>
      <c r="I1004" s="267"/>
      <c r="J1004" s="267"/>
      <c r="K1004" s="1"/>
      <c r="L1004" s="1"/>
      <c r="M1004" s="1"/>
      <c r="N1004" s="1"/>
      <c r="O1004" s="1"/>
      <c r="P1004" s="1"/>
      <c r="Q1004" s="1"/>
      <c r="R1004" s="1"/>
      <c r="S1004" s="1"/>
      <c r="T1004" s="1"/>
      <c r="U1004" s="1"/>
    </row>
    <row r="1005" ht="10.5" customHeight="1">
      <c r="A1005" s="1"/>
      <c r="B1005" s="185" t="s">
        <v>1114</v>
      </c>
      <c r="C1005" s="185"/>
      <c r="D1005" s="185"/>
      <c r="E1005" s="185"/>
      <c r="F1005" s="185"/>
      <c r="G1005" s="185"/>
      <c r="H1005" s="185"/>
      <c r="I1005" s="1"/>
      <c r="J1005" s="1"/>
      <c r="K1005" s="1"/>
      <c r="L1005" s="1"/>
      <c r="M1005" s="1"/>
      <c r="N1005" s="1"/>
      <c r="O1005" s="1"/>
      <c r="P1005" s="1"/>
      <c r="Q1005" s="1"/>
      <c r="R1005" s="1"/>
      <c r="S1005" s="1"/>
      <c r="T1005" s="1"/>
      <c r="U1005" s="1"/>
    </row>
    <row r="1006" ht="10.5" customHeight="1">
      <c r="A1006" s="1"/>
      <c r="B1006" s="185" t="s">
        <v>662</v>
      </c>
      <c r="C1006" s="185"/>
      <c r="D1006" s="185"/>
      <c r="E1006" s="185"/>
      <c r="F1006" s="185"/>
      <c r="G1006" s="185"/>
      <c r="H1006" s="185"/>
      <c r="I1006" s="1"/>
      <c r="J1006" s="1"/>
      <c r="K1006" s="1"/>
      <c r="L1006" s="1"/>
      <c r="M1006" s="1"/>
      <c r="N1006" s="1"/>
      <c r="O1006" s="1"/>
      <c r="P1006" s="1"/>
      <c r="Q1006" s="1"/>
      <c r="R1006" s="1"/>
      <c r="S1006" s="1"/>
      <c r="T1006" s="1"/>
      <c r="U1006" s="1"/>
    </row>
    <row r="1007" ht="10.5" customHeight="1">
      <c r="A1007" s="1"/>
      <c r="B1007" s="185" t="s">
        <v>663</v>
      </c>
      <c r="C1007" s="185"/>
      <c r="D1007" s="185"/>
      <c r="E1007" s="185"/>
      <c r="F1007" s="185"/>
      <c r="G1007" s="185"/>
      <c r="H1007" s="185"/>
      <c r="I1007" s="1"/>
      <c r="J1007" s="1"/>
      <c r="K1007" s="1"/>
      <c r="L1007" s="1"/>
      <c r="M1007" s="1"/>
      <c r="N1007" s="1"/>
      <c r="O1007" s="1"/>
      <c r="P1007" s="1"/>
      <c r="Q1007" s="1"/>
      <c r="R1007" s="1"/>
      <c r="S1007" s="1"/>
      <c r="T1007" s="1"/>
      <c r="U1007" s="1"/>
    </row>
    <row r="1008" ht="10.5" customHeight="1">
      <c r="A1008" s="1"/>
      <c r="B1008" s="185" t="s">
        <v>664</v>
      </c>
      <c r="C1008" s="185"/>
      <c r="D1008" s="185"/>
      <c r="E1008" s="185"/>
      <c r="F1008" s="185"/>
      <c r="G1008" s="185"/>
      <c r="H1008" s="185"/>
      <c r="I1008" s="1"/>
      <c r="J1008" s="1"/>
      <c r="K1008" s="1"/>
      <c r="L1008" s="1"/>
      <c r="M1008" s="1"/>
      <c r="N1008" s="1"/>
      <c r="O1008" s="1"/>
      <c r="P1008" s="1"/>
      <c r="Q1008" s="1"/>
      <c r="R1008" s="1"/>
      <c r="S1008" s="1"/>
      <c r="T1008" s="1"/>
      <c r="U1008" s="1"/>
    </row>
    <row r="1009" ht="10.5" customHeight="1">
      <c r="A1009" s="1"/>
      <c r="B1009" s="185" t="s">
        <v>665</v>
      </c>
      <c r="C1009" s="185"/>
      <c r="D1009" s="185"/>
      <c r="E1009" s="185"/>
      <c r="F1009" s="185"/>
      <c r="G1009" s="185"/>
      <c r="H1009" s="185"/>
      <c r="I1009" s="1"/>
      <c r="J1009" s="1"/>
      <c r="K1009" s="1"/>
      <c r="L1009" s="1"/>
      <c r="M1009" s="1"/>
      <c r="N1009" s="1"/>
      <c r="O1009" s="1"/>
      <c r="P1009" s="1"/>
      <c r="Q1009" s="1"/>
      <c r="R1009" s="1"/>
      <c r="S1009" s="1"/>
      <c r="T1009" s="1"/>
      <c r="U1009" s="1"/>
    </row>
    <row r="1010" ht="10.5" customHeight="1">
      <c r="A1010" s="1"/>
      <c r="B1010" s="311" t="s">
        <v>666</v>
      </c>
      <c r="I1010" s="1"/>
      <c r="J1010" s="1"/>
      <c r="K1010" s="1"/>
      <c r="L1010" s="1"/>
      <c r="M1010" s="1"/>
      <c r="N1010" s="1"/>
      <c r="O1010" s="1"/>
      <c r="P1010" s="1"/>
      <c r="Q1010" s="1"/>
      <c r="R1010" s="1"/>
      <c r="S1010" s="1"/>
      <c r="T1010" s="1"/>
      <c r="U1010" s="1"/>
    </row>
    <row r="1011" ht="10.5" customHeight="1">
      <c r="A1011" s="1"/>
      <c r="B1011" s="311" t="s">
        <v>667</v>
      </c>
      <c r="C1011" s="311"/>
      <c r="D1011" s="311"/>
      <c r="E1011" s="311"/>
      <c r="F1011" s="311"/>
      <c r="G1011" s="311"/>
      <c r="H1011" s="311"/>
      <c r="I1011" s="1"/>
      <c r="J1011" s="1"/>
      <c r="K1011" s="1"/>
      <c r="L1011" s="1"/>
      <c r="M1011" s="1"/>
      <c r="N1011" s="1"/>
      <c r="O1011" s="1"/>
      <c r="P1011" s="1"/>
      <c r="Q1011" s="1"/>
      <c r="R1011" s="1"/>
      <c r="S1011" s="1"/>
      <c r="T1011" s="1"/>
      <c r="U1011" s="1"/>
    </row>
    <row r="1012" ht="10.5" customHeight="1">
      <c r="A1012" s="1"/>
      <c r="B1012" s="311" t="s">
        <v>669</v>
      </c>
      <c r="C1012" s="311"/>
      <c r="D1012" s="311"/>
      <c r="E1012" s="311"/>
      <c r="F1012" s="311"/>
      <c r="G1012" s="311"/>
      <c r="H1012" s="311"/>
      <c r="I1012" s="1"/>
      <c r="J1012" s="1"/>
      <c r="K1012" s="1"/>
      <c r="L1012" s="1"/>
      <c r="M1012" s="1"/>
      <c r="N1012" s="1"/>
      <c r="O1012" s="1"/>
      <c r="P1012" s="1"/>
      <c r="Q1012" s="1"/>
      <c r="R1012" s="1"/>
      <c r="S1012" s="1"/>
      <c r="T1012" s="1"/>
      <c r="U1012" s="1"/>
    </row>
    <row r="1013" ht="10.5" customHeight="1">
      <c r="A1013" s="1"/>
      <c r="B1013" s="185" t="s">
        <v>1116</v>
      </c>
      <c r="C1013" s="185"/>
      <c r="D1013" s="185"/>
      <c r="E1013" s="185"/>
      <c r="F1013" s="185"/>
      <c r="G1013" s="185"/>
      <c r="H1013" s="185"/>
      <c r="I1013" s="1"/>
      <c r="J1013" s="1"/>
      <c r="K1013" s="1"/>
      <c r="L1013" s="1"/>
      <c r="M1013" s="1"/>
      <c r="N1013" s="1"/>
      <c r="O1013" s="1"/>
      <c r="P1013" s="1"/>
      <c r="Q1013" s="1"/>
      <c r="R1013" s="1"/>
      <c r="S1013" s="1"/>
      <c r="T1013" s="1"/>
      <c r="U1013" s="1"/>
    </row>
    <row r="1014" ht="10.5" customHeight="1">
      <c r="A1014" s="1"/>
      <c r="B1014" s="1"/>
      <c r="C1014" s="113"/>
      <c r="D1014" s="113"/>
      <c r="E1014" s="113"/>
      <c r="F1014" s="113"/>
      <c r="G1014" s="113"/>
      <c r="H1014" s="113"/>
      <c r="I1014" s="113"/>
      <c r="J1014" s="113"/>
      <c r="K1014" s="1"/>
      <c r="L1014" s="1"/>
      <c r="M1014" s="1"/>
      <c r="N1014" s="1"/>
      <c r="O1014" s="1"/>
      <c r="P1014" s="1"/>
      <c r="Q1014" s="1"/>
      <c r="R1014" s="1"/>
      <c r="S1014" s="1"/>
      <c r="T1014" s="1"/>
      <c r="U1014" s="1"/>
    </row>
    <row r="1015" ht="10.5" customHeight="1">
      <c r="A1015" s="1"/>
      <c r="B1015" s="1"/>
      <c r="C1015" s="1"/>
      <c r="D1015" s="1"/>
      <c r="E1015" s="1"/>
      <c r="F1015" s="1"/>
      <c r="G1015" s="1"/>
      <c r="H1015" s="1"/>
      <c r="I1015" s="1"/>
      <c r="J1015" s="1"/>
      <c r="K1015" s="1"/>
      <c r="L1015" s="1"/>
      <c r="M1015" s="1"/>
      <c r="N1015" s="1"/>
      <c r="O1015" s="1"/>
      <c r="P1015" s="1"/>
      <c r="Q1015" s="1"/>
      <c r="R1015" s="1"/>
      <c r="S1015" s="1"/>
      <c r="T1015" s="1"/>
      <c r="U1015" s="1"/>
    </row>
    <row r="1016" ht="10.5" customHeight="1">
      <c r="A1016" s="1"/>
      <c r="B1016" s="1"/>
      <c r="C1016" s="1"/>
      <c r="D1016" s="1"/>
      <c r="E1016" s="1"/>
      <c r="F1016" s="1"/>
      <c r="G1016" s="1"/>
      <c r="H1016" s="1"/>
      <c r="I1016" s="1"/>
      <c r="J1016" s="1"/>
      <c r="K1016" s="1"/>
      <c r="L1016" s="1"/>
      <c r="M1016" s="1"/>
      <c r="N1016" s="1"/>
      <c r="O1016" s="1"/>
      <c r="P1016" s="1"/>
      <c r="Q1016" s="1"/>
      <c r="R1016" s="1"/>
      <c r="S1016" s="1"/>
      <c r="T1016" s="1"/>
      <c r="U1016" s="1"/>
    </row>
    <row r="1017" ht="10.5" customHeight="1">
      <c r="A1017" s="1"/>
      <c r="B1017" s="1"/>
      <c r="C1017" s="1"/>
      <c r="D1017" s="1"/>
      <c r="E1017" s="1"/>
      <c r="F1017" s="1"/>
      <c r="G1017" s="1"/>
      <c r="H1017" s="1"/>
      <c r="I1017" s="1"/>
      <c r="J1017" s="1"/>
      <c r="K1017" s="1"/>
      <c r="L1017" s="1"/>
      <c r="M1017" s="1"/>
      <c r="N1017" s="1"/>
      <c r="O1017" s="1"/>
      <c r="P1017" s="1"/>
      <c r="Q1017" s="1"/>
      <c r="R1017" s="1"/>
      <c r="S1017" s="1"/>
      <c r="T1017" s="1"/>
      <c r="U1017" s="1"/>
    </row>
    <row r="1018" ht="10.5" customHeight="1">
      <c r="A1018" s="1"/>
      <c r="B1018" s="1"/>
      <c r="C1018" s="1"/>
      <c r="D1018" s="1"/>
      <c r="E1018" s="1"/>
      <c r="F1018" s="1"/>
      <c r="G1018" s="1"/>
      <c r="H1018" s="1"/>
      <c r="I1018" s="1"/>
      <c r="J1018" s="1"/>
      <c r="K1018" s="1"/>
      <c r="L1018" s="1"/>
      <c r="M1018" s="1"/>
      <c r="N1018" s="1"/>
      <c r="O1018" s="1"/>
      <c r="P1018" s="1"/>
      <c r="Q1018" s="1"/>
      <c r="R1018" s="1"/>
      <c r="S1018" s="1"/>
      <c r="T1018" s="1"/>
      <c r="U1018" s="1"/>
    </row>
    <row r="1019" ht="10.5" customHeight="1">
      <c r="A1019" s="1"/>
      <c r="B1019" s="1"/>
      <c r="C1019" s="1"/>
      <c r="D1019" s="1"/>
      <c r="E1019" s="1"/>
      <c r="F1019" s="1"/>
      <c r="G1019" s="1"/>
      <c r="H1019" s="1"/>
      <c r="I1019" s="1"/>
      <c r="J1019" s="1"/>
      <c r="K1019" s="1"/>
      <c r="L1019" s="1"/>
      <c r="M1019" s="1"/>
      <c r="N1019" s="1"/>
      <c r="O1019" s="1"/>
      <c r="P1019" s="1"/>
      <c r="Q1019" s="1"/>
      <c r="R1019" s="1"/>
      <c r="S1019" s="1"/>
      <c r="T1019" s="1"/>
      <c r="U1019" s="1"/>
    </row>
    <row r="1020" ht="10.5" customHeight="1">
      <c r="A1020" s="1"/>
      <c r="B1020" s="1"/>
      <c r="C1020" s="1"/>
      <c r="D1020" s="1"/>
      <c r="E1020" s="1"/>
      <c r="F1020" s="1"/>
      <c r="G1020" s="1"/>
      <c r="H1020" s="1"/>
      <c r="I1020" s="1"/>
      <c r="J1020" s="1"/>
      <c r="K1020" s="1"/>
      <c r="L1020" s="1"/>
      <c r="M1020" s="1"/>
      <c r="N1020" s="1"/>
      <c r="O1020" s="1"/>
      <c r="P1020" s="1"/>
      <c r="Q1020" s="1"/>
      <c r="R1020" s="1"/>
      <c r="S1020" s="1"/>
      <c r="T1020" s="1"/>
      <c r="U1020" s="1"/>
    </row>
    <row r="1021" ht="10.5" customHeight="1">
      <c r="A1021" s="1"/>
      <c r="B1021" s="1"/>
      <c r="C1021" s="1"/>
      <c r="D1021" s="1"/>
      <c r="E1021" s="1"/>
      <c r="F1021" s="1"/>
      <c r="G1021" s="1"/>
      <c r="H1021" s="1"/>
      <c r="I1021" s="1"/>
      <c r="J1021" s="1"/>
      <c r="K1021" s="1"/>
      <c r="L1021" s="1"/>
      <c r="M1021" s="1"/>
      <c r="N1021" s="1"/>
      <c r="O1021" s="1"/>
      <c r="P1021" s="1"/>
      <c r="Q1021" s="1"/>
      <c r="R1021" s="1"/>
      <c r="S1021" s="1"/>
      <c r="T1021" s="1"/>
      <c r="U1021" s="1"/>
    </row>
    <row r="1022" ht="10.5" customHeight="1">
      <c r="A1022" s="1"/>
      <c r="B1022" s="1"/>
      <c r="C1022" s="1"/>
      <c r="D1022" s="1"/>
      <c r="E1022" s="1"/>
      <c r="F1022" s="1"/>
      <c r="G1022" s="1"/>
      <c r="H1022" s="1"/>
      <c r="I1022" s="1"/>
      <c r="J1022" s="1"/>
      <c r="K1022" s="1"/>
      <c r="L1022" s="1"/>
      <c r="M1022" s="1"/>
      <c r="N1022" s="1"/>
      <c r="O1022" s="1"/>
      <c r="P1022" s="1"/>
      <c r="Q1022" s="1"/>
      <c r="R1022" s="1"/>
      <c r="S1022" s="1"/>
      <c r="T1022" s="1"/>
      <c r="U1022" s="1"/>
    </row>
    <row r="1023" ht="10.5" customHeight="1">
      <c r="A1023" s="1"/>
      <c r="B1023" s="1"/>
      <c r="C1023" s="1"/>
      <c r="D1023" s="1"/>
      <c r="E1023" s="1"/>
      <c r="F1023" s="1"/>
      <c r="G1023" s="1"/>
      <c r="H1023" s="1"/>
      <c r="I1023" s="1"/>
      <c r="J1023" s="1"/>
      <c r="K1023" s="1"/>
      <c r="L1023" s="1"/>
      <c r="M1023" s="1"/>
      <c r="N1023" s="1"/>
      <c r="O1023" s="1"/>
      <c r="P1023" s="1"/>
      <c r="Q1023" s="1"/>
      <c r="R1023" s="1"/>
      <c r="S1023" s="1"/>
      <c r="T1023" s="1"/>
      <c r="U1023" s="1"/>
    </row>
    <row r="1024" ht="10.5" customHeight="1">
      <c r="A1024" s="1"/>
      <c r="B1024" s="1"/>
      <c r="C1024" s="1"/>
      <c r="D1024" s="1"/>
      <c r="E1024" s="1"/>
      <c r="F1024" s="1"/>
      <c r="G1024" s="1"/>
      <c r="H1024" s="1"/>
      <c r="I1024" s="1"/>
      <c r="J1024" s="1"/>
      <c r="K1024" s="1"/>
      <c r="L1024" s="1"/>
      <c r="M1024" s="1"/>
      <c r="N1024" s="1"/>
      <c r="O1024" s="1"/>
      <c r="P1024" s="1"/>
      <c r="Q1024" s="1"/>
      <c r="R1024" s="1"/>
      <c r="S1024" s="1"/>
      <c r="T1024" s="1"/>
      <c r="U1024" s="1"/>
    </row>
    <row r="1025" ht="10.5" customHeight="1">
      <c r="A1025" s="1"/>
      <c r="B1025" s="1"/>
      <c r="C1025" s="1"/>
      <c r="D1025" s="1"/>
      <c r="E1025" s="1"/>
      <c r="F1025" s="1"/>
      <c r="G1025" s="1"/>
      <c r="H1025" s="1"/>
      <c r="I1025" s="1"/>
      <c r="J1025" s="1"/>
      <c r="K1025" s="1"/>
      <c r="L1025" s="1"/>
      <c r="M1025" s="1"/>
      <c r="N1025" s="1"/>
      <c r="O1025" s="1"/>
      <c r="P1025" s="1"/>
      <c r="Q1025" s="1"/>
      <c r="R1025" s="1"/>
      <c r="S1025" s="1"/>
      <c r="T1025" s="1"/>
      <c r="U1025" s="1"/>
    </row>
    <row r="1026" ht="10.5" customHeight="1">
      <c r="A1026" s="1"/>
      <c r="B1026" s="1"/>
      <c r="C1026" s="1"/>
      <c r="D1026" s="1"/>
      <c r="E1026" s="1"/>
      <c r="F1026" s="1"/>
      <c r="G1026" s="1"/>
      <c r="H1026" s="1"/>
      <c r="I1026" s="1"/>
      <c r="J1026" s="1"/>
      <c r="K1026" s="1"/>
      <c r="L1026" s="1"/>
      <c r="M1026" s="1"/>
      <c r="N1026" s="1"/>
      <c r="O1026" s="1"/>
      <c r="P1026" s="1"/>
      <c r="Q1026" s="1"/>
      <c r="R1026" s="1"/>
      <c r="S1026" s="1"/>
      <c r="T1026" s="1"/>
      <c r="U1026" s="1"/>
    </row>
    <row r="1027" ht="10.5" customHeight="1">
      <c r="A1027" s="1"/>
      <c r="B1027" s="1"/>
      <c r="C1027" s="1"/>
      <c r="D1027" s="1"/>
      <c r="E1027" s="1"/>
      <c r="F1027" s="1"/>
      <c r="G1027" s="110">
        <v>49.0</v>
      </c>
      <c r="H1027" s="1"/>
      <c r="I1027" s="1"/>
      <c r="J1027" s="1"/>
      <c r="K1027" s="1"/>
      <c r="L1027" s="1"/>
      <c r="M1027" s="1"/>
      <c r="N1027" s="1"/>
      <c r="O1027" s="1"/>
      <c r="P1027" s="1"/>
      <c r="Q1027" s="1"/>
      <c r="R1027" s="1"/>
      <c r="S1027" s="1"/>
      <c r="T1027" s="1"/>
      <c r="U1027" s="1"/>
    </row>
    <row r="1028" ht="10.5" customHeight="1">
      <c r="A1028" s="1"/>
      <c r="B1028" s="1"/>
      <c r="C1028" s="1"/>
      <c r="D1028" s="1"/>
      <c r="E1028" s="1"/>
      <c r="F1028" s="1"/>
      <c r="G1028" s="1"/>
      <c r="H1028" s="1"/>
      <c r="I1028" s="1"/>
      <c r="J1028" s="1"/>
      <c r="K1028" s="1"/>
      <c r="L1028" s="1"/>
      <c r="M1028" s="1"/>
      <c r="N1028" s="1"/>
      <c r="O1028" s="1"/>
      <c r="P1028" s="1"/>
      <c r="Q1028" s="1"/>
      <c r="R1028" s="1"/>
      <c r="S1028" s="1"/>
      <c r="T1028" s="1"/>
      <c r="U1028" s="1"/>
    </row>
    <row r="1029" ht="11.25" customHeight="1">
      <c r="A1029" s="1"/>
      <c r="B1029" s="1" t="s">
        <v>1126</v>
      </c>
      <c r="C1029" s="1"/>
      <c r="D1029" s="111"/>
      <c r="E1029" s="1"/>
      <c r="F1029" s="1"/>
      <c r="G1029" s="1"/>
      <c r="H1029" s="1"/>
      <c r="I1029" s="1"/>
      <c r="J1029" s="1"/>
      <c r="K1029" s="1"/>
      <c r="L1029" s="1"/>
      <c r="M1029" s="1"/>
      <c r="N1029" s="1"/>
      <c r="O1029" s="1"/>
      <c r="P1029" s="1"/>
      <c r="Q1029" s="1"/>
      <c r="R1029" s="1"/>
      <c r="S1029" s="1"/>
      <c r="T1029" s="1"/>
      <c r="U1029" s="1"/>
    </row>
    <row r="1030" ht="11.25" customHeight="1">
      <c r="A1030" s="1"/>
      <c r="B1030" s="29" t="s">
        <v>938</v>
      </c>
      <c r="C1030" s="128" t="s">
        <v>1128</v>
      </c>
      <c r="D1030" s="9"/>
      <c r="E1030" s="9"/>
      <c r="F1030" s="9"/>
      <c r="G1030" s="9"/>
      <c r="H1030" s="9"/>
      <c r="I1030" s="9"/>
      <c r="J1030" s="10"/>
      <c r="K1030" s="1"/>
      <c r="L1030" s="1"/>
      <c r="M1030" s="1"/>
      <c r="N1030" s="1"/>
      <c r="O1030" s="1"/>
      <c r="P1030" s="1"/>
      <c r="Q1030" s="1"/>
      <c r="R1030" s="1"/>
      <c r="S1030" s="1"/>
      <c r="T1030" s="1"/>
      <c r="U1030" s="1"/>
    </row>
    <row r="1031" ht="11.25" customHeight="1">
      <c r="A1031" s="1"/>
      <c r="B1031" s="5"/>
      <c r="C1031" s="31" t="s">
        <v>508</v>
      </c>
      <c r="D1031" s="644" t="s">
        <v>640</v>
      </c>
      <c r="E1031" s="128" t="s">
        <v>1132</v>
      </c>
      <c r="F1031" s="10"/>
      <c r="G1031" s="128" t="s">
        <v>510</v>
      </c>
      <c r="H1031" s="10"/>
      <c r="I1031" s="128" t="s">
        <v>243</v>
      </c>
      <c r="J1031" s="10"/>
      <c r="K1031" s="1"/>
      <c r="L1031" s="1"/>
      <c r="M1031" s="1"/>
      <c r="N1031" s="1"/>
      <c r="O1031" s="1"/>
      <c r="P1031" s="1"/>
      <c r="Q1031" s="1"/>
      <c r="R1031" s="1"/>
      <c r="S1031" s="1"/>
      <c r="T1031" s="1"/>
      <c r="U1031" s="1"/>
    </row>
    <row r="1032" ht="22.5" customHeight="1">
      <c r="A1032" s="1"/>
      <c r="B1032" s="5"/>
      <c r="C1032" s="6"/>
      <c r="D1032" s="118"/>
      <c r="E1032" s="190" t="s">
        <v>514</v>
      </c>
      <c r="F1032" s="7" t="s">
        <v>515</v>
      </c>
      <c r="G1032" s="7" t="s">
        <v>514</v>
      </c>
      <c r="H1032" s="7" t="s">
        <v>515</v>
      </c>
      <c r="I1032" s="7" t="s">
        <v>514</v>
      </c>
      <c r="J1032" s="7" t="s">
        <v>515</v>
      </c>
      <c r="K1032" s="1"/>
      <c r="L1032" s="1"/>
      <c r="M1032" s="1"/>
      <c r="N1032" s="1"/>
      <c r="O1032" s="1"/>
      <c r="P1032" s="1"/>
      <c r="Q1032" s="1"/>
      <c r="R1032" s="1"/>
      <c r="S1032" s="1"/>
      <c r="T1032" s="1"/>
      <c r="U1032" s="1"/>
    </row>
    <row r="1033" ht="11.25" customHeight="1">
      <c r="A1033" s="1"/>
      <c r="B1033" s="6"/>
      <c r="C1033" s="482" t="s">
        <v>520</v>
      </c>
      <c r="D1033" s="351" t="s">
        <v>50</v>
      </c>
      <c r="E1033" s="134" t="s">
        <v>520</v>
      </c>
      <c r="F1033" s="134" t="s">
        <v>52</v>
      </c>
      <c r="G1033" s="134" t="s">
        <v>520</v>
      </c>
      <c r="H1033" s="134" t="s">
        <v>52</v>
      </c>
      <c r="I1033" s="134" t="s">
        <v>520</v>
      </c>
      <c r="J1033" s="134" t="s">
        <v>52</v>
      </c>
      <c r="K1033" s="1"/>
      <c r="L1033" s="1"/>
      <c r="M1033" s="1"/>
      <c r="N1033" s="1"/>
      <c r="O1033" s="1"/>
      <c r="P1033" s="1"/>
      <c r="Q1033" s="1"/>
      <c r="R1033" s="1"/>
      <c r="S1033" s="1"/>
      <c r="T1033" s="1"/>
      <c r="U1033" s="1"/>
    </row>
    <row r="1034" ht="10.5" customHeight="1">
      <c r="A1034" s="1"/>
      <c r="B1034" s="48" t="s">
        <v>56</v>
      </c>
      <c r="C1034" s="228">
        <v>226733.0</v>
      </c>
      <c r="D1034" s="164">
        <v>16110.0</v>
      </c>
      <c r="E1034" s="228">
        <v>31476.0</v>
      </c>
      <c r="F1034" s="228">
        <v>184.0</v>
      </c>
      <c r="G1034" s="228">
        <v>173438.0</v>
      </c>
      <c r="H1034" s="249">
        <v>42.72</v>
      </c>
      <c r="I1034" s="130">
        <v>3719.0</v>
      </c>
      <c r="J1034" s="276">
        <v>275.86</v>
      </c>
      <c r="K1034" s="1"/>
      <c r="L1034" s="1"/>
      <c r="M1034" s="1"/>
      <c r="N1034" s="1"/>
      <c r="O1034" s="1"/>
      <c r="P1034" s="1"/>
      <c r="Q1034" s="1"/>
      <c r="R1034" s="1"/>
      <c r="S1034" s="1"/>
      <c r="T1034" s="1"/>
      <c r="U1034" s="1"/>
    </row>
    <row r="1035" ht="10.5" customHeight="1">
      <c r="A1035" s="1"/>
      <c r="B1035" s="48" t="s">
        <v>81</v>
      </c>
      <c r="C1035" s="228">
        <v>249215.0</v>
      </c>
      <c r="D1035" s="164">
        <v>18786.0</v>
      </c>
      <c r="E1035" s="228">
        <v>32927.0</v>
      </c>
      <c r="F1035" s="228">
        <v>203.0</v>
      </c>
      <c r="G1035" s="228">
        <v>193968.0</v>
      </c>
      <c r="H1035" s="249">
        <v>45.28</v>
      </c>
      <c r="I1035" s="130">
        <v>3455.0</v>
      </c>
      <c r="J1035" s="276">
        <v>329.88</v>
      </c>
      <c r="K1035" s="1"/>
      <c r="L1035" s="1"/>
      <c r="M1035" s="1"/>
      <c r="N1035" s="1"/>
      <c r="O1035" s="1"/>
      <c r="P1035" s="1"/>
      <c r="Q1035" s="1"/>
      <c r="R1035" s="1"/>
      <c r="S1035" s="1"/>
      <c r="T1035" s="1"/>
      <c r="U1035" s="1"/>
    </row>
    <row r="1036" ht="10.5" customHeight="1">
      <c r="A1036" s="1"/>
      <c r="B1036" s="48" t="s">
        <v>86</v>
      </c>
      <c r="C1036" s="228">
        <v>209600.0</v>
      </c>
      <c r="D1036" s="164">
        <v>17311.0</v>
      </c>
      <c r="E1036" s="228">
        <v>29742.0</v>
      </c>
      <c r="F1036" s="228">
        <v>269.0</v>
      </c>
      <c r="G1036" s="228">
        <v>172964.0</v>
      </c>
      <c r="H1036" s="249">
        <v>49.1</v>
      </c>
      <c r="I1036" s="130">
        <v>3264.0</v>
      </c>
      <c r="J1036" s="276">
        <v>366.83</v>
      </c>
      <c r="K1036" s="1"/>
      <c r="L1036" s="1"/>
      <c r="M1036" s="1"/>
      <c r="N1036" s="1"/>
      <c r="O1036" s="1"/>
      <c r="P1036" s="1"/>
      <c r="Q1036" s="1"/>
      <c r="R1036" s="1"/>
      <c r="S1036" s="1"/>
      <c r="T1036" s="1"/>
      <c r="U1036" s="1"/>
    </row>
    <row r="1037" ht="10.5" customHeight="1">
      <c r="A1037" s="1"/>
      <c r="B1037" s="48" t="s">
        <v>87</v>
      </c>
      <c r="C1037" s="228">
        <v>153315.0</v>
      </c>
      <c r="D1037" s="164">
        <v>16858.0</v>
      </c>
      <c r="E1037" s="228">
        <v>34697.0</v>
      </c>
      <c r="F1037" s="228">
        <v>265.0</v>
      </c>
      <c r="G1037" s="228">
        <v>111572.0</v>
      </c>
      <c r="H1037" s="249">
        <v>63.13</v>
      </c>
      <c r="I1037" s="130">
        <v>2813.0</v>
      </c>
      <c r="J1037" s="276">
        <v>377.18</v>
      </c>
      <c r="K1037" s="1"/>
      <c r="L1037" s="1"/>
      <c r="M1037" s="1"/>
      <c r="N1037" s="1"/>
      <c r="O1037" s="1"/>
      <c r="P1037" s="1"/>
      <c r="Q1037" s="1"/>
      <c r="R1037" s="1"/>
      <c r="S1037" s="1"/>
      <c r="T1037" s="1"/>
      <c r="U1037" s="1"/>
    </row>
    <row r="1038" ht="10.5" customHeight="1">
      <c r="A1038" s="1"/>
      <c r="B1038" s="48" t="s">
        <v>90</v>
      </c>
      <c r="C1038" s="228">
        <v>247623.0</v>
      </c>
      <c r="D1038" s="164">
        <v>26079.0</v>
      </c>
      <c r="E1038" s="228">
        <v>42533.0</v>
      </c>
      <c r="F1038" s="228">
        <v>240.0</v>
      </c>
      <c r="G1038" s="228">
        <v>197252.0</v>
      </c>
      <c r="H1038" s="249">
        <v>77.38</v>
      </c>
      <c r="I1038" s="130">
        <v>2649.0</v>
      </c>
      <c r="J1038" s="276">
        <v>404.92</v>
      </c>
      <c r="K1038" s="1"/>
      <c r="L1038" s="1"/>
      <c r="M1038" s="1"/>
      <c r="N1038" s="1"/>
      <c r="O1038" s="1"/>
      <c r="P1038" s="1"/>
      <c r="Q1038" s="1"/>
      <c r="R1038" s="1"/>
      <c r="S1038" s="1"/>
      <c r="T1038" s="1"/>
      <c r="U1038" s="1"/>
    </row>
    <row r="1039" ht="10.5" customHeight="1">
      <c r="A1039" s="1"/>
      <c r="B1039" s="48"/>
      <c r="C1039" s="228"/>
      <c r="D1039" s="164"/>
      <c r="E1039" s="228"/>
      <c r="F1039" s="228"/>
      <c r="G1039" s="228"/>
      <c r="H1039" s="249"/>
      <c r="I1039" s="130"/>
      <c r="J1039" s="276"/>
      <c r="K1039" s="1"/>
      <c r="L1039" s="1"/>
      <c r="M1039" s="1"/>
      <c r="N1039" s="1"/>
      <c r="O1039" s="1"/>
      <c r="P1039" s="1"/>
      <c r="Q1039" s="1"/>
      <c r="R1039" s="1"/>
      <c r="S1039" s="1"/>
      <c r="T1039" s="1"/>
      <c r="U1039" s="1"/>
    </row>
    <row r="1040" ht="10.5" customHeight="1">
      <c r="A1040" s="1"/>
      <c r="B1040" s="48" t="s">
        <v>93</v>
      </c>
      <c r="C1040" s="228">
        <v>264527.0</v>
      </c>
      <c r="D1040" s="164">
        <v>32689.0</v>
      </c>
      <c r="E1040" s="228">
        <v>39398.0</v>
      </c>
      <c r="F1040" s="228">
        <v>307.0</v>
      </c>
      <c r="G1040" s="228">
        <v>218346.0</v>
      </c>
      <c r="H1040" s="249">
        <v>90.75</v>
      </c>
      <c r="I1040" s="130">
        <v>1976.0</v>
      </c>
      <c r="J1040" s="276">
        <v>494.51</v>
      </c>
      <c r="K1040" s="1"/>
      <c r="L1040" s="1"/>
      <c r="M1040" s="1"/>
      <c r="N1040" s="1"/>
      <c r="O1040" s="1"/>
      <c r="P1040" s="1"/>
      <c r="Q1040" s="1"/>
      <c r="R1040" s="1"/>
      <c r="S1040" s="1"/>
      <c r="T1040" s="1"/>
      <c r="U1040" s="1"/>
    </row>
    <row r="1041" ht="10.5" customHeight="1">
      <c r="A1041" s="1"/>
      <c r="B1041" s="48" t="s">
        <v>97</v>
      </c>
      <c r="C1041" s="228">
        <v>267396.0</v>
      </c>
      <c r="D1041" s="164">
        <v>36340.0</v>
      </c>
      <c r="E1041" s="228">
        <v>46154.0</v>
      </c>
      <c r="F1041" s="228">
        <v>298.0</v>
      </c>
      <c r="G1041" s="228">
        <v>213545.0</v>
      </c>
      <c r="H1041" s="249">
        <v>101.39</v>
      </c>
      <c r="I1041" s="130">
        <v>2065.0</v>
      </c>
      <c r="J1041" s="276">
        <v>752.12</v>
      </c>
      <c r="K1041" s="1"/>
      <c r="L1041" s="1"/>
      <c r="M1041" s="1"/>
      <c r="N1041" s="1"/>
      <c r="O1041" s="1"/>
      <c r="P1041" s="1"/>
      <c r="Q1041" s="1"/>
      <c r="R1041" s="1"/>
      <c r="S1041" s="1"/>
      <c r="T1041" s="1"/>
      <c r="U1041" s="1"/>
    </row>
    <row r="1042" ht="10.5" customHeight="1">
      <c r="A1042" s="1"/>
      <c r="B1042" s="48" t="s">
        <v>101</v>
      </c>
      <c r="C1042" s="228">
        <v>164704.0</v>
      </c>
      <c r="D1042" s="164">
        <v>30488.0</v>
      </c>
      <c r="E1042" s="228">
        <v>35702.0</v>
      </c>
      <c r="F1042" s="228">
        <v>409.0</v>
      </c>
      <c r="G1042" s="228">
        <v>122530.0</v>
      </c>
      <c r="H1042" s="249">
        <v>119.18</v>
      </c>
      <c r="I1042" s="130">
        <v>2117.0</v>
      </c>
      <c r="J1042" s="276">
        <v>918.73</v>
      </c>
      <c r="K1042" s="1"/>
      <c r="L1042" s="1"/>
      <c r="M1042" s="1"/>
      <c r="N1042" s="1"/>
      <c r="O1042" s="1"/>
      <c r="P1042" s="1"/>
      <c r="Q1042" s="1"/>
      <c r="R1042" s="1"/>
      <c r="S1042" s="1"/>
      <c r="T1042" s="1"/>
      <c r="U1042" s="1"/>
    </row>
    <row r="1043" ht="10.5" customHeight="1">
      <c r="A1043" s="1"/>
      <c r="B1043" s="48" t="s">
        <v>103</v>
      </c>
      <c r="C1043" s="228">
        <v>252215.0</v>
      </c>
      <c r="D1043" s="164">
        <v>44806.0</v>
      </c>
      <c r="E1043" s="228">
        <v>30993.0</v>
      </c>
      <c r="F1043" s="228">
        <v>518.0</v>
      </c>
      <c r="G1043" s="228">
        <v>215065.0</v>
      </c>
      <c r="H1043" s="249">
        <v>127.4</v>
      </c>
      <c r="I1043" s="130">
        <v>2374.0</v>
      </c>
      <c r="J1043" s="276">
        <v>882.65</v>
      </c>
      <c r="K1043" s="1"/>
      <c r="L1043" s="1"/>
      <c r="M1043" s="1"/>
      <c r="N1043" s="1"/>
      <c r="O1043" s="1"/>
      <c r="P1043" s="1"/>
      <c r="Q1043" s="1"/>
      <c r="R1043" s="1"/>
      <c r="S1043" s="1"/>
      <c r="T1043" s="1"/>
      <c r="U1043" s="1"/>
    </row>
    <row r="1044" ht="10.5" customHeight="1">
      <c r="A1044" s="1"/>
      <c r="B1044" s="48" t="s">
        <v>104</v>
      </c>
      <c r="C1044" s="228">
        <v>208614.0</v>
      </c>
      <c r="D1044" s="164">
        <v>42879.0</v>
      </c>
      <c r="E1044" s="228">
        <v>27601.0</v>
      </c>
      <c r="F1044" s="228">
        <v>703.0</v>
      </c>
      <c r="G1044" s="228">
        <v>175001.0</v>
      </c>
      <c r="H1044" s="249">
        <v>126.67</v>
      </c>
      <c r="I1044" s="130">
        <v>2644.0</v>
      </c>
      <c r="J1044" s="276">
        <v>836.7</v>
      </c>
      <c r="K1044" s="1"/>
      <c r="L1044" s="1"/>
      <c r="M1044" s="1"/>
      <c r="N1044" s="1"/>
      <c r="O1044" s="1"/>
      <c r="P1044" s="1"/>
      <c r="Q1044" s="1"/>
      <c r="R1044" s="1"/>
      <c r="S1044" s="1"/>
      <c r="T1044" s="1"/>
      <c r="U1044" s="1"/>
    </row>
    <row r="1045" ht="10.5" customHeight="1">
      <c r="A1045" s="1"/>
      <c r="B1045" s="48"/>
      <c r="C1045" s="228"/>
      <c r="D1045" s="164"/>
      <c r="E1045" s="228"/>
      <c r="F1045" s="228"/>
      <c r="G1045" s="228"/>
      <c r="H1045" s="249"/>
      <c r="I1045" s="130"/>
      <c r="J1045" s="276"/>
      <c r="K1045" s="1"/>
      <c r="L1045" s="1"/>
      <c r="M1045" s="1"/>
      <c r="N1045" s="1"/>
      <c r="O1045" s="1"/>
      <c r="P1045" s="1"/>
      <c r="Q1045" s="1"/>
      <c r="R1045" s="1"/>
      <c r="S1045" s="1"/>
      <c r="T1045" s="1"/>
      <c r="U1045" s="1"/>
    </row>
    <row r="1046" ht="10.5" customHeight="1">
      <c r="A1046" s="1"/>
      <c r="B1046" s="48" t="s">
        <v>108</v>
      </c>
      <c r="C1046" s="228">
        <v>160911.0</v>
      </c>
      <c r="D1046" s="164">
        <v>49946.0</v>
      </c>
      <c r="E1046" s="228">
        <v>20669.0</v>
      </c>
      <c r="F1046" s="228">
        <v>1128.0</v>
      </c>
      <c r="G1046" s="228">
        <v>133970.0</v>
      </c>
      <c r="H1046" s="249">
        <v>176.06</v>
      </c>
      <c r="I1046" s="130">
        <v>3716.0</v>
      </c>
      <c r="J1046" s="276">
        <v>1102.02</v>
      </c>
      <c r="K1046" s="1"/>
      <c r="L1046" s="1"/>
      <c r="M1046" s="1"/>
      <c r="N1046" s="1"/>
      <c r="O1046" s="1"/>
      <c r="P1046" s="1"/>
      <c r="Q1046" s="1"/>
      <c r="R1046" s="1"/>
      <c r="S1046" s="1"/>
      <c r="T1046" s="1"/>
      <c r="U1046" s="1"/>
    </row>
    <row r="1047" ht="10.5" customHeight="1">
      <c r="A1047" s="1"/>
      <c r="B1047" s="48" t="s">
        <v>111</v>
      </c>
      <c r="C1047" s="228">
        <v>164002.0</v>
      </c>
      <c r="D1047" s="164">
        <v>58525.0</v>
      </c>
      <c r="E1047" s="228">
        <v>20660.0</v>
      </c>
      <c r="F1047" s="228">
        <v>1201.0</v>
      </c>
      <c r="G1047" s="228">
        <v>137426.0</v>
      </c>
      <c r="H1047" s="249">
        <v>217.05</v>
      </c>
      <c r="I1047" s="130">
        <v>3396.0</v>
      </c>
      <c r="J1047" s="276">
        <v>1481.46</v>
      </c>
      <c r="K1047" s="1"/>
      <c r="L1047" s="1"/>
      <c r="M1047" s="1"/>
      <c r="N1047" s="1"/>
      <c r="O1047" s="1"/>
      <c r="P1047" s="1"/>
      <c r="Q1047" s="1"/>
      <c r="R1047" s="1"/>
      <c r="S1047" s="1"/>
      <c r="T1047" s="1"/>
      <c r="U1047" s="1"/>
    </row>
    <row r="1048" ht="10.5" customHeight="1">
      <c r="A1048" s="1"/>
      <c r="B1048" s="48" t="s">
        <v>112</v>
      </c>
      <c r="C1048" s="228">
        <v>163809.0</v>
      </c>
      <c r="D1048" s="164">
        <v>61836.0</v>
      </c>
      <c r="E1048" s="228">
        <v>19130.0</v>
      </c>
      <c r="F1048" s="228">
        <v>1309.0</v>
      </c>
      <c r="G1048" s="228">
        <v>140400.0</v>
      </c>
      <c r="H1048" s="249">
        <v>242.89</v>
      </c>
      <c r="I1048" s="130">
        <v>1947.0</v>
      </c>
      <c r="J1048" s="276">
        <v>1976.34</v>
      </c>
      <c r="K1048" s="1"/>
      <c r="L1048" s="1"/>
      <c r="M1048" s="1"/>
      <c r="N1048" s="1"/>
      <c r="O1048" s="1"/>
      <c r="P1048" s="1"/>
      <c r="Q1048" s="1"/>
      <c r="R1048" s="1"/>
      <c r="S1048" s="1"/>
      <c r="T1048" s="1"/>
      <c r="U1048" s="1"/>
    </row>
    <row r="1049" ht="10.5" customHeight="1">
      <c r="A1049" s="1"/>
      <c r="B1049" s="48" t="s">
        <v>113</v>
      </c>
      <c r="C1049" s="228">
        <v>120118.0</v>
      </c>
      <c r="D1049" s="164">
        <v>49749.0</v>
      </c>
      <c r="E1049" s="228">
        <v>22750.0</v>
      </c>
      <c r="F1049" s="228">
        <v>1203.0</v>
      </c>
      <c r="G1049" s="228">
        <v>92234.0</v>
      </c>
      <c r="H1049" s="249">
        <v>206.31</v>
      </c>
      <c r="I1049" s="130">
        <v>2359.0</v>
      </c>
      <c r="J1049" s="276">
        <v>1960.92</v>
      </c>
      <c r="K1049" s="1"/>
      <c r="L1049" s="1"/>
      <c r="M1049" s="1"/>
      <c r="N1049" s="1"/>
      <c r="O1049" s="1"/>
      <c r="P1049" s="1"/>
      <c r="Q1049" s="1"/>
      <c r="R1049" s="1"/>
      <c r="S1049" s="1"/>
      <c r="T1049" s="1"/>
      <c r="U1049" s="1"/>
    </row>
    <row r="1050" ht="10.5" customHeight="1">
      <c r="A1050" s="1"/>
      <c r="B1050" s="48" t="s">
        <v>114</v>
      </c>
      <c r="C1050" s="228">
        <v>118739.0</v>
      </c>
      <c r="D1050" s="164">
        <v>50888.0</v>
      </c>
      <c r="E1050" s="228">
        <v>22561.0</v>
      </c>
      <c r="F1050" s="228">
        <v>1326.0</v>
      </c>
      <c r="G1050" s="228">
        <v>90483.0</v>
      </c>
      <c r="H1050" s="249">
        <v>164.86</v>
      </c>
      <c r="I1050" s="130">
        <v>2942.0</v>
      </c>
      <c r="J1050" s="276">
        <v>2527.11</v>
      </c>
      <c r="K1050" s="1"/>
      <c r="L1050" s="1"/>
      <c r="M1050" s="1"/>
      <c r="N1050" s="1"/>
      <c r="O1050" s="1"/>
      <c r="P1050" s="1"/>
      <c r="Q1050" s="1"/>
      <c r="R1050" s="1"/>
      <c r="S1050" s="1"/>
      <c r="T1050" s="1"/>
      <c r="U1050" s="1"/>
    </row>
    <row r="1051" ht="10.5" customHeight="1">
      <c r="A1051" s="1"/>
      <c r="B1051" s="48"/>
      <c r="C1051" s="228"/>
      <c r="D1051" s="164"/>
      <c r="E1051" s="228"/>
      <c r="F1051" s="228"/>
      <c r="G1051" s="228"/>
      <c r="H1051" s="249"/>
      <c r="I1051" s="130"/>
      <c r="J1051" s="276"/>
      <c r="K1051" s="1"/>
      <c r="L1051" s="1"/>
      <c r="M1051" s="1"/>
      <c r="N1051" s="1"/>
      <c r="O1051" s="1"/>
      <c r="P1051" s="1"/>
      <c r="Q1051" s="1"/>
      <c r="R1051" s="1"/>
      <c r="S1051" s="1"/>
      <c r="T1051" s="1"/>
      <c r="U1051" s="1"/>
    </row>
    <row r="1052" ht="10.5" customHeight="1">
      <c r="A1052" s="1"/>
      <c r="B1052" s="48" t="s">
        <v>115</v>
      </c>
      <c r="C1052" s="228">
        <v>124058.0</v>
      </c>
      <c r="D1052" s="164">
        <v>62028.0</v>
      </c>
      <c r="E1052" s="228">
        <v>23375.0</v>
      </c>
      <c r="F1052" s="228">
        <v>1422.0</v>
      </c>
      <c r="G1052" s="228">
        <v>94432.0</v>
      </c>
      <c r="H1052" s="249">
        <v>211.63</v>
      </c>
      <c r="I1052" s="130">
        <v>3400.0</v>
      </c>
      <c r="J1052" s="276">
        <v>3044.99</v>
      </c>
      <c r="K1052" s="1"/>
      <c r="L1052" s="1"/>
      <c r="M1052" s="1"/>
      <c r="N1052" s="1"/>
      <c r="O1052" s="1"/>
      <c r="P1052" s="1"/>
      <c r="Q1052" s="1"/>
      <c r="R1052" s="1"/>
      <c r="S1052" s="1"/>
      <c r="T1052" s="1"/>
      <c r="U1052" s="1"/>
    </row>
    <row r="1053" ht="10.5" customHeight="1">
      <c r="A1053" s="1"/>
      <c r="B1053" s="48" t="s">
        <v>117</v>
      </c>
      <c r="C1053" s="228">
        <v>134902.0</v>
      </c>
      <c r="D1053" s="164">
        <v>75069.0</v>
      </c>
      <c r="E1053" s="228">
        <v>19697.0</v>
      </c>
      <c r="F1053" s="228">
        <v>1794.0</v>
      </c>
      <c r="G1053" s="228">
        <v>108499.0</v>
      </c>
      <c r="H1053" s="249">
        <v>279.66</v>
      </c>
      <c r="I1053" s="130">
        <v>4305.0</v>
      </c>
      <c r="J1053" s="276">
        <v>2560.1</v>
      </c>
      <c r="K1053" s="1"/>
      <c r="L1053" s="1"/>
      <c r="M1053" s="1"/>
      <c r="N1053" s="1"/>
      <c r="O1053" s="1"/>
      <c r="P1053" s="1"/>
      <c r="Q1053" s="1"/>
      <c r="R1053" s="1"/>
      <c r="S1053" s="1"/>
      <c r="T1053" s="1"/>
      <c r="U1053" s="1"/>
    </row>
    <row r="1054" ht="10.5" customHeight="1">
      <c r="A1054" s="1"/>
      <c r="B1054" s="48" t="s">
        <v>121</v>
      </c>
      <c r="C1054" s="228">
        <v>146539.0</v>
      </c>
      <c r="D1054" s="164">
        <v>89811.0</v>
      </c>
      <c r="E1054" s="228">
        <v>23784.0</v>
      </c>
      <c r="F1054" s="228">
        <v>1874.0</v>
      </c>
      <c r="G1054" s="228">
        <v>115551.0</v>
      </c>
      <c r="H1054" s="249">
        <v>326.7</v>
      </c>
      <c r="I1054" s="130">
        <v>4303.0</v>
      </c>
      <c r="J1054" s="276">
        <v>2218.33</v>
      </c>
      <c r="K1054" s="1"/>
      <c r="L1054" s="1"/>
      <c r="M1054" s="1"/>
      <c r="N1054" s="1"/>
      <c r="O1054" s="1"/>
      <c r="P1054" s="1"/>
      <c r="Q1054" s="1"/>
      <c r="R1054" s="1"/>
      <c r="S1054" s="1"/>
      <c r="T1054" s="1"/>
      <c r="U1054" s="1"/>
    </row>
    <row r="1055" ht="10.5" customHeight="1">
      <c r="A1055" s="1"/>
      <c r="B1055" s="48" t="s">
        <v>122</v>
      </c>
      <c r="C1055" s="228">
        <v>146788.0</v>
      </c>
      <c r="D1055" s="164">
        <v>110968.0</v>
      </c>
      <c r="E1055" s="228">
        <v>18166.0</v>
      </c>
      <c r="F1055" s="228">
        <v>2798.0</v>
      </c>
      <c r="G1055" s="228">
        <v>121569.0</v>
      </c>
      <c r="H1055" s="249">
        <v>361.7</v>
      </c>
      <c r="I1055" s="130">
        <v>4837.0</v>
      </c>
      <c r="J1055" s="276">
        <v>3830.69</v>
      </c>
      <c r="K1055" s="1"/>
      <c r="L1055" s="1"/>
      <c r="M1055" s="1"/>
      <c r="N1055" s="1"/>
      <c r="O1055" s="1"/>
      <c r="P1055" s="1"/>
      <c r="Q1055" s="1"/>
      <c r="R1055" s="1"/>
      <c r="S1055" s="1"/>
      <c r="T1055" s="1"/>
      <c r="U1055" s="1"/>
    </row>
    <row r="1056" ht="10.5" customHeight="1">
      <c r="A1056" s="496"/>
      <c r="B1056" s="48" t="s">
        <v>123</v>
      </c>
      <c r="C1056" s="228">
        <v>160216.0</v>
      </c>
      <c r="D1056" s="164">
        <v>108547.0</v>
      </c>
      <c r="E1056" s="228">
        <v>25981.0</v>
      </c>
      <c r="F1056" s="228">
        <v>1873.0</v>
      </c>
      <c r="G1056" s="228">
        <v>125619.0</v>
      </c>
      <c r="H1056" s="249">
        <v>345.78</v>
      </c>
      <c r="I1056" s="130">
        <v>5448.0</v>
      </c>
      <c r="J1056" s="276">
        <v>3431.27</v>
      </c>
      <c r="K1056" s="1"/>
      <c r="L1056" s="1"/>
      <c r="M1056" s="1"/>
      <c r="N1056" s="1"/>
      <c r="O1056" s="1"/>
      <c r="P1056" s="1"/>
      <c r="Q1056" s="1"/>
      <c r="R1056" s="1"/>
      <c r="S1056" s="1"/>
      <c r="T1056" s="1"/>
      <c r="U1056" s="1"/>
    </row>
    <row r="1057" ht="10.5" customHeight="1">
      <c r="A1057" s="496"/>
      <c r="B1057" s="48"/>
      <c r="C1057" s="228"/>
      <c r="D1057" s="164"/>
      <c r="E1057" s="228"/>
      <c r="F1057" s="228"/>
      <c r="G1057" s="228"/>
      <c r="H1057" s="249"/>
      <c r="I1057" s="130"/>
      <c r="J1057" s="276"/>
      <c r="K1057" s="1"/>
      <c r="L1057" s="1"/>
      <c r="M1057" s="1"/>
      <c r="N1057" s="1"/>
      <c r="O1057" s="1"/>
      <c r="P1057" s="1"/>
      <c r="Q1057" s="1"/>
      <c r="R1057" s="1"/>
      <c r="S1057" s="1"/>
      <c r="T1057" s="1"/>
      <c r="U1057" s="1"/>
    </row>
    <row r="1058" ht="10.5" customHeight="1">
      <c r="A1058" s="1"/>
      <c r="B1058" s="168" t="s">
        <v>125</v>
      </c>
      <c r="C1058" s="228">
        <v>159921.0</v>
      </c>
      <c r="D1058" s="164">
        <v>106362.0</v>
      </c>
      <c r="E1058" s="228">
        <v>23677.0</v>
      </c>
      <c r="F1058" s="228">
        <v>2055.0</v>
      </c>
      <c r="G1058" s="228">
        <v>127748.0</v>
      </c>
      <c r="H1058" s="249">
        <v>291.34</v>
      </c>
      <c r="I1058" s="130">
        <v>5606.0</v>
      </c>
      <c r="J1058" s="276">
        <v>4057.98</v>
      </c>
      <c r="K1058" s="1"/>
      <c r="L1058" s="1"/>
      <c r="M1058" s="1"/>
      <c r="N1058" s="1"/>
      <c r="O1058" s="1"/>
      <c r="P1058" s="1"/>
      <c r="Q1058" s="1"/>
      <c r="R1058" s="1"/>
      <c r="S1058" s="1"/>
      <c r="T1058" s="1"/>
      <c r="U1058" s="1"/>
    </row>
    <row r="1059" ht="10.5" customHeight="1">
      <c r="A1059" s="1"/>
      <c r="B1059" s="168" t="s">
        <v>127</v>
      </c>
      <c r="C1059" s="217">
        <v>167720.0</v>
      </c>
      <c r="D1059" s="692">
        <v>123427.0</v>
      </c>
      <c r="E1059" s="217">
        <v>23861.0</v>
      </c>
      <c r="F1059" s="217">
        <v>2176.0</v>
      </c>
      <c r="G1059" s="217">
        <v>136473.0</v>
      </c>
      <c r="H1059" s="252">
        <v>346.19</v>
      </c>
      <c r="I1059" s="216">
        <v>4475.0</v>
      </c>
      <c r="J1059" s="289">
        <v>5957.15</v>
      </c>
      <c r="K1059" s="1"/>
      <c r="L1059" s="1"/>
      <c r="M1059" s="1"/>
      <c r="N1059" s="1"/>
      <c r="O1059" s="1"/>
      <c r="P1059" s="1"/>
      <c r="Q1059" s="1"/>
      <c r="R1059" s="1"/>
      <c r="S1059" s="1"/>
      <c r="T1059" s="1"/>
      <c r="U1059" s="1"/>
    </row>
    <row r="1060" ht="10.5" customHeight="1">
      <c r="A1060" s="1"/>
      <c r="B1060" s="48" t="s">
        <v>128</v>
      </c>
      <c r="C1060" s="217">
        <v>176490.0</v>
      </c>
      <c r="D1060" s="692">
        <v>157735.0</v>
      </c>
      <c r="E1060" s="217">
        <v>21530.0</v>
      </c>
      <c r="F1060" s="217">
        <v>2810.0</v>
      </c>
      <c r="G1060" s="217">
        <v>148476.0</v>
      </c>
      <c r="H1060" s="252">
        <v>536.02</v>
      </c>
      <c r="I1060" s="216">
        <v>3857.0</v>
      </c>
      <c r="J1060" s="289">
        <v>5300.49</v>
      </c>
      <c r="K1060" s="1"/>
      <c r="L1060" s="1"/>
      <c r="M1060" s="1"/>
      <c r="N1060" s="1"/>
      <c r="O1060" s="1"/>
      <c r="P1060" s="1"/>
      <c r="Q1060" s="1"/>
      <c r="R1060" s="1"/>
      <c r="S1060" s="1"/>
      <c r="T1060" s="1"/>
      <c r="U1060" s="1"/>
    </row>
    <row r="1061" ht="10.5" customHeight="1">
      <c r="A1061" s="1"/>
      <c r="B1061" s="48" t="s">
        <v>129</v>
      </c>
      <c r="C1061" s="217">
        <v>160820.0</v>
      </c>
      <c r="D1061" s="692">
        <v>142286.0</v>
      </c>
      <c r="E1061" s="217">
        <v>20582.0</v>
      </c>
      <c r="F1061" s="217">
        <v>3254.0</v>
      </c>
      <c r="G1061" s="217">
        <v>133973.0</v>
      </c>
      <c r="H1061" s="252">
        <v>422.4</v>
      </c>
      <c r="I1061" s="216">
        <v>3752.0</v>
      </c>
      <c r="J1061" s="289">
        <v>5815.95</v>
      </c>
      <c r="K1061" s="1"/>
      <c r="L1061" s="1"/>
      <c r="M1061" s="1"/>
      <c r="N1061" s="1"/>
      <c r="O1061" s="1"/>
      <c r="P1061" s="1"/>
      <c r="Q1061" s="1"/>
      <c r="R1061" s="1"/>
      <c r="S1061" s="1"/>
      <c r="T1061" s="1"/>
      <c r="U1061" s="1"/>
    </row>
    <row r="1062" ht="10.5" customHeight="1">
      <c r="A1062" s="1"/>
      <c r="B1062" s="48" t="s">
        <v>130</v>
      </c>
      <c r="C1062" s="217">
        <v>166463.0</v>
      </c>
      <c r="D1062" s="692">
        <v>149616.0</v>
      </c>
      <c r="E1062" s="217">
        <v>26212.0</v>
      </c>
      <c r="F1062" s="217">
        <v>2678.0</v>
      </c>
      <c r="G1062" s="217">
        <v>133373.0</v>
      </c>
      <c r="H1062" s="252">
        <v>465.88</v>
      </c>
      <c r="I1062" s="216">
        <v>3681.0</v>
      </c>
      <c r="J1062" s="289">
        <v>5577.44</v>
      </c>
      <c r="K1062" s="1"/>
      <c r="L1062" s="1"/>
      <c r="M1062" s="1"/>
      <c r="N1062" s="1"/>
      <c r="O1062" s="1"/>
      <c r="P1062" s="1"/>
      <c r="Q1062" s="1"/>
      <c r="R1062" s="1"/>
      <c r="S1062" s="1"/>
      <c r="T1062" s="1"/>
      <c r="U1062" s="1"/>
    </row>
    <row r="1063" ht="10.5" customHeight="1">
      <c r="A1063" s="1"/>
      <c r="B1063" s="48"/>
      <c r="C1063" s="217"/>
      <c r="D1063" s="692"/>
      <c r="E1063" s="217"/>
      <c r="F1063" s="217"/>
      <c r="G1063" s="217"/>
      <c r="H1063" s="252"/>
      <c r="I1063" s="216"/>
      <c r="J1063" s="289"/>
      <c r="K1063" s="1"/>
      <c r="L1063" s="1"/>
      <c r="M1063" s="1"/>
      <c r="N1063" s="1"/>
      <c r="O1063" s="1"/>
      <c r="P1063" s="1"/>
      <c r="Q1063" s="1"/>
      <c r="R1063" s="1"/>
      <c r="S1063" s="1"/>
      <c r="T1063" s="1"/>
      <c r="U1063" s="1"/>
    </row>
    <row r="1064" ht="10.5" customHeight="1">
      <c r="A1064" s="1"/>
      <c r="B1064" s="48" t="s">
        <v>131</v>
      </c>
      <c r="C1064" s="217">
        <v>166139.0</v>
      </c>
      <c r="D1064" s="164">
        <v>155379.0</v>
      </c>
      <c r="E1064" s="217">
        <v>25733.0</v>
      </c>
      <c r="F1064" s="217">
        <v>2814.0</v>
      </c>
      <c r="G1064" s="217">
        <v>133574.0</v>
      </c>
      <c r="H1064" s="252">
        <v>474.15</v>
      </c>
      <c r="I1064" s="216">
        <v>3692.0</v>
      </c>
      <c r="J1064" s="289">
        <v>6226.32</v>
      </c>
      <c r="K1064" s="1"/>
      <c r="L1064" s="1"/>
      <c r="M1064" s="1"/>
      <c r="N1064" s="1"/>
      <c r="O1064" s="1"/>
      <c r="P1064" s="1"/>
      <c r="Q1064" s="1"/>
      <c r="R1064" s="1"/>
      <c r="S1064" s="1"/>
      <c r="T1064" s="1"/>
      <c r="U1064" s="1"/>
    </row>
    <row r="1065" ht="10.5" customHeight="1">
      <c r="A1065" s="1"/>
      <c r="B1065" s="48" t="s">
        <v>133</v>
      </c>
      <c r="C1065" s="217">
        <v>160088.0</v>
      </c>
      <c r="D1065" s="164">
        <v>158491.0</v>
      </c>
      <c r="E1065" s="217">
        <v>24064.0</v>
      </c>
      <c r="F1065" s="217">
        <v>3214.0</v>
      </c>
      <c r="G1065" s="217">
        <v>128727.0</v>
      </c>
      <c r="H1065" s="252">
        <v>424.4</v>
      </c>
      <c r="I1065" s="216">
        <v>4362.0</v>
      </c>
      <c r="J1065" s="289">
        <v>6901.22</v>
      </c>
      <c r="K1065" s="1"/>
      <c r="L1065" s="1"/>
      <c r="M1065" s="1"/>
      <c r="N1065" s="1"/>
      <c r="O1065" s="1"/>
      <c r="P1065" s="1"/>
      <c r="Q1065" s="1"/>
      <c r="R1065" s="1"/>
      <c r="S1065" s="1"/>
      <c r="T1065" s="1"/>
      <c r="U1065" s="1"/>
    </row>
    <row r="1066" ht="10.5" customHeight="1">
      <c r="A1066" s="1"/>
      <c r="B1066" s="293">
        <v>39295.0</v>
      </c>
      <c r="C1066" s="217">
        <v>144791.0</v>
      </c>
      <c r="D1066" s="164">
        <v>161768.0</v>
      </c>
      <c r="E1066" s="217">
        <v>23529.0</v>
      </c>
      <c r="F1066" s="217">
        <v>3635.0</v>
      </c>
      <c r="G1066" s="217">
        <v>115247.0</v>
      </c>
      <c r="H1066" s="252">
        <v>490.92</v>
      </c>
      <c r="I1066" s="216">
        <v>3146.0</v>
      </c>
      <c r="J1066" s="289">
        <v>7511.3</v>
      </c>
      <c r="K1066" s="1"/>
      <c r="L1066" s="1"/>
      <c r="M1066" s="1"/>
      <c r="N1066" s="1"/>
      <c r="O1066" s="1"/>
      <c r="P1066" s="1"/>
      <c r="Q1066" s="1"/>
      <c r="R1066" s="1"/>
      <c r="S1066" s="1"/>
      <c r="T1066" s="1"/>
      <c r="U1066" s="1"/>
    </row>
    <row r="1067" ht="10.5" customHeight="1">
      <c r="A1067" s="1"/>
      <c r="B1067" s="293">
        <v>39692.0</v>
      </c>
      <c r="C1067" s="217">
        <v>117445.0</v>
      </c>
      <c r="D1067" s="164">
        <v>165030.0</v>
      </c>
      <c r="E1067" s="217">
        <v>22861.0</v>
      </c>
      <c r="F1067" s="217">
        <v>3699.0</v>
      </c>
      <c r="G1067" s="217">
        <v>89218.0</v>
      </c>
      <c r="H1067" s="252">
        <v>693.18</v>
      </c>
      <c r="I1067" s="216">
        <v>2576.0</v>
      </c>
      <c r="J1067" s="276">
        <v>8750.66</v>
      </c>
      <c r="K1067" s="1"/>
      <c r="L1067" s="1"/>
      <c r="M1067" s="1"/>
      <c r="N1067" s="1"/>
      <c r="O1067" s="1"/>
      <c r="P1067" s="1"/>
      <c r="Q1067" s="1"/>
      <c r="R1067" s="1"/>
      <c r="S1067" s="1"/>
      <c r="T1067" s="1"/>
      <c r="U1067" s="1"/>
    </row>
    <row r="1068" ht="10.5" customHeight="1">
      <c r="A1068" s="1"/>
      <c r="B1068" s="293">
        <v>40087.0</v>
      </c>
      <c r="C1068" s="217">
        <v>110246.0</v>
      </c>
      <c r="D1068" s="164">
        <v>174448.0</v>
      </c>
      <c r="E1068" s="217">
        <v>20910.0</v>
      </c>
      <c r="F1068" s="217">
        <v>4133.0</v>
      </c>
      <c r="G1068" s="217">
        <v>81516.0</v>
      </c>
      <c r="H1068" s="252">
        <v>759.21</v>
      </c>
      <c r="I1068" s="216">
        <v>5268.0</v>
      </c>
      <c r="J1068" s="289">
        <v>5721.84</v>
      </c>
      <c r="K1068" s="1"/>
      <c r="L1068" s="1"/>
      <c r="M1068" s="1"/>
      <c r="N1068" s="1"/>
      <c r="O1068" s="1"/>
      <c r="P1068" s="1"/>
      <c r="Q1068" s="1"/>
      <c r="R1068" s="1"/>
      <c r="S1068" s="1"/>
      <c r="T1068" s="1"/>
      <c r="U1068" s="1"/>
    </row>
    <row r="1069" ht="10.5" customHeight="1">
      <c r="A1069" s="1"/>
      <c r="B1069" s="293"/>
      <c r="C1069" s="217"/>
      <c r="D1069" s="164"/>
      <c r="E1069" s="217"/>
      <c r="F1069" s="217"/>
      <c r="G1069" s="217"/>
      <c r="H1069" s="252"/>
      <c r="I1069" s="216"/>
      <c r="J1069" s="276"/>
      <c r="K1069" s="1"/>
      <c r="L1069" s="1"/>
      <c r="M1069" s="1"/>
      <c r="N1069" s="1"/>
      <c r="O1069" s="1"/>
      <c r="P1069" s="1"/>
      <c r="Q1069" s="1"/>
      <c r="R1069" s="1"/>
      <c r="S1069" s="1"/>
      <c r="T1069" s="1"/>
      <c r="U1069" s="1"/>
    </row>
    <row r="1070" ht="10.5" customHeight="1">
      <c r="A1070" s="1"/>
      <c r="B1070" s="85" t="s">
        <v>139</v>
      </c>
      <c r="C1070" s="217">
        <v>98511.0</v>
      </c>
      <c r="D1070" s="164">
        <v>183546.0</v>
      </c>
      <c r="E1070" s="217">
        <v>22053.0</v>
      </c>
      <c r="F1070" s="217">
        <v>4705.0</v>
      </c>
      <c r="G1070" s="217">
        <v>71825.0</v>
      </c>
      <c r="H1070" s="252">
        <v>894.97</v>
      </c>
      <c r="I1070" s="216">
        <v>1943.0</v>
      </c>
      <c r="J1070" s="289">
        <v>10447.72</v>
      </c>
      <c r="K1070" s="1"/>
      <c r="L1070" s="1"/>
      <c r="M1070" s="1"/>
      <c r="N1070" s="1"/>
      <c r="O1070" s="1"/>
      <c r="P1070" s="1"/>
      <c r="Q1070" s="1"/>
      <c r="R1070" s="1"/>
      <c r="S1070" s="1"/>
      <c r="T1070" s="1"/>
      <c r="U1070" s="1"/>
    </row>
    <row r="1071" ht="10.5" customHeight="1">
      <c r="A1071" s="1"/>
      <c r="B1071" s="85" t="s">
        <v>143</v>
      </c>
      <c r="C1071" s="217">
        <v>108699.0</v>
      </c>
      <c r="D1071" s="164">
        <v>172258.0</v>
      </c>
      <c r="E1071" s="217">
        <v>21978.0</v>
      </c>
      <c r="F1071" s="217">
        <v>4495.0</v>
      </c>
      <c r="G1071" s="217">
        <v>81753.0</v>
      </c>
      <c r="H1071" s="252">
        <v>652.56</v>
      </c>
      <c r="I1071" s="216">
        <v>2286.0</v>
      </c>
      <c r="J1071" s="276">
        <v>10800.44</v>
      </c>
      <c r="K1071" s="1"/>
      <c r="L1071" s="1"/>
      <c r="M1071" s="1"/>
      <c r="N1071" s="1"/>
      <c r="O1071" s="1"/>
      <c r="P1071" s="1"/>
      <c r="Q1071" s="1"/>
      <c r="R1071" s="1"/>
      <c r="S1071" s="1"/>
      <c r="T1071" s="1"/>
      <c r="U1071" s="1"/>
    </row>
    <row r="1072" ht="10.5" customHeight="1">
      <c r="A1072" s="1"/>
      <c r="B1072" s="85" t="s">
        <v>149</v>
      </c>
      <c r="C1072" s="217">
        <v>96844.0</v>
      </c>
      <c r="D1072" s="164">
        <v>185308.0</v>
      </c>
      <c r="E1072" s="217">
        <v>23236.0</v>
      </c>
      <c r="F1072" s="217">
        <v>4811.0</v>
      </c>
      <c r="G1072" s="217">
        <v>68522.0</v>
      </c>
      <c r="H1072" s="252">
        <v>758.15</v>
      </c>
      <c r="I1072" s="216">
        <v>2251.0</v>
      </c>
      <c r="J1072" s="276">
        <v>11889.13</v>
      </c>
      <c r="K1072" s="1"/>
      <c r="L1072" s="1"/>
      <c r="M1072" s="1"/>
      <c r="N1072" s="1"/>
      <c r="O1072" s="1"/>
      <c r="P1072" s="1"/>
      <c r="Q1072" s="1"/>
      <c r="R1072" s="1"/>
      <c r="S1072" s="1"/>
      <c r="T1072" s="1"/>
      <c r="U1072" s="1"/>
    </row>
    <row r="1073" ht="10.5" customHeight="1">
      <c r="A1073" s="1"/>
      <c r="B1073" s="85" t="s">
        <v>151</v>
      </c>
      <c r="C1073" s="217">
        <v>96740.0</v>
      </c>
      <c r="D1073" s="164">
        <v>195616.0</v>
      </c>
      <c r="E1073" s="217">
        <v>23793.0</v>
      </c>
      <c r="F1073" s="217">
        <v>4959.0</v>
      </c>
      <c r="G1073" s="217">
        <v>67743.0</v>
      </c>
      <c r="H1073" s="252">
        <v>821.11</v>
      </c>
      <c r="I1073" s="216">
        <v>2303.0</v>
      </c>
      <c r="J1073" s="276">
        <v>11927.6</v>
      </c>
      <c r="K1073" s="1"/>
      <c r="L1073" s="1"/>
      <c r="M1073" s="1"/>
      <c r="N1073" s="1"/>
      <c r="O1073" s="1"/>
      <c r="P1073" s="1"/>
      <c r="Q1073" s="1"/>
      <c r="R1073" s="1"/>
      <c r="S1073" s="1"/>
      <c r="T1073" s="1"/>
      <c r="U1073" s="1"/>
    </row>
    <row r="1074" ht="10.5" customHeight="1">
      <c r="A1074" s="1"/>
      <c r="B1074" s="85" t="s">
        <v>153</v>
      </c>
      <c r="C1074" s="217">
        <v>95867.0</v>
      </c>
      <c r="D1074" s="164">
        <v>220034.0</v>
      </c>
      <c r="E1074" s="217">
        <v>23005.0</v>
      </c>
      <c r="F1074" s="217">
        <v>5069.0</v>
      </c>
      <c r="G1074" s="217">
        <v>68076.0</v>
      </c>
      <c r="H1074" s="252">
        <v>1171.05</v>
      </c>
      <c r="I1074" s="216">
        <v>1978.0</v>
      </c>
      <c r="J1074" s="276">
        <v>14704.0</v>
      </c>
      <c r="K1074" s="1"/>
      <c r="L1074" s="1"/>
      <c r="M1074" s="1"/>
      <c r="N1074" s="1"/>
      <c r="O1074" s="1"/>
      <c r="P1074" s="1"/>
      <c r="Q1074" s="1"/>
      <c r="R1074" s="1"/>
      <c r="S1074" s="1"/>
      <c r="T1074" s="1"/>
      <c r="U1074" s="1"/>
    </row>
    <row r="1075" ht="10.5" customHeight="1">
      <c r="A1075" s="1"/>
      <c r="B1075" s="85"/>
      <c r="C1075" s="217"/>
      <c r="D1075" s="164"/>
      <c r="E1075" s="217"/>
      <c r="F1075" s="217"/>
      <c r="G1075" s="217"/>
      <c r="H1075" s="252"/>
      <c r="I1075" s="216"/>
      <c r="J1075" s="276"/>
      <c r="K1075" s="1"/>
      <c r="L1075" s="1"/>
      <c r="M1075" s="1"/>
      <c r="N1075" s="1"/>
      <c r="O1075" s="1"/>
      <c r="P1075" s="1"/>
      <c r="Q1075" s="1"/>
      <c r="R1075" s="1"/>
      <c r="S1075" s="1"/>
      <c r="T1075" s="1"/>
      <c r="U1075" s="1"/>
    </row>
    <row r="1076" ht="10.5" customHeight="1">
      <c r="A1076" s="1"/>
      <c r="B1076" s="85" t="s">
        <v>155</v>
      </c>
      <c r="C1076" s="217">
        <v>104995.0</v>
      </c>
      <c r="D1076" s="164">
        <v>362564.0</v>
      </c>
      <c r="E1076" s="217">
        <v>21877.0</v>
      </c>
      <c r="F1076" s="217">
        <v>7474.0</v>
      </c>
      <c r="G1076" s="217">
        <v>78844.0</v>
      </c>
      <c r="H1076" s="252" t="s">
        <v>1138</v>
      </c>
      <c r="I1076" s="216">
        <v>1605.0</v>
      </c>
      <c r="J1076" s="276" t="s">
        <v>1139</v>
      </c>
      <c r="K1076" s="1"/>
      <c r="L1076" s="1"/>
      <c r="M1076" s="1"/>
      <c r="N1076" s="1"/>
      <c r="O1076" s="1"/>
      <c r="P1076" s="1"/>
      <c r="Q1076" s="1"/>
      <c r="R1076" s="1"/>
      <c r="S1076" s="1"/>
      <c r="T1076" s="1"/>
      <c r="U1076" s="1"/>
    </row>
    <row r="1077" ht="10.5" customHeight="1">
      <c r="A1077" s="180"/>
      <c r="B1077" s="96" t="s">
        <v>1140</v>
      </c>
      <c r="C1077" s="241">
        <v>88763.0</v>
      </c>
      <c r="D1077" s="210">
        <v>311862.0</v>
      </c>
      <c r="E1077" s="241">
        <v>20396.0</v>
      </c>
      <c r="F1077" s="241">
        <v>8281.0</v>
      </c>
      <c r="G1077" s="241">
        <v>64115.0</v>
      </c>
      <c r="H1077" s="263" t="s">
        <v>1141</v>
      </c>
      <c r="I1077" s="240">
        <v>1764.0</v>
      </c>
      <c r="J1077" s="290" t="s">
        <v>1142</v>
      </c>
      <c r="K1077" s="1"/>
      <c r="L1077" s="1"/>
      <c r="M1077" s="1"/>
      <c r="N1077" s="1"/>
      <c r="O1077" s="1"/>
      <c r="P1077" s="1"/>
      <c r="Q1077" s="1"/>
      <c r="R1077" s="1"/>
      <c r="S1077" s="1"/>
      <c r="T1077" s="1"/>
      <c r="U1077" s="1"/>
    </row>
    <row r="1078" ht="6.0" customHeight="1">
      <c r="A1078" s="1"/>
      <c r="B1078" s="291"/>
      <c r="C1078" s="244"/>
      <c r="D1078" s="692"/>
      <c r="E1078" s="244"/>
      <c r="F1078" s="244"/>
      <c r="G1078" s="244"/>
      <c r="H1078" s="270"/>
      <c r="I1078" s="243"/>
      <c r="J1078" s="292"/>
      <c r="K1078" s="1"/>
      <c r="L1078" s="1"/>
      <c r="M1078" s="1"/>
      <c r="N1078" s="1"/>
      <c r="O1078" s="1"/>
      <c r="P1078" s="1"/>
      <c r="Q1078" s="1"/>
      <c r="R1078" s="1"/>
      <c r="S1078" s="1"/>
      <c r="T1078" s="1"/>
      <c r="U1078" s="1"/>
    </row>
    <row r="1079" ht="10.5" customHeight="1">
      <c r="A1079" s="1"/>
      <c r="B1079" s="185" t="s">
        <v>1143</v>
      </c>
      <c r="C1079" s="185"/>
      <c r="D1079" s="185"/>
      <c r="E1079" s="185"/>
      <c r="F1079" s="185"/>
      <c r="G1079" s="185"/>
      <c r="H1079" s="185"/>
      <c r="I1079" s="1"/>
      <c r="J1079" s="1"/>
      <c r="K1079" s="1"/>
      <c r="L1079" s="1"/>
      <c r="M1079" s="1"/>
      <c r="N1079" s="1"/>
      <c r="O1079" s="1"/>
      <c r="P1079" s="1"/>
      <c r="Q1079" s="1"/>
      <c r="R1079" s="1"/>
      <c r="S1079" s="1"/>
      <c r="T1079" s="1"/>
      <c r="U1079" s="1"/>
    </row>
    <row r="1080" ht="10.5" customHeight="1">
      <c r="A1080" s="1"/>
      <c r="B1080" s="185" t="s">
        <v>662</v>
      </c>
      <c r="C1080" s="185"/>
      <c r="D1080" s="185"/>
      <c r="E1080" s="185"/>
      <c r="F1080" s="185"/>
      <c r="G1080" s="185"/>
      <c r="H1080" s="185"/>
      <c r="I1080" s="1"/>
      <c r="J1080" s="1"/>
      <c r="K1080" s="1"/>
      <c r="L1080" s="1"/>
      <c r="M1080" s="1"/>
      <c r="N1080" s="1"/>
      <c r="O1080" s="1"/>
      <c r="P1080" s="1"/>
      <c r="Q1080" s="1"/>
      <c r="R1080" s="1"/>
      <c r="S1080" s="1"/>
      <c r="T1080" s="1"/>
      <c r="U1080" s="1"/>
    </row>
    <row r="1081" ht="10.5" customHeight="1">
      <c r="A1081" s="1"/>
      <c r="B1081" s="185" t="s">
        <v>663</v>
      </c>
      <c r="C1081" s="185"/>
      <c r="D1081" s="185"/>
      <c r="E1081" s="185"/>
      <c r="F1081" s="185"/>
      <c r="G1081" s="185"/>
      <c r="H1081" s="185"/>
      <c r="I1081" s="1"/>
      <c r="J1081" s="1"/>
      <c r="K1081" s="1"/>
      <c r="L1081" s="1"/>
      <c r="M1081" s="1"/>
      <c r="N1081" s="1"/>
      <c r="O1081" s="1"/>
      <c r="P1081" s="1"/>
      <c r="Q1081" s="1"/>
      <c r="R1081" s="1"/>
      <c r="S1081" s="1"/>
      <c r="T1081" s="1"/>
      <c r="U1081" s="1"/>
    </row>
    <row r="1082" ht="10.5" customHeight="1">
      <c r="A1082" s="1"/>
      <c r="B1082" s="185" t="s">
        <v>664</v>
      </c>
      <c r="C1082" s="185"/>
      <c r="D1082" s="185"/>
      <c r="E1082" s="185"/>
      <c r="F1082" s="185"/>
      <c r="G1082" s="185"/>
      <c r="H1082" s="185"/>
      <c r="I1082" s="1"/>
      <c r="J1082" s="1"/>
      <c r="K1082" s="1"/>
      <c r="L1082" s="1"/>
      <c r="M1082" s="1"/>
      <c r="N1082" s="1"/>
      <c r="O1082" s="1"/>
      <c r="P1082" s="1"/>
      <c r="Q1082" s="1"/>
      <c r="R1082" s="1"/>
      <c r="S1082" s="1"/>
      <c r="T1082" s="1"/>
      <c r="U1082" s="1"/>
    </row>
    <row r="1083" ht="10.5" customHeight="1">
      <c r="A1083" s="1"/>
      <c r="B1083" s="185" t="s">
        <v>665</v>
      </c>
      <c r="C1083" s="185"/>
      <c r="D1083" s="185"/>
      <c r="E1083" s="185"/>
      <c r="F1083" s="185"/>
      <c r="G1083" s="185"/>
      <c r="H1083" s="185"/>
      <c r="I1083" s="1"/>
      <c r="J1083" s="1"/>
      <c r="K1083" s="1"/>
      <c r="L1083" s="1"/>
      <c r="M1083" s="1"/>
      <c r="N1083" s="1"/>
      <c r="O1083" s="1"/>
      <c r="P1083" s="1"/>
      <c r="Q1083" s="1"/>
      <c r="R1083" s="1"/>
      <c r="S1083" s="1"/>
      <c r="T1083" s="1"/>
      <c r="U1083" s="1"/>
    </row>
    <row r="1084" ht="10.5" customHeight="1">
      <c r="A1084" s="1"/>
      <c r="B1084" s="311" t="s">
        <v>666</v>
      </c>
      <c r="I1084" s="1"/>
      <c r="J1084" s="1"/>
      <c r="K1084" s="1"/>
      <c r="L1084" s="1"/>
      <c r="M1084" s="1"/>
      <c r="N1084" s="1"/>
      <c r="O1084" s="1"/>
      <c r="P1084" s="1"/>
      <c r="Q1084" s="1"/>
      <c r="R1084" s="1"/>
      <c r="S1084" s="1"/>
      <c r="T1084" s="1"/>
      <c r="U1084" s="1"/>
    </row>
    <row r="1085" ht="10.5" customHeight="1">
      <c r="A1085" s="1"/>
      <c r="B1085" s="311" t="s">
        <v>667</v>
      </c>
      <c r="C1085" s="311"/>
      <c r="D1085" s="311"/>
      <c r="E1085" s="311"/>
      <c r="F1085" s="311"/>
      <c r="G1085" s="311"/>
      <c r="H1085" s="311"/>
      <c r="I1085" s="1"/>
      <c r="J1085" s="1"/>
      <c r="K1085" s="1"/>
      <c r="L1085" s="1"/>
      <c r="M1085" s="1"/>
      <c r="N1085" s="1"/>
      <c r="O1085" s="1"/>
      <c r="P1085" s="1"/>
      <c r="Q1085" s="1"/>
      <c r="R1085" s="1"/>
      <c r="S1085" s="1"/>
      <c r="T1085" s="1"/>
      <c r="U1085" s="1"/>
    </row>
    <row r="1086" ht="10.5" customHeight="1">
      <c r="A1086" s="1"/>
      <c r="B1086" s="311" t="s">
        <v>669</v>
      </c>
      <c r="C1086" s="311"/>
      <c r="D1086" s="311"/>
      <c r="E1086" s="311"/>
      <c r="F1086" s="311"/>
      <c r="G1086" s="311"/>
      <c r="H1086" s="311"/>
      <c r="I1086" s="1"/>
      <c r="J1086" s="1"/>
      <c r="K1086" s="1"/>
      <c r="L1086" s="1"/>
      <c r="M1086" s="1"/>
      <c r="N1086" s="1"/>
      <c r="O1086" s="1"/>
      <c r="P1086" s="1"/>
      <c r="Q1086" s="1"/>
      <c r="R1086" s="1"/>
      <c r="S1086" s="1"/>
      <c r="T1086" s="1"/>
      <c r="U1086" s="1"/>
    </row>
    <row r="1087" ht="10.5" customHeight="1">
      <c r="A1087" s="1"/>
      <c r="B1087" s="185" t="s">
        <v>1145</v>
      </c>
      <c r="C1087" s="185"/>
      <c r="D1087" s="185"/>
      <c r="E1087" s="185"/>
      <c r="F1087" s="185"/>
      <c r="G1087" s="185"/>
      <c r="H1087" s="185"/>
      <c r="I1087" s="1"/>
      <c r="J1087" s="1"/>
      <c r="K1087" s="1"/>
      <c r="L1087" s="1"/>
      <c r="M1087" s="1"/>
      <c r="N1087" s="1"/>
      <c r="O1087" s="1"/>
      <c r="P1087" s="1"/>
      <c r="Q1087" s="1"/>
      <c r="R1087" s="1"/>
      <c r="S1087" s="1"/>
      <c r="T1087" s="1"/>
      <c r="U1087" s="1"/>
    </row>
    <row r="1088" ht="10.5" customHeight="1">
      <c r="A1088" s="1"/>
      <c r="B1088" s="1"/>
      <c r="C1088" s="15"/>
      <c r="D1088" s="15"/>
      <c r="E1088" s="15"/>
      <c r="F1088" s="15"/>
      <c r="G1088" s="15"/>
      <c r="H1088" s="15"/>
      <c r="I1088" s="15"/>
      <c r="J1088" s="15"/>
      <c r="K1088" s="1"/>
      <c r="L1088" s="1"/>
      <c r="M1088" s="1"/>
      <c r="N1088" s="1"/>
      <c r="O1088" s="1"/>
      <c r="P1088" s="1"/>
      <c r="Q1088" s="1"/>
      <c r="R1088" s="1"/>
      <c r="S1088" s="1"/>
      <c r="T1088" s="1"/>
      <c r="U1088" s="1"/>
    </row>
    <row r="1089" ht="10.5" customHeight="1">
      <c r="A1089" s="1"/>
      <c r="B1089" s="1"/>
      <c r="C1089" s="1"/>
      <c r="D1089" s="1"/>
      <c r="E1089" s="1"/>
      <c r="F1089" s="1"/>
      <c r="G1089" s="1"/>
      <c r="H1089" s="1"/>
      <c r="I1089" s="1"/>
      <c r="J1089" s="1"/>
      <c r="K1089" s="1"/>
      <c r="L1089" s="1"/>
      <c r="M1089" s="1"/>
      <c r="N1089" s="1"/>
      <c r="O1089" s="1"/>
      <c r="P1089" s="1"/>
      <c r="Q1089" s="1"/>
      <c r="R1089" s="1"/>
      <c r="S1089" s="1"/>
      <c r="T1089" s="1"/>
      <c r="U1089" s="1"/>
    </row>
    <row r="1090" ht="10.5" customHeight="1">
      <c r="A1090" s="1"/>
      <c r="B1090" s="1"/>
      <c r="C1090" s="1"/>
      <c r="D1090" s="1"/>
      <c r="E1090" s="1"/>
      <c r="F1090" s="1"/>
      <c r="G1090" s="1"/>
      <c r="H1090" s="1"/>
      <c r="I1090" s="1"/>
      <c r="J1090" s="1"/>
      <c r="K1090" s="1"/>
      <c r="L1090" s="1"/>
      <c r="M1090" s="1"/>
      <c r="N1090" s="1"/>
      <c r="O1090" s="1"/>
      <c r="P1090" s="1"/>
      <c r="Q1090" s="1"/>
      <c r="R1090" s="1"/>
      <c r="S1090" s="1"/>
      <c r="T1090" s="1"/>
      <c r="U1090" s="1"/>
    </row>
    <row r="1091" ht="10.5" customHeight="1">
      <c r="A1091" s="1"/>
      <c r="B1091" s="1"/>
      <c r="C1091" s="1"/>
      <c r="D1091" s="1"/>
      <c r="E1091" s="1"/>
      <c r="F1091" s="1"/>
      <c r="G1091" s="1"/>
      <c r="H1091" s="1"/>
      <c r="I1091" s="1"/>
      <c r="J1091" s="1"/>
      <c r="K1091" s="1"/>
      <c r="L1091" s="1"/>
      <c r="M1091" s="1"/>
      <c r="N1091" s="1"/>
      <c r="O1091" s="1"/>
      <c r="P1091" s="1"/>
      <c r="Q1091" s="1"/>
      <c r="R1091" s="1"/>
      <c r="S1091" s="1"/>
      <c r="T1091" s="1"/>
      <c r="U1091" s="1"/>
    </row>
    <row r="1092" ht="10.5" customHeight="1">
      <c r="A1092" s="1"/>
      <c r="B1092" s="1"/>
      <c r="C1092" s="1"/>
      <c r="D1092" s="1"/>
      <c r="E1092" s="1"/>
      <c r="F1092" s="1"/>
      <c r="G1092" s="1"/>
      <c r="H1092" s="1"/>
      <c r="I1092" s="1"/>
      <c r="J1092" s="1"/>
      <c r="K1092" s="1"/>
      <c r="L1092" s="1"/>
      <c r="M1092" s="1"/>
      <c r="N1092" s="1"/>
      <c r="O1092" s="1"/>
      <c r="P1092" s="1"/>
      <c r="Q1092" s="1"/>
      <c r="R1092" s="1"/>
      <c r="S1092" s="1"/>
      <c r="T1092" s="1"/>
      <c r="U1092" s="1"/>
    </row>
    <row r="1093" ht="10.5" customHeight="1">
      <c r="A1093" s="1"/>
      <c r="B1093" s="1"/>
      <c r="C1093" s="1"/>
      <c r="D1093" s="1"/>
      <c r="E1093" s="1"/>
      <c r="F1093" s="1"/>
      <c r="G1093" s="1"/>
      <c r="H1093" s="1"/>
      <c r="I1093" s="1"/>
      <c r="J1093" s="1"/>
      <c r="K1093" s="1"/>
      <c r="L1093" s="1"/>
      <c r="M1093" s="1"/>
      <c r="N1093" s="1"/>
      <c r="O1093" s="1"/>
      <c r="P1093" s="1"/>
      <c r="Q1093" s="1"/>
      <c r="R1093" s="1"/>
      <c r="S1093" s="1"/>
      <c r="T1093" s="1"/>
      <c r="U1093" s="1"/>
    </row>
    <row r="1094" ht="10.5" customHeight="1">
      <c r="A1094" s="1"/>
      <c r="B1094" s="1"/>
      <c r="C1094" s="1"/>
      <c r="D1094" s="1"/>
      <c r="E1094" s="1"/>
      <c r="F1094" s="1"/>
      <c r="G1094" s="1"/>
      <c r="H1094" s="1"/>
      <c r="I1094" s="1"/>
      <c r="J1094" s="1"/>
      <c r="K1094" s="1"/>
      <c r="L1094" s="1"/>
      <c r="M1094" s="1"/>
      <c r="N1094" s="1"/>
      <c r="O1094" s="1"/>
      <c r="P1094" s="1"/>
      <c r="Q1094" s="1"/>
      <c r="R1094" s="1"/>
      <c r="S1094" s="1"/>
      <c r="T1094" s="1"/>
      <c r="U1094" s="1"/>
    </row>
    <row r="1095" ht="10.5" customHeight="1">
      <c r="A1095" s="1"/>
      <c r="B1095" s="1"/>
      <c r="C1095" s="1"/>
      <c r="D1095" s="1"/>
      <c r="E1095" s="1"/>
      <c r="F1095" s="1"/>
      <c r="G1095" s="1"/>
      <c r="H1095" s="1"/>
      <c r="I1095" s="1"/>
      <c r="J1095" s="1"/>
      <c r="K1095" s="1"/>
      <c r="L1095" s="1"/>
      <c r="M1095" s="1"/>
      <c r="N1095" s="1"/>
      <c r="O1095" s="1"/>
      <c r="P1095" s="1"/>
      <c r="Q1095" s="1"/>
      <c r="R1095" s="1"/>
      <c r="S1095" s="1"/>
      <c r="T1095" s="1"/>
      <c r="U1095" s="1"/>
    </row>
    <row r="1096" ht="10.5" customHeight="1">
      <c r="A1096" s="1"/>
      <c r="B1096" s="1"/>
      <c r="C1096" s="1"/>
      <c r="D1096" s="1"/>
      <c r="E1096" s="1"/>
      <c r="F1096" s="1"/>
      <c r="G1096" s="1"/>
      <c r="H1096" s="1"/>
      <c r="I1096" s="1"/>
      <c r="J1096" s="1"/>
      <c r="K1096" s="1"/>
      <c r="L1096" s="1"/>
      <c r="M1096" s="1"/>
      <c r="N1096" s="1"/>
      <c r="O1096" s="1"/>
      <c r="P1096" s="1"/>
      <c r="Q1096" s="1"/>
      <c r="R1096" s="1"/>
      <c r="S1096" s="1"/>
      <c r="T1096" s="1"/>
      <c r="U1096" s="1"/>
    </row>
    <row r="1097" ht="10.5" customHeight="1">
      <c r="A1097" s="1"/>
      <c r="B1097" s="1"/>
      <c r="C1097" s="1"/>
      <c r="D1097" s="1"/>
      <c r="E1097" s="1"/>
      <c r="F1097" s="1"/>
      <c r="G1097" s="1"/>
      <c r="H1097" s="1"/>
      <c r="I1097" s="1"/>
      <c r="J1097" s="1"/>
      <c r="K1097" s="1"/>
      <c r="L1097" s="1"/>
      <c r="M1097" s="1"/>
      <c r="N1097" s="1"/>
      <c r="O1097" s="1"/>
      <c r="P1097" s="1"/>
      <c r="Q1097" s="1"/>
      <c r="R1097" s="1"/>
      <c r="S1097" s="1"/>
      <c r="T1097" s="1"/>
      <c r="U1097" s="1"/>
    </row>
    <row r="1098" ht="10.5" customHeight="1">
      <c r="A1098" s="1"/>
      <c r="B1098" s="1"/>
      <c r="C1098" s="1"/>
      <c r="D1098" s="1"/>
      <c r="E1098" s="1"/>
      <c r="F1098" s="1"/>
      <c r="G1098" s="1"/>
      <c r="H1098" s="1"/>
      <c r="I1098" s="1"/>
      <c r="J1098" s="1"/>
      <c r="K1098" s="1"/>
      <c r="L1098" s="1"/>
      <c r="M1098" s="1"/>
      <c r="N1098" s="1"/>
      <c r="O1098" s="1"/>
      <c r="P1098" s="1"/>
      <c r="Q1098" s="1"/>
      <c r="R1098" s="1"/>
      <c r="S1098" s="1"/>
      <c r="T1098" s="1"/>
      <c r="U1098" s="1"/>
    </row>
    <row r="1099" ht="10.5" customHeight="1">
      <c r="A1099" s="1"/>
      <c r="B1099" s="1"/>
      <c r="C1099" s="1"/>
      <c r="D1099" s="1"/>
      <c r="E1099" s="1"/>
      <c r="F1099" s="1"/>
      <c r="G1099" s="1"/>
      <c r="H1099" s="1"/>
      <c r="I1099" s="1"/>
      <c r="J1099" s="1"/>
      <c r="K1099" s="1"/>
      <c r="L1099" s="1"/>
      <c r="M1099" s="1"/>
      <c r="N1099" s="1"/>
      <c r="O1099" s="1"/>
      <c r="P1099" s="1"/>
      <c r="Q1099" s="1"/>
      <c r="R1099" s="1"/>
      <c r="S1099" s="1"/>
      <c r="T1099" s="1"/>
      <c r="U1099" s="1"/>
    </row>
    <row r="1100" ht="10.5" customHeight="1">
      <c r="A1100" s="1"/>
      <c r="B1100" s="1"/>
      <c r="C1100" s="1"/>
      <c r="D1100" s="1"/>
      <c r="E1100" s="1"/>
      <c r="F1100" s="1"/>
      <c r="G1100" s="1"/>
      <c r="H1100" s="1"/>
      <c r="I1100" s="1"/>
      <c r="J1100" s="1"/>
      <c r="K1100" s="1"/>
      <c r="L1100" s="1"/>
      <c r="M1100" s="1"/>
      <c r="N1100" s="1"/>
      <c r="O1100" s="1"/>
      <c r="P1100" s="1"/>
      <c r="Q1100" s="1"/>
      <c r="R1100" s="1"/>
      <c r="S1100" s="1"/>
      <c r="T1100" s="1"/>
      <c r="U1100" s="1"/>
    </row>
    <row r="1101" ht="10.5" customHeight="1">
      <c r="A1101" s="1"/>
      <c r="B1101" s="1"/>
      <c r="C1101" s="1"/>
      <c r="D1101" s="1"/>
      <c r="E1101" s="1"/>
      <c r="F1101" s="1"/>
      <c r="G1101" s="110">
        <v>50.0</v>
      </c>
      <c r="H1101" s="1"/>
      <c r="I1101" s="1"/>
      <c r="J1101" s="1"/>
      <c r="K1101" s="1"/>
      <c r="L1101" s="1"/>
      <c r="M1101" s="1"/>
      <c r="N1101" s="1"/>
      <c r="O1101" s="1"/>
      <c r="P1101" s="1"/>
      <c r="Q1101" s="1"/>
      <c r="R1101" s="1"/>
      <c r="S1101" s="1"/>
      <c r="T1101" s="1"/>
      <c r="U1101" s="1"/>
    </row>
    <row r="1102" ht="10.5" customHeight="1">
      <c r="A1102" s="1"/>
      <c r="B1102" s="1"/>
      <c r="C1102" s="1"/>
      <c r="D1102" s="1"/>
      <c r="E1102" s="1"/>
      <c r="F1102" s="1"/>
      <c r="G1102" s="1"/>
      <c r="H1102" s="1"/>
      <c r="I1102" s="1"/>
      <c r="J1102" s="1"/>
      <c r="K1102" s="1"/>
      <c r="L1102" s="1"/>
      <c r="M1102" s="1"/>
      <c r="N1102" s="1"/>
      <c r="O1102" s="1"/>
      <c r="P1102" s="1"/>
      <c r="Q1102" s="1"/>
      <c r="R1102" s="1"/>
      <c r="S1102" s="1"/>
      <c r="T1102" s="1"/>
      <c r="U1102" s="1"/>
    </row>
    <row r="1103" ht="11.25" customHeight="1">
      <c r="A1103" s="1"/>
      <c r="B1103" s="1" t="s">
        <v>1149</v>
      </c>
      <c r="C1103" s="1"/>
      <c r="D1103" s="111"/>
      <c r="E1103" s="1"/>
      <c r="F1103" s="1"/>
      <c r="G1103" s="1"/>
      <c r="H1103" s="1"/>
      <c r="I1103" s="1"/>
      <c r="J1103" s="1"/>
      <c r="K1103" s="1"/>
      <c r="L1103" s="1"/>
      <c r="M1103" s="1"/>
      <c r="N1103" s="1"/>
      <c r="O1103" s="1"/>
      <c r="P1103" s="1"/>
      <c r="Q1103" s="1"/>
      <c r="R1103" s="1"/>
      <c r="S1103" s="1"/>
      <c r="T1103" s="1"/>
      <c r="U1103" s="1"/>
    </row>
    <row r="1104" ht="11.25" customHeight="1">
      <c r="A1104" s="1"/>
      <c r="B1104" s="29" t="s">
        <v>1150</v>
      </c>
      <c r="C1104" s="31" t="s">
        <v>508</v>
      </c>
      <c r="D1104" s="31" t="s">
        <v>640</v>
      </c>
      <c r="E1104" s="128" t="s">
        <v>1152</v>
      </c>
      <c r="F1104" s="10"/>
      <c r="G1104" s="128" t="s">
        <v>243</v>
      </c>
      <c r="H1104" s="10"/>
      <c r="I1104" s="31" t="s">
        <v>510</v>
      </c>
      <c r="J1104" s="1"/>
      <c r="K1104" s="1"/>
      <c r="L1104" s="1"/>
      <c r="M1104" s="1"/>
      <c r="N1104" s="1"/>
      <c r="O1104" s="1"/>
      <c r="P1104" s="1"/>
      <c r="Q1104" s="1"/>
      <c r="R1104" s="1"/>
      <c r="S1104" s="1"/>
      <c r="T1104" s="1"/>
      <c r="U1104" s="1"/>
    </row>
    <row r="1105" ht="22.5" customHeight="1">
      <c r="A1105" s="1"/>
      <c r="B1105" s="5"/>
      <c r="C1105" s="6"/>
      <c r="D1105" s="6"/>
      <c r="E1105" s="273" t="s">
        <v>514</v>
      </c>
      <c r="F1105" s="7" t="s">
        <v>515</v>
      </c>
      <c r="G1105" s="7" t="s">
        <v>514</v>
      </c>
      <c r="H1105" s="7" t="s">
        <v>516</v>
      </c>
      <c r="I1105" s="6"/>
      <c r="J1105" s="1"/>
      <c r="K1105" s="1"/>
      <c r="L1105" s="1"/>
      <c r="M1105" s="1"/>
      <c r="N1105" s="1"/>
      <c r="O1105" s="1"/>
      <c r="P1105" s="1"/>
      <c r="Q1105" s="1"/>
      <c r="R1105" s="1"/>
      <c r="S1105" s="1"/>
      <c r="T1105" s="1"/>
      <c r="U1105" s="1"/>
    </row>
    <row r="1106" ht="11.25" customHeight="1">
      <c r="A1106" s="1"/>
      <c r="B1106" s="6"/>
      <c r="C1106" s="482" t="s">
        <v>520</v>
      </c>
      <c r="D1106" s="482" t="s">
        <v>50</v>
      </c>
      <c r="E1106" s="134" t="s">
        <v>520</v>
      </c>
      <c r="F1106" s="134" t="s">
        <v>52</v>
      </c>
      <c r="G1106" s="134" t="s">
        <v>520</v>
      </c>
      <c r="H1106" s="134" t="s">
        <v>52</v>
      </c>
      <c r="I1106" s="134" t="s">
        <v>520</v>
      </c>
      <c r="J1106" s="1"/>
      <c r="K1106" s="1"/>
      <c r="L1106" s="1"/>
      <c r="M1106" s="1"/>
      <c r="N1106" s="1"/>
      <c r="O1106" s="1"/>
      <c r="P1106" s="1"/>
      <c r="Q1106" s="1"/>
      <c r="R1106" s="1"/>
      <c r="S1106" s="1"/>
      <c r="T1106" s="1"/>
      <c r="U1106" s="1"/>
    </row>
    <row r="1107" ht="10.5" customHeight="1">
      <c r="A1107" s="1"/>
      <c r="B1107" s="48" t="s">
        <v>271</v>
      </c>
      <c r="C1107" s="30">
        <v>552948.0</v>
      </c>
      <c r="D1107" s="12">
        <v>48096.0</v>
      </c>
      <c r="E1107" s="30">
        <v>87621.0</v>
      </c>
      <c r="F1107" s="30">
        <v>75.0</v>
      </c>
      <c r="G1107" s="30">
        <v>330032.0</v>
      </c>
      <c r="H1107" s="276">
        <v>122.05</v>
      </c>
      <c r="I1107" s="136">
        <v>109460.0</v>
      </c>
      <c r="J1107" s="1"/>
      <c r="K1107" s="1"/>
      <c r="L1107" s="1"/>
      <c r="M1107" s="1"/>
      <c r="N1107" s="1"/>
      <c r="O1107" s="1"/>
      <c r="P1107" s="1"/>
      <c r="Q1107" s="1"/>
      <c r="R1107" s="1"/>
      <c r="S1107" s="1"/>
      <c r="T1107" s="1"/>
      <c r="U1107" s="1"/>
    </row>
    <row r="1108" ht="10.5" customHeight="1">
      <c r="A1108" s="1"/>
      <c r="B1108" s="48" t="s">
        <v>272</v>
      </c>
      <c r="C1108" s="30">
        <v>600096.0</v>
      </c>
      <c r="D1108" s="12">
        <v>47253.0</v>
      </c>
      <c r="E1108" s="30">
        <v>76359.0</v>
      </c>
      <c r="F1108" s="30">
        <v>97.0</v>
      </c>
      <c r="G1108" s="30">
        <v>331589.0</v>
      </c>
      <c r="H1108" s="276">
        <v>111.86</v>
      </c>
      <c r="I1108" s="136">
        <v>185930.0</v>
      </c>
      <c r="J1108" s="1"/>
      <c r="K1108" s="1"/>
      <c r="L1108" s="1"/>
      <c r="M1108" s="1"/>
      <c r="N1108" s="1"/>
      <c r="O1108" s="1"/>
      <c r="P1108" s="1"/>
      <c r="Q1108" s="1"/>
      <c r="R1108" s="1"/>
      <c r="S1108" s="1"/>
      <c r="T1108" s="1"/>
      <c r="U1108" s="1"/>
    </row>
    <row r="1109" ht="10.5" customHeight="1">
      <c r="A1109" s="1"/>
      <c r="B1109" s="48" t="s">
        <v>274</v>
      </c>
      <c r="C1109" s="30">
        <v>502508.0</v>
      </c>
      <c r="D1109" s="12">
        <v>70787.0</v>
      </c>
      <c r="E1109" s="30">
        <v>70382.0</v>
      </c>
      <c r="F1109" s="30">
        <v>120.0</v>
      </c>
      <c r="G1109" s="30">
        <v>307220.0</v>
      </c>
      <c r="H1109" s="276">
        <v>198.96</v>
      </c>
      <c r="I1109" s="136">
        <v>111260.0</v>
      </c>
      <c r="J1109" s="1"/>
      <c r="K1109" s="1"/>
      <c r="L1109" s="1"/>
      <c r="M1109" s="1"/>
      <c r="N1109" s="1"/>
      <c r="O1109" s="1"/>
      <c r="P1109" s="1"/>
      <c r="Q1109" s="1"/>
      <c r="R1109" s="1"/>
      <c r="S1109" s="1"/>
      <c r="T1109" s="1"/>
      <c r="U1109" s="1"/>
    </row>
    <row r="1110" ht="10.5" customHeight="1">
      <c r="A1110" s="1"/>
      <c r="B1110" s="48" t="s">
        <v>275</v>
      </c>
      <c r="C1110" s="30">
        <v>592585.0</v>
      </c>
      <c r="D1110" s="12">
        <v>79279.0</v>
      </c>
      <c r="E1110" s="30">
        <v>70876.0</v>
      </c>
      <c r="F1110" s="30">
        <v>120.0</v>
      </c>
      <c r="G1110" s="30">
        <v>348418.0</v>
      </c>
      <c r="H1110" s="276">
        <v>195.81</v>
      </c>
      <c r="I1110" s="136">
        <v>157440.0</v>
      </c>
      <c r="J1110" s="1"/>
      <c r="K1110" s="1"/>
      <c r="L1110" s="1"/>
      <c r="M1110" s="1"/>
      <c r="N1110" s="1"/>
      <c r="O1110" s="1"/>
      <c r="P1110" s="1"/>
      <c r="Q1110" s="1"/>
      <c r="R1110" s="1"/>
      <c r="S1110" s="1"/>
      <c r="T1110" s="1"/>
      <c r="U1110" s="1"/>
    </row>
    <row r="1111" ht="10.5" customHeight="1">
      <c r="A1111" s="1"/>
      <c r="B1111" s="48" t="s">
        <v>276</v>
      </c>
      <c r="C1111" s="30">
        <v>563056.0</v>
      </c>
      <c r="D1111" s="12">
        <v>94865.0</v>
      </c>
      <c r="E1111" s="30">
        <v>64607.0</v>
      </c>
      <c r="F1111" s="30">
        <v>147.0</v>
      </c>
      <c r="G1111" s="30">
        <v>350560.0</v>
      </c>
      <c r="H1111" s="276">
        <v>236.87</v>
      </c>
      <c r="I1111" s="136">
        <v>152200.0</v>
      </c>
      <c r="J1111" s="1"/>
      <c r="K1111" s="1"/>
      <c r="L1111" s="1"/>
      <c r="M1111" s="1"/>
      <c r="N1111" s="1"/>
      <c r="O1111" s="1"/>
      <c r="P1111" s="1"/>
      <c r="Q1111" s="1"/>
      <c r="R1111" s="1"/>
      <c r="S1111" s="1"/>
      <c r="T1111" s="1"/>
      <c r="U1111" s="1"/>
    </row>
    <row r="1112" ht="10.5" customHeight="1">
      <c r="A1112" s="1"/>
      <c r="B1112" s="48"/>
      <c r="C1112" s="30"/>
      <c r="D1112" s="12"/>
      <c r="E1112" s="30"/>
      <c r="F1112" s="30"/>
      <c r="G1112" s="30"/>
      <c r="H1112" s="276"/>
      <c r="I1112" s="136"/>
      <c r="J1112" s="1"/>
      <c r="K1112" s="1"/>
      <c r="L1112" s="1"/>
      <c r="M1112" s="1"/>
      <c r="N1112" s="1"/>
      <c r="O1112" s="1"/>
      <c r="P1112" s="1"/>
      <c r="Q1112" s="1"/>
      <c r="R1112" s="1"/>
      <c r="S1112" s="1"/>
      <c r="T1112" s="1"/>
      <c r="U1112" s="1"/>
    </row>
    <row r="1113" ht="10.5" customHeight="1">
      <c r="A1113" s="1"/>
      <c r="B1113" s="48" t="s">
        <v>56</v>
      </c>
      <c r="C1113" s="30">
        <v>546797.0</v>
      </c>
      <c r="D1113" s="12">
        <v>77750.0</v>
      </c>
      <c r="E1113" s="30">
        <v>67039.0</v>
      </c>
      <c r="F1113" s="30">
        <v>167.0</v>
      </c>
      <c r="G1113" s="30">
        <v>361034.0</v>
      </c>
      <c r="H1113" s="276">
        <v>182.23</v>
      </c>
      <c r="I1113" s="136">
        <v>132300.0</v>
      </c>
      <c r="J1113" s="1"/>
      <c r="K1113" s="1"/>
      <c r="L1113" s="1"/>
      <c r="M1113" s="1"/>
      <c r="N1113" s="1"/>
      <c r="O1113" s="1"/>
      <c r="P1113" s="1"/>
      <c r="Q1113" s="1"/>
      <c r="R1113" s="1"/>
      <c r="S1113" s="1"/>
      <c r="T1113" s="1"/>
      <c r="U1113" s="1"/>
    </row>
    <row r="1114" ht="10.5" customHeight="1">
      <c r="A1114" s="1"/>
      <c r="B1114" s="48" t="s">
        <v>81</v>
      </c>
      <c r="C1114" s="30">
        <v>582358.0</v>
      </c>
      <c r="D1114" s="12">
        <v>99277.0</v>
      </c>
      <c r="E1114" s="30">
        <v>74831.0</v>
      </c>
      <c r="F1114" s="30">
        <v>186.0</v>
      </c>
      <c r="G1114" s="30">
        <v>353460.0</v>
      </c>
      <c r="H1114" s="276">
        <v>232.65</v>
      </c>
      <c r="I1114" s="136">
        <v>169200.0</v>
      </c>
      <c r="J1114" s="1"/>
      <c r="K1114" s="1"/>
      <c r="L1114" s="1"/>
      <c r="M1114" s="1"/>
      <c r="N1114" s="1"/>
      <c r="O1114" s="1"/>
      <c r="P1114" s="1"/>
      <c r="Q1114" s="1"/>
      <c r="R1114" s="1"/>
      <c r="S1114" s="1"/>
      <c r="T1114" s="1"/>
      <c r="U1114" s="1"/>
    </row>
    <row r="1115" ht="10.5" customHeight="1">
      <c r="A1115" s="1"/>
      <c r="B1115" s="48" t="s">
        <v>86</v>
      </c>
      <c r="C1115" s="30">
        <v>531875.0</v>
      </c>
      <c r="D1115" s="12">
        <v>110611.0</v>
      </c>
      <c r="E1115" s="30">
        <v>72561.0</v>
      </c>
      <c r="F1115" s="30">
        <v>226.0</v>
      </c>
      <c r="G1115" s="30">
        <v>357495.0</v>
      </c>
      <c r="H1115" s="276">
        <v>264.92</v>
      </c>
      <c r="I1115" s="136">
        <v>115400.0</v>
      </c>
      <c r="J1115" s="1"/>
      <c r="K1115" s="1"/>
      <c r="L1115" s="1"/>
      <c r="M1115" s="1"/>
      <c r="N1115" s="1"/>
      <c r="O1115" s="1"/>
      <c r="P1115" s="1"/>
      <c r="Q1115" s="1"/>
      <c r="R1115" s="1"/>
      <c r="S1115" s="1"/>
      <c r="T1115" s="1"/>
      <c r="U1115" s="1"/>
    </row>
    <row r="1116" ht="10.5" customHeight="1">
      <c r="A1116" s="1"/>
      <c r="B1116" s="48" t="s">
        <v>87</v>
      </c>
      <c r="C1116" s="30">
        <v>502962.0</v>
      </c>
      <c r="D1116" s="12">
        <v>102237.0</v>
      </c>
      <c r="E1116" s="30">
        <v>80824.0</v>
      </c>
      <c r="F1116" s="30">
        <v>254.0</v>
      </c>
      <c r="G1116" s="30">
        <v>307575.0</v>
      </c>
      <c r="H1116" s="276">
        <v>266.43</v>
      </c>
      <c r="I1116" s="136">
        <v>119100.0</v>
      </c>
      <c r="J1116" s="1"/>
      <c r="K1116" s="1"/>
      <c r="L1116" s="1"/>
      <c r="M1116" s="1"/>
      <c r="N1116" s="1"/>
      <c r="O1116" s="1"/>
      <c r="P1116" s="1"/>
      <c r="Q1116" s="1"/>
      <c r="R1116" s="1"/>
      <c r="S1116" s="1"/>
      <c r="T1116" s="1"/>
      <c r="U1116" s="1"/>
    </row>
    <row r="1117" ht="10.5" customHeight="1">
      <c r="A1117" s="1"/>
      <c r="B1117" s="48" t="s">
        <v>90</v>
      </c>
      <c r="C1117" s="30">
        <v>483490.0</v>
      </c>
      <c r="D1117" s="12">
        <v>144515.0</v>
      </c>
      <c r="E1117" s="30">
        <v>80625.0</v>
      </c>
      <c r="F1117" s="30">
        <v>286.0</v>
      </c>
      <c r="G1117" s="30">
        <v>276811.0</v>
      </c>
      <c r="H1117" s="276">
        <v>434.39</v>
      </c>
      <c r="I1117" s="136">
        <v>136500.0</v>
      </c>
      <c r="J1117" s="1"/>
      <c r="K1117" s="1"/>
      <c r="L1117" s="1"/>
      <c r="M1117" s="1"/>
      <c r="N1117" s="1"/>
      <c r="O1117" s="1"/>
      <c r="P1117" s="1"/>
      <c r="Q1117" s="1"/>
      <c r="R1117" s="1"/>
      <c r="S1117" s="1"/>
      <c r="T1117" s="1"/>
      <c r="U1117" s="1"/>
    </row>
    <row r="1118" ht="10.5" customHeight="1">
      <c r="A1118" s="1"/>
      <c r="B1118" s="48"/>
      <c r="C1118" s="30"/>
      <c r="D1118" s="12"/>
      <c r="E1118" s="30"/>
      <c r="F1118" s="30"/>
      <c r="G1118" s="30"/>
      <c r="H1118" s="276"/>
      <c r="I1118" s="136"/>
      <c r="J1118" s="1"/>
      <c r="K1118" s="1"/>
      <c r="L1118" s="1"/>
      <c r="M1118" s="1"/>
      <c r="N1118" s="1"/>
      <c r="O1118" s="1"/>
      <c r="P1118" s="1"/>
      <c r="Q1118" s="1"/>
      <c r="R1118" s="1"/>
      <c r="S1118" s="1"/>
      <c r="T1118" s="1"/>
      <c r="U1118" s="1"/>
    </row>
    <row r="1119" ht="10.5" customHeight="1">
      <c r="A1119" s="1"/>
      <c r="B1119" s="48" t="s">
        <v>93</v>
      </c>
      <c r="C1119" s="30">
        <v>467579.0</v>
      </c>
      <c r="D1119" s="12">
        <v>178436.0</v>
      </c>
      <c r="E1119" s="30">
        <v>74251.0</v>
      </c>
      <c r="F1119" s="30">
        <v>345.0</v>
      </c>
      <c r="G1119" s="30">
        <v>265661.0</v>
      </c>
      <c r="H1119" s="276">
        <v>579.98</v>
      </c>
      <c r="I1119" s="136">
        <v>140300.0</v>
      </c>
      <c r="J1119" s="1"/>
      <c r="K1119" s="1"/>
      <c r="L1119" s="1"/>
      <c r="M1119" s="1"/>
      <c r="N1119" s="1"/>
      <c r="O1119" s="1"/>
      <c r="P1119" s="1"/>
      <c r="Q1119" s="1"/>
      <c r="R1119" s="1"/>
      <c r="S1119" s="1"/>
      <c r="T1119" s="1"/>
      <c r="U1119" s="1"/>
    </row>
    <row r="1120" ht="10.5" customHeight="1">
      <c r="A1120" s="1"/>
      <c r="B1120" s="48" t="s">
        <v>97</v>
      </c>
      <c r="C1120" s="30">
        <v>463939.0</v>
      </c>
      <c r="D1120" s="12">
        <v>177937.0</v>
      </c>
      <c r="E1120" s="30">
        <v>79087.0</v>
      </c>
      <c r="F1120" s="30">
        <v>384.0</v>
      </c>
      <c r="G1120" s="30">
        <v>282122.0</v>
      </c>
      <c r="H1120" s="276">
        <v>537.73</v>
      </c>
      <c r="I1120" s="136">
        <v>109200.0</v>
      </c>
      <c r="J1120" s="1"/>
      <c r="K1120" s="1"/>
      <c r="L1120" s="1"/>
      <c r="M1120" s="1"/>
      <c r="N1120" s="1"/>
      <c r="O1120" s="1"/>
      <c r="P1120" s="1"/>
      <c r="Q1120" s="1"/>
      <c r="R1120" s="1"/>
      <c r="S1120" s="1"/>
      <c r="T1120" s="1"/>
      <c r="U1120" s="1"/>
    </row>
    <row r="1121" ht="10.5" customHeight="1">
      <c r="A1121" s="1"/>
      <c r="B1121" s="48" t="s">
        <v>101</v>
      </c>
      <c r="C1121" s="30">
        <v>549256.0</v>
      </c>
      <c r="D1121" s="12">
        <v>181643.0</v>
      </c>
      <c r="E1121" s="30">
        <v>84658.0</v>
      </c>
      <c r="F1121" s="30">
        <v>405.0</v>
      </c>
      <c r="G1121" s="30">
        <v>302511.0</v>
      </c>
      <c r="H1121" s="276">
        <v>491.02</v>
      </c>
      <c r="I1121" s="136">
        <v>174100.0</v>
      </c>
      <c r="J1121" s="1"/>
      <c r="K1121" s="1"/>
      <c r="L1121" s="1"/>
      <c r="M1121" s="1"/>
      <c r="N1121" s="1"/>
      <c r="O1121" s="1"/>
      <c r="P1121" s="1"/>
      <c r="Q1121" s="1"/>
      <c r="R1121" s="1"/>
      <c r="S1121" s="1"/>
      <c r="T1121" s="1"/>
      <c r="U1121" s="1"/>
    </row>
    <row r="1122" ht="10.5" customHeight="1">
      <c r="A1122" s="1"/>
      <c r="B1122" s="48" t="s">
        <v>103</v>
      </c>
      <c r="C1122" s="30">
        <v>646119.0</v>
      </c>
      <c r="D1122" s="12">
        <v>273705.0</v>
      </c>
      <c r="E1122" s="30">
        <v>83935.0</v>
      </c>
      <c r="F1122" s="30">
        <v>437.0</v>
      </c>
      <c r="G1122" s="30">
        <v>335158.0</v>
      </c>
      <c r="H1122" s="276">
        <v>668.98</v>
      </c>
      <c r="I1122" s="136">
        <v>216200.0</v>
      </c>
      <c r="J1122" s="1"/>
      <c r="K1122" s="1"/>
      <c r="L1122" s="1"/>
      <c r="M1122" s="1"/>
      <c r="N1122" s="1"/>
      <c r="O1122" s="1"/>
      <c r="P1122" s="1"/>
      <c r="Q1122" s="1"/>
      <c r="R1122" s="1"/>
      <c r="S1122" s="1"/>
      <c r="T1122" s="1"/>
      <c r="U1122" s="1"/>
    </row>
    <row r="1123" ht="10.5" customHeight="1">
      <c r="A1123" s="1"/>
      <c r="B1123" s="48" t="s">
        <v>104</v>
      </c>
      <c r="C1123" s="30">
        <v>711532.0</v>
      </c>
      <c r="D1123" s="12">
        <v>307236.0</v>
      </c>
      <c r="E1123" s="30">
        <v>71769.0</v>
      </c>
      <c r="F1123" s="30">
        <v>542.0</v>
      </c>
      <c r="G1123" s="30">
        <v>334152.0</v>
      </c>
      <c r="H1123" s="276">
        <v>709.64</v>
      </c>
      <c r="I1123" s="136">
        <v>181000.0</v>
      </c>
      <c r="J1123" s="1"/>
      <c r="K1123" s="1"/>
      <c r="L1123" s="1"/>
      <c r="M1123" s="1"/>
      <c r="N1123" s="1"/>
      <c r="O1123" s="1"/>
      <c r="P1123" s="1"/>
      <c r="Q1123" s="1"/>
      <c r="R1123" s="1"/>
      <c r="S1123" s="1"/>
      <c r="T1123" s="1"/>
      <c r="U1123" s="1"/>
    </row>
    <row r="1124" ht="10.5" customHeight="1">
      <c r="A1124" s="1"/>
      <c r="B1124" s="48"/>
      <c r="C1124" s="30"/>
      <c r="D1124" s="12"/>
      <c r="E1124" s="30"/>
      <c r="F1124" s="30"/>
      <c r="G1124" s="30"/>
      <c r="H1124" s="276"/>
      <c r="I1124" s="136"/>
      <c r="J1124" s="1"/>
      <c r="K1124" s="1"/>
      <c r="L1124" s="1"/>
      <c r="M1124" s="1"/>
      <c r="N1124" s="1"/>
      <c r="O1124" s="1"/>
      <c r="P1124" s="1"/>
      <c r="Q1124" s="1"/>
      <c r="R1124" s="1"/>
      <c r="S1124" s="1"/>
      <c r="T1124" s="1"/>
      <c r="U1124" s="1"/>
    </row>
    <row r="1125" ht="10.5" customHeight="1">
      <c r="A1125" s="1"/>
      <c r="B1125" s="48" t="s">
        <v>108</v>
      </c>
      <c r="C1125" s="30">
        <v>775750.0</v>
      </c>
      <c r="D1125" s="12">
        <v>397149.0</v>
      </c>
      <c r="E1125" s="30">
        <v>97713.0</v>
      </c>
      <c r="F1125" s="30">
        <v>513.0</v>
      </c>
      <c r="G1125" s="30">
        <v>326381.0</v>
      </c>
      <c r="H1125" s="276">
        <v>850.27</v>
      </c>
      <c r="I1125" s="136">
        <v>252600.0</v>
      </c>
      <c r="J1125" s="1"/>
      <c r="K1125" s="1"/>
      <c r="L1125" s="1"/>
      <c r="M1125" s="1"/>
      <c r="N1125" s="1"/>
      <c r="O1125" s="1"/>
      <c r="P1125" s="1"/>
      <c r="Q1125" s="1"/>
      <c r="R1125" s="1"/>
      <c r="S1125" s="1"/>
      <c r="T1125" s="1"/>
      <c r="U1125" s="1"/>
    </row>
    <row r="1126" ht="10.5" customHeight="1">
      <c r="A1126" s="1"/>
      <c r="B1126" s="48" t="s">
        <v>111</v>
      </c>
      <c r="C1126" s="30">
        <v>711897.0</v>
      </c>
      <c r="D1126" s="12">
        <v>465733.0</v>
      </c>
      <c r="E1126" s="30">
        <v>103730.0</v>
      </c>
      <c r="F1126" s="30">
        <v>553.0</v>
      </c>
      <c r="G1126" s="30">
        <v>346440.0</v>
      </c>
      <c r="H1126" s="276">
        <v>987.96</v>
      </c>
      <c r="I1126" s="136">
        <v>157000.0</v>
      </c>
      <c r="J1126" s="1"/>
      <c r="K1126" s="1"/>
      <c r="L1126" s="1"/>
      <c r="M1126" s="1"/>
      <c r="N1126" s="1"/>
      <c r="O1126" s="1"/>
      <c r="P1126" s="1"/>
      <c r="Q1126" s="1"/>
      <c r="R1126" s="1"/>
      <c r="S1126" s="1"/>
      <c r="T1126" s="1"/>
      <c r="U1126" s="1"/>
    </row>
    <row r="1127" ht="10.5" customHeight="1">
      <c r="A1127" s="1"/>
      <c r="B1127" s="48" t="s">
        <v>112</v>
      </c>
      <c r="C1127" s="30">
        <v>755831.0</v>
      </c>
      <c r="D1127" s="12">
        <v>468046.0</v>
      </c>
      <c r="E1127" s="30">
        <v>112816.0</v>
      </c>
      <c r="F1127" s="30">
        <v>605.0</v>
      </c>
      <c r="G1127" s="30">
        <v>354731.0</v>
      </c>
      <c r="H1127" s="276">
        <v>894.94</v>
      </c>
      <c r="I1127" s="136">
        <v>175000.0</v>
      </c>
      <c r="J1127" s="1"/>
      <c r="K1127" s="1"/>
      <c r="L1127" s="1"/>
      <c r="M1127" s="1"/>
      <c r="N1127" s="1"/>
      <c r="O1127" s="1"/>
      <c r="P1127" s="1"/>
      <c r="Q1127" s="1"/>
      <c r="R1127" s="1"/>
      <c r="S1127" s="1"/>
      <c r="T1127" s="1"/>
      <c r="U1127" s="1"/>
    </row>
    <row r="1128" ht="10.5" customHeight="1">
      <c r="A1128" s="1"/>
      <c r="B1128" s="48" t="s">
        <v>113</v>
      </c>
      <c r="C1128" s="30">
        <v>782429.0</v>
      </c>
      <c r="D1128" s="12">
        <v>562559.0</v>
      </c>
      <c r="E1128" s="30">
        <v>135291.0</v>
      </c>
      <c r="F1128" s="30">
        <v>544.0</v>
      </c>
      <c r="G1128" s="30">
        <v>343680.0</v>
      </c>
      <c r="H1128" s="276">
        <v>1192.68</v>
      </c>
      <c r="I1128" s="136">
        <v>169000.0</v>
      </c>
      <c r="J1128" s="1"/>
      <c r="K1128" s="1"/>
      <c r="L1128" s="1"/>
      <c r="M1128" s="1"/>
      <c r="N1128" s="1"/>
      <c r="O1128" s="1"/>
      <c r="P1128" s="1"/>
      <c r="Q1128" s="1"/>
      <c r="R1128" s="1"/>
      <c r="S1128" s="1"/>
      <c r="T1128" s="1"/>
      <c r="U1128" s="1"/>
    </row>
    <row r="1129" ht="10.5" customHeight="1">
      <c r="A1129" s="1"/>
      <c r="B1129" s="48" t="s">
        <v>114</v>
      </c>
      <c r="C1129" s="30">
        <v>875662.0</v>
      </c>
      <c r="D1129" s="12">
        <v>645398.0</v>
      </c>
      <c r="E1129" s="30">
        <v>124496.0</v>
      </c>
      <c r="F1129" s="30">
        <v>599.0</v>
      </c>
      <c r="G1129" s="30">
        <v>423145.0</v>
      </c>
      <c r="H1129" s="276">
        <v>1120.18</v>
      </c>
      <c r="I1129" s="136">
        <v>203733.0</v>
      </c>
      <c r="J1129" s="1"/>
      <c r="K1129" s="1"/>
      <c r="L1129" s="1"/>
      <c r="M1129" s="1"/>
      <c r="N1129" s="1"/>
      <c r="O1129" s="1"/>
      <c r="P1129" s="1"/>
      <c r="Q1129" s="1"/>
      <c r="R1129" s="1"/>
      <c r="S1129" s="1"/>
      <c r="T1129" s="1"/>
      <c r="U1129" s="1"/>
    </row>
    <row r="1130" ht="10.5" customHeight="1">
      <c r="A1130" s="1"/>
      <c r="B1130" s="48"/>
      <c r="C1130" s="30"/>
      <c r="D1130" s="12"/>
      <c r="E1130" s="30"/>
      <c r="F1130" s="30"/>
      <c r="G1130" s="30"/>
      <c r="H1130" s="276"/>
      <c r="I1130" s="136"/>
      <c r="J1130" s="1"/>
      <c r="K1130" s="1"/>
      <c r="L1130" s="1"/>
      <c r="M1130" s="1"/>
      <c r="N1130" s="1"/>
      <c r="O1130" s="1"/>
      <c r="P1130" s="1"/>
      <c r="Q1130" s="1"/>
      <c r="R1130" s="1"/>
      <c r="S1130" s="1"/>
      <c r="T1130" s="1"/>
      <c r="U1130" s="1"/>
    </row>
    <row r="1131" ht="10.5" customHeight="1">
      <c r="A1131" s="1"/>
      <c r="B1131" s="48" t="s">
        <v>115</v>
      </c>
      <c r="C1131" s="30">
        <v>745051.0</v>
      </c>
      <c r="D1131" s="12">
        <v>835069.0</v>
      </c>
      <c r="E1131" s="30">
        <v>98652.0</v>
      </c>
      <c r="F1131" s="30">
        <v>774.0</v>
      </c>
      <c r="G1131" s="30">
        <v>404080.0</v>
      </c>
      <c r="H1131" s="276">
        <v>1647.82</v>
      </c>
      <c r="I1131" s="136">
        <v>142379.0</v>
      </c>
      <c r="J1131" s="1"/>
      <c r="K1131" s="1"/>
      <c r="L1131" s="1"/>
      <c r="M1131" s="1"/>
      <c r="N1131" s="1"/>
      <c r="O1131" s="1"/>
      <c r="P1131" s="1"/>
      <c r="Q1131" s="1"/>
      <c r="R1131" s="1"/>
      <c r="S1131" s="1"/>
      <c r="T1131" s="1"/>
      <c r="U1131" s="1"/>
    </row>
    <row r="1132" ht="10.5" customHeight="1">
      <c r="A1132" s="1"/>
      <c r="B1132" s="48" t="s">
        <v>117</v>
      </c>
      <c r="C1132" s="30">
        <v>919068.0</v>
      </c>
      <c r="D1132" s="12">
        <v>889511.0</v>
      </c>
      <c r="E1132" s="30">
        <v>118543.0</v>
      </c>
      <c r="F1132" s="30">
        <v>706.0</v>
      </c>
      <c r="G1132" s="30">
        <v>462000.0</v>
      </c>
      <c r="H1132" s="276">
        <v>1501.45</v>
      </c>
      <c r="I1132" s="136">
        <v>219845.0</v>
      </c>
      <c r="J1132" s="1"/>
      <c r="K1132" s="1"/>
      <c r="L1132" s="1"/>
      <c r="M1132" s="1"/>
      <c r="N1132" s="1"/>
      <c r="O1132" s="1"/>
      <c r="P1132" s="1"/>
      <c r="Q1132" s="1"/>
      <c r="R1132" s="1"/>
      <c r="S1132" s="1"/>
      <c r="T1132" s="1"/>
      <c r="U1132" s="1"/>
    </row>
    <row r="1133" ht="10.5" customHeight="1">
      <c r="A1133" s="1"/>
      <c r="B1133" s="48" t="s">
        <v>121</v>
      </c>
      <c r="C1133" s="30">
        <v>978416.0</v>
      </c>
      <c r="D1133" s="12">
        <v>846896.0</v>
      </c>
      <c r="E1133" s="30">
        <v>145519.0</v>
      </c>
      <c r="F1133" s="30">
        <v>619.0</v>
      </c>
      <c r="G1133" s="30">
        <v>460500.0</v>
      </c>
      <c r="H1133" s="276">
        <v>1409.31</v>
      </c>
      <c r="I1133" s="136">
        <v>228303.0</v>
      </c>
      <c r="J1133" s="1"/>
      <c r="K1133" s="1"/>
      <c r="L1133" s="1"/>
      <c r="M1133" s="1"/>
      <c r="N1133" s="1"/>
      <c r="O1133" s="1"/>
      <c r="P1133" s="1"/>
      <c r="Q1133" s="1"/>
      <c r="R1133" s="1"/>
      <c r="S1133" s="1"/>
      <c r="T1133" s="1"/>
      <c r="U1133" s="1"/>
    </row>
    <row r="1134" ht="10.5" customHeight="1">
      <c r="A1134" s="1"/>
      <c r="B1134" s="48" t="s">
        <v>122</v>
      </c>
      <c r="C1134" s="30">
        <v>963589.0</v>
      </c>
      <c r="D1134" s="12">
        <v>1167324.0</v>
      </c>
      <c r="E1134" s="30">
        <v>115602.0</v>
      </c>
      <c r="F1134" s="30">
        <v>835.0</v>
      </c>
      <c r="G1134" s="30">
        <v>522000.0</v>
      </c>
      <c r="H1134" s="276">
        <v>1828.76</v>
      </c>
      <c r="I1134" s="136">
        <v>210078.0</v>
      </c>
      <c r="J1134" s="1"/>
      <c r="K1134" s="1"/>
      <c r="L1134" s="1"/>
      <c r="M1134" s="1"/>
      <c r="N1134" s="1"/>
      <c r="O1134" s="1"/>
      <c r="P1134" s="1"/>
      <c r="Q1134" s="1"/>
      <c r="R1134" s="1"/>
      <c r="S1134" s="1"/>
      <c r="T1134" s="1"/>
      <c r="U1134" s="1"/>
    </row>
    <row r="1135" ht="10.5" customHeight="1">
      <c r="A1135" s="1"/>
      <c r="B1135" s="48" t="s">
        <v>123</v>
      </c>
      <c r="C1135" s="30">
        <v>1156359.0</v>
      </c>
      <c r="D1135" s="12">
        <v>1451125.0</v>
      </c>
      <c r="E1135" s="30">
        <v>137056.0</v>
      </c>
      <c r="F1135" s="30">
        <v>765.0</v>
      </c>
      <c r="G1135" s="30">
        <v>607500.0</v>
      </c>
      <c r="H1135" s="276">
        <v>1964.09</v>
      </c>
      <c r="I1135" s="136">
        <v>275681.0</v>
      </c>
      <c r="J1135" s="1"/>
      <c r="K1135" s="1"/>
      <c r="L1135" s="1"/>
      <c r="M1135" s="1"/>
      <c r="N1135" s="1"/>
      <c r="O1135" s="1"/>
      <c r="P1135" s="1"/>
      <c r="Q1135" s="1"/>
      <c r="R1135" s="1"/>
      <c r="S1135" s="1"/>
      <c r="T1135" s="1"/>
      <c r="U1135" s="1"/>
    </row>
    <row r="1136" ht="10.5" customHeight="1">
      <c r="A1136" s="1"/>
      <c r="B1136" s="48"/>
      <c r="C1136" s="30"/>
      <c r="D1136" s="12"/>
      <c r="E1136" s="30"/>
      <c r="F1136" s="30"/>
      <c r="G1136" s="30"/>
      <c r="H1136" s="276"/>
      <c r="I1136" s="136"/>
      <c r="J1136" s="1"/>
      <c r="K1136" s="1"/>
      <c r="L1136" s="1"/>
      <c r="M1136" s="1"/>
      <c r="N1136" s="1"/>
      <c r="O1136" s="1"/>
      <c r="P1136" s="1"/>
      <c r="Q1136" s="1"/>
      <c r="R1136" s="1"/>
      <c r="S1136" s="1"/>
      <c r="T1136" s="1"/>
      <c r="U1136" s="1"/>
    </row>
    <row r="1137" ht="10.5" customHeight="1">
      <c r="A1137" s="1"/>
      <c r="B1137" s="168" t="s">
        <v>125</v>
      </c>
      <c r="C1137" s="12">
        <v>1169806.0</v>
      </c>
      <c r="D1137" s="12">
        <v>945331.0</v>
      </c>
      <c r="E1137" s="30">
        <v>145354.0</v>
      </c>
      <c r="F1137" s="30">
        <v>714.0</v>
      </c>
      <c r="G1137" s="30">
        <v>573000.0</v>
      </c>
      <c r="H1137" s="276">
        <v>1202.21</v>
      </c>
      <c r="I1137" s="178">
        <v>307513.0</v>
      </c>
      <c r="J1137" s="1"/>
      <c r="K1137" s="1"/>
      <c r="L1137" s="1"/>
      <c r="M1137" s="1"/>
      <c r="N1137" s="1"/>
      <c r="O1137" s="1"/>
      <c r="P1137" s="1"/>
      <c r="Q1137" s="1"/>
      <c r="R1137" s="1"/>
      <c r="S1137" s="1"/>
      <c r="T1137" s="1"/>
      <c r="U1137" s="1"/>
    </row>
    <row r="1138" ht="10.5" customHeight="1">
      <c r="A1138" s="1"/>
      <c r="B1138" s="168" t="s">
        <v>127</v>
      </c>
      <c r="C1138" s="12">
        <v>1293497.0</v>
      </c>
      <c r="D1138" s="12">
        <v>1833293.0</v>
      </c>
      <c r="E1138" s="30">
        <v>136980.0</v>
      </c>
      <c r="F1138" s="33">
        <v>768.0</v>
      </c>
      <c r="G1138" s="33">
        <v>750919.0</v>
      </c>
      <c r="H1138" s="289">
        <v>2126.66</v>
      </c>
      <c r="I1138" s="178">
        <v>269548.0</v>
      </c>
      <c r="J1138" s="1"/>
      <c r="K1138" s="1"/>
      <c r="L1138" s="1"/>
      <c r="M1138" s="1"/>
      <c r="N1138" s="1"/>
      <c r="O1138" s="1"/>
      <c r="P1138" s="1"/>
      <c r="Q1138" s="1"/>
      <c r="R1138" s="1"/>
      <c r="S1138" s="1"/>
      <c r="T1138" s="1"/>
      <c r="U1138" s="1"/>
    </row>
    <row r="1139" ht="10.5" customHeight="1">
      <c r="A1139" s="1"/>
      <c r="B1139" s="48" t="s">
        <v>128</v>
      </c>
      <c r="C1139" s="12">
        <v>1237835.0</v>
      </c>
      <c r="D1139" s="12">
        <v>1692154.0</v>
      </c>
      <c r="E1139" s="30">
        <v>117782.0</v>
      </c>
      <c r="F1139" s="33">
        <v>925.0</v>
      </c>
      <c r="G1139" s="33">
        <v>689468.0</v>
      </c>
      <c r="H1139" s="289">
        <v>2058.61</v>
      </c>
      <c r="I1139" s="178">
        <v>312622.0</v>
      </c>
      <c r="J1139" s="1"/>
      <c r="K1139" s="1"/>
      <c r="L1139" s="1"/>
      <c r="M1139" s="1"/>
      <c r="N1139" s="1"/>
      <c r="O1139" s="1"/>
      <c r="P1139" s="1"/>
      <c r="Q1139" s="1"/>
      <c r="R1139" s="1"/>
      <c r="S1139" s="1"/>
      <c r="T1139" s="1"/>
      <c r="U1139" s="1"/>
    </row>
    <row r="1140" ht="10.5" customHeight="1">
      <c r="A1140" s="1"/>
      <c r="B1140" s="48" t="s">
        <v>129</v>
      </c>
      <c r="C1140" s="12">
        <v>1325217.0</v>
      </c>
      <c r="D1140" s="12">
        <v>2214714.0</v>
      </c>
      <c r="E1140" s="30">
        <v>114978.0</v>
      </c>
      <c r="F1140" s="33">
        <v>1056.0</v>
      </c>
      <c r="G1140" s="33">
        <v>852380.0</v>
      </c>
      <c r="H1140" s="289">
        <v>2265.3</v>
      </c>
      <c r="I1140" s="178">
        <v>242537.0</v>
      </c>
      <c r="J1140" s="1"/>
      <c r="K1140" s="1"/>
      <c r="L1140" s="1"/>
      <c r="M1140" s="1"/>
      <c r="N1140" s="1"/>
      <c r="O1140" s="1"/>
      <c r="P1140" s="1"/>
      <c r="Q1140" s="1"/>
      <c r="R1140" s="1"/>
      <c r="S1140" s="1"/>
      <c r="T1140" s="1"/>
      <c r="U1140" s="1"/>
    </row>
    <row r="1141" ht="10.5" customHeight="1">
      <c r="A1141" s="1"/>
      <c r="B1141" s="48" t="s">
        <v>130</v>
      </c>
      <c r="C1141" s="12">
        <v>1126460.0</v>
      </c>
      <c r="D1141" s="12">
        <v>2020782.0</v>
      </c>
      <c r="E1141" s="30">
        <v>114719.0</v>
      </c>
      <c r="F1141" s="33">
        <v>1084.0</v>
      </c>
      <c r="G1141" s="33">
        <v>721433.0</v>
      </c>
      <c r="H1141" s="289">
        <v>2425.13</v>
      </c>
      <c r="I1141" s="178">
        <v>175230.0</v>
      </c>
      <c r="J1141" s="1"/>
      <c r="K1141" s="1"/>
      <c r="L1141" s="1"/>
      <c r="M1141" s="1"/>
      <c r="N1141" s="1"/>
      <c r="O1141" s="1"/>
      <c r="P1141" s="1"/>
      <c r="Q1141" s="1"/>
      <c r="R1141" s="1"/>
      <c r="S1141" s="1"/>
      <c r="T1141" s="1"/>
      <c r="U1141" s="1"/>
    </row>
    <row r="1142" ht="10.5" customHeight="1">
      <c r="A1142" s="1"/>
      <c r="B1142" s="48"/>
      <c r="C1142" s="12"/>
      <c r="D1142" s="12"/>
      <c r="E1142" s="30"/>
      <c r="F1142" s="33"/>
      <c r="G1142" s="33"/>
      <c r="H1142" s="289"/>
      <c r="I1142" s="178"/>
      <c r="J1142" s="1"/>
      <c r="K1142" s="1"/>
      <c r="L1142" s="1"/>
      <c r="M1142" s="1"/>
      <c r="N1142" s="1"/>
      <c r="O1142" s="1"/>
      <c r="P1142" s="1"/>
      <c r="Q1142" s="1"/>
      <c r="R1142" s="1"/>
      <c r="S1142" s="1"/>
      <c r="T1142" s="1"/>
      <c r="U1142" s="1"/>
    </row>
    <row r="1143" ht="10.5" customHeight="1">
      <c r="A1143" s="1"/>
      <c r="B1143" s="48" t="s">
        <v>131</v>
      </c>
      <c r="C1143" s="12">
        <v>1244151.0</v>
      </c>
      <c r="D1143" s="12">
        <v>1493039.0</v>
      </c>
      <c r="E1143" s="30">
        <v>125619.0</v>
      </c>
      <c r="F1143" s="33">
        <v>1113.0</v>
      </c>
      <c r="G1143" s="33">
        <v>751593.0</v>
      </c>
      <c r="H1143" s="289">
        <v>1580.13</v>
      </c>
      <c r="I1143" s="178">
        <v>241594.0</v>
      </c>
      <c r="J1143" s="1"/>
      <c r="K1143" s="1"/>
      <c r="L1143" s="1"/>
      <c r="M1143" s="1"/>
      <c r="N1143" s="1"/>
      <c r="O1143" s="1"/>
      <c r="P1143" s="1"/>
      <c r="Q1143" s="1"/>
      <c r="R1143" s="1"/>
      <c r="S1143" s="1"/>
      <c r="T1143" s="1"/>
      <c r="U1143" s="1"/>
    </row>
    <row r="1144" ht="10.5" customHeight="1">
      <c r="A1144" s="1"/>
      <c r="B1144" s="48" t="s">
        <v>133</v>
      </c>
      <c r="C1144" s="12">
        <v>1347330.0</v>
      </c>
      <c r="D1144" s="12">
        <v>1769603.0</v>
      </c>
      <c r="E1144" s="30">
        <v>149667.0</v>
      </c>
      <c r="F1144" s="33">
        <v>1026.0</v>
      </c>
      <c r="G1144" s="33">
        <v>765290.0</v>
      </c>
      <c r="H1144" s="289">
        <v>1843.43</v>
      </c>
      <c r="I1144" s="178">
        <v>284372.0</v>
      </c>
      <c r="J1144" s="1"/>
      <c r="K1144" s="1"/>
      <c r="L1144" s="1"/>
      <c r="M1144" s="1"/>
      <c r="N1144" s="1"/>
      <c r="O1144" s="1"/>
      <c r="P1144" s="1"/>
      <c r="Q1144" s="1"/>
      <c r="R1144" s="1"/>
      <c r="S1144" s="1"/>
      <c r="T1144" s="1"/>
      <c r="U1144" s="1"/>
    </row>
    <row r="1145" ht="10.5" customHeight="1">
      <c r="A1145" s="1"/>
      <c r="B1145" s="293">
        <v>39295.0</v>
      </c>
      <c r="C1145" s="12">
        <v>1407830.0</v>
      </c>
      <c r="D1145" s="12">
        <v>3006989.0</v>
      </c>
      <c r="E1145" s="30">
        <v>122280.0</v>
      </c>
      <c r="F1145" s="33">
        <v>1283.0</v>
      </c>
      <c r="G1145" s="33">
        <v>933913.0</v>
      </c>
      <c r="H1145" s="289">
        <v>2832.05</v>
      </c>
      <c r="I1145" s="178">
        <v>229435.0</v>
      </c>
      <c r="J1145" s="1"/>
      <c r="K1145" s="1"/>
      <c r="L1145" s="1"/>
      <c r="M1145" s="1"/>
      <c r="N1145" s="1"/>
      <c r="O1145" s="1"/>
      <c r="P1145" s="1"/>
      <c r="Q1145" s="1"/>
      <c r="R1145" s="1"/>
      <c r="S1145" s="1"/>
      <c r="T1145" s="1"/>
      <c r="U1145" s="1"/>
    </row>
    <row r="1146" ht="10.5" customHeight="1">
      <c r="A1146" s="1"/>
      <c r="B1146" s="293">
        <v>39692.0</v>
      </c>
      <c r="C1146" s="12">
        <v>1523203.0</v>
      </c>
      <c r="D1146" s="12">
        <v>3741171.0</v>
      </c>
      <c r="E1146" s="30">
        <v>132938.0</v>
      </c>
      <c r="F1146" s="33">
        <v>1435.0</v>
      </c>
      <c r="G1146" s="33">
        <v>950089.0</v>
      </c>
      <c r="H1146" s="289">
        <v>3443.58</v>
      </c>
      <c r="I1146" s="178">
        <v>307934.0</v>
      </c>
      <c r="J1146" s="1"/>
      <c r="K1146" s="1"/>
      <c r="L1146" s="1"/>
      <c r="M1146" s="1"/>
      <c r="N1146" s="1"/>
      <c r="O1146" s="1"/>
      <c r="P1146" s="1"/>
      <c r="Q1146" s="1"/>
      <c r="R1146" s="1"/>
      <c r="S1146" s="1"/>
      <c r="T1146" s="1"/>
      <c r="U1146" s="1"/>
    </row>
    <row r="1147" ht="10.5" customHeight="1">
      <c r="A1147" s="1"/>
      <c r="B1147" s="293">
        <v>40087.0</v>
      </c>
      <c r="C1147" s="12">
        <v>1367706.0</v>
      </c>
      <c r="D1147" s="12">
        <v>3165121.0</v>
      </c>
      <c r="E1147" s="30">
        <v>132649.0</v>
      </c>
      <c r="F1147" s="33">
        <v>1479.0</v>
      </c>
      <c r="G1147" s="33">
        <v>848950.0</v>
      </c>
      <c r="H1147" s="289">
        <v>3235.38</v>
      </c>
      <c r="I1147" s="178">
        <v>254138.0</v>
      </c>
      <c r="J1147" s="1"/>
      <c r="K1147" s="1"/>
      <c r="L1147" s="1"/>
      <c r="M1147" s="1"/>
      <c r="N1147" s="1"/>
      <c r="O1147" s="1"/>
      <c r="P1147" s="1"/>
      <c r="Q1147" s="1"/>
      <c r="R1147" s="1"/>
      <c r="S1147" s="1"/>
      <c r="T1147" s="1"/>
      <c r="U1147" s="1"/>
    </row>
    <row r="1148" ht="10.5" customHeight="1">
      <c r="A1148" s="1"/>
      <c r="B1148" s="293"/>
      <c r="C1148" s="12"/>
      <c r="D1148" s="12"/>
      <c r="E1148" s="30"/>
      <c r="F1148" s="33"/>
      <c r="G1148" s="33"/>
      <c r="H1148" s="289"/>
      <c r="I1148" s="178"/>
      <c r="J1148" s="1"/>
      <c r="K1148" s="1"/>
      <c r="L1148" s="1"/>
      <c r="M1148" s="1"/>
      <c r="N1148" s="1"/>
      <c r="O1148" s="1"/>
      <c r="P1148" s="1"/>
      <c r="Q1148" s="1"/>
      <c r="R1148" s="1"/>
      <c r="S1148" s="1"/>
      <c r="T1148" s="1"/>
      <c r="U1148" s="1"/>
    </row>
    <row r="1149" ht="10.5" customHeight="1">
      <c r="A1149" s="1"/>
      <c r="B1149" s="293">
        <v>40483.0</v>
      </c>
      <c r="C1149" s="12">
        <v>1415447.0</v>
      </c>
      <c r="D1149" s="12">
        <v>4038017.0</v>
      </c>
      <c r="E1149" s="30">
        <v>134872.0</v>
      </c>
      <c r="F1149" s="33">
        <v>1608.0</v>
      </c>
      <c r="G1149" s="33">
        <v>880003.0</v>
      </c>
      <c r="H1149" s="289">
        <v>4043.18</v>
      </c>
      <c r="I1149" s="178">
        <v>266508.0</v>
      </c>
      <c r="J1149" s="1"/>
      <c r="K1149" s="1"/>
      <c r="L1149" s="1"/>
      <c r="M1149" s="1"/>
      <c r="N1149" s="1"/>
      <c r="O1149" s="1"/>
      <c r="P1149" s="1"/>
      <c r="Q1149" s="1"/>
      <c r="R1149" s="1"/>
      <c r="S1149" s="1"/>
      <c r="T1149" s="1"/>
      <c r="U1149" s="1"/>
    </row>
    <row r="1150" ht="10.5" customHeight="1">
      <c r="A1150" s="1"/>
      <c r="B1150" s="85" t="s">
        <v>143</v>
      </c>
      <c r="C1150" s="12">
        <v>1496417.0</v>
      </c>
      <c r="D1150" s="12">
        <v>4893932.0</v>
      </c>
      <c r="E1150" s="33">
        <v>137964.0</v>
      </c>
      <c r="F1150" s="33">
        <v>1763.0</v>
      </c>
      <c r="G1150" s="33">
        <v>914711.0</v>
      </c>
      <c r="H1150" s="289">
        <v>4691.29</v>
      </c>
      <c r="I1150" s="178">
        <v>306761.0</v>
      </c>
      <c r="J1150" s="1"/>
      <c r="K1150" s="1"/>
      <c r="L1150" s="1"/>
      <c r="M1150" s="1"/>
      <c r="N1150" s="1"/>
      <c r="O1150" s="1"/>
      <c r="P1150" s="1"/>
      <c r="Q1150" s="1"/>
      <c r="R1150" s="1"/>
      <c r="S1150" s="1"/>
      <c r="T1150" s="1"/>
      <c r="U1150" s="1"/>
    </row>
    <row r="1151" ht="10.5" customHeight="1">
      <c r="A1151" s="1"/>
      <c r="B1151" s="85" t="s">
        <v>149</v>
      </c>
      <c r="C1151" s="12">
        <v>1646425.0</v>
      </c>
      <c r="D1151" s="12">
        <v>5243493.0</v>
      </c>
      <c r="E1151" s="33">
        <v>129244.0</v>
      </c>
      <c r="F1151" s="33">
        <v>1912.0</v>
      </c>
      <c r="G1151" s="33">
        <v>1036982.0</v>
      </c>
      <c r="H1151" s="289">
        <v>4442.85</v>
      </c>
      <c r="I1151" s="178">
        <v>351436.0</v>
      </c>
      <c r="J1151" s="1"/>
      <c r="K1151" s="1"/>
      <c r="L1151" s="1"/>
      <c r="M1151" s="1"/>
      <c r="N1151" s="1"/>
      <c r="O1151" s="1"/>
      <c r="P1151" s="1"/>
      <c r="Q1151" s="1"/>
      <c r="R1151" s="1"/>
      <c r="S1151" s="1"/>
      <c r="T1151" s="1"/>
      <c r="U1151" s="1"/>
    </row>
    <row r="1152" ht="10.5" customHeight="1">
      <c r="A1152" s="1"/>
      <c r="B1152" s="85" t="s">
        <v>151</v>
      </c>
      <c r="C1152" s="12">
        <v>1808142.0</v>
      </c>
      <c r="D1152" s="12">
        <v>6361149.0</v>
      </c>
      <c r="E1152" s="33">
        <v>126370.0</v>
      </c>
      <c r="F1152" s="33">
        <v>2075.0</v>
      </c>
      <c r="G1152" s="33">
        <v>1134243.0</v>
      </c>
      <c r="H1152" s="289">
        <v>4975.4</v>
      </c>
      <c r="I1152" s="178">
        <v>421474.0</v>
      </c>
      <c r="J1152" s="1"/>
      <c r="K1152" s="1"/>
      <c r="L1152" s="1"/>
      <c r="M1152" s="1"/>
      <c r="N1152" s="1"/>
      <c r="O1152" s="1"/>
      <c r="P1152" s="1"/>
      <c r="Q1152" s="1"/>
      <c r="R1152" s="1"/>
      <c r="S1152" s="1"/>
      <c r="T1152" s="1"/>
      <c r="U1152" s="1"/>
    </row>
    <row r="1153" ht="10.5" customHeight="1">
      <c r="A1153" s="1"/>
      <c r="B1153" s="85" t="s">
        <v>153</v>
      </c>
      <c r="C1153" s="12">
        <v>1797476.0</v>
      </c>
      <c r="D1153" s="12">
        <v>7232784.0</v>
      </c>
      <c r="E1153" s="33">
        <v>120310.0</v>
      </c>
      <c r="F1153" s="33">
        <v>2233.0</v>
      </c>
      <c r="G1153" s="33">
        <v>1117230.0</v>
      </c>
      <c r="H1153" s="289">
        <v>5799.69</v>
      </c>
      <c r="I1153" s="178">
        <v>439590.0</v>
      </c>
      <c r="J1153" s="1"/>
      <c r="K1153" s="1"/>
      <c r="L1153" s="1"/>
      <c r="M1153" s="1"/>
      <c r="N1153" s="1"/>
      <c r="O1153" s="1"/>
      <c r="P1153" s="1"/>
      <c r="Q1153" s="1"/>
      <c r="R1153" s="1"/>
      <c r="S1153" s="1"/>
      <c r="T1153" s="1"/>
      <c r="U1153" s="1"/>
    </row>
    <row r="1154" ht="10.5" customHeight="1">
      <c r="A1154" s="1"/>
      <c r="B1154" s="85"/>
      <c r="C1154" s="12"/>
      <c r="D1154" s="12"/>
      <c r="E1154" s="33"/>
      <c r="F1154" s="33"/>
      <c r="G1154" s="33"/>
      <c r="H1154" s="289"/>
      <c r="I1154" s="178"/>
      <c r="J1154" s="1"/>
      <c r="K1154" s="1"/>
      <c r="L1154" s="1"/>
      <c r="M1154" s="1"/>
      <c r="N1154" s="1"/>
      <c r="O1154" s="1"/>
      <c r="P1154" s="1"/>
      <c r="Q1154" s="1"/>
      <c r="R1154" s="1"/>
      <c r="S1154" s="1"/>
      <c r="T1154" s="1"/>
      <c r="U1154" s="1"/>
    </row>
    <row r="1155" ht="10.5" customHeight="1">
      <c r="A1155" s="1"/>
      <c r="B1155" s="85" t="s">
        <v>155</v>
      </c>
      <c r="C1155" s="12">
        <v>1761113.0</v>
      </c>
      <c r="D1155" s="12">
        <v>8276475.0</v>
      </c>
      <c r="E1155" s="33">
        <v>114108.0</v>
      </c>
      <c r="F1155" s="33">
        <v>2549.0</v>
      </c>
      <c r="G1155" s="33">
        <v>1130414.0</v>
      </c>
      <c r="H1155" s="289">
        <v>6627.68</v>
      </c>
      <c r="I1155" s="178">
        <v>402088.0</v>
      </c>
      <c r="J1155" s="1"/>
      <c r="K1155" s="1"/>
      <c r="L1155" s="1"/>
      <c r="M1155" s="1"/>
      <c r="N1155" s="1"/>
      <c r="O1155" s="1"/>
      <c r="P1155" s="1"/>
      <c r="Q1155" s="1"/>
      <c r="R1155" s="1"/>
      <c r="S1155" s="1"/>
      <c r="T1155" s="1"/>
      <c r="U1155" s="1"/>
    </row>
    <row r="1156" ht="10.5" customHeight="1">
      <c r="A1156" s="1"/>
      <c r="B1156" s="85" t="s">
        <v>160</v>
      </c>
      <c r="C1156" s="12">
        <v>1366058.0</v>
      </c>
      <c r="D1156" s="12">
        <v>9274845.0</v>
      </c>
      <c r="E1156" s="33">
        <v>89100.0</v>
      </c>
      <c r="F1156" s="33">
        <v>3651.0</v>
      </c>
      <c r="G1156" s="33">
        <v>990580.0</v>
      </c>
      <c r="H1156" s="289">
        <v>8570.28</v>
      </c>
      <c r="I1156" s="178">
        <v>195436.0</v>
      </c>
      <c r="J1156" s="1"/>
      <c r="K1156" s="1"/>
      <c r="L1156" s="1"/>
      <c r="M1156" s="1"/>
      <c r="N1156" s="1"/>
      <c r="O1156" s="1"/>
      <c r="P1156" s="1"/>
      <c r="Q1156" s="1"/>
      <c r="R1156" s="1"/>
      <c r="S1156" s="1"/>
      <c r="T1156" s="1"/>
      <c r="U1156" s="1"/>
    </row>
    <row r="1157" ht="10.5" customHeight="1">
      <c r="A1157" s="1"/>
      <c r="B1157" s="96" t="s">
        <v>1172</v>
      </c>
      <c r="C1157" s="145">
        <v>1453631.0</v>
      </c>
      <c r="D1157" s="145">
        <v>1.017616E7</v>
      </c>
      <c r="E1157" s="57">
        <v>88360.0</v>
      </c>
      <c r="F1157" s="57">
        <v>3606.0</v>
      </c>
      <c r="G1157" s="57">
        <v>1085610.0</v>
      </c>
      <c r="H1157" s="290">
        <v>8655.92</v>
      </c>
      <c r="I1157" s="184">
        <v>189417.0</v>
      </c>
      <c r="J1157" s="1"/>
      <c r="K1157" s="1"/>
      <c r="L1157" s="1"/>
      <c r="M1157" s="1"/>
      <c r="N1157" s="1"/>
      <c r="O1157" s="1"/>
      <c r="P1157" s="1"/>
      <c r="Q1157" s="1"/>
      <c r="R1157" s="1"/>
      <c r="S1157" s="1"/>
      <c r="T1157" s="1"/>
      <c r="U1157" s="1"/>
    </row>
    <row r="1158" ht="6.0" customHeight="1">
      <c r="A1158" s="1"/>
      <c r="B1158" s="291"/>
      <c r="C1158" s="479"/>
      <c r="D1158" s="479"/>
      <c r="E1158" s="306"/>
      <c r="F1158" s="306"/>
      <c r="G1158" s="306"/>
      <c r="H1158" s="292"/>
      <c r="I1158" s="179"/>
      <c r="J1158" s="1"/>
      <c r="K1158" s="1"/>
      <c r="L1158" s="1"/>
      <c r="M1158" s="1"/>
      <c r="N1158" s="1"/>
      <c r="O1158" s="1"/>
      <c r="P1158" s="1"/>
      <c r="Q1158" s="1"/>
      <c r="R1158" s="1"/>
      <c r="S1158" s="1"/>
      <c r="T1158" s="1"/>
      <c r="U1158" s="1"/>
    </row>
    <row r="1159" ht="10.5" customHeight="1">
      <c r="A1159" s="1"/>
      <c r="B1159" s="703" t="s">
        <v>1173</v>
      </c>
      <c r="G1159" s="185"/>
      <c r="H1159" s="185"/>
      <c r="I1159" s="1"/>
      <c r="J1159" s="1"/>
      <c r="K1159" s="1"/>
      <c r="L1159" s="1"/>
      <c r="M1159" s="1"/>
      <c r="N1159" s="1"/>
      <c r="O1159" s="1"/>
      <c r="P1159" s="1"/>
      <c r="Q1159" s="1"/>
      <c r="R1159" s="1"/>
      <c r="S1159" s="1"/>
      <c r="T1159" s="1"/>
      <c r="U1159" s="1"/>
    </row>
    <row r="1160" ht="10.5" customHeight="1">
      <c r="A1160" s="1"/>
      <c r="B1160" s="185" t="s">
        <v>1174</v>
      </c>
      <c r="C1160" s="185"/>
      <c r="D1160" s="185"/>
      <c r="E1160" s="185"/>
      <c r="F1160" s="185"/>
      <c r="G1160" s="185"/>
      <c r="H1160" s="185"/>
      <c r="I1160" s="1"/>
      <c r="J1160" s="1"/>
      <c r="K1160" s="1"/>
      <c r="L1160" s="1"/>
      <c r="M1160" s="1"/>
      <c r="N1160" s="1"/>
      <c r="O1160" s="1"/>
      <c r="P1160" s="1"/>
      <c r="Q1160" s="1"/>
      <c r="R1160" s="1"/>
      <c r="S1160" s="1"/>
      <c r="T1160" s="1"/>
      <c r="U1160" s="1"/>
    </row>
    <row r="1161" ht="10.5" customHeight="1">
      <c r="A1161" s="1"/>
      <c r="B1161" s="185" t="s">
        <v>662</v>
      </c>
      <c r="C1161" s="185"/>
      <c r="D1161" s="185"/>
      <c r="E1161" s="185"/>
      <c r="F1161" s="185"/>
      <c r="G1161" s="185"/>
      <c r="H1161" s="185"/>
      <c r="I1161" s="1"/>
      <c r="J1161" s="1"/>
      <c r="K1161" s="1"/>
      <c r="L1161" s="1"/>
      <c r="M1161" s="1"/>
      <c r="N1161" s="1"/>
      <c r="O1161" s="1"/>
      <c r="P1161" s="1"/>
      <c r="Q1161" s="1"/>
      <c r="R1161" s="1"/>
      <c r="S1161" s="1"/>
      <c r="T1161" s="1"/>
      <c r="U1161" s="1"/>
    </row>
    <row r="1162" ht="10.5" customHeight="1">
      <c r="A1162" s="1"/>
      <c r="B1162" s="185" t="s">
        <v>663</v>
      </c>
      <c r="C1162" s="185"/>
      <c r="D1162" s="185"/>
      <c r="E1162" s="185"/>
      <c r="F1162" s="185"/>
      <c r="G1162" s="185"/>
      <c r="H1162" s="185"/>
      <c r="I1162" s="1"/>
      <c r="J1162" s="1"/>
      <c r="K1162" s="1"/>
      <c r="L1162" s="1"/>
      <c r="M1162" s="1"/>
      <c r="N1162" s="1"/>
      <c r="O1162" s="1"/>
      <c r="P1162" s="1"/>
      <c r="Q1162" s="1"/>
      <c r="R1162" s="1"/>
      <c r="S1162" s="1"/>
      <c r="T1162" s="1"/>
      <c r="U1162" s="1"/>
    </row>
    <row r="1163" ht="10.5" customHeight="1">
      <c r="A1163" s="1"/>
      <c r="B1163" s="185" t="s">
        <v>664</v>
      </c>
      <c r="C1163" s="185"/>
      <c r="D1163" s="185"/>
      <c r="E1163" s="185"/>
      <c r="F1163" s="185"/>
      <c r="G1163" s="185"/>
      <c r="H1163" s="185"/>
      <c r="I1163" s="1"/>
      <c r="J1163" s="1"/>
      <c r="K1163" s="1"/>
      <c r="L1163" s="1"/>
      <c r="M1163" s="1"/>
      <c r="N1163" s="1"/>
      <c r="O1163" s="1"/>
      <c r="P1163" s="1"/>
      <c r="Q1163" s="1"/>
      <c r="R1163" s="1"/>
      <c r="S1163" s="1"/>
      <c r="T1163" s="1"/>
      <c r="U1163" s="1"/>
    </row>
    <row r="1164" ht="10.5" customHeight="1">
      <c r="A1164" s="1"/>
      <c r="B1164" s="185" t="s">
        <v>665</v>
      </c>
      <c r="C1164" s="185"/>
      <c r="D1164" s="185"/>
      <c r="E1164" s="185"/>
      <c r="F1164" s="185"/>
      <c r="G1164" s="185"/>
      <c r="H1164" s="185"/>
      <c r="I1164" s="1"/>
      <c r="J1164" s="1"/>
      <c r="K1164" s="1"/>
      <c r="L1164" s="1"/>
      <c r="M1164" s="1"/>
      <c r="N1164" s="1"/>
      <c r="O1164" s="1"/>
      <c r="P1164" s="1"/>
      <c r="Q1164" s="1"/>
      <c r="R1164" s="1"/>
      <c r="S1164" s="1"/>
      <c r="T1164" s="1"/>
      <c r="U1164" s="1"/>
    </row>
    <row r="1165" ht="10.5" customHeight="1">
      <c r="A1165" s="1"/>
      <c r="B1165" s="311" t="s">
        <v>666</v>
      </c>
      <c r="I1165" s="1"/>
      <c r="J1165" s="1"/>
      <c r="K1165" s="1"/>
      <c r="L1165" s="1"/>
      <c r="M1165" s="1"/>
      <c r="N1165" s="1"/>
      <c r="O1165" s="1"/>
      <c r="P1165" s="1"/>
      <c r="Q1165" s="1"/>
      <c r="R1165" s="1"/>
      <c r="S1165" s="1"/>
      <c r="T1165" s="1"/>
      <c r="U1165" s="1"/>
    </row>
    <row r="1166" ht="10.5" customHeight="1">
      <c r="A1166" s="1"/>
      <c r="B1166" s="311" t="s">
        <v>667</v>
      </c>
      <c r="C1166" s="311"/>
      <c r="D1166" s="311"/>
      <c r="E1166" s="311"/>
      <c r="F1166" s="311"/>
      <c r="G1166" s="311"/>
      <c r="H1166" s="311"/>
      <c r="I1166" s="1"/>
      <c r="J1166" s="1"/>
      <c r="K1166" s="1"/>
      <c r="L1166" s="1"/>
      <c r="M1166" s="1"/>
      <c r="N1166" s="1"/>
      <c r="O1166" s="1"/>
      <c r="P1166" s="1"/>
      <c r="Q1166" s="1"/>
      <c r="R1166" s="1"/>
      <c r="S1166" s="1"/>
      <c r="T1166" s="1"/>
      <c r="U1166" s="1"/>
    </row>
    <row r="1167" ht="10.5" customHeight="1">
      <c r="A1167" s="1"/>
      <c r="B1167" s="311" t="s">
        <v>669</v>
      </c>
      <c r="C1167" s="311"/>
      <c r="D1167" s="311"/>
      <c r="E1167" s="311"/>
      <c r="F1167" s="311"/>
      <c r="G1167" s="311"/>
      <c r="H1167" s="311"/>
      <c r="I1167" s="1"/>
      <c r="J1167" s="1"/>
      <c r="K1167" s="1"/>
      <c r="L1167" s="1"/>
      <c r="M1167" s="1"/>
      <c r="N1167" s="1"/>
      <c r="O1167" s="1"/>
      <c r="P1167" s="1"/>
      <c r="Q1167" s="1"/>
      <c r="R1167" s="1"/>
      <c r="S1167" s="1"/>
      <c r="T1167" s="1"/>
      <c r="U1167" s="1"/>
    </row>
    <row r="1168" ht="10.5" customHeight="1">
      <c r="A1168" s="1"/>
      <c r="B1168" s="185" t="s">
        <v>1176</v>
      </c>
      <c r="C1168" s="185"/>
      <c r="D1168" s="185"/>
      <c r="E1168" s="185"/>
      <c r="F1168" s="185"/>
      <c r="G1168" s="185"/>
      <c r="H1168" s="185"/>
      <c r="I1168" s="1"/>
      <c r="J1168" s="1"/>
      <c r="K1168" s="1"/>
      <c r="L1168" s="1"/>
      <c r="M1168" s="1"/>
      <c r="N1168" s="1"/>
      <c r="O1168" s="1"/>
      <c r="P1168" s="1"/>
      <c r="Q1168" s="1"/>
      <c r="R1168" s="1"/>
      <c r="S1168" s="1"/>
      <c r="T1168" s="1"/>
      <c r="U1168" s="1"/>
    </row>
    <row r="1169" ht="10.5" customHeight="1">
      <c r="A1169" s="1"/>
      <c r="B1169" s="1"/>
      <c r="C1169" s="15"/>
      <c r="D1169" s="15"/>
      <c r="E1169" s="15"/>
      <c r="F1169" s="15"/>
      <c r="G1169" s="15"/>
      <c r="H1169" s="15"/>
      <c r="I1169" s="15"/>
      <c r="J1169" s="1"/>
      <c r="K1169" s="1"/>
      <c r="L1169" s="1"/>
      <c r="M1169" s="1"/>
      <c r="N1169" s="1"/>
      <c r="O1169" s="1"/>
      <c r="P1169" s="1"/>
      <c r="Q1169" s="1"/>
      <c r="R1169" s="1"/>
      <c r="S1169" s="1"/>
      <c r="T1169" s="1"/>
      <c r="U1169" s="1"/>
    </row>
    <row r="1170" ht="10.5" customHeight="1">
      <c r="A1170" s="1"/>
      <c r="B1170" s="1"/>
      <c r="C1170" s="1"/>
      <c r="D1170" s="1"/>
      <c r="E1170" s="1"/>
      <c r="F1170" s="1"/>
      <c r="G1170" s="1"/>
      <c r="H1170" s="1"/>
      <c r="I1170" s="1"/>
      <c r="J1170" s="1"/>
      <c r="K1170" s="1"/>
      <c r="L1170" s="1"/>
      <c r="M1170" s="1"/>
      <c r="N1170" s="1"/>
      <c r="O1170" s="1"/>
      <c r="P1170" s="1"/>
      <c r="Q1170" s="1"/>
      <c r="R1170" s="1"/>
      <c r="S1170" s="1"/>
      <c r="T1170" s="1"/>
      <c r="U1170" s="1"/>
    </row>
    <row r="1171" ht="10.5" customHeight="1">
      <c r="A1171" s="1"/>
      <c r="B1171" s="1"/>
      <c r="C1171" s="1"/>
      <c r="D1171" s="1"/>
      <c r="E1171" s="1"/>
      <c r="F1171" s="1"/>
      <c r="G1171" s="1"/>
      <c r="H1171" s="1"/>
      <c r="I1171" s="1"/>
      <c r="J1171" s="1"/>
      <c r="K1171" s="1"/>
      <c r="L1171" s="1"/>
      <c r="M1171" s="1"/>
      <c r="N1171" s="1"/>
      <c r="O1171" s="1"/>
      <c r="P1171" s="1"/>
      <c r="Q1171" s="1"/>
      <c r="R1171" s="1"/>
      <c r="S1171" s="1"/>
      <c r="T1171" s="1"/>
      <c r="U1171" s="1"/>
    </row>
    <row r="1172" ht="10.5" customHeight="1">
      <c r="A1172" s="1"/>
      <c r="B1172" s="1"/>
      <c r="C1172" s="1"/>
      <c r="D1172" s="1"/>
      <c r="E1172" s="1"/>
      <c r="F1172" s="1"/>
      <c r="G1172" s="1"/>
      <c r="H1172" s="1"/>
      <c r="I1172" s="1"/>
      <c r="J1172" s="1"/>
      <c r="K1172" s="1"/>
      <c r="L1172" s="1"/>
      <c r="M1172" s="1"/>
      <c r="N1172" s="1"/>
      <c r="O1172" s="1"/>
      <c r="P1172" s="1"/>
      <c r="Q1172" s="1"/>
      <c r="R1172" s="1"/>
      <c r="S1172" s="1"/>
      <c r="T1172" s="1"/>
      <c r="U1172" s="1"/>
    </row>
    <row r="1173" ht="10.5" customHeight="1">
      <c r="A1173" s="1"/>
      <c r="B1173" s="1"/>
      <c r="C1173" s="1"/>
      <c r="D1173" s="1"/>
      <c r="E1173" s="1"/>
      <c r="F1173" s="1"/>
      <c r="G1173" s="1"/>
      <c r="H1173" s="1"/>
      <c r="I1173" s="1"/>
      <c r="J1173" s="1"/>
      <c r="K1173" s="1"/>
      <c r="L1173" s="1"/>
      <c r="M1173" s="1"/>
      <c r="N1173" s="1"/>
      <c r="O1173" s="1"/>
      <c r="P1173" s="1"/>
      <c r="Q1173" s="1"/>
      <c r="R1173" s="1"/>
      <c r="S1173" s="1"/>
      <c r="T1173" s="1"/>
      <c r="U1173" s="1"/>
    </row>
    <row r="1174" ht="10.5" customHeight="1">
      <c r="A1174" s="1"/>
      <c r="B1174" s="1"/>
      <c r="C1174" s="1"/>
      <c r="D1174" s="1"/>
      <c r="E1174" s="1"/>
      <c r="F1174" s="1"/>
      <c r="G1174" s="1"/>
      <c r="H1174" s="1"/>
      <c r="I1174" s="1"/>
      <c r="J1174" s="1"/>
      <c r="K1174" s="1"/>
      <c r="L1174" s="1"/>
      <c r="M1174" s="1"/>
      <c r="N1174" s="1"/>
      <c r="O1174" s="1"/>
      <c r="P1174" s="1"/>
      <c r="Q1174" s="1"/>
      <c r="R1174" s="1"/>
      <c r="S1174" s="1"/>
      <c r="T1174" s="1"/>
      <c r="U1174" s="1"/>
    </row>
    <row r="1175" ht="10.5" customHeight="1">
      <c r="A1175" s="1"/>
      <c r="B1175" s="1"/>
      <c r="C1175" s="1"/>
      <c r="D1175" s="1"/>
      <c r="E1175" s="1"/>
      <c r="F1175" s="1"/>
      <c r="G1175" s="110">
        <v>51.0</v>
      </c>
      <c r="H1175" s="1"/>
      <c r="I1175" s="1"/>
      <c r="J1175" s="1"/>
      <c r="K1175" s="1"/>
      <c r="L1175" s="1"/>
      <c r="M1175" s="1"/>
      <c r="N1175" s="1"/>
      <c r="O1175" s="1"/>
      <c r="P1175" s="1"/>
      <c r="Q1175" s="1"/>
      <c r="R1175" s="1"/>
      <c r="S1175" s="1"/>
      <c r="T1175" s="1"/>
      <c r="U1175" s="1"/>
    </row>
    <row r="1176" ht="10.5" customHeight="1">
      <c r="A1176" s="1"/>
      <c r="B1176" s="1"/>
      <c r="C1176" s="1"/>
      <c r="D1176" s="1"/>
      <c r="E1176" s="1"/>
      <c r="F1176" s="1"/>
      <c r="G1176" s="1"/>
      <c r="H1176" s="1"/>
      <c r="I1176" s="1"/>
      <c r="J1176" s="1"/>
      <c r="K1176" s="1"/>
      <c r="L1176" s="1"/>
      <c r="M1176" s="1"/>
      <c r="N1176" s="1"/>
      <c r="O1176" s="1"/>
      <c r="P1176" s="1"/>
      <c r="Q1176" s="1"/>
      <c r="R1176" s="1"/>
      <c r="S1176" s="1"/>
      <c r="T1176" s="1"/>
      <c r="U1176" s="1"/>
    </row>
    <row r="1177" ht="11.25" customHeight="1">
      <c r="A1177" s="1"/>
      <c r="B1177" s="1" t="s">
        <v>1180</v>
      </c>
      <c r="C1177" s="1"/>
      <c r="D1177" s="1"/>
      <c r="E1177" s="1"/>
      <c r="F1177" s="1"/>
      <c r="G1177" s="1"/>
      <c r="H1177" s="1"/>
      <c r="I1177" s="1"/>
      <c r="J1177" s="1"/>
      <c r="K1177" s="1"/>
      <c r="L1177" s="1"/>
      <c r="M1177" s="1"/>
      <c r="N1177" s="1"/>
      <c r="O1177" s="1"/>
      <c r="P1177" s="1"/>
      <c r="Q1177" s="1"/>
      <c r="R1177" s="1"/>
      <c r="S1177" s="1"/>
      <c r="T1177" s="1"/>
      <c r="U1177" s="1"/>
    </row>
    <row r="1178" ht="11.25" customHeight="1">
      <c r="A1178" s="1"/>
      <c r="B1178" s="29" t="s">
        <v>1181</v>
      </c>
      <c r="C1178" s="31" t="s">
        <v>508</v>
      </c>
      <c r="D1178" s="31" t="s">
        <v>640</v>
      </c>
      <c r="E1178" s="128" t="s">
        <v>1183</v>
      </c>
      <c r="F1178" s="10"/>
      <c r="G1178" s="128" t="s">
        <v>243</v>
      </c>
      <c r="H1178" s="10"/>
      <c r="I1178" s="31" t="s">
        <v>510</v>
      </c>
      <c r="J1178" s="1"/>
      <c r="K1178" s="1"/>
      <c r="L1178" s="1"/>
      <c r="M1178" s="1"/>
      <c r="N1178" s="1"/>
      <c r="O1178" s="1"/>
      <c r="P1178" s="1"/>
      <c r="Q1178" s="1"/>
      <c r="R1178" s="1"/>
      <c r="S1178" s="1"/>
      <c r="T1178" s="1"/>
      <c r="U1178" s="1"/>
    </row>
    <row r="1179" ht="22.5" customHeight="1">
      <c r="A1179" s="1"/>
      <c r="B1179" s="5"/>
      <c r="C1179" s="6"/>
      <c r="D1179" s="6"/>
      <c r="E1179" s="273" t="s">
        <v>514</v>
      </c>
      <c r="F1179" s="7" t="s">
        <v>515</v>
      </c>
      <c r="G1179" s="7" t="s">
        <v>514</v>
      </c>
      <c r="H1179" s="7" t="s">
        <v>516</v>
      </c>
      <c r="I1179" s="6"/>
      <c r="J1179" s="1"/>
      <c r="K1179" s="1"/>
      <c r="L1179" s="1"/>
      <c r="M1179" s="1"/>
      <c r="N1179" s="1"/>
      <c r="O1179" s="1"/>
      <c r="P1179" s="1"/>
      <c r="Q1179" s="1"/>
      <c r="R1179" s="1"/>
      <c r="S1179" s="1"/>
      <c r="T1179" s="1"/>
      <c r="U1179" s="1"/>
    </row>
    <row r="1180" ht="11.25" customHeight="1">
      <c r="A1180" s="1"/>
      <c r="B1180" s="6"/>
      <c r="C1180" s="482" t="s">
        <v>520</v>
      </c>
      <c r="D1180" s="8" t="s">
        <v>50</v>
      </c>
      <c r="E1180" s="482" t="s">
        <v>520</v>
      </c>
      <c r="F1180" s="134" t="s">
        <v>52</v>
      </c>
      <c r="G1180" s="134" t="s">
        <v>520</v>
      </c>
      <c r="H1180" s="134" t="s">
        <v>52</v>
      </c>
      <c r="I1180" s="134" t="s">
        <v>520</v>
      </c>
      <c r="J1180" s="1"/>
      <c r="K1180" s="1"/>
      <c r="L1180" s="1"/>
      <c r="M1180" s="1"/>
      <c r="N1180" s="1"/>
      <c r="O1180" s="1"/>
      <c r="P1180" s="1"/>
      <c r="Q1180" s="1"/>
      <c r="R1180" s="1"/>
      <c r="S1180" s="1"/>
      <c r="T1180" s="1"/>
      <c r="U1180" s="1"/>
    </row>
    <row r="1181" ht="10.5" customHeight="1">
      <c r="A1181" s="1"/>
      <c r="B1181" s="48" t="s">
        <v>271</v>
      </c>
      <c r="C1181" s="130">
        <v>28149.0</v>
      </c>
      <c r="D1181" s="524">
        <v>4886.0</v>
      </c>
      <c r="E1181" s="216">
        <v>5119.0</v>
      </c>
      <c r="F1181" s="130">
        <v>123.0</v>
      </c>
      <c r="G1181" s="130">
        <v>15482.0</v>
      </c>
      <c r="H1181" s="276">
        <v>268.86</v>
      </c>
      <c r="I1181" s="130">
        <v>6320.0</v>
      </c>
      <c r="J1181" s="1"/>
      <c r="K1181" s="1"/>
      <c r="L1181" s="1"/>
      <c r="M1181" s="1"/>
      <c r="N1181" s="1"/>
      <c r="O1181" s="1"/>
      <c r="P1181" s="1"/>
      <c r="Q1181" s="1"/>
      <c r="R1181" s="1"/>
      <c r="S1181" s="1"/>
      <c r="T1181" s="1"/>
      <c r="U1181" s="1"/>
    </row>
    <row r="1182" ht="10.5" customHeight="1">
      <c r="A1182" s="1"/>
      <c r="B1182" s="48" t="s">
        <v>272</v>
      </c>
      <c r="C1182" s="130">
        <v>26145.0</v>
      </c>
      <c r="D1182" s="524">
        <v>3226.0</v>
      </c>
      <c r="E1182" s="216">
        <v>5023.0</v>
      </c>
      <c r="F1182" s="130">
        <v>166.0</v>
      </c>
      <c r="G1182" s="130">
        <v>14502.0</v>
      </c>
      <c r="H1182" s="276">
        <v>165.87</v>
      </c>
      <c r="I1182" s="130">
        <v>6270.0</v>
      </c>
      <c r="J1182" s="1"/>
      <c r="K1182" s="1"/>
      <c r="L1182" s="1"/>
      <c r="M1182" s="1"/>
      <c r="N1182" s="1"/>
      <c r="O1182" s="1"/>
      <c r="P1182" s="1"/>
      <c r="Q1182" s="1"/>
      <c r="R1182" s="1"/>
      <c r="S1182" s="1"/>
      <c r="T1182" s="1"/>
      <c r="U1182" s="1"/>
    </row>
    <row r="1183" ht="10.5" customHeight="1">
      <c r="A1183" s="1"/>
      <c r="B1183" s="48" t="s">
        <v>274</v>
      </c>
      <c r="C1183" s="130">
        <v>28877.0</v>
      </c>
      <c r="D1183" s="524">
        <v>4063.0</v>
      </c>
      <c r="E1183" s="216">
        <v>5585.0</v>
      </c>
      <c r="F1183" s="130">
        <v>153.0</v>
      </c>
      <c r="G1183" s="130">
        <v>16275.0</v>
      </c>
      <c r="H1183" s="276">
        <v>200.0</v>
      </c>
      <c r="I1183" s="130">
        <v>7440.0</v>
      </c>
      <c r="J1183" s="1"/>
      <c r="K1183" s="1"/>
      <c r="L1183" s="1"/>
      <c r="M1183" s="1"/>
      <c r="N1183" s="1"/>
      <c r="O1183" s="1"/>
      <c r="P1183" s="1"/>
      <c r="Q1183" s="1"/>
      <c r="R1183" s="1"/>
      <c r="S1183" s="1"/>
      <c r="T1183" s="1"/>
      <c r="U1183" s="1"/>
    </row>
    <row r="1184" ht="10.5" customHeight="1">
      <c r="A1184" s="1"/>
      <c r="B1184" s="48" t="s">
        <v>275</v>
      </c>
      <c r="C1184" s="130">
        <v>36533.0</v>
      </c>
      <c r="D1184" s="524">
        <v>6699.0</v>
      </c>
      <c r="E1184" s="216">
        <v>4951.0</v>
      </c>
      <c r="F1184" s="130">
        <v>184.0</v>
      </c>
      <c r="G1184" s="130">
        <v>22394.0</v>
      </c>
      <c r="H1184" s="276">
        <v>253.89</v>
      </c>
      <c r="I1184" s="130">
        <v>9300.0</v>
      </c>
      <c r="J1184" s="1"/>
      <c r="K1184" s="1"/>
      <c r="L1184" s="1"/>
      <c r="M1184" s="1"/>
      <c r="N1184" s="1"/>
      <c r="O1184" s="1"/>
      <c r="P1184" s="1"/>
      <c r="Q1184" s="1"/>
      <c r="R1184" s="1"/>
      <c r="S1184" s="1"/>
      <c r="T1184" s="1"/>
      <c r="U1184" s="1"/>
    </row>
    <row r="1185" ht="10.5" customHeight="1">
      <c r="A1185" s="1"/>
      <c r="B1185" s="48" t="s">
        <v>276</v>
      </c>
      <c r="C1185" s="130">
        <v>35816.0</v>
      </c>
      <c r="D1185" s="524">
        <v>8391.0</v>
      </c>
      <c r="E1185" s="216">
        <v>5331.0</v>
      </c>
      <c r="F1185" s="130">
        <v>183.0</v>
      </c>
      <c r="G1185" s="130">
        <v>21703.0</v>
      </c>
      <c r="H1185" s="276">
        <v>341.92</v>
      </c>
      <c r="I1185" s="130">
        <v>8790.0</v>
      </c>
      <c r="J1185" s="1"/>
      <c r="K1185" s="1"/>
      <c r="L1185" s="1"/>
      <c r="M1185" s="1"/>
      <c r="N1185" s="1"/>
      <c r="O1185" s="1"/>
      <c r="P1185" s="1"/>
      <c r="Q1185" s="1"/>
      <c r="R1185" s="1"/>
      <c r="S1185" s="1"/>
      <c r="T1185" s="1"/>
      <c r="U1185" s="1"/>
    </row>
    <row r="1186" ht="10.5" customHeight="1">
      <c r="A1186" s="1"/>
      <c r="B1186" s="48"/>
      <c r="C1186" s="130"/>
      <c r="D1186" s="524"/>
      <c r="E1186" s="216"/>
      <c r="F1186" s="130"/>
      <c r="G1186" s="130"/>
      <c r="H1186" s="276"/>
      <c r="I1186" s="130"/>
      <c r="J1186" s="1"/>
      <c r="K1186" s="1"/>
      <c r="L1186" s="1"/>
      <c r="M1186" s="1"/>
      <c r="N1186" s="1"/>
      <c r="O1186" s="1"/>
      <c r="P1186" s="1"/>
      <c r="Q1186" s="1"/>
      <c r="R1186" s="1"/>
      <c r="S1186" s="1"/>
      <c r="T1186" s="1"/>
      <c r="U1186" s="1"/>
    </row>
    <row r="1187" ht="10.5" customHeight="1">
      <c r="A1187" s="1"/>
      <c r="B1187" s="48" t="s">
        <v>56</v>
      </c>
      <c r="C1187" s="130">
        <v>38868.0</v>
      </c>
      <c r="D1187" s="524">
        <v>7633.0</v>
      </c>
      <c r="E1187" s="216">
        <v>5459.0</v>
      </c>
      <c r="F1187" s="130">
        <v>198.0</v>
      </c>
      <c r="G1187" s="130">
        <v>25386.0</v>
      </c>
      <c r="H1187" s="276">
        <v>258.68</v>
      </c>
      <c r="I1187" s="130">
        <v>8400.0</v>
      </c>
      <c r="J1187" s="1"/>
      <c r="K1187" s="1"/>
      <c r="L1187" s="1"/>
      <c r="M1187" s="1"/>
      <c r="N1187" s="1"/>
      <c r="O1187" s="1"/>
      <c r="P1187" s="1"/>
      <c r="Q1187" s="1"/>
      <c r="R1187" s="1"/>
      <c r="S1187" s="1"/>
      <c r="T1187" s="1"/>
      <c r="U1187" s="1"/>
    </row>
    <row r="1188" ht="10.5" customHeight="1">
      <c r="A1188" s="1"/>
      <c r="B1188" s="48" t="s">
        <v>81</v>
      </c>
      <c r="C1188" s="130">
        <v>54629.0</v>
      </c>
      <c r="D1188" s="524">
        <v>10626.0</v>
      </c>
      <c r="E1188" s="216">
        <v>5551.0</v>
      </c>
      <c r="F1188" s="130">
        <v>198.0</v>
      </c>
      <c r="G1188" s="130">
        <v>33168.0</v>
      </c>
      <c r="H1188" s="276">
        <v>276.05</v>
      </c>
      <c r="I1188" s="130">
        <v>15000.0</v>
      </c>
      <c r="J1188" s="1"/>
      <c r="K1188" s="1"/>
      <c r="L1188" s="1"/>
      <c r="M1188" s="1"/>
      <c r="N1188" s="1"/>
      <c r="O1188" s="1"/>
      <c r="P1188" s="1"/>
      <c r="Q1188" s="1"/>
      <c r="R1188" s="1"/>
      <c r="S1188" s="1"/>
      <c r="T1188" s="1"/>
      <c r="U1188" s="1"/>
    </row>
    <row r="1189" ht="10.5" customHeight="1">
      <c r="A1189" s="1"/>
      <c r="B1189" s="48" t="s">
        <v>86</v>
      </c>
      <c r="C1189" s="130">
        <v>49545.0</v>
      </c>
      <c r="D1189" s="524">
        <v>9190.0</v>
      </c>
      <c r="E1189" s="216">
        <v>5893.0</v>
      </c>
      <c r="F1189" s="130">
        <v>237.0</v>
      </c>
      <c r="G1189" s="130">
        <v>31569.0</v>
      </c>
      <c r="H1189" s="276">
        <v>243.12</v>
      </c>
      <c r="I1189" s="130">
        <v>12500.0</v>
      </c>
      <c r="J1189" s="1"/>
      <c r="K1189" s="1"/>
      <c r="L1189" s="1"/>
      <c r="M1189" s="1"/>
      <c r="N1189" s="1"/>
      <c r="O1189" s="1"/>
      <c r="P1189" s="1"/>
      <c r="Q1189" s="1"/>
      <c r="R1189" s="1"/>
      <c r="S1189" s="1"/>
      <c r="T1189" s="1"/>
      <c r="U1189" s="1"/>
    </row>
    <row r="1190" ht="10.5" customHeight="1">
      <c r="A1190" s="1"/>
      <c r="B1190" s="48" t="s">
        <v>87</v>
      </c>
      <c r="C1190" s="130">
        <v>48512.0</v>
      </c>
      <c r="D1190" s="524">
        <v>13117.0</v>
      </c>
      <c r="E1190" s="216">
        <v>5861.0</v>
      </c>
      <c r="F1190" s="130">
        <v>284.0</v>
      </c>
      <c r="G1190" s="130">
        <v>26381.0</v>
      </c>
      <c r="H1190" s="276">
        <v>428.72</v>
      </c>
      <c r="I1190" s="130">
        <v>17400.0</v>
      </c>
      <c r="J1190" s="1"/>
      <c r="K1190" s="1"/>
      <c r="L1190" s="1"/>
      <c r="M1190" s="1"/>
      <c r="N1190" s="1"/>
      <c r="O1190" s="1"/>
      <c r="P1190" s="1"/>
      <c r="Q1190" s="1"/>
      <c r="R1190" s="1"/>
      <c r="S1190" s="1"/>
      <c r="T1190" s="1"/>
      <c r="U1190" s="1"/>
    </row>
    <row r="1191" ht="10.5" customHeight="1">
      <c r="A1191" s="1"/>
      <c r="B1191" s="48" t="s">
        <v>90</v>
      </c>
      <c r="C1191" s="130">
        <v>48902.0</v>
      </c>
      <c r="D1191" s="524">
        <v>10586.0</v>
      </c>
      <c r="E1191" s="216">
        <v>5770.0</v>
      </c>
      <c r="F1191" s="130">
        <v>361.0</v>
      </c>
      <c r="G1191" s="130">
        <v>29646.0</v>
      </c>
      <c r="H1191" s="276">
        <v>294.0</v>
      </c>
      <c r="I1191" s="130">
        <v>15600.0</v>
      </c>
      <c r="J1191" s="1"/>
      <c r="K1191" s="1"/>
      <c r="L1191" s="1"/>
      <c r="M1191" s="1"/>
      <c r="N1191" s="1"/>
      <c r="O1191" s="1"/>
      <c r="P1191" s="1"/>
      <c r="Q1191" s="1"/>
      <c r="R1191" s="1"/>
      <c r="S1191" s="1"/>
      <c r="T1191" s="1"/>
      <c r="U1191" s="1"/>
    </row>
    <row r="1192" ht="10.5" customHeight="1">
      <c r="A1192" s="1"/>
      <c r="B1192" s="48"/>
      <c r="C1192" s="130"/>
      <c r="D1192" s="524"/>
      <c r="E1192" s="216"/>
      <c r="F1192" s="130"/>
      <c r="G1192" s="130"/>
      <c r="H1192" s="276"/>
      <c r="I1192" s="130"/>
      <c r="J1192" s="1"/>
      <c r="K1192" s="1"/>
      <c r="L1192" s="1"/>
      <c r="M1192" s="1"/>
      <c r="N1192" s="1"/>
      <c r="O1192" s="1"/>
      <c r="P1192" s="1"/>
      <c r="Q1192" s="1"/>
      <c r="R1192" s="1"/>
      <c r="S1192" s="1"/>
      <c r="T1192" s="1"/>
      <c r="U1192" s="1"/>
    </row>
    <row r="1193" ht="10.5" customHeight="1">
      <c r="A1193" s="1"/>
      <c r="B1193" s="48" t="s">
        <v>93</v>
      </c>
      <c r="C1193" s="130">
        <v>55513.0</v>
      </c>
      <c r="D1193" s="524">
        <v>21986.0</v>
      </c>
      <c r="E1193" s="216">
        <v>5795.0</v>
      </c>
      <c r="F1193" s="130">
        <v>352.0</v>
      </c>
      <c r="G1193" s="130">
        <v>30049.0</v>
      </c>
      <c r="H1193" s="276">
        <v>665.83</v>
      </c>
      <c r="I1193" s="130">
        <v>22000.0</v>
      </c>
      <c r="J1193" s="1"/>
      <c r="K1193" s="1"/>
      <c r="L1193" s="1"/>
      <c r="M1193" s="1"/>
      <c r="N1193" s="1"/>
      <c r="O1193" s="1"/>
      <c r="P1193" s="1"/>
      <c r="Q1193" s="1"/>
      <c r="R1193" s="1"/>
      <c r="S1193" s="1"/>
      <c r="T1193" s="1"/>
      <c r="U1193" s="1"/>
    </row>
    <row r="1194" ht="10.5" customHeight="1">
      <c r="A1194" s="1"/>
      <c r="B1194" s="48" t="s">
        <v>97</v>
      </c>
      <c r="C1194" s="130">
        <v>54361.0</v>
      </c>
      <c r="D1194" s="524">
        <v>18253.0</v>
      </c>
      <c r="E1194" s="216">
        <v>5912.0</v>
      </c>
      <c r="F1194" s="130">
        <v>351.0</v>
      </c>
      <c r="G1194" s="130">
        <v>28359.0</v>
      </c>
      <c r="H1194" s="276">
        <v>577.79</v>
      </c>
      <c r="I1194" s="130">
        <v>23000.0</v>
      </c>
      <c r="J1194" s="1"/>
      <c r="K1194" s="1"/>
      <c r="L1194" s="1"/>
      <c r="M1194" s="1"/>
      <c r="N1194" s="1"/>
      <c r="O1194" s="1"/>
      <c r="P1194" s="1"/>
      <c r="Q1194" s="1"/>
      <c r="R1194" s="1"/>
      <c r="S1194" s="1"/>
      <c r="T1194" s="1"/>
      <c r="U1194" s="1"/>
    </row>
    <row r="1195" ht="10.5" customHeight="1">
      <c r="A1195" s="1"/>
      <c r="B1195" s="48" t="s">
        <v>101</v>
      </c>
      <c r="C1195" s="130">
        <v>62413.0</v>
      </c>
      <c r="D1195" s="524">
        <v>14588.0</v>
      </c>
      <c r="E1195" s="216">
        <v>6205.0</v>
      </c>
      <c r="F1195" s="130">
        <v>419.0</v>
      </c>
      <c r="G1195" s="130">
        <v>28094.0</v>
      </c>
      <c r="H1195" s="276">
        <v>464.08</v>
      </c>
      <c r="I1195" s="130">
        <v>30800.0</v>
      </c>
      <c r="J1195" s="1"/>
      <c r="K1195" s="1"/>
      <c r="L1195" s="1"/>
      <c r="M1195" s="1"/>
      <c r="N1195" s="1"/>
      <c r="O1195" s="1"/>
      <c r="P1195" s="1"/>
      <c r="Q1195" s="1"/>
      <c r="R1195" s="1"/>
      <c r="S1195" s="1"/>
      <c r="T1195" s="1"/>
      <c r="U1195" s="1"/>
    </row>
    <row r="1196" ht="10.5" customHeight="1">
      <c r="A1196" s="1"/>
      <c r="B1196" s="48" t="s">
        <v>103</v>
      </c>
      <c r="C1196" s="130">
        <v>64649.0</v>
      </c>
      <c r="D1196" s="524">
        <v>20359.0</v>
      </c>
      <c r="E1196" s="216">
        <v>6282.0</v>
      </c>
      <c r="F1196" s="130">
        <v>580.0</v>
      </c>
      <c r="G1196" s="130">
        <v>28045.0</v>
      </c>
      <c r="H1196" s="276">
        <v>631.08</v>
      </c>
      <c r="I1196" s="130">
        <v>32400.0</v>
      </c>
      <c r="J1196" s="1"/>
      <c r="K1196" s="1"/>
      <c r="L1196" s="1"/>
      <c r="M1196" s="1"/>
      <c r="N1196" s="1"/>
      <c r="O1196" s="1"/>
      <c r="P1196" s="1"/>
      <c r="Q1196" s="1"/>
      <c r="R1196" s="1"/>
      <c r="S1196" s="1"/>
      <c r="T1196" s="1"/>
      <c r="U1196" s="1"/>
    </row>
    <row r="1197" ht="10.5" customHeight="1">
      <c r="A1197" s="1"/>
      <c r="B1197" s="48" t="s">
        <v>104</v>
      </c>
      <c r="C1197" s="130">
        <v>76291.0</v>
      </c>
      <c r="D1197" s="524">
        <v>29060.0</v>
      </c>
      <c r="E1197" s="216">
        <v>6268.0</v>
      </c>
      <c r="F1197" s="130">
        <v>604.0</v>
      </c>
      <c r="G1197" s="130">
        <v>29725.0</v>
      </c>
      <c r="H1197" s="276">
        <v>849.22</v>
      </c>
      <c r="I1197" s="130">
        <v>27000.0</v>
      </c>
      <c r="J1197" s="1"/>
      <c r="K1197" s="1"/>
      <c r="L1197" s="1"/>
      <c r="M1197" s="1"/>
      <c r="N1197" s="1"/>
      <c r="O1197" s="1"/>
      <c r="P1197" s="1"/>
      <c r="Q1197" s="1"/>
      <c r="R1197" s="1"/>
      <c r="S1197" s="1"/>
      <c r="T1197" s="1"/>
      <c r="U1197" s="1"/>
    </row>
    <row r="1198" ht="10.5" customHeight="1">
      <c r="A1198" s="1"/>
      <c r="B1198" s="48"/>
      <c r="C1198" s="130"/>
      <c r="D1198" s="524"/>
      <c r="E1198" s="216"/>
      <c r="F1198" s="130"/>
      <c r="G1198" s="130"/>
      <c r="H1198" s="276"/>
      <c r="I1198" s="130"/>
      <c r="J1198" s="1"/>
      <c r="K1198" s="1"/>
      <c r="L1198" s="1"/>
      <c r="M1198" s="1"/>
      <c r="N1198" s="1"/>
      <c r="O1198" s="1"/>
      <c r="P1198" s="1"/>
      <c r="Q1198" s="1"/>
      <c r="R1198" s="1"/>
      <c r="S1198" s="1"/>
      <c r="T1198" s="1"/>
      <c r="U1198" s="1"/>
    </row>
    <row r="1199" ht="10.5" customHeight="1">
      <c r="A1199" s="1"/>
      <c r="B1199" s="48" t="s">
        <v>108</v>
      </c>
      <c r="C1199" s="130">
        <v>63915.0</v>
      </c>
      <c r="D1199" s="524">
        <v>38868.0</v>
      </c>
      <c r="E1199" s="216">
        <v>6815.0</v>
      </c>
      <c r="F1199" s="130">
        <v>711.0</v>
      </c>
      <c r="G1199" s="130">
        <v>28190.0</v>
      </c>
      <c r="H1199" s="276">
        <v>1017.03</v>
      </c>
      <c r="I1199" s="130">
        <v>22400.0</v>
      </c>
      <c r="J1199" s="1"/>
      <c r="K1199" s="1"/>
      <c r="L1199" s="1"/>
      <c r="M1199" s="1"/>
      <c r="N1199" s="1"/>
      <c r="O1199" s="1"/>
      <c r="P1199" s="1"/>
      <c r="Q1199" s="1"/>
      <c r="R1199" s="1"/>
      <c r="S1199" s="1"/>
      <c r="T1199" s="1"/>
      <c r="U1199" s="1"/>
    </row>
    <row r="1200" ht="10.5" customHeight="1">
      <c r="A1200" s="1"/>
      <c r="B1200" s="48" t="s">
        <v>111</v>
      </c>
      <c r="C1200" s="130">
        <v>66934.0</v>
      </c>
      <c r="D1200" s="524">
        <v>44556.0</v>
      </c>
      <c r="E1200" s="216">
        <v>6404.0</v>
      </c>
      <c r="F1200" s="130">
        <v>767.0</v>
      </c>
      <c r="G1200" s="130">
        <v>29406.0</v>
      </c>
      <c r="H1200" s="276">
        <v>1149.86</v>
      </c>
      <c r="I1200" s="130">
        <v>25000.0</v>
      </c>
      <c r="J1200" s="1"/>
      <c r="K1200" s="1"/>
      <c r="L1200" s="1"/>
      <c r="M1200" s="1"/>
      <c r="N1200" s="1"/>
      <c r="O1200" s="1"/>
      <c r="P1200" s="1"/>
      <c r="Q1200" s="1"/>
      <c r="R1200" s="1"/>
      <c r="S1200" s="1"/>
      <c r="T1200" s="1"/>
      <c r="U1200" s="1"/>
    </row>
    <row r="1201" ht="10.5" customHeight="1">
      <c r="A1201" s="1"/>
      <c r="B1201" s="48" t="s">
        <v>112</v>
      </c>
      <c r="C1201" s="130">
        <v>63367.0</v>
      </c>
      <c r="D1201" s="524">
        <v>46063.0</v>
      </c>
      <c r="E1201" s="216">
        <v>6414.0</v>
      </c>
      <c r="F1201" s="130">
        <v>945.0</v>
      </c>
      <c r="G1201" s="130">
        <v>30821.0</v>
      </c>
      <c r="H1201" s="276">
        <v>1095.47</v>
      </c>
      <c r="I1201" s="130">
        <v>20000.0</v>
      </c>
      <c r="J1201" s="1"/>
      <c r="K1201" s="1"/>
      <c r="L1201" s="1"/>
      <c r="M1201" s="1"/>
      <c r="N1201" s="1"/>
      <c r="O1201" s="1"/>
      <c r="P1201" s="1"/>
      <c r="Q1201" s="1"/>
      <c r="R1201" s="1"/>
      <c r="S1201" s="1"/>
      <c r="T1201" s="1"/>
      <c r="U1201" s="1"/>
    </row>
    <row r="1202" ht="10.5" customHeight="1">
      <c r="A1202" s="1"/>
      <c r="B1202" s="48" t="s">
        <v>113</v>
      </c>
      <c r="C1202" s="130">
        <v>61360.0</v>
      </c>
      <c r="D1202" s="524">
        <v>46930.0</v>
      </c>
      <c r="E1202" s="216">
        <v>6859.0</v>
      </c>
      <c r="F1202" s="130">
        <v>841.0</v>
      </c>
      <c r="G1202" s="130">
        <v>27949.0</v>
      </c>
      <c r="H1202" s="276">
        <v>1255.54</v>
      </c>
      <c r="I1202" s="130">
        <v>20000.0</v>
      </c>
      <c r="J1202" s="1"/>
      <c r="K1202" s="1"/>
      <c r="L1202" s="1"/>
      <c r="M1202" s="1"/>
      <c r="N1202" s="1"/>
      <c r="O1202" s="1"/>
      <c r="P1202" s="1"/>
      <c r="Q1202" s="1"/>
      <c r="R1202" s="1"/>
      <c r="S1202" s="1"/>
      <c r="T1202" s="1"/>
      <c r="U1202" s="1"/>
    </row>
    <row r="1203" ht="10.5" customHeight="1">
      <c r="A1203" s="1"/>
      <c r="B1203" s="48" t="s">
        <v>114</v>
      </c>
      <c r="C1203" s="130">
        <v>74302.0</v>
      </c>
      <c r="D1203" s="524">
        <v>61285.0</v>
      </c>
      <c r="E1203" s="216">
        <v>6819.0</v>
      </c>
      <c r="F1203" s="130">
        <v>1031.0</v>
      </c>
      <c r="G1203" s="130">
        <v>31535.0</v>
      </c>
      <c r="H1203" s="276">
        <v>1466.75</v>
      </c>
      <c r="I1203" s="130">
        <v>29435.0</v>
      </c>
      <c r="J1203" s="1"/>
      <c r="K1203" s="1"/>
      <c r="L1203" s="1"/>
      <c r="M1203" s="1"/>
      <c r="N1203" s="1"/>
      <c r="O1203" s="1"/>
      <c r="P1203" s="1"/>
      <c r="Q1203" s="1"/>
      <c r="R1203" s="1"/>
      <c r="S1203" s="1"/>
      <c r="T1203" s="1"/>
      <c r="U1203" s="1"/>
    </row>
    <row r="1204" ht="10.5" customHeight="1">
      <c r="A1204" s="1"/>
      <c r="B1204" s="48"/>
      <c r="C1204" s="130"/>
      <c r="D1204" s="524"/>
      <c r="E1204" s="216"/>
      <c r="F1204" s="130"/>
      <c r="G1204" s="130"/>
      <c r="H1204" s="276"/>
      <c r="I1204" s="130"/>
      <c r="J1204" s="1"/>
      <c r="K1204" s="1"/>
      <c r="L1204" s="1"/>
      <c r="M1204" s="1"/>
      <c r="N1204" s="1"/>
      <c r="O1204" s="1"/>
      <c r="P1204" s="1"/>
      <c r="Q1204" s="1"/>
      <c r="R1204" s="1"/>
      <c r="S1204" s="1"/>
      <c r="T1204" s="1"/>
      <c r="U1204" s="1"/>
    </row>
    <row r="1205" ht="10.5" customHeight="1">
      <c r="A1205" s="1"/>
      <c r="B1205" s="48" t="s">
        <v>115</v>
      </c>
      <c r="C1205" s="130">
        <v>73006.0</v>
      </c>
      <c r="D1205" s="524">
        <v>87420.0</v>
      </c>
      <c r="E1205" s="216">
        <v>6531.0</v>
      </c>
      <c r="F1205" s="130">
        <v>1199.0</v>
      </c>
      <c r="G1205" s="130">
        <v>37804.0</v>
      </c>
      <c r="H1205" s="276">
        <v>1857.33</v>
      </c>
      <c r="I1205" s="130">
        <v>22427.0</v>
      </c>
      <c r="J1205" s="1"/>
      <c r="K1205" s="1"/>
      <c r="L1205" s="1"/>
      <c r="M1205" s="1"/>
      <c r="N1205" s="1"/>
      <c r="O1205" s="1"/>
      <c r="P1205" s="1"/>
      <c r="Q1205" s="1"/>
      <c r="R1205" s="1"/>
      <c r="S1205" s="1"/>
      <c r="T1205" s="1"/>
      <c r="U1205" s="1"/>
    </row>
    <row r="1206" ht="10.5" customHeight="1">
      <c r="A1206" s="1"/>
      <c r="B1206" s="48" t="s">
        <v>117</v>
      </c>
      <c r="C1206" s="130">
        <v>88060.0</v>
      </c>
      <c r="D1206" s="524">
        <v>98922.0</v>
      </c>
      <c r="E1206" s="216">
        <v>7120.0</v>
      </c>
      <c r="F1206" s="130">
        <v>1066.0</v>
      </c>
      <c r="G1206" s="130">
        <v>40875.0</v>
      </c>
      <c r="H1206" s="276">
        <v>1984.22</v>
      </c>
      <c r="I1206" s="130">
        <v>33266.0</v>
      </c>
      <c r="J1206" s="1"/>
      <c r="K1206" s="1"/>
      <c r="L1206" s="1"/>
      <c r="M1206" s="1"/>
      <c r="N1206" s="1"/>
      <c r="O1206" s="1"/>
      <c r="P1206" s="1"/>
      <c r="Q1206" s="1"/>
      <c r="R1206" s="1"/>
      <c r="S1206" s="1"/>
      <c r="T1206" s="1"/>
      <c r="U1206" s="1"/>
    </row>
    <row r="1207" ht="10.5" customHeight="1">
      <c r="A1207" s="1"/>
      <c r="B1207" s="48" t="s">
        <v>121</v>
      </c>
      <c r="C1207" s="130">
        <v>88901.0</v>
      </c>
      <c r="D1207" s="524">
        <v>92201.0</v>
      </c>
      <c r="E1207" s="216">
        <v>7949.0</v>
      </c>
      <c r="F1207" s="130">
        <v>1008.0</v>
      </c>
      <c r="G1207" s="130">
        <v>42991.0</v>
      </c>
      <c r="H1207" s="276">
        <v>1696.67</v>
      </c>
      <c r="I1207" s="130">
        <v>30382.0</v>
      </c>
      <c r="J1207" s="1"/>
      <c r="K1207" s="1"/>
      <c r="L1207" s="1"/>
      <c r="M1207" s="1"/>
      <c r="N1207" s="1"/>
      <c r="O1207" s="1"/>
      <c r="P1207" s="1"/>
      <c r="Q1207" s="1"/>
      <c r="R1207" s="1"/>
      <c r="S1207" s="1"/>
      <c r="T1207" s="1"/>
      <c r="U1207" s="1"/>
    </row>
    <row r="1208" ht="10.5" customHeight="1">
      <c r="A1208" s="1"/>
      <c r="B1208" s="48" t="s">
        <v>122</v>
      </c>
      <c r="C1208" s="130">
        <v>103283.0</v>
      </c>
      <c r="D1208" s="524">
        <v>124385.0</v>
      </c>
      <c r="E1208" s="216">
        <v>7993.0</v>
      </c>
      <c r="F1208" s="130">
        <v>1192.0</v>
      </c>
      <c r="G1208" s="130">
        <v>43500.0</v>
      </c>
      <c r="H1208" s="276">
        <v>2308.0</v>
      </c>
      <c r="I1208" s="130">
        <v>44170.0</v>
      </c>
      <c r="J1208" s="1"/>
      <c r="K1208" s="1"/>
      <c r="L1208" s="1"/>
      <c r="M1208" s="1"/>
      <c r="N1208" s="1"/>
      <c r="O1208" s="1"/>
      <c r="P1208" s="1"/>
      <c r="Q1208" s="1"/>
      <c r="R1208" s="1"/>
      <c r="S1208" s="1"/>
      <c r="T1208" s="1"/>
      <c r="U1208" s="1"/>
    </row>
    <row r="1209" ht="10.5" customHeight="1">
      <c r="A1209" s="1"/>
      <c r="B1209" s="48" t="s">
        <v>123</v>
      </c>
      <c r="C1209" s="130">
        <v>101669.0</v>
      </c>
      <c r="D1209" s="524">
        <v>143316.0</v>
      </c>
      <c r="E1209" s="216">
        <v>8490.0</v>
      </c>
      <c r="F1209" s="130">
        <v>1193.0</v>
      </c>
      <c r="G1209" s="130">
        <v>48000.0</v>
      </c>
      <c r="H1209" s="276">
        <v>2473.33</v>
      </c>
      <c r="I1209" s="130">
        <v>37090.0</v>
      </c>
      <c r="J1209" s="1"/>
      <c r="K1209" s="1"/>
      <c r="L1209" s="1"/>
      <c r="M1209" s="1"/>
      <c r="N1209" s="1"/>
      <c r="O1209" s="1"/>
      <c r="P1209" s="1"/>
      <c r="Q1209" s="1"/>
      <c r="R1209" s="1"/>
      <c r="S1209" s="1"/>
      <c r="T1209" s="1"/>
      <c r="U1209" s="1"/>
    </row>
    <row r="1210" ht="10.5" customHeight="1">
      <c r="A1210" s="1"/>
      <c r="B1210" s="48"/>
      <c r="C1210" s="130"/>
      <c r="D1210" s="524"/>
      <c r="E1210" s="216"/>
      <c r="F1210" s="130"/>
      <c r="G1210" s="130"/>
      <c r="H1210" s="276"/>
      <c r="I1210" s="130"/>
      <c r="J1210" s="1"/>
      <c r="K1210" s="1"/>
      <c r="L1210" s="1"/>
      <c r="M1210" s="1"/>
      <c r="N1210" s="1"/>
      <c r="O1210" s="1"/>
      <c r="P1210" s="1"/>
      <c r="Q1210" s="1"/>
      <c r="R1210" s="1"/>
      <c r="S1210" s="1"/>
      <c r="T1210" s="1"/>
      <c r="U1210" s="1"/>
    </row>
    <row r="1211" ht="10.5" customHeight="1">
      <c r="A1211" s="1"/>
      <c r="B1211" s="168" t="s">
        <v>125</v>
      </c>
      <c r="C1211" s="130">
        <v>120121.0</v>
      </c>
      <c r="D1211" s="524">
        <v>155714.0</v>
      </c>
      <c r="E1211" s="216">
        <v>8331.0</v>
      </c>
      <c r="F1211" s="130">
        <v>1032.0</v>
      </c>
      <c r="G1211" s="130">
        <v>60000.0</v>
      </c>
      <c r="H1211" s="276">
        <v>2243.89</v>
      </c>
      <c r="I1211" s="130">
        <v>43852.0</v>
      </c>
      <c r="J1211" s="1"/>
      <c r="K1211" s="1"/>
      <c r="L1211" s="1"/>
      <c r="M1211" s="1"/>
      <c r="N1211" s="1"/>
      <c r="O1211" s="1"/>
      <c r="P1211" s="1"/>
      <c r="Q1211" s="1"/>
      <c r="R1211" s="1"/>
      <c r="S1211" s="1"/>
      <c r="T1211" s="1"/>
      <c r="U1211" s="1"/>
    </row>
    <row r="1212" ht="10.5" customHeight="1">
      <c r="A1212" s="1"/>
      <c r="B1212" s="168" t="s">
        <v>127</v>
      </c>
      <c r="C1212" s="216">
        <v>158897.0</v>
      </c>
      <c r="D1212" s="524">
        <v>228921.0</v>
      </c>
      <c r="E1212" s="216">
        <v>8029.0</v>
      </c>
      <c r="F1212" s="216">
        <v>1185.0</v>
      </c>
      <c r="G1212" s="216">
        <v>74259.0</v>
      </c>
      <c r="H1212" s="289">
        <v>2751.23</v>
      </c>
      <c r="I1212" s="216">
        <v>68955.0</v>
      </c>
      <c r="J1212" s="1"/>
      <c r="K1212" s="1"/>
      <c r="L1212" s="1"/>
      <c r="M1212" s="1"/>
      <c r="N1212" s="1"/>
      <c r="O1212" s="1"/>
      <c r="P1212" s="1"/>
      <c r="Q1212" s="1"/>
      <c r="R1212" s="1"/>
      <c r="S1212" s="1"/>
      <c r="T1212" s="1"/>
      <c r="U1212" s="1"/>
    </row>
    <row r="1213" ht="10.5" customHeight="1">
      <c r="A1213" s="1"/>
      <c r="B1213" s="48" t="s">
        <v>128</v>
      </c>
      <c r="C1213" s="216">
        <v>178460.0</v>
      </c>
      <c r="D1213" s="524">
        <v>249725.0</v>
      </c>
      <c r="E1213" s="216">
        <v>8998.0</v>
      </c>
      <c r="F1213" s="216">
        <v>1543.0</v>
      </c>
      <c r="G1213" s="216">
        <v>79486.0</v>
      </c>
      <c r="H1213" s="289">
        <v>2507.8</v>
      </c>
      <c r="I1213" s="216">
        <v>81409.0</v>
      </c>
      <c r="J1213" s="1"/>
      <c r="K1213" s="1"/>
      <c r="L1213" s="1"/>
      <c r="M1213" s="1"/>
      <c r="N1213" s="1"/>
      <c r="O1213" s="1"/>
      <c r="P1213" s="1"/>
      <c r="Q1213" s="1"/>
      <c r="R1213" s="1"/>
      <c r="S1213" s="1"/>
      <c r="T1213" s="1"/>
      <c r="U1213" s="1"/>
    </row>
    <row r="1214" ht="10.5" customHeight="1">
      <c r="A1214" s="1"/>
      <c r="B1214" s="48" t="s">
        <v>129</v>
      </c>
      <c r="C1214" s="216">
        <v>191226.0</v>
      </c>
      <c r="D1214" s="524">
        <v>331327.0</v>
      </c>
      <c r="E1214" s="216">
        <v>9242.0</v>
      </c>
      <c r="F1214" s="216">
        <v>1776.0</v>
      </c>
      <c r="G1214" s="216">
        <v>98380.0</v>
      </c>
      <c r="H1214" s="289">
        <v>2792.22</v>
      </c>
      <c r="I1214" s="216">
        <v>74806.0</v>
      </c>
      <c r="J1214" s="1"/>
      <c r="K1214" s="1"/>
      <c r="L1214" s="1"/>
      <c r="M1214" s="1"/>
      <c r="N1214" s="1"/>
      <c r="O1214" s="1"/>
      <c r="P1214" s="1"/>
      <c r="Q1214" s="1"/>
      <c r="R1214" s="1"/>
      <c r="S1214" s="1"/>
      <c r="T1214" s="1"/>
      <c r="U1214" s="1"/>
    </row>
    <row r="1215" ht="10.5" customHeight="1">
      <c r="A1215" s="1"/>
      <c r="B1215" s="48" t="s">
        <v>130</v>
      </c>
      <c r="C1215" s="216">
        <v>213123.0</v>
      </c>
      <c r="D1215" s="524">
        <v>430045.0</v>
      </c>
      <c r="E1215" s="216">
        <v>10006.0</v>
      </c>
      <c r="F1215" s="216">
        <v>1453.0</v>
      </c>
      <c r="G1215" s="216">
        <v>116765.0</v>
      </c>
      <c r="H1215" s="289">
        <v>3243.38</v>
      </c>
      <c r="I1215" s="216">
        <v>76836.0</v>
      </c>
      <c r="J1215" s="1"/>
      <c r="K1215" s="1"/>
      <c r="L1215" s="1"/>
      <c r="M1215" s="1"/>
      <c r="N1215" s="1"/>
      <c r="O1215" s="1"/>
      <c r="P1215" s="1"/>
      <c r="Q1215" s="1"/>
      <c r="R1215" s="1"/>
      <c r="S1215" s="1"/>
      <c r="T1215" s="1"/>
      <c r="U1215" s="1"/>
    </row>
    <row r="1216" ht="10.5" customHeight="1">
      <c r="A1216" s="1"/>
      <c r="B1216" s="48"/>
      <c r="C1216" s="216"/>
      <c r="D1216" s="524"/>
      <c r="E1216" s="216"/>
      <c r="F1216" s="216"/>
      <c r="G1216" s="216"/>
      <c r="H1216" s="289"/>
      <c r="I1216" s="216"/>
      <c r="J1216" s="1"/>
      <c r="K1216" s="1"/>
      <c r="L1216" s="1"/>
      <c r="M1216" s="1"/>
      <c r="N1216" s="1"/>
      <c r="O1216" s="1"/>
      <c r="P1216" s="1"/>
      <c r="Q1216" s="1"/>
      <c r="R1216" s="1"/>
      <c r="S1216" s="1"/>
      <c r="T1216" s="1"/>
      <c r="U1216" s="1"/>
    </row>
    <row r="1217" ht="10.5" customHeight="1">
      <c r="A1217" s="1"/>
      <c r="B1217" s="48" t="s">
        <v>131</v>
      </c>
      <c r="C1217" s="216">
        <v>183463.0</v>
      </c>
      <c r="D1217" s="716">
        <v>203692.0</v>
      </c>
      <c r="E1217" s="216">
        <v>10280.0</v>
      </c>
      <c r="F1217" s="216">
        <v>1732.0</v>
      </c>
      <c r="G1217" s="216">
        <v>107401.0</v>
      </c>
      <c r="H1217" s="289">
        <v>1473.37</v>
      </c>
      <c r="I1217" s="216">
        <v>56006.0</v>
      </c>
      <c r="J1217" s="1"/>
      <c r="K1217" s="1"/>
      <c r="L1217" s="1"/>
      <c r="M1217" s="1"/>
      <c r="N1217" s="1"/>
      <c r="O1217" s="1"/>
      <c r="P1217" s="1"/>
      <c r="Q1217" s="1"/>
      <c r="R1217" s="1"/>
      <c r="S1217" s="1"/>
      <c r="T1217" s="1"/>
      <c r="U1217" s="1"/>
    </row>
    <row r="1218" ht="10.5" customHeight="1">
      <c r="A1218" s="1"/>
      <c r="B1218" s="48" t="s">
        <v>133</v>
      </c>
      <c r="C1218" s="216">
        <v>214063.0</v>
      </c>
      <c r="D1218" s="716">
        <v>330641.0</v>
      </c>
      <c r="E1218" s="216">
        <v>11381.0</v>
      </c>
      <c r="F1218" s="216">
        <v>1863.0</v>
      </c>
      <c r="G1218" s="216">
        <v>112859.0</v>
      </c>
      <c r="H1218" s="289">
        <v>2477.85</v>
      </c>
      <c r="I1218" s="216">
        <v>79010.0</v>
      </c>
      <c r="J1218" s="1"/>
      <c r="K1218" s="1"/>
      <c r="L1218" s="1"/>
      <c r="M1218" s="1"/>
      <c r="N1218" s="1"/>
      <c r="O1218" s="1"/>
      <c r="P1218" s="1"/>
      <c r="Q1218" s="1"/>
      <c r="R1218" s="1"/>
      <c r="S1218" s="1"/>
      <c r="T1218" s="1"/>
      <c r="U1218" s="1"/>
    </row>
    <row r="1219" ht="10.5" customHeight="1">
      <c r="A1219" s="1"/>
      <c r="B1219" s="293">
        <v>39295.0</v>
      </c>
      <c r="C1219" s="216">
        <v>195176.0</v>
      </c>
      <c r="D1219" s="716">
        <v>431633.0</v>
      </c>
      <c r="E1219" s="216">
        <v>11429.0</v>
      </c>
      <c r="F1219" s="216">
        <v>2495.0</v>
      </c>
      <c r="G1219" s="216">
        <v>110308.0</v>
      </c>
      <c r="H1219" s="289">
        <v>3238.42</v>
      </c>
      <c r="I1219" s="216">
        <v>62582.0</v>
      </c>
      <c r="J1219" s="1"/>
      <c r="K1219" s="1"/>
      <c r="L1219" s="1"/>
      <c r="M1219" s="1"/>
      <c r="N1219" s="1"/>
      <c r="O1219" s="1"/>
      <c r="P1219" s="1"/>
      <c r="Q1219" s="1"/>
      <c r="R1219" s="1"/>
      <c r="S1219" s="1"/>
      <c r="T1219" s="1"/>
      <c r="U1219" s="1"/>
    </row>
    <row r="1220" ht="10.5" customHeight="1">
      <c r="A1220" s="1"/>
      <c r="B1220" s="293">
        <v>39692.0</v>
      </c>
      <c r="C1220" s="216">
        <v>230757.0</v>
      </c>
      <c r="D1220" s="716">
        <v>676887.0</v>
      </c>
      <c r="E1220" s="216">
        <v>13316.0</v>
      </c>
      <c r="F1220" s="216">
        <v>3143.0</v>
      </c>
      <c r="G1220" s="216">
        <v>142973.0</v>
      </c>
      <c r="H1220" s="289">
        <v>3960.55</v>
      </c>
      <c r="I1220" s="216">
        <v>61833.0</v>
      </c>
      <c r="J1220" s="1"/>
      <c r="K1220" s="1"/>
      <c r="L1220" s="1"/>
      <c r="M1220" s="1"/>
      <c r="N1220" s="1"/>
      <c r="O1220" s="1"/>
      <c r="P1220" s="1"/>
      <c r="Q1220" s="1"/>
      <c r="R1220" s="1"/>
      <c r="S1220" s="1"/>
      <c r="T1220" s="1"/>
      <c r="U1220" s="1"/>
    </row>
    <row r="1221" ht="10.5" customHeight="1">
      <c r="A1221" s="1"/>
      <c r="B1221" s="293">
        <v>40087.0</v>
      </c>
      <c r="C1221" s="216">
        <v>203080.0</v>
      </c>
      <c r="D1221" s="716">
        <v>367178.0</v>
      </c>
      <c r="E1221" s="216">
        <v>11378.0</v>
      </c>
      <c r="F1221" s="216">
        <v>3431.0</v>
      </c>
      <c r="G1221" s="216">
        <v>127332.0</v>
      </c>
      <c r="H1221" s="289">
        <v>2121.69</v>
      </c>
      <c r="I1221" s="216">
        <v>53561.0</v>
      </c>
      <c r="J1221" s="1"/>
      <c r="K1221" s="1"/>
      <c r="L1221" s="1"/>
      <c r="M1221" s="1"/>
      <c r="N1221" s="1"/>
      <c r="O1221" s="1"/>
      <c r="P1221" s="1"/>
      <c r="Q1221" s="1"/>
      <c r="R1221" s="1"/>
      <c r="S1221" s="1"/>
      <c r="T1221" s="1"/>
      <c r="U1221" s="1"/>
    </row>
    <row r="1222" ht="10.5" customHeight="1">
      <c r="A1222" s="1"/>
      <c r="B1222" s="293"/>
      <c r="C1222" s="216"/>
      <c r="D1222" s="716"/>
      <c r="E1222" s="216"/>
      <c r="F1222" s="216"/>
      <c r="G1222" s="216"/>
      <c r="H1222" s="289"/>
      <c r="I1222" s="216"/>
      <c r="J1222" s="1"/>
      <c r="K1222" s="1"/>
      <c r="L1222" s="1"/>
      <c r="M1222" s="1"/>
      <c r="N1222" s="1"/>
      <c r="O1222" s="1"/>
      <c r="P1222" s="1"/>
      <c r="Q1222" s="1"/>
      <c r="R1222" s="1"/>
      <c r="S1222" s="1"/>
      <c r="T1222" s="1"/>
      <c r="U1222" s="1"/>
    </row>
    <row r="1223" ht="10.5" customHeight="1">
      <c r="A1223" s="1"/>
      <c r="B1223" s="293">
        <v>40483.0</v>
      </c>
      <c r="C1223" s="216">
        <v>216202.0</v>
      </c>
      <c r="D1223" s="716">
        <v>819206.0</v>
      </c>
      <c r="E1223" s="216">
        <v>11484.0</v>
      </c>
      <c r="F1223" s="216">
        <v>4055.0</v>
      </c>
      <c r="G1223" s="216">
        <v>129619.0</v>
      </c>
      <c r="H1223" s="289">
        <v>5332.4</v>
      </c>
      <c r="I1223" s="216">
        <v>64190.0</v>
      </c>
      <c r="J1223" s="1"/>
      <c r="K1223" s="1"/>
      <c r="L1223" s="1"/>
      <c r="M1223" s="1"/>
      <c r="N1223" s="1"/>
      <c r="O1223" s="1"/>
      <c r="P1223" s="1"/>
      <c r="Q1223" s="1"/>
      <c r="R1223" s="1"/>
      <c r="S1223" s="1"/>
      <c r="T1223" s="1"/>
      <c r="U1223" s="1"/>
    </row>
    <row r="1224" ht="10.5" customHeight="1">
      <c r="A1224" s="1"/>
      <c r="B1224" s="85" t="s">
        <v>143</v>
      </c>
      <c r="C1224" s="216">
        <v>260994.0</v>
      </c>
      <c r="D1224" s="132">
        <v>1032896.0</v>
      </c>
      <c r="E1224" s="216">
        <v>12821.0</v>
      </c>
      <c r="F1224" s="216">
        <v>3244.0</v>
      </c>
      <c r="G1224" s="216">
        <v>153512.0</v>
      </c>
      <c r="H1224" s="289">
        <v>5734.19</v>
      </c>
      <c r="I1224" s="216">
        <v>82492.0</v>
      </c>
      <c r="J1224" s="1"/>
      <c r="K1224" s="1"/>
      <c r="L1224" s="1"/>
      <c r="M1224" s="1"/>
      <c r="N1224" s="1"/>
      <c r="O1224" s="1"/>
      <c r="P1224" s="1"/>
      <c r="Q1224" s="1"/>
      <c r="R1224" s="1"/>
      <c r="S1224" s="1"/>
      <c r="T1224" s="1"/>
      <c r="U1224" s="1"/>
    </row>
    <row r="1225" ht="10.5" customHeight="1">
      <c r="A1225" s="1"/>
      <c r="B1225" s="85" t="s">
        <v>149</v>
      </c>
      <c r="C1225" s="216">
        <v>240750.0</v>
      </c>
      <c r="D1225" s="132">
        <v>1000333.0</v>
      </c>
      <c r="E1225" s="216">
        <v>12520.0</v>
      </c>
      <c r="F1225" s="216">
        <v>4754.0</v>
      </c>
      <c r="G1225" s="216">
        <v>157651.0</v>
      </c>
      <c r="H1225" s="289">
        <v>5421.48</v>
      </c>
      <c r="I1225" s="216">
        <v>58694.0</v>
      </c>
      <c r="J1225" s="1"/>
      <c r="K1225" s="1"/>
      <c r="L1225" s="1"/>
      <c r="M1225" s="1"/>
      <c r="N1225" s="1"/>
      <c r="O1225" s="1"/>
      <c r="P1225" s="1"/>
      <c r="Q1225" s="1"/>
      <c r="R1225" s="1"/>
      <c r="S1225" s="1"/>
      <c r="T1225" s="1"/>
      <c r="U1225" s="1"/>
    </row>
    <row r="1226" ht="10.5" customHeight="1">
      <c r="A1226" s="1"/>
      <c r="B1226" s="85" t="s">
        <v>151</v>
      </c>
      <c r="C1226" s="216">
        <v>257819.0</v>
      </c>
      <c r="D1226" s="132" t="s">
        <v>1209</v>
      </c>
      <c r="E1226" s="216">
        <v>13270.0</v>
      </c>
      <c r="F1226" s="216">
        <v>5550.0</v>
      </c>
      <c r="G1226" s="216">
        <v>159943.0</v>
      </c>
      <c r="H1226" s="289">
        <v>7043.4</v>
      </c>
      <c r="I1226" s="216">
        <v>72015.0</v>
      </c>
      <c r="J1226" s="1"/>
      <c r="K1226" s="1"/>
      <c r="L1226" s="1"/>
      <c r="M1226" s="1"/>
      <c r="N1226" s="1"/>
      <c r="O1226" s="1"/>
      <c r="P1226" s="1"/>
      <c r="Q1226" s="1"/>
      <c r="R1226" s="1"/>
      <c r="S1226" s="1"/>
      <c r="T1226" s="1"/>
      <c r="U1226" s="1"/>
    </row>
    <row r="1227" ht="10.5" customHeight="1">
      <c r="A1227" s="1"/>
      <c r="B1227" s="85" t="s">
        <v>153</v>
      </c>
      <c r="C1227" s="216">
        <v>329095.0</v>
      </c>
      <c r="D1227" s="178">
        <v>2470693.0</v>
      </c>
      <c r="E1227" s="216">
        <v>14934.0</v>
      </c>
      <c r="F1227" s="216">
        <v>6771.0</v>
      </c>
      <c r="G1227" s="216">
        <v>198345.0</v>
      </c>
      <c r="H1227" s="289">
        <v>11063.56</v>
      </c>
      <c r="I1227" s="216">
        <v>101662.0</v>
      </c>
      <c r="J1227" s="1"/>
      <c r="K1227" s="1"/>
      <c r="L1227" s="1"/>
      <c r="M1227" s="1"/>
      <c r="N1227" s="1"/>
      <c r="O1227" s="1"/>
      <c r="P1227" s="1"/>
      <c r="Q1227" s="1"/>
      <c r="R1227" s="1"/>
      <c r="S1227" s="1"/>
      <c r="T1227" s="1"/>
      <c r="U1227" s="1"/>
    </row>
    <row r="1228" ht="10.5" customHeight="1">
      <c r="A1228" s="1"/>
      <c r="B1228" s="85"/>
      <c r="C1228" s="216"/>
      <c r="D1228" s="132"/>
      <c r="E1228" s="216"/>
      <c r="F1228" s="216"/>
      <c r="G1228" s="216"/>
      <c r="H1228" s="289"/>
      <c r="I1228" s="216"/>
      <c r="J1228" s="1"/>
      <c r="K1228" s="1"/>
      <c r="L1228" s="1"/>
      <c r="M1228" s="1"/>
      <c r="N1228" s="1"/>
      <c r="O1228" s="1"/>
      <c r="P1228" s="1"/>
      <c r="Q1228" s="1"/>
      <c r="R1228" s="1"/>
      <c r="S1228" s="1"/>
      <c r="T1228" s="1"/>
      <c r="U1228" s="1"/>
    </row>
    <row r="1229" ht="10.5" customHeight="1">
      <c r="A1229" s="1"/>
      <c r="B1229" s="85" t="s">
        <v>155</v>
      </c>
      <c r="C1229" s="216">
        <v>353057.0</v>
      </c>
      <c r="D1229" s="12">
        <v>3119721.0</v>
      </c>
      <c r="E1229" s="216">
        <v>14911.0</v>
      </c>
      <c r="F1229" s="216">
        <v>7236.0</v>
      </c>
      <c r="G1229" s="216">
        <v>226439.0</v>
      </c>
      <c r="H1229" s="289">
        <v>12354.0</v>
      </c>
      <c r="I1229" s="216">
        <v>97570.0</v>
      </c>
      <c r="J1229" s="1"/>
      <c r="K1229" s="1"/>
      <c r="L1229" s="1"/>
      <c r="M1229" s="1"/>
      <c r="N1229" s="1"/>
      <c r="O1229" s="1"/>
      <c r="P1229" s="1"/>
      <c r="Q1229" s="1"/>
      <c r="R1229" s="1"/>
      <c r="S1229" s="1"/>
      <c r="T1229" s="1"/>
      <c r="U1229" s="1"/>
    </row>
    <row r="1230" ht="10.5" customHeight="1">
      <c r="A1230" s="1"/>
      <c r="B1230" s="85" t="s">
        <v>160</v>
      </c>
      <c r="C1230" s="216">
        <v>325371.0</v>
      </c>
      <c r="D1230" s="12">
        <v>4075466.0</v>
      </c>
      <c r="E1230" s="216">
        <v>17188.0</v>
      </c>
      <c r="F1230" s="216">
        <v>7799.0</v>
      </c>
      <c r="G1230" s="216">
        <v>225622.0</v>
      </c>
      <c r="H1230" s="289">
        <v>16488.0</v>
      </c>
      <c r="I1230" s="216">
        <v>66278.0</v>
      </c>
      <c r="J1230" s="1"/>
      <c r="K1230" s="1"/>
      <c r="L1230" s="1"/>
      <c r="M1230" s="1"/>
      <c r="N1230" s="1"/>
      <c r="O1230" s="1"/>
      <c r="P1230" s="1"/>
      <c r="Q1230" s="1"/>
      <c r="R1230" s="1"/>
      <c r="S1230" s="1"/>
      <c r="T1230" s="1"/>
      <c r="U1230" s="1"/>
    </row>
    <row r="1231" ht="10.5" customHeight="1">
      <c r="A1231" s="1"/>
      <c r="B1231" s="96" t="s">
        <v>1210</v>
      </c>
      <c r="C1231" s="240">
        <v>447674.0</v>
      </c>
      <c r="D1231" s="145">
        <v>4254263.0</v>
      </c>
      <c r="E1231" s="240">
        <v>17458.0</v>
      </c>
      <c r="F1231" s="240">
        <v>7653.0</v>
      </c>
      <c r="G1231" s="240">
        <v>286750.0</v>
      </c>
      <c r="H1231" s="290">
        <v>13292.0</v>
      </c>
      <c r="I1231" s="240">
        <v>126929.0</v>
      </c>
      <c r="J1231" s="1"/>
      <c r="K1231" s="1"/>
      <c r="L1231" s="1"/>
      <c r="M1231" s="1"/>
      <c r="N1231" s="1"/>
      <c r="O1231" s="1"/>
      <c r="P1231" s="1"/>
      <c r="Q1231" s="1"/>
      <c r="R1231" s="1"/>
      <c r="S1231" s="1"/>
      <c r="T1231" s="1"/>
      <c r="U1231" s="1"/>
    </row>
    <row r="1232" ht="6.0" customHeight="1">
      <c r="A1232" s="1"/>
      <c r="B1232" s="291"/>
      <c r="C1232" s="243"/>
      <c r="D1232" s="479"/>
      <c r="E1232" s="243"/>
      <c r="F1232" s="243"/>
      <c r="G1232" s="243"/>
      <c r="H1232" s="292"/>
      <c r="I1232" s="243"/>
      <c r="J1232" s="1"/>
      <c r="K1232" s="1"/>
      <c r="L1232" s="1"/>
      <c r="M1232" s="1"/>
      <c r="N1232" s="1"/>
      <c r="O1232" s="1"/>
      <c r="P1232" s="1"/>
      <c r="Q1232" s="1"/>
      <c r="R1232" s="1"/>
      <c r="S1232" s="1"/>
      <c r="T1232" s="1"/>
      <c r="U1232" s="1"/>
    </row>
    <row r="1233" ht="10.5" customHeight="1">
      <c r="A1233" s="1"/>
      <c r="B1233" s="703" t="s">
        <v>1211</v>
      </c>
      <c r="G1233" s="185"/>
      <c r="H1233" s="185"/>
      <c r="I1233" s="1"/>
      <c r="J1233" s="1"/>
      <c r="K1233" s="1"/>
      <c r="L1233" s="1"/>
      <c r="M1233" s="1"/>
      <c r="N1233" s="1"/>
      <c r="O1233" s="1"/>
      <c r="P1233" s="1"/>
      <c r="Q1233" s="1"/>
      <c r="R1233" s="1"/>
      <c r="S1233" s="1"/>
      <c r="T1233" s="1"/>
      <c r="U1233" s="1"/>
    </row>
    <row r="1234" ht="10.5" customHeight="1">
      <c r="A1234" s="1"/>
      <c r="B1234" s="185" t="s">
        <v>1212</v>
      </c>
      <c r="C1234" s="185"/>
      <c r="D1234" s="185"/>
      <c r="E1234" s="185"/>
      <c r="F1234" s="185"/>
      <c r="G1234" s="185"/>
      <c r="H1234" s="185"/>
      <c r="I1234" s="1"/>
      <c r="J1234" s="1"/>
      <c r="K1234" s="1"/>
      <c r="L1234" s="1"/>
      <c r="M1234" s="1"/>
      <c r="N1234" s="1"/>
      <c r="O1234" s="1"/>
      <c r="P1234" s="1"/>
      <c r="Q1234" s="1"/>
      <c r="R1234" s="1"/>
      <c r="S1234" s="1"/>
      <c r="T1234" s="1"/>
      <c r="U1234" s="1"/>
    </row>
    <row r="1235" ht="10.5" customHeight="1">
      <c r="A1235" s="1"/>
      <c r="B1235" s="185" t="s">
        <v>662</v>
      </c>
      <c r="C1235" s="185"/>
      <c r="D1235" s="185"/>
      <c r="E1235" s="185"/>
      <c r="F1235" s="185"/>
      <c r="G1235" s="185"/>
      <c r="H1235" s="185"/>
      <c r="I1235" s="1"/>
      <c r="J1235" s="1"/>
      <c r="K1235" s="1"/>
      <c r="L1235" s="1"/>
      <c r="M1235" s="1"/>
      <c r="N1235" s="1"/>
      <c r="O1235" s="1"/>
      <c r="P1235" s="1"/>
      <c r="Q1235" s="1"/>
      <c r="R1235" s="1"/>
      <c r="S1235" s="1"/>
      <c r="T1235" s="1"/>
      <c r="U1235" s="1"/>
    </row>
    <row r="1236" ht="10.5" customHeight="1">
      <c r="A1236" s="1"/>
      <c r="B1236" s="185" t="s">
        <v>663</v>
      </c>
      <c r="C1236" s="185"/>
      <c r="D1236" s="185"/>
      <c r="E1236" s="185"/>
      <c r="F1236" s="185"/>
      <c r="G1236" s="185"/>
      <c r="H1236" s="185"/>
      <c r="I1236" s="1"/>
      <c r="J1236" s="1"/>
      <c r="K1236" s="1"/>
      <c r="L1236" s="1"/>
      <c r="M1236" s="1"/>
      <c r="N1236" s="1"/>
      <c r="O1236" s="1"/>
      <c r="P1236" s="1"/>
      <c r="Q1236" s="1"/>
      <c r="R1236" s="1"/>
      <c r="S1236" s="1"/>
      <c r="T1236" s="1"/>
      <c r="U1236" s="1"/>
    </row>
    <row r="1237" ht="10.5" customHeight="1">
      <c r="A1237" s="1"/>
      <c r="B1237" s="185" t="s">
        <v>664</v>
      </c>
      <c r="C1237" s="185"/>
      <c r="D1237" s="185"/>
      <c r="E1237" s="185"/>
      <c r="F1237" s="185"/>
      <c r="G1237" s="185"/>
      <c r="H1237" s="185"/>
      <c r="I1237" s="1"/>
      <c r="J1237" s="1"/>
      <c r="K1237" s="1"/>
      <c r="L1237" s="1"/>
      <c r="M1237" s="1"/>
      <c r="N1237" s="1"/>
      <c r="O1237" s="1"/>
      <c r="P1237" s="1"/>
      <c r="Q1237" s="1"/>
      <c r="R1237" s="1"/>
      <c r="S1237" s="1"/>
      <c r="T1237" s="1"/>
      <c r="U1237" s="1"/>
    </row>
    <row r="1238" ht="10.5" customHeight="1">
      <c r="A1238" s="1"/>
      <c r="B1238" s="185" t="s">
        <v>665</v>
      </c>
      <c r="C1238" s="185"/>
      <c r="D1238" s="185"/>
      <c r="E1238" s="185"/>
      <c r="F1238" s="185"/>
      <c r="G1238" s="185"/>
      <c r="H1238" s="185"/>
      <c r="I1238" s="1"/>
      <c r="J1238" s="1"/>
      <c r="K1238" s="1"/>
      <c r="L1238" s="1"/>
      <c r="M1238" s="1"/>
      <c r="N1238" s="1"/>
      <c r="O1238" s="1"/>
      <c r="P1238" s="1"/>
      <c r="Q1238" s="1"/>
      <c r="R1238" s="1"/>
      <c r="S1238" s="1"/>
      <c r="T1238" s="1"/>
      <c r="U1238" s="1"/>
    </row>
    <row r="1239" ht="10.5" customHeight="1">
      <c r="A1239" s="1"/>
      <c r="B1239" s="311" t="s">
        <v>1213</v>
      </c>
      <c r="I1239" s="1"/>
      <c r="J1239" s="1"/>
      <c r="K1239" s="1"/>
      <c r="L1239" s="1"/>
      <c r="M1239" s="1"/>
      <c r="N1239" s="1"/>
      <c r="O1239" s="1"/>
      <c r="P1239" s="1"/>
      <c r="Q1239" s="1"/>
      <c r="R1239" s="1"/>
      <c r="S1239" s="1"/>
      <c r="T1239" s="1"/>
      <c r="U1239" s="1"/>
    </row>
    <row r="1240" ht="10.5" customHeight="1">
      <c r="A1240" s="1"/>
      <c r="B1240" s="311" t="s">
        <v>667</v>
      </c>
      <c r="C1240" s="311"/>
      <c r="D1240" s="311"/>
      <c r="E1240" s="311"/>
      <c r="F1240" s="311"/>
      <c r="G1240" s="311"/>
      <c r="H1240" s="311"/>
      <c r="I1240" s="1"/>
      <c r="J1240" s="1"/>
      <c r="K1240" s="1"/>
      <c r="L1240" s="1"/>
      <c r="M1240" s="1"/>
      <c r="N1240" s="1"/>
      <c r="O1240" s="1"/>
      <c r="P1240" s="1"/>
      <c r="Q1240" s="1"/>
      <c r="R1240" s="1"/>
      <c r="S1240" s="1"/>
      <c r="T1240" s="1"/>
      <c r="U1240" s="1"/>
    </row>
    <row r="1241" ht="10.5" customHeight="1">
      <c r="A1241" s="1"/>
      <c r="B1241" s="311" t="s">
        <v>669</v>
      </c>
      <c r="C1241" s="311"/>
      <c r="D1241" s="311"/>
      <c r="E1241" s="311"/>
      <c r="F1241" s="311"/>
      <c r="G1241" s="311"/>
      <c r="H1241" s="311"/>
      <c r="I1241" s="1"/>
      <c r="J1241" s="1"/>
      <c r="K1241" s="1"/>
      <c r="L1241" s="1"/>
      <c r="M1241" s="1"/>
      <c r="N1241" s="1"/>
      <c r="O1241" s="1"/>
      <c r="P1241" s="1"/>
      <c r="Q1241" s="1"/>
      <c r="R1241" s="1"/>
      <c r="S1241" s="1"/>
      <c r="T1241" s="1"/>
      <c r="U1241" s="1"/>
    </row>
    <row r="1242" ht="10.5" customHeight="1">
      <c r="A1242" s="1"/>
      <c r="B1242" s="185" t="s">
        <v>1214</v>
      </c>
      <c r="C1242" s="185"/>
      <c r="D1242" s="185"/>
      <c r="E1242" s="185"/>
      <c r="F1242" s="185"/>
      <c r="G1242" s="185"/>
      <c r="H1242" s="185"/>
      <c r="I1242" s="1"/>
      <c r="J1242" s="1"/>
      <c r="K1242" s="1"/>
      <c r="L1242" s="1"/>
      <c r="M1242" s="1"/>
      <c r="N1242" s="1"/>
      <c r="O1242" s="1"/>
      <c r="P1242" s="1"/>
      <c r="Q1242" s="1"/>
      <c r="R1242" s="1"/>
      <c r="S1242" s="1"/>
      <c r="T1242" s="1"/>
      <c r="U1242" s="1"/>
    </row>
    <row r="1243" ht="10.5" customHeight="1">
      <c r="A1243" s="1"/>
      <c r="B1243" s="1"/>
      <c r="C1243" s="15"/>
      <c r="D1243" s="15"/>
      <c r="E1243" s="15"/>
      <c r="F1243" s="15"/>
      <c r="G1243" s="15"/>
      <c r="H1243" s="15"/>
      <c r="I1243" s="15"/>
      <c r="J1243" s="1"/>
      <c r="K1243" s="1"/>
      <c r="L1243" s="1"/>
      <c r="M1243" s="1"/>
      <c r="N1243" s="1"/>
      <c r="O1243" s="1"/>
      <c r="P1243" s="1"/>
      <c r="Q1243" s="1"/>
      <c r="R1243" s="1"/>
      <c r="S1243" s="1"/>
      <c r="T1243" s="1"/>
      <c r="U1243" s="1"/>
    </row>
    <row r="1244" ht="10.5" customHeight="1">
      <c r="A1244" s="1"/>
      <c r="B1244" s="1"/>
      <c r="C1244" s="1"/>
      <c r="D1244" s="1"/>
      <c r="E1244" s="1"/>
      <c r="F1244" s="1"/>
      <c r="G1244" s="1"/>
      <c r="H1244" s="1"/>
      <c r="I1244" s="1"/>
      <c r="J1244" s="1"/>
      <c r="K1244" s="1"/>
      <c r="L1244" s="1"/>
      <c r="M1244" s="1"/>
      <c r="N1244" s="1"/>
      <c r="O1244" s="1"/>
      <c r="P1244" s="1"/>
      <c r="Q1244" s="1"/>
      <c r="R1244" s="1"/>
      <c r="S1244" s="1"/>
      <c r="T1244" s="1"/>
      <c r="U1244" s="1"/>
    </row>
    <row r="1245" ht="10.5" customHeight="1">
      <c r="A1245" s="1"/>
      <c r="B1245" s="1"/>
      <c r="C1245" s="1"/>
      <c r="D1245" s="1"/>
      <c r="E1245" s="1"/>
      <c r="F1245" s="1"/>
      <c r="G1245" s="1"/>
      <c r="H1245" s="1"/>
      <c r="I1245" s="1"/>
      <c r="J1245" s="1"/>
      <c r="K1245" s="1"/>
      <c r="L1245" s="1"/>
      <c r="M1245" s="1"/>
      <c r="N1245" s="1"/>
      <c r="O1245" s="1"/>
      <c r="P1245" s="1"/>
      <c r="Q1245" s="1"/>
      <c r="R1245" s="1"/>
      <c r="S1245" s="1"/>
      <c r="T1245" s="1"/>
      <c r="U1245" s="1"/>
    </row>
    <row r="1246" ht="10.5" customHeight="1">
      <c r="A1246" s="1"/>
      <c r="B1246" s="1"/>
      <c r="C1246" s="1"/>
      <c r="D1246" s="1"/>
      <c r="E1246" s="1"/>
      <c r="F1246" s="1"/>
      <c r="G1246" s="1"/>
      <c r="H1246" s="1"/>
      <c r="I1246" s="1"/>
      <c r="J1246" s="1"/>
      <c r="K1246" s="1"/>
      <c r="L1246" s="1"/>
      <c r="M1246" s="1"/>
      <c r="N1246" s="1"/>
      <c r="O1246" s="1"/>
      <c r="P1246" s="1"/>
      <c r="Q1246" s="1"/>
      <c r="R1246" s="1"/>
      <c r="S1246" s="1"/>
      <c r="T1246" s="1"/>
      <c r="U1246" s="1"/>
    </row>
    <row r="1247" ht="10.5" customHeight="1">
      <c r="A1247" s="1"/>
      <c r="B1247" s="1"/>
      <c r="C1247" s="1"/>
      <c r="D1247" s="1"/>
      <c r="E1247" s="1"/>
      <c r="F1247" s="1"/>
      <c r="G1247" s="1"/>
      <c r="H1247" s="1"/>
      <c r="I1247" s="1"/>
      <c r="J1247" s="1"/>
      <c r="K1247" s="1"/>
      <c r="L1247" s="1"/>
      <c r="M1247" s="1"/>
      <c r="N1247" s="1"/>
      <c r="O1247" s="1"/>
      <c r="P1247" s="1"/>
      <c r="Q1247" s="1"/>
      <c r="R1247" s="1"/>
      <c r="S1247" s="1"/>
      <c r="T1247" s="1"/>
      <c r="U1247" s="1"/>
    </row>
    <row r="1248" ht="10.5" customHeight="1">
      <c r="A1248" s="1"/>
      <c r="B1248" s="1"/>
      <c r="C1248" s="1"/>
      <c r="D1248" s="1"/>
      <c r="E1248" s="1"/>
      <c r="F1248" s="1"/>
      <c r="G1248" s="110">
        <v>52.0</v>
      </c>
      <c r="H1248" s="1"/>
      <c r="I1248" s="1"/>
      <c r="J1248" s="1"/>
      <c r="K1248" s="1"/>
      <c r="L1248" s="1"/>
      <c r="M1248" s="1"/>
      <c r="N1248" s="1"/>
      <c r="O1248" s="1"/>
      <c r="P1248" s="1"/>
      <c r="Q1248" s="1"/>
      <c r="R1248" s="1"/>
      <c r="S1248" s="1"/>
      <c r="T1248" s="1"/>
      <c r="U1248" s="1"/>
    </row>
    <row r="1249" ht="10.5" customHeight="1">
      <c r="A1249" s="1"/>
      <c r="B1249" s="1"/>
      <c r="C1249" s="1"/>
      <c r="D1249" s="1"/>
      <c r="E1249" s="1"/>
      <c r="F1249" s="1"/>
      <c r="G1249" s="1"/>
      <c r="H1249" s="1"/>
      <c r="I1249" s="1"/>
      <c r="J1249" s="1"/>
      <c r="K1249" s="1"/>
      <c r="L1249" s="1"/>
      <c r="M1249" s="1"/>
      <c r="N1249" s="1"/>
      <c r="O1249" s="1"/>
      <c r="P1249" s="1"/>
      <c r="Q1249" s="1"/>
      <c r="R1249" s="1"/>
      <c r="S1249" s="1"/>
      <c r="T1249" s="1"/>
      <c r="U1249" s="1"/>
    </row>
    <row r="1250" ht="11.25" customHeight="1">
      <c r="A1250" s="1"/>
      <c r="B1250" s="1" t="s">
        <v>1215</v>
      </c>
      <c r="C1250" s="1"/>
      <c r="D1250" s="1"/>
      <c r="E1250" s="1"/>
      <c r="F1250" s="1"/>
      <c r="G1250" s="1"/>
      <c r="H1250" s="1"/>
      <c r="I1250" s="1"/>
      <c r="J1250" s="1"/>
      <c r="K1250" s="1"/>
      <c r="L1250" s="1"/>
      <c r="M1250" s="1"/>
      <c r="N1250" s="1"/>
      <c r="O1250" s="1"/>
      <c r="P1250" s="1"/>
      <c r="Q1250" s="1"/>
      <c r="R1250" s="1"/>
      <c r="S1250" s="1"/>
      <c r="T1250" s="1"/>
      <c r="U1250" s="1"/>
    </row>
    <row r="1251" ht="11.25" customHeight="1">
      <c r="A1251" s="1"/>
      <c r="B1251" s="29" t="s">
        <v>1216</v>
      </c>
      <c r="C1251" s="31" t="s">
        <v>508</v>
      </c>
      <c r="D1251" s="31" t="s">
        <v>640</v>
      </c>
      <c r="E1251" s="128" t="s">
        <v>1217</v>
      </c>
      <c r="F1251" s="10"/>
      <c r="G1251" s="128" t="s">
        <v>243</v>
      </c>
      <c r="H1251" s="10"/>
      <c r="I1251" s="31" t="s">
        <v>510</v>
      </c>
      <c r="J1251" s="1"/>
      <c r="K1251" s="1"/>
      <c r="L1251" s="1"/>
      <c r="M1251" s="1"/>
      <c r="N1251" s="1"/>
      <c r="O1251" s="1"/>
      <c r="P1251" s="1"/>
      <c r="Q1251" s="1"/>
      <c r="R1251" s="1"/>
      <c r="S1251" s="1"/>
      <c r="T1251" s="1"/>
      <c r="U1251" s="1"/>
    </row>
    <row r="1252" ht="23.25" customHeight="1">
      <c r="A1252" s="1"/>
      <c r="B1252" s="5"/>
      <c r="C1252" s="6"/>
      <c r="D1252" s="6"/>
      <c r="E1252" s="7" t="s">
        <v>514</v>
      </c>
      <c r="F1252" s="7" t="s">
        <v>515</v>
      </c>
      <c r="G1252" s="7" t="s">
        <v>514</v>
      </c>
      <c r="H1252" s="7" t="s">
        <v>516</v>
      </c>
      <c r="I1252" s="6"/>
      <c r="J1252" s="1"/>
      <c r="K1252" s="1"/>
      <c r="L1252" s="1"/>
      <c r="M1252" s="1"/>
      <c r="N1252" s="1"/>
      <c r="O1252" s="1"/>
      <c r="P1252" s="1"/>
      <c r="Q1252" s="1"/>
      <c r="R1252" s="1"/>
      <c r="S1252" s="1"/>
      <c r="T1252" s="1"/>
      <c r="U1252" s="1"/>
    </row>
    <row r="1253" ht="11.25" customHeight="1">
      <c r="A1253" s="1"/>
      <c r="B1253" s="6"/>
      <c r="C1253" s="482" t="s">
        <v>520</v>
      </c>
      <c r="D1253" s="482" t="s">
        <v>50</v>
      </c>
      <c r="E1253" s="482" t="s">
        <v>520</v>
      </c>
      <c r="F1253" s="134" t="s">
        <v>52</v>
      </c>
      <c r="G1253" s="134" t="s">
        <v>520</v>
      </c>
      <c r="H1253" s="134" t="s">
        <v>52</v>
      </c>
      <c r="I1253" s="134" t="s">
        <v>520</v>
      </c>
      <c r="J1253" s="1"/>
      <c r="K1253" s="1"/>
      <c r="L1253" s="1"/>
      <c r="M1253" s="1"/>
      <c r="N1253" s="1"/>
      <c r="O1253" s="1"/>
      <c r="P1253" s="1"/>
      <c r="Q1253" s="1"/>
      <c r="R1253" s="1"/>
      <c r="S1253" s="1"/>
      <c r="T1253" s="1"/>
      <c r="U1253" s="1"/>
    </row>
    <row r="1254" ht="10.5" customHeight="1">
      <c r="A1254" s="1"/>
      <c r="B1254" s="722" t="s">
        <v>271</v>
      </c>
      <c r="C1254" s="244">
        <v>47903.0</v>
      </c>
      <c r="D1254" s="217">
        <v>6793.0</v>
      </c>
      <c r="E1254" s="228">
        <v>5659.0</v>
      </c>
      <c r="F1254" s="228">
        <v>71.0</v>
      </c>
      <c r="G1254" s="228">
        <v>35742.0</v>
      </c>
      <c r="H1254" s="51">
        <v>180.12</v>
      </c>
      <c r="I1254" s="130">
        <v>14690.0</v>
      </c>
      <c r="J1254" s="1"/>
      <c r="K1254" s="1"/>
      <c r="L1254" s="1"/>
      <c r="M1254" s="1"/>
      <c r="N1254" s="1"/>
      <c r="O1254" s="1"/>
      <c r="P1254" s="1"/>
      <c r="Q1254" s="1"/>
      <c r="R1254" s="1"/>
      <c r="S1254" s="1"/>
      <c r="T1254" s="1"/>
      <c r="U1254" s="1"/>
    </row>
    <row r="1255" ht="10.5" customHeight="1">
      <c r="A1255" s="1"/>
      <c r="B1255" s="722" t="s">
        <v>272</v>
      </c>
      <c r="C1255" s="244">
        <v>51631.0</v>
      </c>
      <c r="D1255" s="217">
        <v>4828.0</v>
      </c>
      <c r="E1255" s="228">
        <v>5152.0</v>
      </c>
      <c r="F1255" s="228">
        <v>90.0</v>
      </c>
      <c r="G1255" s="228">
        <v>39541.0</v>
      </c>
      <c r="H1255" s="51">
        <v>111.76</v>
      </c>
      <c r="I1255" s="130">
        <v>20210.0</v>
      </c>
      <c r="J1255" s="1"/>
      <c r="K1255" s="1"/>
      <c r="L1255" s="1"/>
      <c r="M1255" s="1"/>
      <c r="N1255" s="1"/>
      <c r="O1255" s="1"/>
      <c r="P1255" s="1"/>
      <c r="Q1255" s="1"/>
      <c r="R1255" s="1"/>
      <c r="S1255" s="1"/>
      <c r="T1255" s="1"/>
      <c r="U1255" s="1"/>
    </row>
    <row r="1256" ht="10.5" customHeight="1">
      <c r="A1256" s="1"/>
      <c r="B1256" s="722" t="s">
        <v>274</v>
      </c>
      <c r="C1256" s="244">
        <v>55414.0</v>
      </c>
      <c r="D1256" s="217">
        <v>6208.0</v>
      </c>
      <c r="E1256" s="228">
        <v>4419.0</v>
      </c>
      <c r="F1256" s="228">
        <v>142.0</v>
      </c>
      <c r="G1256" s="228">
        <v>35196.0</v>
      </c>
      <c r="H1256" s="51">
        <v>163.83</v>
      </c>
      <c r="I1256" s="130">
        <v>25950.0</v>
      </c>
      <c r="J1256" s="1"/>
      <c r="K1256" s="1"/>
      <c r="L1256" s="1"/>
      <c r="M1256" s="1"/>
      <c r="N1256" s="1"/>
      <c r="O1256" s="1"/>
      <c r="P1256" s="1"/>
      <c r="Q1256" s="1"/>
      <c r="R1256" s="1"/>
      <c r="S1256" s="1"/>
      <c r="T1256" s="1"/>
      <c r="U1256" s="1"/>
    </row>
    <row r="1257" ht="10.5" customHeight="1">
      <c r="A1257" s="1"/>
      <c r="B1257" s="722" t="s">
        <v>275</v>
      </c>
      <c r="C1257" s="244">
        <v>57940.0</v>
      </c>
      <c r="D1257" s="217">
        <v>7794.0</v>
      </c>
      <c r="E1257" s="228">
        <v>4568.0</v>
      </c>
      <c r="F1257" s="228">
        <v>140.0</v>
      </c>
      <c r="G1257" s="228">
        <v>39650.0</v>
      </c>
      <c r="H1257" s="51">
        <v>185.57</v>
      </c>
      <c r="I1257" s="130">
        <v>24750.0</v>
      </c>
      <c r="J1257" s="1"/>
      <c r="K1257" s="1"/>
      <c r="L1257" s="1"/>
      <c r="M1257" s="1"/>
      <c r="N1257" s="1"/>
      <c r="O1257" s="1"/>
      <c r="P1257" s="1"/>
      <c r="Q1257" s="1"/>
      <c r="R1257" s="1"/>
      <c r="S1257" s="1"/>
      <c r="T1257" s="1"/>
      <c r="U1257" s="1"/>
    </row>
    <row r="1258" ht="10.5" customHeight="1">
      <c r="A1258" s="1"/>
      <c r="B1258" s="722" t="s">
        <v>276</v>
      </c>
      <c r="C1258" s="280">
        <v>65959.0</v>
      </c>
      <c r="D1258" s="217">
        <v>11453.0</v>
      </c>
      <c r="E1258" s="228">
        <v>4641.0</v>
      </c>
      <c r="F1258" s="228">
        <v>163.0</v>
      </c>
      <c r="G1258" s="228">
        <v>42450.0</v>
      </c>
      <c r="H1258" s="51">
        <v>255.62</v>
      </c>
      <c r="I1258" s="130">
        <v>31760.0</v>
      </c>
      <c r="J1258" s="1"/>
      <c r="K1258" s="1"/>
      <c r="L1258" s="1"/>
      <c r="M1258" s="1"/>
      <c r="N1258" s="1"/>
      <c r="O1258" s="1"/>
      <c r="P1258" s="1"/>
      <c r="Q1258" s="1"/>
      <c r="R1258" s="1"/>
      <c r="S1258" s="1"/>
      <c r="T1258" s="1"/>
      <c r="U1258" s="1"/>
    </row>
    <row r="1259" ht="10.5" customHeight="1">
      <c r="A1259" s="1"/>
      <c r="B1259" s="722"/>
      <c r="C1259" s="217"/>
      <c r="D1259" s="217"/>
      <c r="E1259" s="228"/>
      <c r="F1259" s="228"/>
      <c r="G1259" s="228"/>
      <c r="H1259" s="51"/>
      <c r="I1259" s="130"/>
      <c r="J1259" s="1"/>
      <c r="K1259" s="1"/>
      <c r="L1259" s="1"/>
      <c r="M1259" s="1"/>
      <c r="N1259" s="1"/>
      <c r="O1259" s="1"/>
      <c r="P1259" s="1"/>
      <c r="Q1259" s="1"/>
      <c r="R1259" s="1"/>
      <c r="S1259" s="1"/>
      <c r="T1259" s="1"/>
      <c r="U1259" s="1"/>
    </row>
    <row r="1260" ht="10.5" customHeight="1">
      <c r="A1260" s="1"/>
      <c r="B1260" s="722" t="s">
        <v>56</v>
      </c>
      <c r="C1260" s="217">
        <v>71718.0</v>
      </c>
      <c r="D1260" s="228">
        <v>12832.0</v>
      </c>
      <c r="E1260" s="228">
        <v>4865.0</v>
      </c>
      <c r="F1260" s="228">
        <v>173.0</v>
      </c>
      <c r="G1260" s="228">
        <v>50963.0</v>
      </c>
      <c r="H1260" s="51">
        <v>238.36</v>
      </c>
      <c r="I1260" s="130">
        <v>23200.0</v>
      </c>
      <c r="J1260" s="1"/>
      <c r="K1260" s="1"/>
      <c r="L1260" s="1"/>
      <c r="M1260" s="1"/>
      <c r="N1260" s="1"/>
      <c r="O1260" s="1"/>
      <c r="P1260" s="1"/>
      <c r="Q1260" s="1"/>
      <c r="R1260" s="1"/>
      <c r="S1260" s="1"/>
      <c r="T1260" s="1"/>
      <c r="U1260" s="1"/>
    </row>
    <row r="1261" ht="10.5" customHeight="1">
      <c r="A1261" s="1"/>
      <c r="B1261" s="722" t="s">
        <v>81</v>
      </c>
      <c r="C1261" s="217">
        <v>79289.0</v>
      </c>
      <c r="D1261" s="228">
        <v>9808.0</v>
      </c>
      <c r="E1261" s="228">
        <v>6639.0</v>
      </c>
      <c r="F1261" s="228">
        <v>145.0</v>
      </c>
      <c r="G1261" s="228">
        <v>55214.0</v>
      </c>
      <c r="H1261" s="51">
        <v>163.75</v>
      </c>
      <c r="I1261" s="130">
        <v>31500.0</v>
      </c>
      <c r="J1261" s="1"/>
      <c r="K1261" s="1"/>
      <c r="L1261" s="1"/>
      <c r="M1261" s="1"/>
      <c r="N1261" s="1"/>
      <c r="O1261" s="1"/>
      <c r="P1261" s="1"/>
      <c r="Q1261" s="1"/>
      <c r="R1261" s="1"/>
      <c r="S1261" s="1"/>
      <c r="T1261" s="1"/>
      <c r="U1261" s="1"/>
    </row>
    <row r="1262" ht="10.5" customHeight="1">
      <c r="A1262" s="1"/>
      <c r="B1262" s="722" t="s">
        <v>86</v>
      </c>
      <c r="C1262" s="217">
        <v>59563.0</v>
      </c>
      <c r="D1262" s="228">
        <v>11036.0</v>
      </c>
      <c r="E1262" s="228">
        <v>4739.0</v>
      </c>
      <c r="F1262" s="228">
        <v>186.0</v>
      </c>
      <c r="G1262" s="228">
        <v>46759.0</v>
      </c>
      <c r="H1262" s="51">
        <v>221.65</v>
      </c>
      <c r="I1262" s="130">
        <v>15700.0</v>
      </c>
      <c r="J1262" s="1"/>
      <c r="K1262" s="1"/>
      <c r="L1262" s="1"/>
      <c r="M1262" s="1"/>
      <c r="N1262" s="1"/>
      <c r="O1262" s="1"/>
      <c r="P1262" s="1"/>
      <c r="Q1262" s="1"/>
      <c r="R1262" s="1"/>
      <c r="S1262" s="1"/>
      <c r="T1262" s="1"/>
      <c r="U1262" s="1"/>
    </row>
    <row r="1263" ht="10.5" customHeight="1">
      <c r="A1263" s="1"/>
      <c r="B1263" s="722" t="s">
        <v>87</v>
      </c>
      <c r="C1263" s="217">
        <v>54023.0</v>
      </c>
      <c r="D1263" s="228">
        <v>10893.0</v>
      </c>
      <c r="E1263" s="228">
        <v>5168.0</v>
      </c>
      <c r="F1263" s="228">
        <v>243.0</v>
      </c>
      <c r="G1263" s="228">
        <v>44240.0</v>
      </c>
      <c r="H1263" s="51">
        <v>231.26</v>
      </c>
      <c r="I1263" s="130">
        <v>9500.0</v>
      </c>
      <c r="J1263" s="1"/>
      <c r="K1263" s="1"/>
      <c r="L1263" s="1"/>
      <c r="M1263" s="1"/>
      <c r="N1263" s="1"/>
      <c r="O1263" s="1"/>
      <c r="P1263" s="1"/>
      <c r="Q1263" s="1"/>
      <c r="R1263" s="1"/>
      <c r="S1263" s="1"/>
      <c r="T1263" s="1"/>
      <c r="U1263" s="1"/>
    </row>
    <row r="1264" ht="10.5" customHeight="1">
      <c r="A1264" s="1"/>
      <c r="B1264" s="722" t="s">
        <v>90</v>
      </c>
      <c r="C1264" s="217">
        <v>57145.0</v>
      </c>
      <c r="D1264" s="228">
        <v>12665.0</v>
      </c>
      <c r="E1264" s="228">
        <v>4513.0</v>
      </c>
      <c r="F1264" s="228">
        <v>272.0</v>
      </c>
      <c r="G1264" s="228">
        <v>44175.0</v>
      </c>
      <c r="H1264" s="51">
        <v>268.82</v>
      </c>
      <c r="I1264" s="130">
        <v>20700.0</v>
      </c>
      <c r="J1264" s="1"/>
      <c r="K1264" s="1"/>
      <c r="L1264" s="1"/>
      <c r="M1264" s="1"/>
      <c r="N1264" s="1"/>
      <c r="O1264" s="1"/>
      <c r="P1264" s="1"/>
      <c r="Q1264" s="1"/>
      <c r="R1264" s="1"/>
      <c r="S1264" s="1"/>
      <c r="T1264" s="1"/>
      <c r="U1264" s="1"/>
    </row>
    <row r="1265" ht="10.5" customHeight="1">
      <c r="A1265" s="1"/>
      <c r="B1265" s="722"/>
      <c r="C1265" s="217"/>
      <c r="D1265" s="228"/>
      <c r="E1265" s="228"/>
      <c r="F1265" s="228"/>
      <c r="G1265" s="228"/>
      <c r="H1265" s="51"/>
      <c r="I1265" s="130"/>
      <c r="J1265" s="1"/>
      <c r="K1265" s="1"/>
      <c r="L1265" s="1"/>
      <c r="M1265" s="1"/>
      <c r="N1265" s="1"/>
      <c r="O1265" s="1"/>
      <c r="P1265" s="1"/>
      <c r="Q1265" s="1"/>
      <c r="R1265" s="1"/>
      <c r="S1265" s="1"/>
      <c r="T1265" s="1"/>
      <c r="U1265" s="1"/>
    </row>
    <row r="1266" ht="10.5" customHeight="1">
      <c r="A1266" s="1"/>
      <c r="B1266" s="722" t="s">
        <v>93</v>
      </c>
      <c r="C1266" s="244">
        <v>67766.0</v>
      </c>
      <c r="D1266" s="217">
        <v>22969.0</v>
      </c>
      <c r="E1266" s="228">
        <v>3770.0</v>
      </c>
      <c r="F1266" s="228">
        <v>295.0</v>
      </c>
      <c r="G1266" s="228">
        <v>43203.0</v>
      </c>
      <c r="H1266" s="51">
        <v>485.31</v>
      </c>
      <c r="I1266" s="130">
        <v>28300.0</v>
      </c>
      <c r="J1266" s="1"/>
      <c r="K1266" s="1"/>
      <c r="L1266" s="1"/>
      <c r="M1266" s="1"/>
      <c r="N1266" s="1"/>
      <c r="O1266" s="1"/>
      <c r="P1266" s="1"/>
      <c r="Q1266" s="1"/>
      <c r="R1266" s="1"/>
      <c r="S1266" s="1"/>
      <c r="T1266" s="1"/>
      <c r="U1266" s="1"/>
    </row>
    <row r="1267" ht="10.5" customHeight="1">
      <c r="A1267" s="1"/>
      <c r="B1267" s="722" t="s">
        <v>97</v>
      </c>
      <c r="C1267" s="244">
        <v>69502.0</v>
      </c>
      <c r="D1267" s="217">
        <v>28429.0</v>
      </c>
      <c r="E1267" s="228">
        <v>4663.0</v>
      </c>
      <c r="F1267" s="228">
        <v>358.0</v>
      </c>
      <c r="G1267" s="228">
        <v>43440.0</v>
      </c>
      <c r="H1267" s="51">
        <v>624.51</v>
      </c>
      <c r="I1267" s="130">
        <v>33300.0</v>
      </c>
      <c r="J1267" s="1"/>
      <c r="K1267" s="1"/>
      <c r="L1267" s="1"/>
      <c r="M1267" s="1"/>
      <c r="N1267" s="1"/>
      <c r="O1267" s="1"/>
      <c r="P1267" s="1"/>
      <c r="Q1267" s="1"/>
      <c r="R1267" s="1"/>
      <c r="S1267" s="1"/>
      <c r="T1267" s="1"/>
      <c r="U1267" s="1"/>
    </row>
    <row r="1268" ht="10.5" customHeight="1">
      <c r="A1268" s="1"/>
      <c r="B1268" s="722" t="s">
        <v>101</v>
      </c>
      <c r="C1268" s="244">
        <v>80346.0</v>
      </c>
      <c r="D1268" s="217">
        <v>22625.0</v>
      </c>
      <c r="E1268" s="228">
        <v>6562.0</v>
      </c>
      <c r="F1268" s="228">
        <v>320.0</v>
      </c>
      <c r="G1268" s="228">
        <v>48380.0</v>
      </c>
      <c r="H1268" s="51">
        <v>441.23</v>
      </c>
      <c r="I1268" s="130">
        <v>41700.0</v>
      </c>
      <c r="J1268" s="1"/>
      <c r="K1268" s="1"/>
      <c r="L1268" s="1"/>
      <c r="M1268" s="1"/>
      <c r="N1268" s="1"/>
      <c r="O1268" s="1"/>
      <c r="P1268" s="1"/>
      <c r="Q1268" s="1"/>
      <c r="R1268" s="1"/>
      <c r="S1268" s="1"/>
      <c r="T1268" s="1"/>
      <c r="U1268" s="1"/>
    </row>
    <row r="1269" ht="10.5" customHeight="1">
      <c r="A1269" s="1"/>
      <c r="B1269" s="722" t="s">
        <v>103</v>
      </c>
      <c r="C1269" s="244">
        <v>91656.0</v>
      </c>
      <c r="D1269" s="217">
        <v>28583.0</v>
      </c>
      <c r="E1269" s="228">
        <v>4517.0</v>
      </c>
      <c r="F1269" s="228">
        <v>446.0</v>
      </c>
      <c r="G1269" s="228">
        <v>47427.0</v>
      </c>
      <c r="H1269" s="51">
        <v>541.59</v>
      </c>
      <c r="I1269" s="130">
        <v>55000.0</v>
      </c>
      <c r="J1269" s="1"/>
      <c r="K1269" s="1"/>
      <c r="L1269" s="1"/>
      <c r="M1269" s="1"/>
      <c r="N1269" s="1"/>
      <c r="O1269" s="1"/>
      <c r="P1269" s="1"/>
      <c r="Q1269" s="1"/>
      <c r="R1269" s="1"/>
      <c r="S1269" s="1"/>
      <c r="T1269" s="1"/>
      <c r="U1269" s="1"/>
    </row>
    <row r="1270" ht="10.5" customHeight="1">
      <c r="A1270" s="1"/>
      <c r="B1270" s="722" t="s">
        <v>104</v>
      </c>
      <c r="C1270" s="244">
        <v>105894.0</v>
      </c>
      <c r="D1270" s="217">
        <v>47169.0</v>
      </c>
      <c r="E1270" s="228">
        <v>4345.0</v>
      </c>
      <c r="F1270" s="228">
        <v>483.0</v>
      </c>
      <c r="G1270" s="228">
        <v>49834.0</v>
      </c>
      <c r="H1270" s="51">
        <v>883.26</v>
      </c>
      <c r="I1270" s="130">
        <v>51000.0</v>
      </c>
      <c r="J1270" s="1"/>
      <c r="K1270" s="1"/>
      <c r="L1270" s="1"/>
      <c r="M1270" s="1"/>
      <c r="N1270" s="1"/>
      <c r="O1270" s="1"/>
      <c r="P1270" s="1"/>
      <c r="Q1270" s="1"/>
      <c r="R1270" s="1"/>
      <c r="S1270" s="1"/>
      <c r="T1270" s="1"/>
      <c r="U1270" s="1"/>
    </row>
    <row r="1271" ht="10.5" customHeight="1">
      <c r="A1271" s="1"/>
      <c r="B1271" s="722"/>
      <c r="C1271" s="244"/>
      <c r="D1271" s="217"/>
      <c r="E1271" s="228"/>
      <c r="F1271" s="228"/>
      <c r="G1271" s="228"/>
      <c r="H1271" s="51"/>
      <c r="I1271" s="130"/>
      <c r="J1271" s="1"/>
      <c r="K1271" s="1"/>
      <c r="L1271" s="1"/>
      <c r="M1271" s="1"/>
      <c r="N1271" s="1"/>
      <c r="O1271" s="1"/>
      <c r="P1271" s="1"/>
      <c r="Q1271" s="1"/>
      <c r="R1271" s="1"/>
      <c r="S1271" s="1"/>
      <c r="T1271" s="1"/>
      <c r="U1271" s="1"/>
    </row>
    <row r="1272" ht="10.5" customHeight="1">
      <c r="A1272" s="1"/>
      <c r="B1272" s="722" t="s">
        <v>108</v>
      </c>
      <c r="C1272" s="244">
        <v>100710.0</v>
      </c>
      <c r="D1272" s="217">
        <v>62804.0</v>
      </c>
      <c r="E1272" s="228">
        <v>3964.0</v>
      </c>
      <c r="F1272" s="228">
        <v>460.0</v>
      </c>
      <c r="G1272" s="228">
        <v>51621.0</v>
      </c>
      <c r="H1272" s="51">
        <v>1096.52</v>
      </c>
      <c r="I1272" s="130">
        <v>41300.0</v>
      </c>
      <c r="J1272" s="1"/>
      <c r="K1272" s="1"/>
      <c r="L1272" s="1"/>
      <c r="M1272" s="1"/>
      <c r="N1272" s="1"/>
      <c r="O1272" s="1"/>
      <c r="P1272" s="1"/>
      <c r="Q1272" s="1"/>
      <c r="R1272" s="1"/>
      <c r="S1272" s="1"/>
      <c r="T1272" s="1"/>
      <c r="U1272" s="1"/>
    </row>
    <row r="1273" ht="10.5" customHeight="1">
      <c r="A1273" s="1"/>
      <c r="B1273" s="722" t="s">
        <v>111</v>
      </c>
      <c r="C1273" s="244">
        <v>112539.0</v>
      </c>
      <c r="D1273" s="217">
        <v>77000.0</v>
      </c>
      <c r="E1273" s="228">
        <v>3671.0</v>
      </c>
      <c r="F1273" s="228">
        <v>493.0</v>
      </c>
      <c r="G1273" s="228">
        <v>53320.0</v>
      </c>
      <c r="H1273" s="51">
        <v>1337.16</v>
      </c>
      <c r="I1273" s="130">
        <v>52000.0</v>
      </c>
      <c r="J1273" s="1"/>
      <c r="K1273" s="1"/>
      <c r="L1273" s="1"/>
      <c r="M1273" s="1"/>
      <c r="N1273" s="1"/>
      <c r="O1273" s="1"/>
      <c r="P1273" s="1"/>
      <c r="Q1273" s="1"/>
      <c r="R1273" s="1"/>
      <c r="S1273" s="1"/>
      <c r="T1273" s="1"/>
      <c r="U1273" s="1"/>
    </row>
    <row r="1274" ht="10.5" customHeight="1">
      <c r="A1274" s="1"/>
      <c r="B1274" s="722" t="s">
        <v>112</v>
      </c>
      <c r="C1274" s="244">
        <v>101844.0</v>
      </c>
      <c r="D1274" s="217">
        <v>77424.0</v>
      </c>
      <c r="E1274" s="228">
        <v>3536.0</v>
      </c>
      <c r="F1274" s="228">
        <v>608.0</v>
      </c>
      <c r="G1274" s="228">
        <v>50888.0</v>
      </c>
      <c r="H1274" s="51">
        <v>1405.1</v>
      </c>
      <c r="I1274" s="130">
        <v>44000.0</v>
      </c>
      <c r="J1274" s="1"/>
      <c r="K1274" s="1"/>
      <c r="L1274" s="1"/>
      <c r="M1274" s="1"/>
      <c r="N1274" s="1"/>
      <c r="O1274" s="1"/>
      <c r="P1274" s="1"/>
      <c r="Q1274" s="1"/>
      <c r="R1274" s="1"/>
      <c r="S1274" s="1"/>
      <c r="T1274" s="1"/>
      <c r="U1274" s="1"/>
    </row>
    <row r="1275" ht="10.5" customHeight="1">
      <c r="A1275" s="1"/>
      <c r="B1275" s="722" t="s">
        <v>113</v>
      </c>
      <c r="C1275" s="244">
        <v>89367.0</v>
      </c>
      <c r="D1275" s="217">
        <v>60850.0</v>
      </c>
      <c r="E1275" s="228">
        <v>4570.0</v>
      </c>
      <c r="F1275" s="228">
        <v>544.0</v>
      </c>
      <c r="G1275" s="228">
        <v>49402.0</v>
      </c>
      <c r="H1275" s="51">
        <v>1113.07</v>
      </c>
      <c r="I1275" s="130">
        <v>31000.0</v>
      </c>
      <c r="J1275" s="1"/>
      <c r="K1275" s="1"/>
      <c r="L1275" s="1"/>
      <c r="M1275" s="1"/>
      <c r="N1275" s="1"/>
      <c r="O1275" s="1"/>
      <c r="P1275" s="1"/>
      <c r="Q1275" s="1"/>
      <c r="R1275" s="1"/>
      <c r="S1275" s="1"/>
      <c r="T1275" s="1"/>
      <c r="U1275" s="1"/>
    </row>
    <row r="1276" ht="10.5" customHeight="1">
      <c r="A1276" s="1"/>
      <c r="B1276" s="722" t="s">
        <v>114</v>
      </c>
      <c r="C1276" s="244">
        <v>120196.0</v>
      </c>
      <c r="D1276" s="217">
        <v>100264.0</v>
      </c>
      <c r="E1276" s="228">
        <v>4348.0</v>
      </c>
      <c r="F1276" s="228">
        <v>642.0</v>
      </c>
      <c r="G1276" s="228">
        <v>68886.0</v>
      </c>
      <c r="H1276" s="51">
        <v>1346.46</v>
      </c>
      <c r="I1276" s="130">
        <v>42776.0</v>
      </c>
      <c r="J1276" s="1"/>
      <c r="K1276" s="1"/>
      <c r="L1276" s="1"/>
      <c r="M1276" s="1"/>
      <c r="N1276" s="1"/>
      <c r="O1276" s="1"/>
      <c r="P1276" s="1"/>
      <c r="Q1276" s="1"/>
      <c r="R1276" s="1"/>
      <c r="S1276" s="1"/>
      <c r="T1276" s="1"/>
      <c r="U1276" s="1"/>
    </row>
    <row r="1277" ht="10.5" customHeight="1">
      <c r="A1277" s="1"/>
      <c r="B1277" s="722"/>
      <c r="C1277" s="244"/>
      <c r="D1277" s="217"/>
      <c r="E1277" s="228"/>
      <c r="F1277" s="228"/>
      <c r="G1277" s="228"/>
      <c r="H1277" s="51"/>
      <c r="I1277" s="130"/>
      <c r="J1277" s="1"/>
      <c r="K1277" s="1"/>
      <c r="L1277" s="1"/>
      <c r="M1277" s="1"/>
      <c r="N1277" s="1"/>
      <c r="O1277" s="1"/>
      <c r="P1277" s="1"/>
      <c r="Q1277" s="1"/>
      <c r="R1277" s="1"/>
      <c r="S1277" s="1"/>
      <c r="T1277" s="1"/>
      <c r="U1277" s="1"/>
    </row>
    <row r="1278" ht="10.5" customHeight="1">
      <c r="A1278" s="1"/>
      <c r="B1278" s="722" t="s">
        <v>115</v>
      </c>
      <c r="C1278" s="244">
        <v>128046.0</v>
      </c>
      <c r="D1278" s="217">
        <v>122162.0</v>
      </c>
      <c r="E1278" s="228">
        <v>4019.0</v>
      </c>
      <c r="F1278" s="228">
        <v>708.0</v>
      </c>
      <c r="G1278" s="228">
        <v>76416.0</v>
      </c>
      <c r="H1278" s="51">
        <v>1490.92</v>
      </c>
      <c r="I1278" s="130">
        <v>43736.0</v>
      </c>
      <c r="J1278" s="1"/>
      <c r="K1278" s="1"/>
      <c r="L1278" s="1"/>
      <c r="M1278" s="1"/>
      <c r="N1278" s="1"/>
      <c r="O1278" s="1"/>
      <c r="P1278" s="1"/>
      <c r="Q1278" s="1"/>
      <c r="R1278" s="1"/>
      <c r="S1278" s="1"/>
      <c r="T1278" s="1"/>
      <c r="U1278" s="1"/>
    </row>
    <row r="1279" ht="10.5" customHeight="1">
      <c r="A1279" s="1"/>
      <c r="B1279" s="722" t="s">
        <v>117</v>
      </c>
      <c r="C1279" s="244">
        <v>157589.0</v>
      </c>
      <c r="D1279" s="217">
        <v>139268.0</v>
      </c>
      <c r="E1279" s="228">
        <v>4425.0</v>
      </c>
      <c r="F1279" s="228">
        <v>677.0</v>
      </c>
      <c r="G1279" s="228">
        <v>114000.0</v>
      </c>
      <c r="H1279" s="51">
        <v>1137.84</v>
      </c>
      <c r="I1279" s="130">
        <v>34905.0</v>
      </c>
      <c r="J1279" s="1"/>
      <c r="K1279" s="1"/>
      <c r="L1279" s="1"/>
      <c r="M1279" s="1"/>
      <c r="N1279" s="1"/>
      <c r="O1279" s="1"/>
      <c r="P1279" s="1"/>
      <c r="Q1279" s="1"/>
      <c r="R1279" s="1"/>
      <c r="S1279" s="1"/>
      <c r="T1279" s="1"/>
      <c r="U1279" s="1"/>
    </row>
    <row r="1280" ht="10.5" customHeight="1">
      <c r="A1280" s="1"/>
      <c r="B1280" s="722" t="s">
        <v>121</v>
      </c>
      <c r="C1280" s="244">
        <v>155477.0</v>
      </c>
      <c r="D1280" s="217">
        <v>82516.0</v>
      </c>
      <c r="E1280" s="228">
        <v>4120.0</v>
      </c>
      <c r="F1280" s="228">
        <v>635.0</v>
      </c>
      <c r="G1280" s="228">
        <v>109500.0</v>
      </c>
      <c r="H1280" s="51">
        <v>690.0</v>
      </c>
      <c r="I1280" s="130">
        <v>37886.0</v>
      </c>
      <c r="J1280" s="1"/>
      <c r="K1280" s="1"/>
      <c r="L1280" s="1"/>
      <c r="M1280" s="1"/>
      <c r="N1280" s="1"/>
      <c r="O1280" s="1"/>
      <c r="P1280" s="1"/>
      <c r="Q1280" s="1"/>
      <c r="R1280" s="1"/>
      <c r="S1280" s="1"/>
      <c r="T1280" s="1"/>
      <c r="U1280" s="1"/>
    </row>
    <row r="1281" ht="10.5" customHeight="1">
      <c r="A1281" s="1"/>
      <c r="B1281" s="722" t="s">
        <v>122</v>
      </c>
      <c r="C1281" s="244">
        <v>196037.0</v>
      </c>
      <c r="D1281" s="217">
        <v>280053.0</v>
      </c>
      <c r="E1281" s="228">
        <v>4119.0</v>
      </c>
      <c r="F1281" s="228">
        <v>847.0</v>
      </c>
      <c r="G1281" s="228">
        <v>139500.0</v>
      </c>
      <c r="H1281" s="51">
        <v>1952.67</v>
      </c>
      <c r="I1281" s="130">
        <v>48448.0</v>
      </c>
      <c r="J1281" s="1"/>
      <c r="K1281" s="1"/>
      <c r="L1281" s="1"/>
      <c r="M1281" s="1"/>
      <c r="N1281" s="1"/>
      <c r="O1281" s="1"/>
      <c r="P1281" s="1"/>
      <c r="Q1281" s="1"/>
      <c r="R1281" s="1"/>
      <c r="S1281" s="1"/>
      <c r="T1281" s="1"/>
      <c r="U1281" s="1"/>
    </row>
    <row r="1282" ht="10.5" customHeight="1">
      <c r="A1282" s="1"/>
      <c r="B1282" s="722" t="s">
        <v>123</v>
      </c>
      <c r="C1282" s="244">
        <v>212181.0</v>
      </c>
      <c r="D1282" s="217">
        <v>282409.0</v>
      </c>
      <c r="E1282" s="228">
        <v>3700.0</v>
      </c>
      <c r="F1282" s="228">
        <v>903.0</v>
      </c>
      <c r="G1282" s="228">
        <v>132000.0</v>
      </c>
      <c r="H1282" s="51">
        <v>2056.0</v>
      </c>
      <c r="I1282" s="130">
        <v>72830.0</v>
      </c>
      <c r="J1282" s="1"/>
      <c r="K1282" s="1"/>
      <c r="L1282" s="1"/>
      <c r="M1282" s="1"/>
      <c r="N1282" s="1"/>
      <c r="O1282" s="1"/>
      <c r="P1282" s="1"/>
      <c r="Q1282" s="1"/>
      <c r="R1282" s="1"/>
      <c r="S1282" s="1"/>
      <c r="T1282" s="1"/>
      <c r="U1282" s="1"/>
    </row>
    <row r="1283" ht="10.5" customHeight="1">
      <c r="A1283" s="1"/>
      <c r="B1283" s="722"/>
      <c r="C1283" s="244"/>
      <c r="D1283" s="217"/>
      <c r="E1283" s="228"/>
      <c r="F1283" s="228"/>
      <c r="G1283" s="228"/>
      <c r="H1283" s="51"/>
      <c r="I1283" s="130"/>
      <c r="J1283" s="1"/>
      <c r="K1283" s="1"/>
      <c r="L1283" s="1"/>
      <c r="M1283" s="1"/>
      <c r="N1283" s="1"/>
      <c r="O1283" s="1"/>
      <c r="P1283" s="1"/>
      <c r="Q1283" s="1"/>
      <c r="R1283" s="1"/>
      <c r="S1283" s="1"/>
      <c r="T1283" s="1"/>
      <c r="U1283" s="1"/>
    </row>
    <row r="1284" ht="10.5" customHeight="1">
      <c r="A1284" s="1"/>
      <c r="B1284" s="726" t="s">
        <v>125</v>
      </c>
      <c r="C1284" s="164">
        <v>322834.0</v>
      </c>
      <c r="D1284" s="164">
        <v>227518.0</v>
      </c>
      <c r="E1284" s="228">
        <v>2976.0</v>
      </c>
      <c r="F1284" s="228">
        <v>689.0</v>
      </c>
      <c r="G1284" s="228">
        <v>159000.0</v>
      </c>
      <c r="H1284" s="51">
        <v>1270.67</v>
      </c>
      <c r="I1284" s="132">
        <v>157964.0</v>
      </c>
      <c r="J1284" s="1"/>
      <c r="K1284" s="1"/>
      <c r="L1284" s="1"/>
      <c r="M1284" s="1"/>
      <c r="N1284" s="1"/>
      <c r="O1284" s="1"/>
      <c r="P1284" s="1"/>
      <c r="Q1284" s="1"/>
      <c r="R1284" s="1"/>
      <c r="S1284" s="1"/>
      <c r="T1284" s="1"/>
      <c r="U1284" s="1"/>
    </row>
    <row r="1285" ht="10.5" customHeight="1">
      <c r="A1285" s="1"/>
      <c r="B1285" s="726" t="s">
        <v>127</v>
      </c>
      <c r="C1285" s="164">
        <v>310969.0</v>
      </c>
      <c r="D1285" s="164">
        <v>335549.0</v>
      </c>
      <c r="E1285" s="228">
        <v>3980.0</v>
      </c>
      <c r="F1285" s="217">
        <v>921.0</v>
      </c>
      <c r="G1285" s="217">
        <v>129149.0</v>
      </c>
      <c r="H1285" s="50">
        <v>2377.45</v>
      </c>
      <c r="I1285" s="132">
        <v>174000.0</v>
      </c>
      <c r="J1285" s="1"/>
      <c r="K1285" s="1"/>
      <c r="L1285" s="1"/>
      <c r="M1285" s="1"/>
      <c r="N1285" s="1"/>
      <c r="O1285" s="1"/>
      <c r="P1285" s="1"/>
      <c r="Q1285" s="1"/>
      <c r="R1285" s="1"/>
      <c r="S1285" s="1"/>
      <c r="T1285" s="1"/>
      <c r="U1285" s="1"/>
    </row>
    <row r="1286" ht="10.5" customHeight="1">
      <c r="A1286" s="1"/>
      <c r="B1286" s="722" t="s">
        <v>128</v>
      </c>
      <c r="C1286" s="164">
        <v>297596.0</v>
      </c>
      <c r="D1286" s="164">
        <v>411065.0</v>
      </c>
      <c r="E1286" s="228">
        <v>3140.0</v>
      </c>
      <c r="F1286" s="217">
        <v>1206.0</v>
      </c>
      <c r="G1286" s="217">
        <v>166515.0</v>
      </c>
      <c r="H1286" s="50">
        <v>2329.46</v>
      </c>
      <c r="I1286" s="132">
        <v>124893.0</v>
      </c>
      <c r="J1286" s="1"/>
      <c r="K1286" s="1"/>
      <c r="L1286" s="1"/>
      <c r="M1286" s="1"/>
      <c r="N1286" s="1"/>
      <c r="O1286" s="1"/>
      <c r="P1286" s="1"/>
      <c r="Q1286" s="1"/>
      <c r="R1286" s="1"/>
      <c r="S1286" s="1"/>
      <c r="T1286" s="1"/>
      <c r="U1286" s="1"/>
    </row>
    <row r="1287" ht="10.5" customHeight="1">
      <c r="A1287" s="1"/>
      <c r="B1287" s="722" t="s">
        <v>129</v>
      </c>
      <c r="C1287" s="164">
        <v>323346.0</v>
      </c>
      <c r="D1287" s="164">
        <v>370730.0</v>
      </c>
      <c r="E1287" s="228">
        <v>3340.0</v>
      </c>
      <c r="F1287" s="217">
        <v>1518.0</v>
      </c>
      <c r="G1287" s="217">
        <v>170136.0</v>
      </c>
      <c r="H1287" s="50">
        <v>2009.66</v>
      </c>
      <c r="I1287" s="132">
        <v>146633.0</v>
      </c>
      <c r="J1287" s="1"/>
      <c r="K1287" s="1"/>
      <c r="L1287" s="1"/>
      <c r="M1287" s="1"/>
      <c r="N1287" s="1"/>
      <c r="O1287" s="1"/>
      <c r="P1287" s="1"/>
      <c r="Q1287" s="1"/>
      <c r="R1287" s="1"/>
      <c r="S1287" s="1"/>
      <c r="T1287" s="1"/>
      <c r="U1287" s="1"/>
    </row>
    <row r="1288" ht="10.5" customHeight="1">
      <c r="A1288" s="1"/>
      <c r="B1288" s="722" t="s">
        <v>130</v>
      </c>
      <c r="C1288" s="164">
        <v>300060.0</v>
      </c>
      <c r="D1288" s="164">
        <v>466039.0</v>
      </c>
      <c r="E1288" s="228">
        <v>3736.0</v>
      </c>
      <c r="F1288" s="217">
        <v>1444.0</v>
      </c>
      <c r="G1288" s="217">
        <v>174054.0</v>
      </c>
      <c r="H1288" s="50">
        <v>2401.54</v>
      </c>
      <c r="I1288" s="132">
        <v>118662.0</v>
      </c>
      <c r="J1288" s="1"/>
      <c r="K1288" s="1"/>
      <c r="L1288" s="1"/>
      <c r="M1288" s="1"/>
      <c r="N1288" s="1"/>
      <c r="O1288" s="1"/>
      <c r="P1288" s="1"/>
      <c r="Q1288" s="1"/>
      <c r="R1288" s="1"/>
      <c r="S1288" s="1"/>
      <c r="T1288" s="1"/>
      <c r="U1288" s="1"/>
    </row>
    <row r="1289" ht="10.5" customHeight="1">
      <c r="A1289" s="1"/>
      <c r="B1289" s="722"/>
      <c r="C1289" s="164"/>
      <c r="D1289" s="164"/>
      <c r="E1289" s="228"/>
      <c r="F1289" s="217"/>
      <c r="G1289" s="217"/>
      <c r="H1289" s="50"/>
      <c r="I1289" s="132"/>
      <c r="J1289" s="1"/>
      <c r="K1289" s="1"/>
      <c r="L1289" s="1"/>
      <c r="M1289" s="1"/>
      <c r="N1289" s="1"/>
      <c r="O1289" s="1"/>
      <c r="P1289" s="1"/>
      <c r="Q1289" s="1"/>
      <c r="R1289" s="1"/>
      <c r="S1289" s="1"/>
      <c r="T1289" s="1"/>
      <c r="U1289" s="1"/>
    </row>
    <row r="1290" ht="10.5" customHeight="1">
      <c r="A1290" s="1"/>
      <c r="B1290" s="722" t="s">
        <v>131</v>
      </c>
      <c r="C1290" s="164">
        <v>363052.0</v>
      </c>
      <c r="D1290" s="164">
        <v>285095.0</v>
      </c>
      <c r="E1290" s="228">
        <v>3535.0</v>
      </c>
      <c r="F1290" s="217">
        <v>1494.0</v>
      </c>
      <c r="G1290" s="217">
        <v>226517.0</v>
      </c>
      <c r="H1290" s="50">
        <v>1031.71</v>
      </c>
      <c r="I1290" s="132">
        <v>129580.0</v>
      </c>
      <c r="J1290" s="1"/>
      <c r="K1290" s="1"/>
      <c r="L1290" s="1"/>
      <c r="M1290" s="1"/>
      <c r="N1290" s="1"/>
      <c r="O1290" s="1"/>
      <c r="P1290" s="1"/>
      <c r="Q1290" s="1"/>
      <c r="R1290" s="1"/>
      <c r="S1290" s="1"/>
      <c r="T1290" s="1"/>
      <c r="U1290" s="1"/>
    </row>
    <row r="1291" ht="10.5" customHeight="1">
      <c r="A1291" s="1"/>
      <c r="B1291" s="722" t="s">
        <v>133</v>
      </c>
      <c r="C1291" s="164">
        <v>354120.0</v>
      </c>
      <c r="D1291" s="164">
        <v>359806.0</v>
      </c>
      <c r="E1291" s="228">
        <v>3914.0</v>
      </c>
      <c r="F1291" s="217">
        <v>1499.0</v>
      </c>
      <c r="G1291" s="217">
        <v>157617.0</v>
      </c>
      <c r="H1291" s="50">
        <v>1755.08</v>
      </c>
      <c r="I1291" s="132">
        <v>188811.0</v>
      </c>
      <c r="J1291" s="1"/>
      <c r="K1291" s="1"/>
      <c r="L1291" s="1"/>
      <c r="M1291" s="1"/>
      <c r="N1291" s="1"/>
      <c r="O1291" s="1"/>
      <c r="P1291" s="1"/>
      <c r="Q1291" s="1"/>
      <c r="R1291" s="1"/>
      <c r="S1291" s="1"/>
      <c r="T1291" s="1"/>
      <c r="U1291" s="1"/>
    </row>
    <row r="1292" ht="10.5" customHeight="1">
      <c r="A1292" s="1"/>
      <c r="B1292" s="293">
        <v>39295.875</v>
      </c>
      <c r="C1292" s="164">
        <v>388785.0</v>
      </c>
      <c r="D1292" s="164">
        <v>634438.0</v>
      </c>
      <c r="E1292" s="228">
        <v>4132.0</v>
      </c>
      <c r="F1292" s="217">
        <v>1791.0</v>
      </c>
      <c r="G1292" s="217">
        <v>214622.0</v>
      </c>
      <c r="H1292" s="50">
        <v>2711.99</v>
      </c>
      <c r="I1292" s="132">
        <v>166048.0</v>
      </c>
      <c r="J1292" s="1"/>
      <c r="K1292" s="1"/>
      <c r="L1292" s="1"/>
      <c r="M1292" s="1"/>
      <c r="N1292" s="1"/>
      <c r="O1292" s="1"/>
      <c r="P1292" s="1"/>
      <c r="Q1292" s="1"/>
      <c r="R1292" s="1"/>
      <c r="S1292" s="1"/>
      <c r="T1292" s="1"/>
      <c r="U1292" s="1"/>
    </row>
    <row r="1293" ht="10.5" customHeight="1">
      <c r="A1293" s="1"/>
      <c r="B1293" s="293">
        <v>39692.0</v>
      </c>
      <c r="C1293" s="164">
        <v>340787.0</v>
      </c>
      <c r="D1293" s="164">
        <v>740657.0</v>
      </c>
      <c r="E1293" s="228">
        <v>3596.0</v>
      </c>
      <c r="F1293" s="217">
        <v>2269.0</v>
      </c>
      <c r="G1293" s="217">
        <v>190022.0</v>
      </c>
      <c r="H1293" s="50">
        <v>3707.08</v>
      </c>
      <c r="I1293" s="132">
        <v>143708.0</v>
      </c>
      <c r="J1293" s="1"/>
      <c r="K1293" s="1"/>
      <c r="L1293" s="1"/>
      <c r="M1293" s="1"/>
      <c r="N1293" s="1"/>
      <c r="O1293" s="1"/>
      <c r="P1293" s="1"/>
      <c r="Q1293" s="1"/>
      <c r="R1293" s="1"/>
      <c r="S1293" s="1"/>
      <c r="T1293" s="1"/>
      <c r="U1293" s="1"/>
    </row>
    <row r="1294" ht="10.5" customHeight="1">
      <c r="A1294" s="1"/>
      <c r="B1294" s="293">
        <v>40087.0</v>
      </c>
      <c r="C1294" s="164">
        <v>406694.0</v>
      </c>
      <c r="D1294" s="164">
        <v>447312.0</v>
      </c>
      <c r="E1294" s="228">
        <v>4427.0</v>
      </c>
      <c r="F1294" s="217">
        <v>1855.0</v>
      </c>
      <c r="G1294" s="217">
        <v>210923.0</v>
      </c>
      <c r="H1294" s="50">
        <v>1839.53</v>
      </c>
      <c r="I1294" s="132">
        <v>187082.0</v>
      </c>
      <c r="J1294" s="1"/>
      <c r="K1294" s="1"/>
      <c r="L1294" s="1"/>
      <c r="M1294" s="1"/>
      <c r="N1294" s="1"/>
      <c r="O1294" s="1"/>
      <c r="P1294" s="1"/>
      <c r="Q1294" s="1"/>
      <c r="R1294" s="1"/>
      <c r="S1294" s="1"/>
      <c r="T1294" s="1"/>
      <c r="U1294" s="1"/>
    </row>
    <row r="1295" ht="10.5" customHeight="1">
      <c r="A1295" s="1"/>
      <c r="B1295" s="728"/>
      <c r="C1295" s="164"/>
      <c r="D1295" s="164"/>
      <c r="E1295" s="228"/>
      <c r="F1295" s="217"/>
      <c r="G1295" s="217"/>
      <c r="H1295" s="50"/>
      <c r="I1295" s="132"/>
      <c r="J1295" s="1"/>
      <c r="K1295" s="1"/>
      <c r="L1295" s="1"/>
      <c r="M1295" s="1"/>
      <c r="N1295" s="1"/>
      <c r="O1295" s="1"/>
      <c r="P1295" s="1"/>
      <c r="Q1295" s="1"/>
      <c r="R1295" s="1"/>
      <c r="S1295" s="1"/>
      <c r="T1295" s="1"/>
      <c r="U1295" s="1"/>
    </row>
    <row r="1296" ht="10.5" customHeight="1">
      <c r="A1296" s="1"/>
      <c r="B1296" s="293">
        <v>40483.727268518516</v>
      </c>
      <c r="C1296" s="164">
        <v>343028.0</v>
      </c>
      <c r="D1296" s="164">
        <v>860725.0</v>
      </c>
      <c r="E1296" s="228">
        <v>5393.0</v>
      </c>
      <c r="F1296" s="217">
        <v>1472.0</v>
      </c>
      <c r="G1296" s="217">
        <v>209892.0</v>
      </c>
      <c r="H1296" s="50">
        <v>3878.98</v>
      </c>
      <c r="I1296" s="132">
        <v>122572.0</v>
      </c>
      <c r="J1296" s="1"/>
      <c r="K1296" s="1"/>
      <c r="L1296" s="1"/>
      <c r="M1296" s="1"/>
      <c r="N1296" s="1"/>
      <c r="O1296" s="1"/>
      <c r="P1296" s="1"/>
      <c r="Q1296" s="1"/>
      <c r="R1296" s="1"/>
      <c r="S1296" s="1"/>
      <c r="T1296" s="1"/>
      <c r="U1296" s="1"/>
    </row>
    <row r="1297" ht="10.5" customHeight="1">
      <c r="A1297" s="1"/>
      <c r="B1297" s="85" t="s">
        <v>143</v>
      </c>
      <c r="C1297" s="164">
        <v>415572.0</v>
      </c>
      <c r="D1297" s="164">
        <v>942213.0</v>
      </c>
      <c r="E1297" s="217">
        <v>4412.0</v>
      </c>
      <c r="F1297" s="217">
        <v>2082.0</v>
      </c>
      <c r="G1297" s="217">
        <v>207879.0</v>
      </c>
      <c r="H1297" s="50">
        <v>4087.03</v>
      </c>
      <c r="I1297" s="132">
        <v>199034.0</v>
      </c>
      <c r="J1297" s="1"/>
      <c r="K1297" s="1"/>
      <c r="L1297" s="1"/>
      <c r="M1297" s="1"/>
      <c r="N1297" s="1"/>
      <c r="O1297" s="1"/>
      <c r="P1297" s="1"/>
      <c r="Q1297" s="1"/>
      <c r="R1297" s="1"/>
      <c r="S1297" s="1"/>
      <c r="T1297" s="1"/>
      <c r="U1297" s="1"/>
    </row>
    <row r="1298" ht="10.5" customHeight="1">
      <c r="A1298" s="1"/>
      <c r="B1298" s="85" t="s">
        <v>149</v>
      </c>
      <c r="C1298" s="164">
        <v>308741.0</v>
      </c>
      <c r="D1298" s="164">
        <v>850509.0</v>
      </c>
      <c r="E1298" s="217">
        <v>4306.0</v>
      </c>
      <c r="F1298" s="217">
        <v>2306.0</v>
      </c>
      <c r="G1298" s="217">
        <v>180246.0</v>
      </c>
      <c r="H1298" s="50">
        <v>4370.82</v>
      </c>
      <c r="I1298" s="132">
        <v>120043.0</v>
      </c>
      <c r="J1298" s="1"/>
      <c r="K1298" s="1"/>
      <c r="L1298" s="1"/>
      <c r="M1298" s="1"/>
      <c r="N1298" s="1"/>
      <c r="O1298" s="1"/>
      <c r="P1298" s="1"/>
      <c r="Q1298" s="1"/>
      <c r="R1298" s="1"/>
      <c r="S1298" s="1"/>
      <c r="T1298" s="1"/>
      <c r="U1298" s="1"/>
    </row>
    <row r="1299" ht="10.5" customHeight="1">
      <c r="A1299" s="1"/>
      <c r="B1299" s="85" t="s">
        <v>151</v>
      </c>
      <c r="C1299" s="164">
        <v>443066.0</v>
      </c>
      <c r="D1299" s="178">
        <v>1371710.0</v>
      </c>
      <c r="E1299" s="217">
        <v>6017.0</v>
      </c>
      <c r="F1299" s="217">
        <v>2336.0</v>
      </c>
      <c r="G1299" s="217">
        <v>252959.0</v>
      </c>
      <c r="H1299" s="50">
        <v>5060.06</v>
      </c>
      <c r="I1299" s="132">
        <v>178331.0</v>
      </c>
      <c r="J1299" s="1"/>
      <c r="K1299" s="1"/>
      <c r="L1299" s="1"/>
      <c r="M1299" s="1"/>
      <c r="N1299" s="1"/>
      <c r="O1299" s="1"/>
      <c r="P1299" s="1"/>
      <c r="Q1299" s="1"/>
      <c r="R1299" s="1"/>
      <c r="S1299" s="1"/>
      <c r="T1299" s="1"/>
      <c r="U1299" s="1"/>
    </row>
    <row r="1300" ht="10.5" customHeight="1">
      <c r="A1300" s="1"/>
      <c r="B1300" s="85" t="s">
        <v>153</v>
      </c>
      <c r="C1300" s="164">
        <v>417421.0</v>
      </c>
      <c r="D1300" s="178">
        <v>1242522.0</v>
      </c>
      <c r="E1300" s="217">
        <v>4428.0</v>
      </c>
      <c r="F1300" s="217">
        <v>3113.0</v>
      </c>
      <c r="G1300" s="217">
        <v>217595.0</v>
      </c>
      <c r="H1300" s="50">
        <v>5246.61</v>
      </c>
      <c r="I1300" s="132">
        <v>191138.0</v>
      </c>
      <c r="J1300" s="1"/>
      <c r="K1300" s="1"/>
      <c r="L1300" s="1"/>
      <c r="M1300" s="1"/>
      <c r="N1300" s="1"/>
      <c r="O1300" s="1"/>
      <c r="P1300" s="1"/>
      <c r="Q1300" s="1"/>
      <c r="R1300" s="1"/>
      <c r="S1300" s="1"/>
      <c r="T1300" s="1"/>
      <c r="U1300" s="1"/>
    </row>
    <row r="1301" ht="10.5" customHeight="1">
      <c r="A1301" s="1"/>
      <c r="B1301" s="85"/>
      <c r="C1301" s="164"/>
      <c r="D1301" s="178"/>
      <c r="E1301" s="217"/>
      <c r="F1301" s="217"/>
      <c r="G1301" s="217"/>
      <c r="H1301" s="50"/>
      <c r="I1301" s="132"/>
      <c r="J1301" s="1"/>
      <c r="K1301" s="1"/>
      <c r="L1301" s="1"/>
      <c r="M1301" s="1"/>
      <c r="N1301" s="1"/>
      <c r="O1301" s="1"/>
      <c r="P1301" s="1"/>
      <c r="Q1301" s="1"/>
      <c r="R1301" s="1"/>
      <c r="S1301" s="1"/>
      <c r="T1301" s="1"/>
      <c r="U1301" s="1"/>
    </row>
    <row r="1302" ht="10.5" customHeight="1">
      <c r="A1302" s="1"/>
      <c r="B1302" s="85" t="s">
        <v>155</v>
      </c>
      <c r="C1302" s="164">
        <v>390899.0</v>
      </c>
      <c r="D1302" s="178">
        <v>1472269.0</v>
      </c>
      <c r="E1302" s="217">
        <v>3918.0</v>
      </c>
      <c r="F1302" s="217">
        <v>3960.0</v>
      </c>
      <c r="G1302" s="217">
        <v>229388.0</v>
      </c>
      <c r="H1302" s="50" t="s">
        <v>1236</v>
      </c>
      <c r="I1302" s="132">
        <v>153801.0</v>
      </c>
      <c r="J1302" s="1"/>
      <c r="K1302" s="1"/>
      <c r="L1302" s="1"/>
      <c r="M1302" s="1"/>
      <c r="N1302" s="1"/>
      <c r="O1302" s="1"/>
      <c r="P1302" s="1"/>
      <c r="Q1302" s="1"/>
      <c r="R1302" s="1"/>
      <c r="S1302" s="1"/>
      <c r="T1302" s="1"/>
      <c r="U1302" s="1"/>
    </row>
    <row r="1303" ht="10.5" customHeight="1">
      <c r="A1303" s="1"/>
      <c r="B1303" s="85" t="s">
        <v>160</v>
      </c>
      <c r="C1303" s="164">
        <v>318264.0</v>
      </c>
      <c r="D1303" s="178">
        <v>1719741.0</v>
      </c>
      <c r="E1303" s="217">
        <v>3538.0</v>
      </c>
      <c r="F1303" s="217">
        <v>5240.0</v>
      </c>
      <c r="G1303" s="217">
        <v>209913.0</v>
      </c>
      <c r="H1303" s="50" t="s">
        <v>1240</v>
      </c>
      <c r="I1303" s="132">
        <v>101303.0</v>
      </c>
      <c r="J1303" s="1"/>
      <c r="K1303" s="1"/>
      <c r="L1303" s="1"/>
      <c r="M1303" s="1"/>
      <c r="N1303" s="1"/>
      <c r="O1303" s="1"/>
      <c r="P1303" s="1"/>
      <c r="Q1303" s="1"/>
      <c r="R1303" s="1"/>
      <c r="S1303" s="1"/>
      <c r="T1303" s="1"/>
      <c r="U1303" s="1"/>
    </row>
    <row r="1304" ht="10.5" customHeight="1">
      <c r="A1304" s="1"/>
      <c r="B1304" s="96" t="s">
        <v>1241</v>
      </c>
      <c r="C1304" s="210">
        <v>323561.0</v>
      </c>
      <c r="D1304" s="184">
        <v>1854875.0</v>
      </c>
      <c r="E1304" s="241">
        <v>8401.0</v>
      </c>
      <c r="F1304" s="241">
        <v>2490.0</v>
      </c>
      <c r="G1304" s="241">
        <v>228517.0</v>
      </c>
      <c r="H1304" s="98" t="s">
        <v>1242</v>
      </c>
      <c r="I1304" s="141">
        <v>78639.0</v>
      </c>
      <c r="J1304" s="1"/>
      <c r="K1304" s="1"/>
      <c r="L1304" s="1"/>
      <c r="M1304" s="1"/>
      <c r="N1304" s="1"/>
      <c r="O1304" s="1"/>
      <c r="P1304" s="1"/>
      <c r="Q1304" s="1"/>
      <c r="R1304" s="1"/>
      <c r="S1304" s="1"/>
      <c r="T1304" s="1"/>
      <c r="U1304" s="1"/>
    </row>
    <row r="1305" ht="6.0" customHeight="1">
      <c r="A1305" s="1"/>
      <c r="B1305" s="291"/>
      <c r="C1305" s="692"/>
      <c r="D1305" s="179"/>
      <c r="E1305" s="244"/>
      <c r="F1305" s="244"/>
      <c r="G1305" s="244"/>
      <c r="H1305" s="662"/>
      <c r="I1305" s="524"/>
      <c r="J1305" s="1"/>
      <c r="K1305" s="1"/>
      <c r="L1305" s="1"/>
      <c r="M1305" s="1"/>
      <c r="N1305" s="1"/>
      <c r="O1305" s="1"/>
      <c r="P1305" s="1"/>
      <c r="Q1305" s="1"/>
      <c r="R1305" s="1"/>
      <c r="S1305" s="1"/>
      <c r="T1305" s="1"/>
      <c r="U1305" s="1"/>
    </row>
    <row r="1306" ht="10.5" customHeight="1">
      <c r="A1306" s="1"/>
      <c r="B1306" s="703" t="s">
        <v>1243</v>
      </c>
      <c r="G1306" s="185"/>
      <c r="H1306" s="185"/>
      <c r="I1306" s="1"/>
      <c r="J1306" s="1"/>
      <c r="K1306" s="1"/>
      <c r="L1306" s="1"/>
      <c r="M1306" s="1"/>
      <c r="N1306" s="1"/>
      <c r="O1306" s="1"/>
      <c r="P1306" s="1"/>
      <c r="Q1306" s="1"/>
      <c r="R1306" s="1"/>
      <c r="S1306" s="1"/>
      <c r="T1306" s="1"/>
      <c r="U1306" s="1"/>
    </row>
    <row r="1307" ht="10.5" customHeight="1">
      <c r="A1307" s="1"/>
      <c r="B1307" s="185" t="s">
        <v>1246</v>
      </c>
      <c r="C1307" s="185"/>
      <c r="D1307" s="185"/>
      <c r="E1307" s="185"/>
      <c r="F1307" s="185"/>
      <c r="G1307" s="185"/>
      <c r="H1307" s="185"/>
      <c r="I1307" s="1"/>
      <c r="J1307" s="1"/>
      <c r="K1307" s="1"/>
      <c r="L1307" s="1"/>
      <c r="M1307" s="1"/>
      <c r="N1307" s="1"/>
      <c r="O1307" s="1"/>
      <c r="P1307" s="1"/>
      <c r="Q1307" s="1"/>
      <c r="R1307" s="1"/>
      <c r="S1307" s="1"/>
      <c r="T1307" s="1"/>
      <c r="U1307" s="1"/>
    </row>
    <row r="1308" ht="10.5" customHeight="1">
      <c r="A1308" s="1"/>
      <c r="B1308" s="185" t="s">
        <v>662</v>
      </c>
      <c r="C1308" s="185"/>
      <c r="D1308" s="185"/>
      <c r="E1308" s="185"/>
      <c r="F1308" s="185"/>
      <c r="G1308" s="185"/>
      <c r="H1308" s="185"/>
      <c r="I1308" s="1"/>
      <c r="J1308" s="1"/>
      <c r="K1308" s="1"/>
      <c r="L1308" s="1"/>
      <c r="M1308" s="1"/>
      <c r="N1308" s="1"/>
      <c r="O1308" s="1"/>
      <c r="P1308" s="1"/>
      <c r="Q1308" s="1"/>
      <c r="R1308" s="1"/>
      <c r="S1308" s="1"/>
      <c r="T1308" s="1"/>
      <c r="U1308" s="1"/>
    </row>
    <row r="1309" ht="10.5" customHeight="1">
      <c r="A1309" s="1"/>
      <c r="B1309" s="185" t="s">
        <v>663</v>
      </c>
      <c r="C1309" s="185"/>
      <c r="D1309" s="185"/>
      <c r="E1309" s="185"/>
      <c r="F1309" s="185"/>
      <c r="G1309" s="185"/>
      <c r="H1309" s="185"/>
      <c r="I1309" s="1"/>
      <c r="J1309" s="1"/>
      <c r="K1309" s="1"/>
      <c r="L1309" s="1"/>
      <c r="M1309" s="1"/>
      <c r="N1309" s="1"/>
      <c r="O1309" s="1"/>
      <c r="P1309" s="1"/>
      <c r="Q1309" s="1"/>
      <c r="R1309" s="1"/>
      <c r="S1309" s="1"/>
      <c r="T1309" s="1"/>
      <c r="U1309" s="1"/>
    </row>
    <row r="1310" ht="10.5" customHeight="1">
      <c r="A1310" s="1"/>
      <c r="B1310" s="185" t="s">
        <v>664</v>
      </c>
      <c r="C1310" s="185"/>
      <c r="D1310" s="185"/>
      <c r="E1310" s="185"/>
      <c r="F1310" s="185"/>
      <c r="G1310" s="185"/>
      <c r="H1310" s="185"/>
      <c r="I1310" s="1"/>
      <c r="J1310" s="1"/>
      <c r="K1310" s="1"/>
      <c r="L1310" s="1"/>
      <c r="M1310" s="1"/>
      <c r="N1310" s="1"/>
      <c r="O1310" s="1"/>
      <c r="P1310" s="1"/>
      <c r="Q1310" s="1"/>
      <c r="R1310" s="1"/>
      <c r="S1310" s="1"/>
      <c r="T1310" s="1"/>
      <c r="U1310" s="1"/>
    </row>
    <row r="1311" ht="10.5" customHeight="1">
      <c r="A1311" s="1"/>
      <c r="B1311" s="185" t="s">
        <v>665</v>
      </c>
      <c r="C1311" s="185"/>
      <c r="D1311" s="185"/>
      <c r="E1311" s="185"/>
      <c r="F1311" s="185"/>
      <c r="G1311" s="185"/>
      <c r="H1311" s="185"/>
      <c r="I1311" s="1"/>
      <c r="J1311" s="1"/>
      <c r="K1311" s="1"/>
      <c r="L1311" s="1"/>
      <c r="M1311" s="1"/>
      <c r="N1311" s="1"/>
      <c r="O1311" s="1"/>
      <c r="P1311" s="1"/>
      <c r="Q1311" s="1"/>
      <c r="R1311" s="1"/>
      <c r="S1311" s="1"/>
      <c r="T1311" s="1"/>
      <c r="U1311" s="1"/>
    </row>
    <row r="1312" ht="10.5" customHeight="1">
      <c r="A1312" s="1"/>
      <c r="B1312" s="311" t="s">
        <v>666</v>
      </c>
      <c r="I1312" s="1"/>
      <c r="J1312" s="1"/>
      <c r="K1312" s="1"/>
      <c r="L1312" s="1"/>
      <c r="M1312" s="1"/>
      <c r="N1312" s="1"/>
      <c r="O1312" s="1"/>
      <c r="P1312" s="1"/>
      <c r="Q1312" s="1"/>
      <c r="R1312" s="1"/>
      <c r="S1312" s="1"/>
      <c r="T1312" s="1"/>
      <c r="U1312" s="1"/>
    </row>
    <row r="1313" ht="10.5" customHeight="1">
      <c r="A1313" s="1"/>
      <c r="B1313" s="311" t="s">
        <v>667</v>
      </c>
      <c r="C1313" s="311"/>
      <c r="D1313" s="311"/>
      <c r="E1313" s="311"/>
      <c r="F1313" s="311"/>
      <c r="G1313" s="311"/>
      <c r="H1313" s="311"/>
      <c r="I1313" s="1"/>
      <c r="J1313" s="1"/>
      <c r="K1313" s="1"/>
      <c r="L1313" s="1"/>
      <c r="M1313" s="1"/>
      <c r="N1313" s="1"/>
      <c r="O1313" s="1"/>
      <c r="P1313" s="1"/>
      <c r="Q1313" s="1"/>
      <c r="R1313" s="1"/>
      <c r="S1313" s="1"/>
      <c r="T1313" s="1"/>
      <c r="U1313" s="1"/>
    </row>
    <row r="1314" ht="10.5" customHeight="1">
      <c r="A1314" s="1"/>
      <c r="B1314" s="311" t="s">
        <v>669</v>
      </c>
      <c r="C1314" s="311"/>
      <c r="D1314" s="311"/>
      <c r="E1314" s="311"/>
      <c r="F1314" s="311"/>
      <c r="G1314" s="311"/>
      <c r="H1314" s="311"/>
      <c r="I1314" s="1"/>
      <c r="J1314" s="1"/>
      <c r="K1314" s="1"/>
      <c r="L1314" s="1"/>
      <c r="M1314" s="1"/>
      <c r="N1314" s="1"/>
      <c r="O1314" s="1"/>
      <c r="P1314" s="1"/>
      <c r="Q1314" s="1"/>
      <c r="R1314" s="1"/>
      <c r="S1314" s="1"/>
      <c r="T1314" s="1"/>
      <c r="U1314" s="1"/>
    </row>
    <row r="1315" ht="10.5" customHeight="1">
      <c r="A1315" s="1"/>
      <c r="B1315" s="185" t="s">
        <v>1252</v>
      </c>
      <c r="C1315" s="185"/>
      <c r="D1315" s="185"/>
      <c r="E1315" s="185"/>
      <c r="F1315" s="185"/>
      <c r="G1315" s="185"/>
      <c r="H1315" s="185"/>
      <c r="I1315" s="1"/>
      <c r="J1315" s="1"/>
      <c r="K1315" s="1"/>
      <c r="L1315" s="1"/>
      <c r="M1315" s="1"/>
      <c r="N1315" s="1"/>
      <c r="O1315" s="1"/>
      <c r="P1315" s="1"/>
      <c r="Q1315" s="1"/>
      <c r="R1315" s="1"/>
      <c r="S1315" s="1"/>
      <c r="T1315" s="1"/>
      <c r="U1315" s="1"/>
    </row>
    <row r="1316" ht="10.5" customHeight="1">
      <c r="A1316" s="1"/>
      <c r="B1316" s="1"/>
      <c r="C1316" s="15"/>
      <c r="D1316" s="15"/>
      <c r="E1316" s="15"/>
      <c r="F1316" s="15"/>
      <c r="G1316" s="15"/>
      <c r="H1316" s="15"/>
      <c r="I1316" s="15"/>
      <c r="J1316" s="1"/>
      <c r="K1316" s="1"/>
      <c r="L1316" s="1"/>
      <c r="M1316" s="1"/>
      <c r="N1316" s="1"/>
      <c r="O1316" s="1"/>
      <c r="P1316" s="1"/>
      <c r="Q1316" s="1"/>
      <c r="R1316" s="1"/>
      <c r="S1316" s="1"/>
      <c r="T1316" s="1"/>
      <c r="U1316" s="1"/>
    </row>
    <row r="1317" ht="10.5" customHeight="1">
      <c r="A1317" s="1"/>
      <c r="B1317" s="1"/>
      <c r="C1317" s="1"/>
      <c r="D1317" s="1"/>
      <c r="E1317" s="1"/>
      <c r="F1317" s="1"/>
      <c r="G1317" s="1"/>
      <c r="H1317" s="1"/>
      <c r="I1317" s="1"/>
      <c r="J1317" s="1"/>
      <c r="K1317" s="1"/>
      <c r="L1317" s="1"/>
      <c r="M1317" s="1"/>
      <c r="N1317" s="1"/>
      <c r="O1317" s="1"/>
      <c r="P1317" s="1"/>
      <c r="Q1317" s="1"/>
      <c r="R1317" s="1"/>
      <c r="S1317" s="1"/>
      <c r="T1317" s="1"/>
      <c r="U1317" s="1"/>
    </row>
    <row r="1318" ht="10.5" customHeight="1">
      <c r="A1318" s="1"/>
      <c r="B1318" s="1"/>
      <c r="C1318" s="1"/>
      <c r="D1318" s="1"/>
      <c r="E1318" s="1"/>
      <c r="F1318" s="1"/>
      <c r="G1318" s="1"/>
      <c r="H1318" s="1"/>
      <c r="I1318" s="1"/>
      <c r="J1318" s="1"/>
      <c r="K1318" s="1"/>
      <c r="L1318" s="1"/>
      <c r="M1318" s="1"/>
      <c r="N1318" s="1"/>
      <c r="O1318" s="1"/>
      <c r="P1318" s="1"/>
      <c r="Q1318" s="1"/>
      <c r="R1318" s="1"/>
      <c r="S1318" s="1"/>
      <c r="T1318" s="1"/>
      <c r="U1318" s="1"/>
    </row>
    <row r="1319" ht="10.5" customHeight="1">
      <c r="A1319" s="1"/>
      <c r="B1319" s="1"/>
      <c r="C1319" s="1"/>
      <c r="D1319" s="1"/>
      <c r="E1319" s="1"/>
      <c r="F1319" s="1"/>
      <c r="G1319" s="1"/>
      <c r="H1319" s="1"/>
      <c r="I1319" s="1"/>
      <c r="J1319" s="1"/>
      <c r="K1319" s="1"/>
      <c r="L1319" s="1"/>
      <c r="M1319" s="1"/>
      <c r="N1319" s="1"/>
      <c r="O1319" s="1"/>
      <c r="P1319" s="1"/>
      <c r="Q1319" s="1"/>
      <c r="R1319" s="1"/>
      <c r="S1319" s="1"/>
      <c r="T1319" s="1"/>
      <c r="U1319" s="1"/>
    </row>
    <row r="1320" ht="10.5" customHeight="1">
      <c r="A1320" s="1"/>
      <c r="B1320" s="1"/>
      <c r="C1320" s="1"/>
      <c r="D1320" s="1"/>
      <c r="E1320" s="1"/>
      <c r="F1320" s="1"/>
      <c r="G1320" s="1"/>
      <c r="H1320" s="1"/>
      <c r="I1320" s="1"/>
      <c r="J1320" s="1"/>
      <c r="K1320" s="1"/>
      <c r="L1320" s="1"/>
      <c r="M1320" s="1"/>
      <c r="N1320" s="1"/>
      <c r="O1320" s="1"/>
      <c r="P1320" s="1"/>
      <c r="Q1320" s="1"/>
      <c r="R1320" s="1"/>
      <c r="S1320" s="1"/>
      <c r="T1320" s="1"/>
      <c r="U1320" s="1"/>
    </row>
    <row r="1321" ht="10.5" customHeight="1">
      <c r="A1321" s="1"/>
      <c r="B1321" s="1"/>
      <c r="C1321" s="1"/>
      <c r="D1321" s="1"/>
      <c r="E1321" s="1"/>
      <c r="F1321" s="1"/>
      <c r="G1321" s="110">
        <v>53.0</v>
      </c>
      <c r="H1321" s="1"/>
      <c r="I1321" s="1"/>
      <c r="J1321" s="1"/>
      <c r="K1321" s="1"/>
      <c r="L1321" s="1"/>
      <c r="M1321" s="1"/>
      <c r="N1321" s="1"/>
      <c r="O1321" s="1"/>
      <c r="P1321" s="1"/>
      <c r="Q1321" s="1"/>
      <c r="R1321" s="1"/>
      <c r="S1321" s="1"/>
      <c r="T1321" s="1"/>
      <c r="U1321" s="1"/>
    </row>
    <row r="1322" ht="10.5" customHeight="1">
      <c r="A1322" s="1"/>
      <c r="B1322" s="1"/>
      <c r="C1322" s="1"/>
      <c r="D1322" s="1"/>
      <c r="E1322" s="1"/>
      <c r="F1322" s="1"/>
      <c r="G1322" s="1"/>
      <c r="H1322" s="1"/>
      <c r="I1322" s="1"/>
      <c r="J1322" s="1"/>
      <c r="K1322" s="1"/>
      <c r="L1322" s="1"/>
      <c r="M1322" s="1"/>
      <c r="N1322" s="1"/>
      <c r="O1322" s="1"/>
      <c r="P1322" s="1"/>
      <c r="Q1322" s="1"/>
      <c r="R1322" s="1"/>
      <c r="S1322" s="1"/>
      <c r="T1322" s="1"/>
      <c r="U1322" s="1"/>
    </row>
    <row r="1323" ht="11.25" customHeight="1">
      <c r="A1323" s="1"/>
      <c r="B1323" s="1" t="s">
        <v>1253</v>
      </c>
      <c r="C1323" s="1"/>
      <c r="D1323" s="1"/>
      <c r="E1323" s="1"/>
      <c r="F1323" s="1"/>
      <c r="G1323" s="1"/>
      <c r="H1323" s="1"/>
      <c r="I1323" s="1"/>
      <c r="J1323" s="1"/>
      <c r="K1323" s="1"/>
      <c r="L1323" s="1"/>
      <c r="M1323" s="1"/>
      <c r="N1323" s="1"/>
      <c r="O1323" s="1"/>
      <c r="P1323" s="1"/>
      <c r="Q1323" s="1"/>
      <c r="R1323" s="1"/>
      <c r="S1323" s="1"/>
      <c r="T1323" s="1"/>
      <c r="U1323" s="1"/>
    </row>
    <row r="1324" ht="11.25" customHeight="1">
      <c r="A1324" s="1"/>
      <c r="B1324" s="29" t="s">
        <v>1254</v>
      </c>
      <c r="C1324" s="31" t="s">
        <v>508</v>
      </c>
      <c r="D1324" s="31" t="s">
        <v>640</v>
      </c>
      <c r="E1324" s="128" t="s">
        <v>1255</v>
      </c>
      <c r="F1324" s="10"/>
      <c r="G1324" s="128" t="s">
        <v>1256</v>
      </c>
      <c r="H1324" s="10"/>
      <c r="I1324" s="1"/>
      <c r="J1324" s="1"/>
      <c r="K1324" s="1"/>
      <c r="L1324" s="1"/>
      <c r="M1324" s="1"/>
      <c r="N1324" s="1"/>
      <c r="O1324" s="1"/>
      <c r="P1324" s="1"/>
      <c r="Q1324" s="1"/>
      <c r="R1324" s="1"/>
      <c r="S1324" s="1"/>
      <c r="T1324" s="1"/>
      <c r="U1324" s="1"/>
    </row>
    <row r="1325" ht="22.5" customHeight="1">
      <c r="A1325" s="1"/>
      <c r="B1325" s="5"/>
      <c r="C1325" s="6"/>
      <c r="D1325" s="6"/>
      <c r="E1325" s="273" t="s">
        <v>514</v>
      </c>
      <c r="F1325" s="7" t="s">
        <v>515</v>
      </c>
      <c r="G1325" s="7" t="s">
        <v>514</v>
      </c>
      <c r="H1325" s="7" t="s">
        <v>516</v>
      </c>
      <c r="I1325" s="1"/>
      <c r="J1325" s="1"/>
      <c r="K1325" s="1"/>
      <c r="L1325" s="1"/>
      <c r="M1325" s="1"/>
      <c r="N1325" s="1"/>
      <c r="O1325" s="1"/>
      <c r="P1325" s="1"/>
      <c r="Q1325" s="1"/>
      <c r="R1325" s="1"/>
      <c r="S1325" s="1"/>
      <c r="T1325" s="1"/>
      <c r="U1325" s="1"/>
    </row>
    <row r="1326" ht="11.25" customHeight="1">
      <c r="A1326" s="1"/>
      <c r="B1326" s="6"/>
      <c r="C1326" s="735" t="s">
        <v>520</v>
      </c>
      <c r="D1326" s="134" t="s">
        <v>50</v>
      </c>
      <c r="E1326" s="134" t="s">
        <v>520</v>
      </c>
      <c r="F1326" s="134" t="s">
        <v>52</v>
      </c>
      <c r="G1326" s="134" t="s">
        <v>520</v>
      </c>
      <c r="H1326" s="134" t="s">
        <v>52</v>
      </c>
      <c r="I1326" s="1"/>
      <c r="J1326" s="1"/>
      <c r="K1326" s="1"/>
      <c r="L1326" s="1"/>
      <c r="M1326" s="1"/>
      <c r="N1326" s="1"/>
      <c r="O1326" s="1"/>
      <c r="P1326" s="1"/>
      <c r="Q1326" s="1"/>
      <c r="R1326" s="1"/>
      <c r="S1326" s="1"/>
      <c r="T1326" s="1"/>
      <c r="U1326" s="1"/>
    </row>
    <row r="1327" ht="10.5" customHeight="1">
      <c r="A1327" s="1"/>
      <c r="B1327" s="48" t="s">
        <v>271</v>
      </c>
      <c r="C1327" s="228">
        <v>14038.0</v>
      </c>
      <c r="D1327" s="164">
        <v>1551.0</v>
      </c>
      <c r="E1327" s="228">
        <v>7016.0</v>
      </c>
      <c r="F1327" s="228">
        <v>130.0</v>
      </c>
      <c r="G1327" s="228">
        <v>6.0</v>
      </c>
      <c r="H1327" s="276">
        <v>166.67</v>
      </c>
      <c r="I1327" s="1"/>
      <c r="J1327" s="1"/>
      <c r="K1327" s="1"/>
      <c r="L1327" s="1"/>
      <c r="M1327" s="1"/>
      <c r="N1327" s="1"/>
      <c r="O1327" s="1"/>
      <c r="P1327" s="1"/>
      <c r="Q1327" s="1"/>
      <c r="R1327" s="1"/>
      <c r="S1327" s="1"/>
      <c r="T1327" s="1"/>
      <c r="U1327" s="1"/>
    </row>
    <row r="1328" ht="10.5" customHeight="1">
      <c r="A1328" s="1"/>
      <c r="B1328" s="48" t="s">
        <v>272</v>
      </c>
      <c r="C1328" s="228">
        <v>19936.0</v>
      </c>
      <c r="D1328" s="164">
        <v>2008.0</v>
      </c>
      <c r="E1328" s="228">
        <v>9968.0</v>
      </c>
      <c r="F1328" s="228">
        <v>118.0</v>
      </c>
      <c r="G1328" s="228" t="s">
        <v>40</v>
      </c>
      <c r="H1328" s="276" t="s">
        <v>40</v>
      </c>
      <c r="I1328" s="1"/>
      <c r="J1328" s="1"/>
      <c r="K1328" s="1"/>
      <c r="L1328" s="1"/>
      <c r="M1328" s="1"/>
      <c r="N1328" s="1"/>
      <c r="O1328" s="1"/>
      <c r="P1328" s="1"/>
      <c r="Q1328" s="1"/>
      <c r="R1328" s="1"/>
      <c r="S1328" s="1"/>
      <c r="T1328" s="1"/>
      <c r="U1328" s="1"/>
    </row>
    <row r="1329" ht="10.5" customHeight="1">
      <c r="A1329" s="1"/>
      <c r="B1329" s="48" t="s">
        <v>274</v>
      </c>
      <c r="C1329" s="228">
        <v>17351.0</v>
      </c>
      <c r="D1329" s="164">
        <v>2172.0</v>
      </c>
      <c r="E1329" s="228">
        <v>8665.0</v>
      </c>
      <c r="F1329" s="228">
        <v>147.0</v>
      </c>
      <c r="G1329" s="228">
        <v>21.0</v>
      </c>
      <c r="H1329" s="276">
        <v>190.48</v>
      </c>
      <c r="I1329" s="1"/>
      <c r="J1329" s="1"/>
      <c r="K1329" s="1"/>
      <c r="L1329" s="1"/>
      <c r="M1329" s="1"/>
      <c r="N1329" s="1"/>
      <c r="O1329" s="1"/>
      <c r="P1329" s="1"/>
      <c r="Q1329" s="1"/>
      <c r="R1329" s="1"/>
      <c r="S1329" s="1"/>
      <c r="T1329" s="1"/>
      <c r="U1329" s="1"/>
    </row>
    <row r="1330" ht="10.5" customHeight="1">
      <c r="A1330" s="1"/>
      <c r="B1330" s="48" t="s">
        <v>275</v>
      </c>
      <c r="C1330" s="228">
        <v>22497.0</v>
      </c>
      <c r="D1330" s="164">
        <v>2655.0</v>
      </c>
      <c r="E1330" s="228">
        <v>11231.0</v>
      </c>
      <c r="F1330" s="228">
        <v>138.0</v>
      </c>
      <c r="G1330" s="228">
        <v>35.0</v>
      </c>
      <c r="H1330" s="276">
        <v>428.47</v>
      </c>
      <c r="I1330" s="1"/>
      <c r="J1330" s="1"/>
      <c r="K1330" s="1"/>
      <c r="L1330" s="1"/>
      <c r="M1330" s="1"/>
      <c r="N1330" s="1"/>
      <c r="O1330" s="1"/>
      <c r="P1330" s="1"/>
      <c r="Q1330" s="1"/>
      <c r="R1330" s="1"/>
      <c r="S1330" s="1"/>
      <c r="T1330" s="1"/>
      <c r="U1330" s="1"/>
    </row>
    <row r="1331" ht="10.5" customHeight="1">
      <c r="A1331" s="1"/>
      <c r="B1331" s="48" t="s">
        <v>276</v>
      </c>
      <c r="C1331" s="228">
        <v>23864.0</v>
      </c>
      <c r="D1331" s="164">
        <v>3388.0</v>
      </c>
      <c r="E1331" s="228">
        <v>11887.0</v>
      </c>
      <c r="F1331" s="228">
        <v>167.0</v>
      </c>
      <c r="G1331" s="228">
        <v>90.0</v>
      </c>
      <c r="H1331" s="276">
        <v>244.44</v>
      </c>
      <c r="I1331" s="1"/>
      <c r="J1331" s="1"/>
      <c r="K1331" s="1"/>
      <c r="L1331" s="1"/>
      <c r="M1331" s="1"/>
      <c r="N1331" s="1"/>
      <c r="O1331" s="1"/>
      <c r="P1331" s="1"/>
      <c r="Q1331" s="1"/>
      <c r="R1331" s="1"/>
      <c r="S1331" s="1"/>
      <c r="T1331" s="1"/>
      <c r="U1331" s="1"/>
    </row>
    <row r="1332" ht="10.5" customHeight="1">
      <c r="A1332" s="1"/>
      <c r="B1332" s="48"/>
      <c r="C1332" s="228"/>
      <c r="D1332" s="164"/>
      <c r="E1332" s="228"/>
      <c r="F1332" s="228"/>
      <c r="G1332" s="228"/>
      <c r="H1332" s="276"/>
      <c r="I1332" s="1"/>
      <c r="J1332" s="1"/>
      <c r="K1332" s="1"/>
      <c r="L1332" s="1"/>
      <c r="M1332" s="1"/>
      <c r="N1332" s="1"/>
      <c r="O1332" s="1"/>
      <c r="P1332" s="1"/>
      <c r="Q1332" s="1"/>
      <c r="R1332" s="1"/>
      <c r="S1332" s="1"/>
      <c r="T1332" s="1"/>
      <c r="U1332" s="1"/>
    </row>
    <row r="1333" ht="10.5" customHeight="1">
      <c r="A1333" s="1"/>
      <c r="B1333" s="48" t="s">
        <v>56</v>
      </c>
      <c r="C1333" s="228">
        <v>26305.0</v>
      </c>
      <c r="D1333" s="164">
        <v>4114.0</v>
      </c>
      <c r="E1333" s="228">
        <v>13121.0</v>
      </c>
      <c r="F1333" s="228">
        <v>182.0</v>
      </c>
      <c r="G1333" s="228">
        <v>63.0</v>
      </c>
      <c r="H1333" s="276">
        <v>935.58</v>
      </c>
      <c r="I1333" s="1"/>
      <c r="J1333" s="1"/>
      <c r="K1333" s="1"/>
      <c r="L1333" s="1"/>
      <c r="M1333" s="1"/>
      <c r="N1333" s="1"/>
      <c r="O1333" s="1"/>
      <c r="P1333" s="1"/>
      <c r="Q1333" s="1"/>
      <c r="R1333" s="1"/>
      <c r="S1333" s="1"/>
      <c r="T1333" s="1"/>
      <c r="U1333" s="1"/>
    </row>
    <row r="1334" ht="10.5" customHeight="1">
      <c r="A1334" s="1"/>
      <c r="B1334" s="48" t="s">
        <v>81</v>
      </c>
      <c r="C1334" s="228">
        <v>24899.0</v>
      </c>
      <c r="D1334" s="164">
        <v>4797.0</v>
      </c>
      <c r="E1334" s="228">
        <v>12423.0</v>
      </c>
      <c r="F1334" s="228">
        <v>226.0</v>
      </c>
      <c r="G1334" s="228">
        <v>53.0</v>
      </c>
      <c r="H1334" s="276">
        <v>564.79</v>
      </c>
      <c r="I1334" s="1"/>
      <c r="J1334" s="1"/>
      <c r="K1334" s="1"/>
      <c r="L1334" s="1"/>
      <c r="M1334" s="1"/>
      <c r="N1334" s="1"/>
      <c r="O1334" s="1"/>
      <c r="P1334" s="1"/>
      <c r="Q1334" s="1"/>
      <c r="R1334" s="1"/>
      <c r="S1334" s="1"/>
      <c r="T1334" s="1"/>
      <c r="U1334" s="1"/>
    </row>
    <row r="1335" ht="10.5" customHeight="1">
      <c r="A1335" s="1"/>
      <c r="B1335" s="48" t="s">
        <v>86</v>
      </c>
      <c r="C1335" s="228">
        <v>25304.0</v>
      </c>
      <c r="D1335" s="164">
        <v>5737.0</v>
      </c>
      <c r="E1335" s="228">
        <v>12611.0</v>
      </c>
      <c r="F1335" s="228">
        <v>266.0</v>
      </c>
      <c r="G1335" s="228">
        <v>82.0</v>
      </c>
      <c r="H1335" s="276">
        <v>326.61</v>
      </c>
      <c r="I1335" s="1"/>
      <c r="J1335" s="1"/>
      <c r="K1335" s="1"/>
      <c r="L1335" s="1"/>
      <c r="M1335" s="1"/>
      <c r="N1335" s="1"/>
      <c r="O1335" s="1"/>
      <c r="P1335" s="1"/>
      <c r="Q1335" s="1"/>
      <c r="R1335" s="1"/>
      <c r="S1335" s="1"/>
      <c r="T1335" s="1"/>
      <c r="U1335" s="1"/>
    </row>
    <row r="1336" ht="10.5" customHeight="1">
      <c r="A1336" s="1"/>
      <c r="B1336" s="48" t="s">
        <v>87</v>
      </c>
      <c r="C1336" s="228">
        <v>25598.0</v>
      </c>
      <c r="D1336" s="164">
        <v>7067.0</v>
      </c>
      <c r="E1336" s="228">
        <v>12793.0</v>
      </c>
      <c r="F1336" s="228">
        <v>325.0</v>
      </c>
      <c r="G1336" s="228">
        <v>12.0</v>
      </c>
      <c r="H1336" s="276">
        <v>409.67</v>
      </c>
      <c r="I1336" s="1"/>
      <c r="J1336" s="1"/>
      <c r="K1336" s="1"/>
      <c r="L1336" s="1"/>
      <c r="M1336" s="1"/>
      <c r="N1336" s="1"/>
      <c r="O1336" s="1"/>
      <c r="P1336" s="1"/>
      <c r="Q1336" s="1"/>
      <c r="R1336" s="1"/>
      <c r="S1336" s="1"/>
      <c r="T1336" s="1"/>
      <c r="U1336" s="1"/>
    </row>
    <row r="1337" ht="10.5" customHeight="1">
      <c r="A1337" s="1"/>
      <c r="B1337" s="48" t="s">
        <v>90</v>
      </c>
      <c r="C1337" s="228">
        <v>28362.0</v>
      </c>
      <c r="D1337" s="164">
        <v>9275.0</v>
      </c>
      <c r="E1337" s="228">
        <v>14150.0</v>
      </c>
      <c r="F1337" s="228">
        <v>385.0</v>
      </c>
      <c r="G1337" s="228">
        <v>62.0</v>
      </c>
      <c r="H1337" s="276">
        <v>322.67</v>
      </c>
      <c r="I1337" s="1"/>
      <c r="J1337" s="1"/>
      <c r="K1337" s="1"/>
      <c r="L1337" s="1"/>
      <c r="M1337" s="1"/>
      <c r="N1337" s="1"/>
      <c r="O1337" s="1"/>
      <c r="P1337" s="1"/>
      <c r="Q1337" s="1"/>
      <c r="R1337" s="1"/>
      <c r="S1337" s="1"/>
      <c r="T1337" s="1"/>
      <c r="U1337" s="1"/>
    </row>
    <row r="1338" ht="10.5" customHeight="1">
      <c r="A1338" s="1"/>
      <c r="B1338" s="48"/>
      <c r="C1338" s="228"/>
      <c r="D1338" s="164"/>
      <c r="E1338" s="228"/>
      <c r="F1338" s="228"/>
      <c r="G1338" s="228"/>
      <c r="H1338" s="276"/>
      <c r="I1338" s="1"/>
      <c r="J1338" s="1"/>
      <c r="K1338" s="1"/>
      <c r="L1338" s="1"/>
      <c r="M1338" s="1"/>
      <c r="N1338" s="1"/>
      <c r="O1338" s="1"/>
      <c r="P1338" s="1"/>
      <c r="Q1338" s="1"/>
      <c r="R1338" s="1"/>
      <c r="S1338" s="1"/>
      <c r="T1338" s="1"/>
      <c r="U1338" s="1"/>
    </row>
    <row r="1339" ht="10.5" customHeight="1">
      <c r="A1339" s="1"/>
      <c r="B1339" s="48" t="s">
        <v>93</v>
      </c>
      <c r="C1339" s="228">
        <v>24678.0</v>
      </c>
      <c r="D1339" s="164">
        <v>9797.0</v>
      </c>
      <c r="E1339" s="228">
        <v>12339.0</v>
      </c>
      <c r="F1339" s="228">
        <v>467.0</v>
      </c>
      <c r="G1339" s="228" t="s">
        <v>40</v>
      </c>
      <c r="H1339" s="276" t="s">
        <v>40</v>
      </c>
      <c r="I1339" s="1"/>
      <c r="J1339" s="1"/>
      <c r="K1339" s="1"/>
      <c r="L1339" s="1"/>
      <c r="M1339" s="1"/>
      <c r="N1339" s="1"/>
      <c r="O1339" s="1"/>
      <c r="P1339" s="1"/>
      <c r="Q1339" s="1"/>
      <c r="R1339" s="1"/>
      <c r="S1339" s="1"/>
      <c r="T1339" s="1"/>
      <c r="U1339" s="1"/>
    </row>
    <row r="1340" ht="10.5" customHeight="1">
      <c r="A1340" s="1"/>
      <c r="B1340" s="48" t="s">
        <v>97</v>
      </c>
      <c r="C1340" s="228">
        <v>28026.0</v>
      </c>
      <c r="D1340" s="164">
        <v>11280.0</v>
      </c>
      <c r="E1340" s="228">
        <v>13967.0</v>
      </c>
      <c r="F1340" s="228">
        <v>474.0</v>
      </c>
      <c r="G1340" s="228">
        <v>94.0</v>
      </c>
      <c r="H1340" s="276">
        <v>361.7</v>
      </c>
      <c r="I1340" s="1"/>
      <c r="J1340" s="1"/>
      <c r="K1340" s="1"/>
      <c r="L1340" s="1"/>
      <c r="M1340" s="1"/>
      <c r="N1340" s="1"/>
      <c r="O1340" s="1"/>
      <c r="P1340" s="1"/>
      <c r="Q1340" s="1"/>
      <c r="R1340" s="1"/>
      <c r="S1340" s="1"/>
      <c r="T1340" s="1"/>
      <c r="U1340" s="1"/>
    </row>
    <row r="1341" ht="10.5" customHeight="1">
      <c r="A1341" s="1"/>
      <c r="B1341" s="48" t="s">
        <v>101</v>
      </c>
      <c r="C1341" s="228">
        <v>28638.0</v>
      </c>
      <c r="D1341" s="164">
        <v>13833.0</v>
      </c>
      <c r="E1341" s="228">
        <v>14170.0</v>
      </c>
      <c r="F1341" s="228">
        <v>560.0</v>
      </c>
      <c r="G1341" s="228">
        <v>298.0</v>
      </c>
      <c r="H1341" s="276">
        <v>1157.72</v>
      </c>
      <c r="I1341" s="1"/>
      <c r="J1341" s="1"/>
      <c r="K1341" s="1"/>
      <c r="L1341" s="1"/>
      <c r="M1341" s="1"/>
      <c r="N1341" s="1"/>
      <c r="O1341" s="1"/>
      <c r="P1341" s="1"/>
      <c r="Q1341" s="1"/>
      <c r="R1341" s="1"/>
      <c r="S1341" s="1"/>
      <c r="T1341" s="1"/>
      <c r="U1341" s="1"/>
    </row>
    <row r="1342" ht="10.5" customHeight="1">
      <c r="A1342" s="1"/>
      <c r="B1342" s="48" t="s">
        <v>103</v>
      </c>
      <c r="C1342" s="228">
        <v>31990.0</v>
      </c>
      <c r="D1342" s="164">
        <v>17671.0</v>
      </c>
      <c r="E1342" s="228">
        <v>15110.0</v>
      </c>
      <c r="F1342" s="228">
        <v>627.0</v>
      </c>
      <c r="G1342" s="228">
        <v>1770.0</v>
      </c>
      <c r="H1342" s="276">
        <v>892.09</v>
      </c>
      <c r="I1342" s="1"/>
      <c r="J1342" s="1"/>
      <c r="K1342" s="1"/>
      <c r="L1342" s="1"/>
      <c r="M1342" s="1"/>
      <c r="N1342" s="1"/>
      <c r="O1342" s="1"/>
      <c r="P1342" s="1"/>
      <c r="Q1342" s="1"/>
      <c r="R1342" s="1"/>
      <c r="S1342" s="1"/>
      <c r="T1342" s="1"/>
      <c r="U1342" s="1"/>
    </row>
    <row r="1343" ht="10.5" customHeight="1">
      <c r="A1343" s="1"/>
      <c r="B1343" s="48" t="s">
        <v>104</v>
      </c>
      <c r="C1343" s="228">
        <v>34033.0</v>
      </c>
      <c r="D1343" s="164">
        <v>22730.0</v>
      </c>
      <c r="E1343" s="228">
        <v>15273.0</v>
      </c>
      <c r="F1343" s="228">
        <v>755.0</v>
      </c>
      <c r="G1343" s="228">
        <v>3485.0</v>
      </c>
      <c r="H1343" s="276">
        <v>900.14</v>
      </c>
      <c r="I1343" s="1"/>
      <c r="J1343" s="1"/>
      <c r="K1343" s="1"/>
      <c r="L1343" s="1"/>
      <c r="M1343" s="1"/>
      <c r="N1343" s="1"/>
      <c r="O1343" s="1"/>
      <c r="P1343" s="1"/>
      <c r="Q1343" s="1"/>
      <c r="R1343" s="1"/>
      <c r="S1343" s="1"/>
      <c r="T1343" s="1"/>
      <c r="U1343" s="1"/>
    </row>
    <row r="1344" ht="10.5" customHeight="1">
      <c r="A1344" s="1"/>
      <c r="B1344" s="48"/>
      <c r="C1344" s="228"/>
      <c r="D1344" s="164"/>
      <c r="E1344" s="228"/>
      <c r="F1344" s="228"/>
      <c r="G1344" s="228"/>
      <c r="H1344" s="276"/>
      <c r="I1344" s="1"/>
      <c r="J1344" s="1"/>
      <c r="K1344" s="1"/>
      <c r="L1344" s="1"/>
      <c r="M1344" s="1"/>
      <c r="N1344" s="1"/>
      <c r="O1344" s="1"/>
      <c r="P1344" s="1"/>
      <c r="Q1344" s="1"/>
      <c r="R1344" s="1"/>
      <c r="S1344" s="1"/>
      <c r="T1344" s="1"/>
      <c r="U1344" s="1"/>
    </row>
    <row r="1345" ht="10.5" customHeight="1">
      <c r="A1345" s="1"/>
      <c r="B1345" s="48" t="s">
        <v>108</v>
      </c>
      <c r="C1345" s="228">
        <v>39911.0</v>
      </c>
      <c r="D1345" s="164">
        <v>29662.0</v>
      </c>
      <c r="E1345" s="228">
        <v>18536.0</v>
      </c>
      <c r="F1345" s="228">
        <v>802.0</v>
      </c>
      <c r="G1345" s="228">
        <v>2901.0</v>
      </c>
      <c r="H1345" s="276">
        <v>1082.23</v>
      </c>
      <c r="I1345" s="1"/>
      <c r="J1345" s="1"/>
      <c r="K1345" s="1"/>
      <c r="L1345" s="1"/>
      <c r="M1345" s="1"/>
      <c r="N1345" s="1"/>
      <c r="O1345" s="1"/>
      <c r="P1345" s="1"/>
      <c r="Q1345" s="1"/>
      <c r="R1345" s="1"/>
      <c r="S1345" s="1"/>
      <c r="T1345" s="1"/>
      <c r="U1345" s="1"/>
    </row>
    <row r="1346" ht="10.5" customHeight="1">
      <c r="A1346" s="1"/>
      <c r="B1346" s="48" t="s">
        <v>111</v>
      </c>
      <c r="C1346" s="228">
        <v>37878.0</v>
      </c>
      <c r="D1346" s="164">
        <v>35874.0</v>
      </c>
      <c r="E1346" s="228">
        <v>16371.0</v>
      </c>
      <c r="F1346" s="228">
        <v>986.0</v>
      </c>
      <c r="G1346" s="228">
        <v>5122.0</v>
      </c>
      <c r="H1346" s="276">
        <v>1369.01</v>
      </c>
      <c r="I1346" s="1"/>
      <c r="J1346" s="1"/>
      <c r="K1346" s="1"/>
      <c r="L1346" s="1"/>
      <c r="M1346" s="1"/>
      <c r="N1346" s="1"/>
      <c r="O1346" s="1"/>
      <c r="P1346" s="1"/>
      <c r="Q1346" s="1"/>
      <c r="R1346" s="1"/>
      <c r="S1346" s="1"/>
      <c r="T1346" s="1"/>
      <c r="U1346" s="1"/>
    </row>
    <row r="1347" ht="10.5" customHeight="1">
      <c r="A1347" s="1"/>
      <c r="B1347" s="48" t="s">
        <v>112</v>
      </c>
      <c r="C1347" s="228">
        <v>41610.0</v>
      </c>
      <c r="D1347" s="164">
        <v>44019.0</v>
      </c>
      <c r="E1347" s="228">
        <v>17686.0</v>
      </c>
      <c r="F1347" s="228">
        <v>1039.0</v>
      </c>
      <c r="G1347" s="228">
        <v>6293.0</v>
      </c>
      <c r="H1347" s="276">
        <v>1779.49</v>
      </c>
      <c r="I1347" s="1"/>
      <c r="J1347" s="1"/>
      <c r="K1347" s="1"/>
      <c r="L1347" s="1"/>
      <c r="M1347" s="1"/>
      <c r="N1347" s="1"/>
      <c r="O1347" s="1"/>
      <c r="P1347" s="1"/>
      <c r="Q1347" s="1"/>
      <c r="R1347" s="1"/>
      <c r="S1347" s="1"/>
      <c r="T1347" s="1"/>
      <c r="U1347" s="1"/>
    </row>
    <row r="1348" ht="10.5" customHeight="1">
      <c r="A1348" s="1"/>
      <c r="B1348" s="48" t="s">
        <v>113</v>
      </c>
      <c r="C1348" s="228">
        <v>44212.0</v>
      </c>
      <c r="D1348" s="164">
        <v>49512.0</v>
      </c>
      <c r="E1348" s="228">
        <v>18234.0</v>
      </c>
      <c r="F1348" s="228">
        <v>1025.0</v>
      </c>
      <c r="G1348" s="228">
        <v>7873.0</v>
      </c>
      <c r="H1348" s="276">
        <v>2055.91</v>
      </c>
      <c r="I1348" s="1"/>
      <c r="J1348" s="1"/>
      <c r="K1348" s="1"/>
      <c r="L1348" s="1"/>
      <c r="M1348" s="1"/>
      <c r="N1348" s="1"/>
      <c r="O1348" s="1"/>
      <c r="P1348" s="1"/>
      <c r="Q1348" s="1"/>
      <c r="R1348" s="1"/>
      <c r="S1348" s="1"/>
      <c r="T1348" s="1"/>
      <c r="U1348" s="1"/>
    </row>
    <row r="1349" ht="10.5" customHeight="1">
      <c r="A1349" s="1"/>
      <c r="B1349" s="48" t="s">
        <v>114</v>
      </c>
      <c r="C1349" s="228">
        <v>42575.0</v>
      </c>
      <c r="D1349" s="164">
        <v>42624.0</v>
      </c>
      <c r="E1349" s="228">
        <v>20216.0</v>
      </c>
      <c r="F1349" s="228">
        <v>1034.0</v>
      </c>
      <c r="G1349" s="228">
        <v>2381.0</v>
      </c>
      <c r="H1349" s="276">
        <v>2290.07</v>
      </c>
      <c r="I1349" s="1"/>
      <c r="J1349" s="1"/>
      <c r="K1349" s="1"/>
      <c r="L1349" s="1"/>
      <c r="M1349" s="1"/>
      <c r="N1349" s="1"/>
      <c r="O1349" s="1"/>
      <c r="P1349" s="1"/>
      <c r="Q1349" s="1"/>
      <c r="R1349" s="1"/>
      <c r="S1349" s="1"/>
      <c r="T1349" s="1"/>
      <c r="U1349" s="1"/>
    </row>
    <row r="1350" ht="10.5" customHeight="1">
      <c r="A1350" s="1"/>
      <c r="B1350" s="48"/>
      <c r="C1350" s="228"/>
      <c r="D1350" s="164"/>
      <c r="E1350" s="228"/>
      <c r="F1350" s="228"/>
      <c r="G1350" s="228"/>
      <c r="H1350" s="276"/>
      <c r="I1350" s="1"/>
      <c r="J1350" s="1"/>
      <c r="K1350" s="1"/>
      <c r="L1350" s="1"/>
      <c r="M1350" s="1"/>
      <c r="N1350" s="1"/>
      <c r="O1350" s="1"/>
      <c r="P1350" s="1"/>
      <c r="Q1350" s="1"/>
      <c r="R1350" s="1"/>
      <c r="S1350" s="1"/>
      <c r="T1350" s="1"/>
      <c r="U1350" s="1"/>
    </row>
    <row r="1351" ht="10.5" customHeight="1">
      <c r="A1351" s="1"/>
      <c r="B1351" s="48" t="s">
        <v>115</v>
      </c>
      <c r="C1351" s="228">
        <v>41746.0</v>
      </c>
      <c r="D1351" s="164">
        <v>47617.0</v>
      </c>
      <c r="E1351" s="228">
        <v>20212.0</v>
      </c>
      <c r="F1351" s="228">
        <v>1308.0</v>
      </c>
      <c r="G1351" s="228" t="s">
        <v>10</v>
      </c>
      <c r="H1351" s="276" t="s">
        <v>10</v>
      </c>
      <c r="I1351" s="1"/>
      <c r="J1351" s="1"/>
      <c r="K1351" s="1"/>
      <c r="L1351" s="1"/>
      <c r="M1351" s="1"/>
      <c r="N1351" s="1"/>
      <c r="O1351" s="1"/>
      <c r="P1351" s="1"/>
      <c r="Q1351" s="1"/>
      <c r="R1351" s="1"/>
      <c r="S1351" s="1"/>
      <c r="T1351" s="1"/>
      <c r="U1351" s="1"/>
    </row>
    <row r="1352" ht="10.5" customHeight="1">
      <c r="A1352" s="1"/>
      <c r="B1352" s="48" t="s">
        <v>117</v>
      </c>
      <c r="C1352" s="228">
        <v>54277.0</v>
      </c>
      <c r="D1352" s="164">
        <v>48478.0</v>
      </c>
      <c r="E1352" s="228">
        <v>20323.0</v>
      </c>
      <c r="F1352" s="228">
        <v>1263.0</v>
      </c>
      <c r="G1352" s="228" t="s">
        <v>10</v>
      </c>
      <c r="H1352" s="276" t="s">
        <v>10</v>
      </c>
      <c r="I1352" s="1"/>
      <c r="J1352" s="1"/>
      <c r="K1352" s="1"/>
      <c r="L1352" s="1"/>
      <c r="M1352" s="1"/>
      <c r="N1352" s="1"/>
      <c r="O1352" s="1"/>
      <c r="P1352" s="1"/>
      <c r="Q1352" s="1"/>
      <c r="R1352" s="1"/>
      <c r="S1352" s="1"/>
      <c r="T1352" s="1"/>
      <c r="U1352" s="1"/>
    </row>
    <row r="1353" ht="10.5" customHeight="1">
      <c r="A1353" s="1"/>
      <c r="B1353" s="48" t="s">
        <v>121</v>
      </c>
      <c r="C1353" s="228">
        <v>44011.0</v>
      </c>
      <c r="D1353" s="164">
        <v>42983.0</v>
      </c>
      <c r="E1353" s="228">
        <v>19544.0</v>
      </c>
      <c r="F1353" s="228">
        <v>1203.0</v>
      </c>
      <c r="G1353" s="228" t="s">
        <v>10</v>
      </c>
      <c r="H1353" s="276" t="s">
        <v>10</v>
      </c>
      <c r="I1353" s="1"/>
      <c r="J1353" s="1"/>
      <c r="K1353" s="1"/>
      <c r="L1353" s="1"/>
      <c r="M1353" s="1"/>
      <c r="N1353" s="1"/>
      <c r="O1353" s="1"/>
      <c r="P1353" s="1"/>
      <c r="Q1353" s="1"/>
      <c r="R1353" s="1"/>
      <c r="S1353" s="1"/>
      <c r="T1353" s="1"/>
      <c r="U1353" s="1"/>
    </row>
    <row r="1354" ht="10.5" customHeight="1">
      <c r="A1354" s="1"/>
      <c r="B1354" s="48" t="s">
        <v>122</v>
      </c>
      <c r="C1354" s="228">
        <v>43691.0</v>
      </c>
      <c r="D1354" s="164">
        <v>50326.0</v>
      </c>
      <c r="E1354" s="228">
        <v>18509.0</v>
      </c>
      <c r="F1354" s="228">
        <v>1481.0</v>
      </c>
      <c r="G1354" s="228" t="s">
        <v>10</v>
      </c>
      <c r="H1354" s="276" t="s">
        <v>10</v>
      </c>
      <c r="I1354" s="1"/>
      <c r="J1354" s="1"/>
      <c r="K1354" s="1"/>
      <c r="L1354" s="1"/>
      <c r="M1354" s="1"/>
      <c r="N1354" s="1"/>
      <c r="O1354" s="1"/>
      <c r="P1354" s="1"/>
      <c r="Q1354" s="1"/>
      <c r="R1354" s="1"/>
      <c r="S1354" s="1"/>
      <c r="T1354" s="1"/>
      <c r="U1354" s="1"/>
    </row>
    <row r="1355" ht="10.5" customHeight="1">
      <c r="A1355" s="1"/>
      <c r="B1355" s="48" t="s">
        <v>123</v>
      </c>
      <c r="C1355" s="228">
        <v>46928.0</v>
      </c>
      <c r="D1355" s="164">
        <v>47411.0</v>
      </c>
      <c r="E1355" s="228">
        <v>19235.0</v>
      </c>
      <c r="F1355" s="228">
        <v>1327.0</v>
      </c>
      <c r="G1355" s="228" t="s">
        <v>10</v>
      </c>
      <c r="H1355" s="276" t="s">
        <v>10</v>
      </c>
      <c r="I1355" s="1"/>
      <c r="J1355" s="1"/>
      <c r="K1355" s="1"/>
      <c r="L1355" s="1"/>
      <c r="M1355" s="1"/>
      <c r="N1355" s="1"/>
      <c r="O1355" s="1"/>
      <c r="P1355" s="1"/>
      <c r="Q1355" s="1"/>
      <c r="R1355" s="1"/>
      <c r="S1355" s="1"/>
      <c r="T1355" s="1"/>
      <c r="U1355" s="1"/>
    </row>
    <row r="1356" ht="10.5" customHeight="1">
      <c r="A1356" s="1"/>
      <c r="B1356" s="48"/>
      <c r="C1356" s="228"/>
      <c r="D1356" s="164"/>
      <c r="E1356" s="228"/>
      <c r="F1356" s="228"/>
      <c r="G1356" s="228"/>
      <c r="H1356" s="276"/>
      <c r="I1356" s="1"/>
      <c r="J1356" s="1"/>
      <c r="K1356" s="1"/>
      <c r="L1356" s="1"/>
      <c r="M1356" s="1"/>
      <c r="N1356" s="1"/>
      <c r="O1356" s="1"/>
      <c r="P1356" s="1"/>
      <c r="Q1356" s="1"/>
      <c r="R1356" s="1"/>
      <c r="S1356" s="1"/>
      <c r="T1356" s="1"/>
      <c r="U1356" s="1"/>
    </row>
    <row r="1357" ht="10.5" customHeight="1">
      <c r="A1357" s="1"/>
      <c r="B1357" s="168" t="s">
        <v>125</v>
      </c>
      <c r="C1357" s="228">
        <v>36679.0</v>
      </c>
      <c r="D1357" s="164">
        <v>41539.0</v>
      </c>
      <c r="E1357" s="228">
        <v>15316.0</v>
      </c>
      <c r="F1357" s="228">
        <v>1467.0</v>
      </c>
      <c r="G1357" s="228" t="s">
        <v>10</v>
      </c>
      <c r="H1357" s="276" t="s">
        <v>10</v>
      </c>
      <c r="I1357" s="1"/>
      <c r="J1357" s="1"/>
      <c r="K1357" s="1"/>
      <c r="L1357" s="1"/>
      <c r="M1357" s="1"/>
      <c r="N1357" s="1"/>
      <c r="O1357" s="1"/>
      <c r="P1357" s="1"/>
      <c r="Q1357" s="1"/>
      <c r="R1357" s="1"/>
      <c r="S1357" s="1"/>
      <c r="T1357" s="1"/>
      <c r="U1357" s="1"/>
    </row>
    <row r="1358" ht="10.5" customHeight="1">
      <c r="A1358" s="1"/>
      <c r="B1358" s="168" t="s">
        <v>127</v>
      </c>
      <c r="C1358" s="217">
        <v>41223.0</v>
      </c>
      <c r="D1358" s="692">
        <v>51309.0</v>
      </c>
      <c r="E1358" s="217">
        <v>17544.0</v>
      </c>
      <c r="F1358" s="217">
        <v>1598.0</v>
      </c>
      <c r="G1358" s="217" t="s">
        <v>10</v>
      </c>
      <c r="H1358" s="289" t="s">
        <v>10</v>
      </c>
      <c r="I1358" s="1"/>
      <c r="J1358" s="1"/>
      <c r="K1358" s="1"/>
      <c r="L1358" s="1"/>
      <c r="M1358" s="1"/>
      <c r="N1358" s="1"/>
      <c r="O1358" s="1"/>
      <c r="P1358" s="1"/>
      <c r="Q1358" s="1"/>
      <c r="R1358" s="1"/>
      <c r="S1358" s="1"/>
      <c r="T1358" s="1"/>
      <c r="U1358" s="1"/>
    </row>
    <row r="1359" ht="10.5" customHeight="1">
      <c r="A1359" s="1"/>
      <c r="B1359" s="48" t="s">
        <v>128</v>
      </c>
      <c r="C1359" s="217">
        <v>39750.0</v>
      </c>
      <c r="D1359" s="692">
        <v>55403.0</v>
      </c>
      <c r="E1359" s="217">
        <v>13825.0</v>
      </c>
      <c r="F1359" s="217">
        <v>2148.0</v>
      </c>
      <c r="G1359" s="217" t="s">
        <v>10</v>
      </c>
      <c r="H1359" s="289" t="s">
        <v>10</v>
      </c>
      <c r="I1359" s="1"/>
      <c r="J1359" s="1"/>
      <c r="K1359" s="1"/>
      <c r="L1359" s="1"/>
      <c r="M1359" s="1"/>
      <c r="N1359" s="1"/>
      <c r="O1359" s="1"/>
      <c r="P1359" s="1"/>
      <c r="Q1359" s="1"/>
      <c r="R1359" s="1"/>
      <c r="S1359" s="1"/>
      <c r="T1359" s="1"/>
      <c r="U1359" s="1"/>
    </row>
    <row r="1360" ht="10.5" customHeight="1">
      <c r="A1360" s="1"/>
      <c r="B1360" s="48" t="s">
        <v>129</v>
      </c>
      <c r="C1360" s="217">
        <v>39914.0</v>
      </c>
      <c r="D1360" s="692">
        <v>62342.0</v>
      </c>
      <c r="E1360" s="217">
        <v>16314.0</v>
      </c>
      <c r="F1360" s="217">
        <v>2096.0</v>
      </c>
      <c r="G1360" s="217" t="s">
        <v>10</v>
      </c>
      <c r="H1360" s="289" t="s">
        <v>10</v>
      </c>
      <c r="I1360" s="1"/>
      <c r="J1360" s="1"/>
      <c r="K1360" s="1"/>
      <c r="L1360" s="1"/>
      <c r="M1360" s="1"/>
      <c r="N1360" s="1"/>
      <c r="O1360" s="1"/>
      <c r="P1360" s="1"/>
      <c r="Q1360" s="1"/>
      <c r="R1360" s="1"/>
      <c r="S1360" s="1"/>
      <c r="T1360" s="1"/>
      <c r="U1360" s="1"/>
    </row>
    <row r="1361" ht="10.5" customHeight="1">
      <c r="A1361" s="1"/>
      <c r="B1361" s="48" t="s">
        <v>130</v>
      </c>
      <c r="C1361" s="217">
        <v>35984.0</v>
      </c>
      <c r="D1361" s="692">
        <v>58795.0</v>
      </c>
      <c r="E1361" s="217">
        <v>14893.0</v>
      </c>
      <c r="F1361" s="217">
        <v>2166.0</v>
      </c>
      <c r="G1361" s="217" t="s">
        <v>10</v>
      </c>
      <c r="H1361" s="289" t="s">
        <v>10</v>
      </c>
      <c r="I1361" s="1"/>
      <c r="J1361" s="1"/>
      <c r="K1361" s="1"/>
      <c r="L1361" s="1"/>
      <c r="M1361" s="1"/>
      <c r="N1361" s="1"/>
      <c r="O1361" s="1"/>
      <c r="P1361" s="1"/>
      <c r="Q1361" s="1"/>
      <c r="R1361" s="1"/>
      <c r="S1361" s="1"/>
      <c r="T1361" s="1"/>
      <c r="U1361" s="1"/>
    </row>
    <row r="1362" ht="10.5" customHeight="1">
      <c r="A1362" s="1"/>
      <c r="B1362" s="48"/>
      <c r="C1362" s="217"/>
      <c r="D1362" s="692"/>
      <c r="E1362" s="217"/>
      <c r="F1362" s="217"/>
      <c r="G1362" s="217" t="s">
        <v>10</v>
      </c>
      <c r="H1362" s="289" t="s">
        <v>10</v>
      </c>
      <c r="I1362" s="1"/>
      <c r="J1362" s="1"/>
      <c r="K1362" s="1"/>
      <c r="L1362" s="1"/>
      <c r="M1362" s="1"/>
      <c r="N1362" s="1"/>
      <c r="O1362" s="1"/>
      <c r="P1362" s="1"/>
      <c r="Q1362" s="1"/>
      <c r="R1362" s="1"/>
      <c r="S1362" s="1"/>
      <c r="T1362" s="1"/>
      <c r="U1362" s="1"/>
    </row>
    <row r="1363" ht="10.5" customHeight="1">
      <c r="A1363" s="1"/>
      <c r="B1363" s="48" t="s">
        <v>131</v>
      </c>
      <c r="C1363" s="217">
        <v>49477.0</v>
      </c>
      <c r="D1363" s="164">
        <v>59365.0</v>
      </c>
      <c r="E1363" s="217">
        <v>20624.0</v>
      </c>
      <c r="F1363" s="217">
        <v>1573.0</v>
      </c>
      <c r="G1363" s="217" t="s">
        <v>10</v>
      </c>
      <c r="H1363" s="289" t="s">
        <v>10</v>
      </c>
      <c r="I1363" s="1"/>
      <c r="J1363" s="1"/>
      <c r="K1363" s="1"/>
      <c r="L1363" s="1"/>
      <c r="M1363" s="1"/>
      <c r="N1363" s="1"/>
      <c r="O1363" s="1"/>
      <c r="P1363" s="1"/>
      <c r="Q1363" s="1"/>
      <c r="R1363" s="1"/>
      <c r="S1363" s="1"/>
      <c r="T1363" s="1"/>
      <c r="U1363" s="1"/>
    </row>
    <row r="1364" ht="10.5" customHeight="1">
      <c r="A1364" s="1"/>
      <c r="B1364" s="48" t="s">
        <v>133</v>
      </c>
      <c r="C1364" s="217">
        <v>45836.0</v>
      </c>
      <c r="D1364" s="164">
        <v>66887.0</v>
      </c>
      <c r="E1364" s="217">
        <v>13806.0</v>
      </c>
      <c r="F1364" s="217">
        <v>2571.0</v>
      </c>
      <c r="G1364" s="217" t="s">
        <v>10</v>
      </c>
      <c r="H1364" s="289" t="s">
        <v>10</v>
      </c>
      <c r="I1364" s="1"/>
      <c r="J1364" s="1"/>
      <c r="K1364" s="1"/>
      <c r="L1364" s="1"/>
      <c r="M1364" s="1"/>
      <c r="N1364" s="1"/>
      <c r="O1364" s="1"/>
      <c r="P1364" s="1"/>
      <c r="Q1364" s="1"/>
      <c r="R1364" s="1"/>
      <c r="S1364" s="1"/>
      <c r="T1364" s="1"/>
      <c r="U1364" s="1"/>
    </row>
    <row r="1365" ht="10.5" customHeight="1">
      <c r="A1365" s="1"/>
      <c r="B1365" s="293">
        <v>39295.0</v>
      </c>
      <c r="C1365" s="217">
        <v>35380.0</v>
      </c>
      <c r="D1365" s="164">
        <v>78004.0</v>
      </c>
      <c r="E1365" s="217">
        <v>13580.0</v>
      </c>
      <c r="F1365" s="217">
        <v>3151.0</v>
      </c>
      <c r="G1365" s="217" t="s">
        <v>10</v>
      </c>
      <c r="H1365" s="289" t="s">
        <v>10</v>
      </c>
      <c r="I1365" s="1"/>
      <c r="J1365" s="1"/>
      <c r="K1365" s="1"/>
      <c r="L1365" s="1"/>
      <c r="M1365" s="1"/>
      <c r="N1365" s="1"/>
      <c r="O1365" s="1"/>
      <c r="P1365" s="1"/>
      <c r="Q1365" s="1"/>
      <c r="R1365" s="1"/>
      <c r="S1365" s="1"/>
      <c r="T1365" s="1"/>
      <c r="U1365" s="1"/>
    </row>
    <row r="1366" ht="10.5" customHeight="1">
      <c r="A1366" s="1"/>
      <c r="B1366" s="293">
        <v>39692.0</v>
      </c>
      <c r="C1366" s="217">
        <v>30289.0</v>
      </c>
      <c r="D1366" s="164">
        <v>82637.0</v>
      </c>
      <c r="E1366" s="217">
        <v>10937.0</v>
      </c>
      <c r="F1366" s="217">
        <v>4053.0</v>
      </c>
      <c r="G1366" s="217" t="s">
        <v>10</v>
      </c>
      <c r="H1366" s="289" t="s">
        <v>10</v>
      </c>
      <c r="I1366" s="1"/>
      <c r="J1366" s="1"/>
      <c r="K1366" s="1"/>
      <c r="L1366" s="1"/>
      <c r="M1366" s="1"/>
      <c r="N1366" s="1"/>
      <c r="O1366" s="1"/>
      <c r="P1366" s="1"/>
      <c r="Q1366" s="1"/>
      <c r="R1366" s="1"/>
      <c r="S1366" s="1"/>
      <c r="T1366" s="1"/>
      <c r="U1366" s="1"/>
    </row>
    <row r="1367" ht="10.5" customHeight="1">
      <c r="A1367" s="1"/>
      <c r="B1367" s="293">
        <v>40087.0</v>
      </c>
      <c r="C1367" s="217">
        <v>32625.0</v>
      </c>
      <c r="D1367" s="164">
        <v>93020.0</v>
      </c>
      <c r="E1367" s="217">
        <v>11927.0</v>
      </c>
      <c r="F1367" s="217">
        <v>4183.0</v>
      </c>
      <c r="G1367" s="217" t="s">
        <v>10</v>
      </c>
      <c r="H1367" s="289" t="s">
        <v>10</v>
      </c>
      <c r="I1367" s="1"/>
      <c r="J1367" s="1"/>
      <c r="K1367" s="1"/>
      <c r="L1367" s="1"/>
      <c r="M1367" s="1"/>
      <c r="N1367" s="1"/>
      <c r="O1367" s="1"/>
      <c r="P1367" s="1"/>
      <c r="Q1367" s="1"/>
      <c r="R1367" s="1"/>
      <c r="S1367" s="1"/>
      <c r="T1367" s="1"/>
      <c r="U1367" s="1"/>
    </row>
    <row r="1368" ht="10.5" customHeight="1">
      <c r="A1368" s="1"/>
      <c r="B1368" s="293"/>
      <c r="C1368" s="217"/>
      <c r="D1368" s="164"/>
      <c r="E1368" s="217"/>
      <c r="F1368" s="217"/>
      <c r="G1368" s="217"/>
      <c r="H1368" s="289"/>
      <c r="I1368" s="1"/>
      <c r="J1368" s="1"/>
      <c r="K1368" s="1"/>
      <c r="L1368" s="1"/>
      <c r="M1368" s="1"/>
      <c r="N1368" s="1"/>
      <c r="O1368" s="1"/>
      <c r="P1368" s="1"/>
      <c r="Q1368" s="1"/>
      <c r="R1368" s="1"/>
      <c r="S1368" s="1"/>
      <c r="T1368" s="1"/>
      <c r="U1368" s="1"/>
    </row>
    <row r="1369" ht="10.5" customHeight="1">
      <c r="A1369" s="1"/>
      <c r="B1369" s="293">
        <v>40483.0</v>
      </c>
      <c r="C1369" s="217">
        <v>30909.0</v>
      </c>
      <c r="D1369" s="164">
        <v>107557.0</v>
      </c>
      <c r="E1369" s="217">
        <v>12468.0</v>
      </c>
      <c r="F1369" s="217">
        <v>4719.0</v>
      </c>
      <c r="G1369" s="217" t="s">
        <v>10</v>
      </c>
      <c r="H1369" s="289" t="s">
        <v>10</v>
      </c>
      <c r="I1369" s="1"/>
      <c r="J1369" s="1"/>
      <c r="K1369" s="1"/>
      <c r="L1369" s="1"/>
      <c r="M1369" s="1"/>
      <c r="N1369" s="1"/>
      <c r="O1369" s="1"/>
      <c r="P1369" s="1"/>
      <c r="Q1369" s="1"/>
      <c r="R1369" s="1"/>
      <c r="S1369" s="1"/>
      <c r="T1369" s="1"/>
      <c r="U1369" s="1"/>
    </row>
    <row r="1370" ht="10.5" customHeight="1">
      <c r="A1370" s="1"/>
      <c r="B1370" s="85" t="s">
        <v>143</v>
      </c>
      <c r="C1370" s="217">
        <v>28855.0</v>
      </c>
      <c r="D1370" s="164">
        <v>93569.0</v>
      </c>
      <c r="E1370" s="217">
        <v>10814.0</v>
      </c>
      <c r="F1370" s="217">
        <v>4681.0</v>
      </c>
      <c r="G1370" s="217" t="s">
        <v>10</v>
      </c>
      <c r="H1370" s="289" t="s">
        <v>10</v>
      </c>
      <c r="I1370" s="1"/>
      <c r="J1370" s="1"/>
      <c r="K1370" s="1"/>
      <c r="L1370" s="1"/>
      <c r="M1370" s="1"/>
      <c r="N1370" s="1"/>
      <c r="O1370" s="1"/>
      <c r="P1370" s="1"/>
      <c r="Q1370" s="1"/>
      <c r="R1370" s="1"/>
      <c r="S1370" s="1"/>
      <c r="T1370" s="1"/>
      <c r="U1370" s="1"/>
    </row>
    <row r="1371" ht="10.5" customHeight="1">
      <c r="A1371" s="1"/>
      <c r="B1371" s="85" t="s">
        <v>149</v>
      </c>
      <c r="C1371" s="217">
        <v>34942.0</v>
      </c>
      <c r="D1371" s="164">
        <v>113572.0</v>
      </c>
      <c r="E1371" s="217">
        <v>12301.0</v>
      </c>
      <c r="F1371" s="217">
        <v>4966.0</v>
      </c>
      <c r="G1371" s="217" t="s">
        <v>10</v>
      </c>
      <c r="H1371" s="289" t="s">
        <v>10</v>
      </c>
      <c r="I1371" s="1"/>
      <c r="J1371" s="1"/>
      <c r="K1371" s="1"/>
      <c r="L1371" s="1"/>
      <c r="M1371" s="1"/>
      <c r="N1371" s="1"/>
      <c r="O1371" s="1"/>
      <c r="P1371" s="1"/>
      <c r="Q1371" s="1"/>
      <c r="R1371" s="1"/>
      <c r="S1371" s="1"/>
      <c r="T1371" s="1"/>
      <c r="U1371" s="1"/>
    </row>
    <row r="1372" ht="10.5" customHeight="1">
      <c r="A1372" s="1"/>
      <c r="B1372" s="85" t="s">
        <v>151</v>
      </c>
      <c r="C1372" s="217">
        <v>34817.0</v>
      </c>
      <c r="D1372" s="164">
        <v>137142.0</v>
      </c>
      <c r="E1372" s="217">
        <v>12887.0</v>
      </c>
      <c r="F1372" s="217">
        <v>5785.0</v>
      </c>
      <c r="G1372" s="217" t="s">
        <v>10</v>
      </c>
      <c r="H1372" s="289" t="s">
        <v>10</v>
      </c>
      <c r="I1372" s="1"/>
      <c r="J1372" s="1"/>
      <c r="K1372" s="1"/>
      <c r="L1372" s="1"/>
      <c r="M1372" s="1"/>
      <c r="N1372" s="1"/>
      <c r="O1372" s="1"/>
      <c r="P1372" s="1"/>
      <c r="Q1372" s="1"/>
      <c r="R1372" s="1"/>
      <c r="S1372" s="1"/>
      <c r="T1372" s="1"/>
      <c r="U1372" s="1"/>
    </row>
    <row r="1373" ht="10.5" customHeight="1">
      <c r="A1373" s="1"/>
      <c r="B1373" s="85" t="s">
        <v>153</v>
      </c>
      <c r="C1373" s="217">
        <v>40355.0</v>
      </c>
      <c r="D1373" s="164">
        <v>141029.0</v>
      </c>
      <c r="E1373" s="217">
        <v>12283.0</v>
      </c>
      <c r="F1373" s="217">
        <v>6131.0</v>
      </c>
      <c r="G1373" s="217" t="s">
        <v>10</v>
      </c>
      <c r="H1373" s="289" t="s">
        <v>10</v>
      </c>
      <c r="I1373" s="1"/>
      <c r="J1373" s="1"/>
      <c r="K1373" s="1"/>
      <c r="L1373" s="1"/>
      <c r="M1373" s="1"/>
      <c r="N1373" s="1"/>
      <c r="O1373" s="1"/>
      <c r="P1373" s="1"/>
      <c r="Q1373" s="1"/>
      <c r="R1373" s="1"/>
      <c r="S1373" s="1"/>
      <c r="T1373" s="1"/>
      <c r="U1373" s="1"/>
    </row>
    <row r="1374" ht="10.5" customHeight="1">
      <c r="A1374" s="1"/>
      <c r="B1374" s="85"/>
      <c r="C1374" s="217"/>
      <c r="D1374" s="164"/>
      <c r="E1374" s="217"/>
      <c r="F1374" s="217"/>
      <c r="G1374" s="217"/>
      <c r="H1374" s="289"/>
      <c r="I1374" s="1"/>
      <c r="J1374" s="1"/>
      <c r="K1374" s="1"/>
      <c r="L1374" s="1"/>
      <c r="M1374" s="1"/>
      <c r="N1374" s="1"/>
      <c r="O1374" s="1"/>
      <c r="P1374" s="1"/>
      <c r="Q1374" s="1"/>
      <c r="R1374" s="1"/>
      <c r="S1374" s="1"/>
      <c r="T1374" s="1"/>
      <c r="U1374" s="1"/>
    </row>
    <row r="1375" ht="10.5" customHeight="1">
      <c r="A1375" s="1"/>
      <c r="B1375" s="85" t="s">
        <v>155</v>
      </c>
      <c r="C1375" s="217">
        <v>41959.0</v>
      </c>
      <c r="D1375" s="164">
        <v>138471.0</v>
      </c>
      <c r="E1375" s="217">
        <v>11481.0</v>
      </c>
      <c r="F1375" s="217">
        <v>6341.0</v>
      </c>
      <c r="G1375" s="217" t="s">
        <v>10</v>
      </c>
      <c r="H1375" s="289" t="s">
        <v>10</v>
      </c>
      <c r="I1375" s="1"/>
      <c r="J1375" s="1"/>
      <c r="K1375" s="1"/>
      <c r="L1375" s="1"/>
      <c r="M1375" s="1"/>
      <c r="N1375" s="1"/>
      <c r="O1375" s="1"/>
      <c r="P1375" s="1"/>
      <c r="Q1375" s="1"/>
      <c r="R1375" s="1"/>
      <c r="S1375" s="1"/>
      <c r="T1375" s="1"/>
      <c r="U1375" s="1"/>
    </row>
    <row r="1376" ht="10.5" customHeight="1">
      <c r="A1376" s="1"/>
      <c r="B1376" s="85" t="s">
        <v>160</v>
      </c>
      <c r="C1376" s="217">
        <v>36166.0</v>
      </c>
      <c r="D1376" s="164">
        <v>195157.0</v>
      </c>
      <c r="E1376" s="217">
        <v>14831.0</v>
      </c>
      <c r="F1376" s="217">
        <v>7236.0</v>
      </c>
      <c r="G1376" s="217" t="s">
        <v>10</v>
      </c>
      <c r="H1376" s="289" t="s">
        <v>10</v>
      </c>
      <c r="I1376" s="1"/>
      <c r="J1376" s="1"/>
      <c r="K1376" s="1"/>
      <c r="L1376" s="1"/>
      <c r="M1376" s="1"/>
      <c r="N1376" s="1"/>
      <c r="O1376" s="1"/>
      <c r="P1376" s="1"/>
      <c r="Q1376" s="1"/>
      <c r="R1376" s="1"/>
      <c r="S1376" s="1"/>
      <c r="T1376" s="1"/>
      <c r="U1376" s="1"/>
    </row>
    <row r="1377" ht="10.5" customHeight="1">
      <c r="A1377" s="1"/>
      <c r="B1377" s="96" t="s">
        <v>1273</v>
      </c>
      <c r="C1377" s="241">
        <v>40870.0</v>
      </c>
      <c r="D1377" s="210">
        <v>170740.0</v>
      </c>
      <c r="E1377" s="241">
        <v>13639.0</v>
      </c>
      <c r="F1377" s="241">
        <v>6690.0</v>
      </c>
      <c r="G1377" s="241" t="s">
        <v>10</v>
      </c>
      <c r="H1377" s="290" t="s">
        <v>10</v>
      </c>
      <c r="I1377" s="1"/>
      <c r="J1377" s="1"/>
      <c r="K1377" s="1"/>
      <c r="L1377" s="1"/>
      <c r="M1377" s="1"/>
      <c r="N1377" s="1"/>
      <c r="O1377" s="1"/>
      <c r="P1377" s="1"/>
      <c r="Q1377" s="1"/>
      <c r="R1377" s="1"/>
      <c r="S1377" s="1"/>
      <c r="T1377" s="1"/>
      <c r="U1377" s="1"/>
    </row>
    <row r="1378" ht="6.0" customHeight="1">
      <c r="A1378" s="1"/>
      <c r="B1378" s="291"/>
      <c r="C1378" s="244"/>
      <c r="D1378" s="692"/>
      <c r="E1378" s="244"/>
      <c r="F1378" s="244"/>
      <c r="G1378" s="244"/>
      <c r="H1378" s="292"/>
      <c r="I1378" s="1"/>
      <c r="J1378" s="1"/>
      <c r="K1378" s="1"/>
      <c r="L1378" s="1"/>
      <c r="M1378" s="1"/>
      <c r="N1378" s="1"/>
      <c r="O1378" s="1"/>
      <c r="P1378" s="1"/>
      <c r="Q1378" s="1"/>
      <c r="R1378" s="1"/>
      <c r="S1378" s="1"/>
      <c r="T1378" s="1"/>
      <c r="U1378" s="1"/>
    </row>
    <row r="1379" ht="10.5" customHeight="1">
      <c r="A1379" s="1"/>
      <c r="B1379" s="185" t="s">
        <v>1274</v>
      </c>
      <c r="C1379" s="185"/>
      <c r="D1379" s="185"/>
      <c r="E1379" s="185"/>
      <c r="F1379" s="185"/>
      <c r="G1379" s="185"/>
      <c r="H1379" s="185"/>
      <c r="I1379" s="1"/>
      <c r="J1379" s="1"/>
      <c r="K1379" s="1"/>
      <c r="L1379" s="1"/>
      <c r="M1379" s="1"/>
      <c r="N1379" s="1"/>
      <c r="O1379" s="1"/>
      <c r="P1379" s="1"/>
      <c r="Q1379" s="1"/>
      <c r="R1379" s="1"/>
      <c r="S1379" s="1"/>
      <c r="T1379" s="1"/>
      <c r="U1379" s="1"/>
    </row>
    <row r="1380" ht="10.5" customHeight="1">
      <c r="A1380" s="1"/>
      <c r="B1380" s="185" t="s">
        <v>662</v>
      </c>
      <c r="C1380" s="185"/>
      <c r="D1380" s="185"/>
      <c r="E1380" s="185"/>
      <c r="F1380" s="185"/>
      <c r="G1380" s="185"/>
      <c r="H1380" s="185"/>
      <c r="I1380" s="1"/>
      <c r="J1380" s="1"/>
      <c r="K1380" s="1"/>
      <c r="L1380" s="1"/>
      <c r="M1380" s="1"/>
      <c r="N1380" s="1"/>
      <c r="O1380" s="1"/>
      <c r="P1380" s="1"/>
      <c r="Q1380" s="1"/>
      <c r="R1380" s="1"/>
      <c r="S1380" s="1"/>
      <c r="T1380" s="1"/>
      <c r="U1380" s="1"/>
    </row>
    <row r="1381" ht="10.5" customHeight="1">
      <c r="A1381" s="1"/>
      <c r="B1381" s="185" t="s">
        <v>663</v>
      </c>
      <c r="C1381" s="185"/>
      <c r="D1381" s="185"/>
      <c r="E1381" s="185"/>
      <c r="F1381" s="185"/>
      <c r="G1381" s="185"/>
      <c r="H1381" s="185"/>
      <c r="I1381" s="1"/>
      <c r="J1381" s="1"/>
      <c r="K1381" s="1"/>
      <c r="L1381" s="1"/>
      <c r="M1381" s="1"/>
      <c r="N1381" s="1"/>
      <c r="O1381" s="1"/>
      <c r="P1381" s="1"/>
      <c r="Q1381" s="1"/>
      <c r="R1381" s="1"/>
      <c r="S1381" s="1"/>
      <c r="T1381" s="1"/>
      <c r="U1381" s="1"/>
    </row>
    <row r="1382" ht="10.5" customHeight="1">
      <c r="A1382" s="1"/>
      <c r="B1382" s="185" t="s">
        <v>664</v>
      </c>
      <c r="C1382" s="185"/>
      <c r="D1382" s="185"/>
      <c r="E1382" s="185"/>
      <c r="F1382" s="185"/>
      <c r="G1382" s="185"/>
      <c r="H1382" s="185"/>
      <c r="I1382" s="1"/>
      <c r="J1382" s="1"/>
      <c r="K1382" s="1"/>
      <c r="L1382" s="1"/>
      <c r="M1382" s="1"/>
      <c r="N1382" s="1"/>
      <c r="O1382" s="1"/>
      <c r="P1382" s="1"/>
      <c r="Q1382" s="1"/>
      <c r="R1382" s="1"/>
      <c r="S1382" s="1"/>
      <c r="T1382" s="1"/>
      <c r="U1382" s="1"/>
    </row>
    <row r="1383" ht="10.5" customHeight="1">
      <c r="A1383" s="1"/>
      <c r="B1383" s="185" t="s">
        <v>665</v>
      </c>
      <c r="C1383" s="185"/>
      <c r="D1383" s="185"/>
      <c r="E1383" s="185"/>
      <c r="F1383" s="185"/>
      <c r="G1383" s="185"/>
      <c r="H1383" s="185"/>
      <c r="I1383" s="1"/>
      <c r="J1383" s="1"/>
      <c r="K1383" s="1"/>
      <c r="L1383" s="1"/>
      <c r="M1383" s="1"/>
      <c r="N1383" s="1"/>
      <c r="O1383" s="1"/>
      <c r="P1383" s="1"/>
      <c r="Q1383" s="1"/>
      <c r="R1383" s="1"/>
      <c r="S1383" s="1"/>
      <c r="T1383" s="1"/>
      <c r="U1383" s="1"/>
    </row>
    <row r="1384" ht="10.5" customHeight="1">
      <c r="A1384" s="1"/>
      <c r="B1384" s="311" t="s">
        <v>666</v>
      </c>
      <c r="I1384" s="1"/>
      <c r="J1384" s="1"/>
      <c r="K1384" s="1"/>
      <c r="L1384" s="1"/>
      <c r="M1384" s="1"/>
      <c r="N1384" s="1"/>
      <c r="O1384" s="1"/>
      <c r="P1384" s="1"/>
      <c r="Q1384" s="1"/>
      <c r="R1384" s="1"/>
      <c r="S1384" s="1"/>
      <c r="T1384" s="1"/>
      <c r="U1384" s="1"/>
    </row>
    <row r="1385" ht="10.5" customHeight="1">
      <c r="A1385" s="1"/>
      <c r="B1385" s="311" t="s">
        <v>667</v>
      </c>
      <c r="C1385" s="311"/>
      <c r="D1385" s="311"/>
      <c r="E1385" s="311"/>
      <c r="F1385" s="311"/>
      <c r="G1385" s="311"/>
      <c r="H1385" s="311"/>
      <c r="I1385" s="1"/>
      <c r="J1385" s="1"/>
      <c r="K1385" s="1"/>
      <c r="L1385" s="1"/>
      <c r="M1385" s="1"/>
      <c r="N1385" s="1"/>
      <c r="O1385" s="1"/>
      <c r="P1385" s="1"/>
      <c r="Q1385" s="1"/>
      <c r="R1385" s="1"/>
      <c r="S1385" s="1"/>
      <c r="T1385" s="1"/>
      <c r="U1385" s="1"/>
    </row>
    <row r="1386" ht="10.5" customHeight="1">
      <c r="A1386" s="1"/>
      <c r="B1386" s="311" t="s">
        <v>669</v>
      </c>
      <c r="C1386" s="311"/>
      <c r="D1386" s="311"/>
      <c r="E1386" s="311"/>
      <c r="F1386" s="311"/>
      <c r="G1386" s="311"/>
      <c r="H1386" s="311"/>
      <c r="I1386" s="1"/>
      <c r="J1386" s="1"/>
      <c r="K1386" s="1"/>
      <c r="L1386" s="1"/>
      <c r="M1386" s="1"/>
      <c r="N1386" s="1"/>
      <c r="O1386" s="1"/>
      <c r="P1386" s="1"/>
      <c r="Q1386" s="1"/>
      <c r="R1386" s="1"/>
      <c r="S1386" s="1"/>
      <c r="T1386" s="1"/>
      <c r="U1386" s="1"/>
    </row>
    <row r="1387" ht="10.5" customHeight="1">
      <c r="A1387" s="1"/>
      <c r="B1387" s="185" t="s">
        <v>1279</v>
      </c>
      <c r="C1387" s="185"/>
      <c r="D1387" s="185"/>
      <c r="E1387" s="185"/>
      <c r="F1387" s="185"/>
      <c r="G1387" s="185"/>
      <c r="H1387" s="185"/>
      <c r="I1387" s="1"/>
      <c r="J1387" s="1"/>
      <c r="K1387" s="1"/>
      <c r="L1387" s="1"/>
      <c r="M1387" s="1"/>
      <c r="N1387" s="1"/>
      <c r="O1387" s="1"/>
      <c r="P1387" s="1"/>
      <c r="Q1387" s="1"/>
      <c r="R1387" s="1"/>
      <c r="S1387" s="1"/>
      <c r="T1387" s="1"/>
      <c r="U1387" s="1"/>
    </row>
    <row r="1388" ht="10.5" customHeight="1">
      <c r="A1388" s="1"/>
      <c r="B1388" s="185" t="s">
        <v>1280</v>
      </c>
      <c r="C1388" s="185"/>
      <c r="D1388" s="185"/>
      <c r="E1388" s="185"/>
      <c r="F1388" s="185"/>
      <c r="G1388" s="185"/>
      <c r="H1388" s="185"/>
      <c r="I1388" s="1"/>
      <c r="J1388" s="1"/>
      <c r="K1388" s="1"/>
      <c r="L1388" s="1"/>
      <c r="M1388" s="1"/>
      <c r="N1388" s="1"/>
      <c r="O1388" s="1"/>
      <c r="P1388" s="1"/>
      <c r="Q1388" s="1"/>
      <c r="R1388" s="1"/>
      <c r="S1388" s="1"/>
      <c r="T1388" s="1"/>
      <c r="U1388" s="1"/>
    </row>
    <row r="1389" ht="10.5" customHeight="1">
      <c r="A1389" s="1"/>
      <c r="B1389" s="1"/>
      <c r="C1389" s="15"/>
      <c r="D1389" s="15"/>
      <c r="E1389" s="15"/>
      <c r="F1389" s="15"/>
      <c r="G1389" s="15"/>
      <c r="H1389" s="15"/>
      <c r="I1389" s="1"/>
      <c r="J1389" s="1"/>
      <c r="K1389" s="1"/>
      <c r="L1389" s="1"/>
      <c r="M1389" s="1"/>
      <c r="N1389" s="1"/>
      <c r="O1389" s="1"/>
      <c r="P1389" s="1"/>
      <c r="Q1389" s="1"/>
      <c r="R1389" s="1"/>
      <c r="S1389" s="1"/>
      <c r="T1389" s="1"/>
      <c r="U1389" s="1"/>
    </row>
    <row r="1390" ht="10.5" customHeight="1">
      <c r="A1390" s="1"/>
      <c r="B1390" s="1"/>
      <c r="C1390" s="1"/>
      <c r="D1390" s="1"/>
      <c r="E1390" s="1"/>
      <c r="F1390" s="1"/>
      <c r="G1390" s="1"/>
      <c r="H1390" s="1"/>
      <c r="I1390" s="1"/>
      <c r="J1390" s="1"/>
      <c r="K1390" s="1"/>
      <c r="L1390" s="1"/>
      <c r="M1390" s="1"/>
      <c r="N1390" s="1"/>
      <c r="O1390" s="1"/>
      <c r="P1390" s="1"/>
      <c r="Q1390" s="1"/>
      <c r="R1390" s="1"/>
      <c r="S1390" s="1"/>
      <c r="T1390" s="1"/>
      <c r="U1390" s="1"/>
    </row>
    <row r="1391" ht="10.5" customHeight="1">
      <c r="A1391" s="1"/>
      <c r="B1391" s="1"/>
      <c r="C1391" s="1"/>
      <c r="D1391" s="1"/>
      <c r="E1391" s="1"/>
      <c r="F1391" s="1"/>
      <c r="G1391" s="1"/>
      <c r="H1391" s="1"/>
      <c r="I1391" s="1"/>
      <c r="J1391" s="1"/>
      <c r="K1391" s="1"/>
      <c r="L1391" s="1"/>
      <c r="M1391" s="1"/>
      <c r="N1391" s="1"/>
      <c r="O1391" s="1"/>
      <c r="P1391" s="1"/>
      <c r="Q1391" s="1"/>
      <c r="R1391" s="1"/>
      <c r="S1391" s="1"/>
      <c r="T1391" s="1"/>
      <c r="U1391" s="1"/>
    </row>
    <row r="1392" ht="10.5" customHeight="1">
      <c r="A1392" s="1"/>
      <c r="B1392" s="1"/>
      <c r="C1392" s="1"/>
      <c r="D1392" s="1"/>
      <c r="E1392" s="1"/>
      <c r="F1392" s="1"/>
      <c r="G1392" s="1"/>
      <c r="H1392" s="1"/>
      <c r="I1392" s="1"/>
      <c r="J1392" s="1"/>
      <c r="K1392" s="1"/>
      <c r="L1392" s="1"/>
      <c r="M1392" s="1"/>
      <c r="N1392" s="1"/>
      <c r="O1392" s="1"/>
      <c r="P1392" s="1"/>
      <c r="Q1392" s="1"/>
      <c r="R1392" s="1"/>
      <c r="S1392" s="1"/>
      <c r="T1392" s="1"/>
      <c r="U1392" s="1"/>
    </row>
    <row r="1393" ht="10.5" customHeight="1">
      <c r="A1393" s="1"/>
      <c r="B1393" s="1"/>
      <c r="C1393" s="1"/>
      <c r="D1393" s="1"/>
      <c r="E1393" s="1"/>
      <c r="F1393" s="1"/>
      <c r="G1393" s="1"/>
      <c r="H1393" s="1"/>
      <c r="I1393" s="1"/>
      <c r="J1393" s="1"/>
      <c r="K1393" s="1"/>
      <c r="L1393" s="1"/>
      <c r="M1393" s="1"/>
      <c r="N1393" s="1"/>
      <c r="O1393" s="1"/>
      <c r="P1393" s="1"/>
      <c r="Q1393" s="1"/>
      <c r="R1393" s="1"/>
      <c r="S1393" s="1"/>
      <c r="T1393" s="1"/>
      <c r="U1393" s="1"/>
    </row>
    <row r="1394" ht="10.5" customHeight="1">
      <c r="A1394" s="1"/>
      <c r="B1394" s="1"/>
      <c r="C1394" s="1"/>
      <c r="D1394" s="1"/>
      <c r="E1394" s="1"/>
      <c r="F1394" s="1"/>
      <c r="G1394" s="110">
        <v>54.0</v>
      </c>
      <c r="H1394" s="1"/>
      <c r="I1394" s="1"/>
      <c r="J1394" s="1"/>
      <c r="K1394" s="1"/>
      <c r="L1394" s="1"/>
      <c r="M1394" s="1"/>
      <c r="N1394" s="1"/>
      <c r="O1394" s="1"/>
      <c r="P1394" s="1"/>
      <c r="Q1394" s="1"/>
      <c r="R1394" s="1"/>
      <c r="S1394" s="1"/>
      <c r="T1394" s="1"/>
      <c r="U1394" s="1"/>
    </row>
    <row r="1395" ht="10.5" customHeight="1">
      <c r="A1395" s="1"/>
      <c r="B1395" s="1"/>
      <c r="C1395" s="1"/>
      <c r="D1395" s="1"/>
      <c r="E1395" s="1"/>
      <c r="F1395" s="1"/>
      <c r="G1395" s="1"/>
      <c r="H1395" s="1"/>
      <c r="I1395" s="1"/>
      <c r="J1395" s="1"/>
      <c r="K1395" s="1"/>
      <c r="L1395" s="1"/>
      <c r="M1395" s="1"/>
      <c r="N1395" s="1"/>
      <c r="O1395" s="1"/>
      <c r="P1395" s="1"/>
      <c r="Q1395" s="1"/>
      <c r="R1395" s="1"/>
      <c r="S1395" s="1"/>
      <c r="T1395" s="1"/>
      <c r="U1395" s="1"/>
    </row>
    <row r="1396" ht="11.25" customHeight="1">
      <c r="A1396" s="1"/>
      <c r="B1396" s="1" t="s">
        <v>1282</v>
      </c>
      <c r="C1396" s="1"/>
      <c r="D1396" s="1"/>
      <c r="E1396" s="1"/>
      <c r="F1396" s="1"/>
      <c r="G1396" s="1"/>
      <c r="H1396" s="1"/>
      <c r="I1396" s="1"/>
      <c r="J1396" s="1"/>
      <c r="K1396" s="1"/>
      <c r="L1396" s="1"/>
      <c r="M1396" s="1"/>
      <c r="N1396" s="1"/>
      <c r="O1396" s="1"/>
      <c r="P1396" s="1"/>
      <c r="Q1396" s="1"/>
      <c r="R1396" s="1"/>
      <c r="S1396" s="1"/>
      <c r="T1396" s="1"/>
      <c r="U1396" s="1"/>
    </row>
    <row r="1397" ht="24.75" customHeight="1">
      <c r="A1397" s="1"/>
      <c r="B1397" s="29" t="s">
        <v>1283</v>
      </c>
      <c r="C1397" s="190" t="s">
        <v>1284</v>
      </c>
      <c r="D1397" s="193" t="s">
        <v>1285</v>
      </c>
      <c r="E1397" s="190" t="s">
        <v>1286</v>
      </c>
      <c r="F1397" s="193" t="s">
        <v>1287</v>
      </c>
      <c r="G1397" s="190" t="s">
        <v>1288</v>
      </c>
      <c r="H1397" s="190" t="s">
        <v>1289</v>
      </c>
      <c r="I1397" s="190" t="s">
        <v>1290</v>
      </c>
      <c r="J1397" s="193" t="s">
        <v>1291</v>
      </c>
      <c r="K1397" s="128" t="s">
        <v>1292</v>
      </c>
      <c r="L1397" s="128" t="s">
        <v>1293</v>
      </c>
      <c r="M1397" s="128" t="s">
        <v>1294</v>
      </c>
      <c r="N1397" s="128" t="s">
        <v>1295</v>
      </c>
      <c r="O1397" s="190" t="s">
        <v>8</v>
      </c>
      <c r="P1397" s="190" t="s">
        <v>2</v>
      </c>
      <c r="Q1397" s="1"/>
      <c r="R1397" s="1"/>
      <c r="S1397" s="1"/>
      <c r="T1397" s="1"/>
      <c r="U1397" s="1"/>
    </row>
    <row r="1398" ht="11.25" customHeight="1">
      <c r="A1398" s="1"/>
      <c r="B1398" s="5"/>
      <c r="C1398" s="644" t="s">
        <v>49</v>
      </c>
      <c r="D1398" s="68"/>
      <c r="E1398" s="68"/>
      <c r="F1398" s="68"/>
      <c r="G1398" s="68"/>
      <c r="H1398" s="68"/>
      <c r="I1398" s="68"/>
      <c r="J1398" s="68"/>
      <c r="K1398" s="68"/>
      <c r="L1398" s="68"/>
      <c r="M1398" s="68"/>
      <c r="N1398" s="68"/>
      <c r="O1398" s="68"/>
      <c r="P1398" s="70"/>
      <c r="Q1398" s="1"/>
      <c r="R1398" s="1"/>
      <c r="S1398" s="1"/>
      <c r="T1398" s="1"/>
      <c r="U1398" s="1"/>
    </row>
    <row r="1399" ht="11.25" customHeight="1">
      <c r="A1399" s="1"/>
      <c r="B1399" s="584" t="s">
        <v>93</v>
      </c>
      <c r="C1399" s="744">
        <v>1027.0</v>
      </c>
      <c r="D1399" s="744">
        <v>411.0</v>
      </c>
      <c r="E1399" s="744">
        <v>159.0</v>
      </c>
      <c r="F1399" s="744">
        <v>231.0</v>
      </c>
      <c r="G1399" s="744">
        <v>176.0</v>
      </c>
      <c r="H1399" s="744">
        <v>51.0</v>
      </c>
      <c r="I1399" s="744">
        <v>25.0</v>
      </c>
      <c r="J1399" s="744">
        <v>38.0</v>
      </c>
      <c r="K1399" s="744">
        <v>42.0</v>
      </c>
      <c r="L1399" s="744">
        <v>262.0</v>
      </c>
      <c r="M1399" s="744">
        <v>78.0</v>
      </c>
      <c r="N1399" s="744">
        <v>34.0</v>
      </c>
      <c r="O1399" s="744">
        <v>252.0</v>
      </c>
      <c r="P1399" s="744">
        <f>SUM(C1399:O1399)</f>
        <v>2786</v>
      </c>
      <c r="Q1399" s="1"/>
      <c r="R1399" s="1"/>
      <c r="S1399" s="1"/>
      <c r="T1399" s="1"/>
      <c r="U1399" s="1"/>
    </row>
    <row r="1400" ht="10.5" customHeight="1">
      <c r="A1400" s="1"/>
      <c r="B1400" s="48" t="s">
        <v>97</v>
      </c>
      <c r="C1400" s="228">
        <v>1016.0</v>
      </c>
      <c r="D1400" s="164">
        <v>399.0</v>
      </c>
      <c r="E1400" s="228">
        <v>159.0</v>
      </c>
      <c r="F1400" s="228">
        <v>243.0</v>
      </c>
      <c r="G1400" s="228">
        <v>174.0</v>
      </c>
      <c r="H1400" s="228">
        <v>59.0</v>
      </c>
      <c r="I1400" s="228">
        <v>23.0</v>
      </c>
      <c r="J1400" s="228">
        <v>30.0</v>
      </c>
      <c r="K1400" s="164">
        <v>42.0</v>
      </c>
      <c r="L1400" s="228">
        <v>260.0</v>
      </c>
      <c r="M1400" s="228">
        <v>78.0</v>
      </c>
      <c r="N1400" s="228">
        <v>34.0</v>
      </c>
      <c r="O1400" s="228">
        <v>277.0</v>
      </c>
      <c r="P1400" s="217">
        <f t="shared" ref="P1400:P1403" si="61">SUM(J1400:O1400)+SUM(C1400:I1400)</f>
        <v>2794</v>
      </c>
      <c r="Q1400" s="1"/>
      <c r="R1400" s="1"/>
      <c r="S1400" s="1"/>
      <c r="T1400" s="1"/>
      <c r="U1400" s="1"/>
    </row>
    <row r="1401" ht="10.5" customHeight="1">
      <c r="A1401" s="1"/>
      <c r="B1401" s="48" t="s">
        <v>101</v>
      </c>
      <c r="C1401" s="228">
        <v>1066.0</v>
      </c>
      <c r="D1401" s="164">
        <v>415.0</v>
      </c>
      <c r="E1401" s="228">
        <v>162.0</v>
      </c>
      <c r="F1401" s="228">
        <v>290.0</v>
      </c>
      <c r="G1401" s="228">
        <v>191.0</v>
      </c>
      <c r="H1401" s="228">
        <v>60.0</v>
      </c>
      <c r="I1401" s="228">
        <v>27.0</v>
      </c>
      <c r="J1401" s="228">
        <v>31.0</v>
      </c>
      <c r="K1401" s="164">
        <v>36.0</v>
      </c>
      <c r="L1401" s="228">
        <v>245.0</v>
      </c>
      <c r="M1401" s="228">
        <v>80.0</v>
      </c>
      <c r="N1401" s="228">
        <v>31.0</v>
      </c>
      <c r="O1401" s="228">
        <v>262.0</v>
      </c>
      <c r="P1401" s="217">
        <f t="shared" si="61"/>
        <v>2896</v>
      </c>
      <c r="Q1401" s="1"/>
      <c r="R1401" s="1"/>
      <c r="S1401" s="1"/>
      <c r="T1401" s="1"/>
      <c r="U1401" s="1"/>
    </row>
    <row r="1402" ht="10.5" customHeight="1">
      <c r="A1402" s="1"/>
      <c r="B1402" s="48" t="s">
        <v>103</v>
      </c>
      <c r="C1402" s="228">
        <v>1258.0</v>
      </c>
      <c r="D1402" s="164">
        <v>488.0</v>
      </c>
      <c r="E1402" s="228">
        <v>155.0</v>
      </c>
      <c r="F1402" s="228">
        <v>260.0</v>
      </c>
      <c r="G1402" s="228">
        <v>209.0</v>
      </c>
      <c r="H1402" s="228">
        <v>55.0</v>
      </c>
      <c r="I1402" s="228">
        <v>29.0</v>
      </c>
      <c r="J1402" s="228">
        <v>37.0</v>
      </c>
      <c r="K1402" s="164">
        <v>37.0</v>
      </c>
      <c r="L1402" s="228">
        <v>241.0</v>
      </c>
      <c r="M1402" s="228">
        <v>89.0</v>
      </c>
      <c r="N1402" s="228">
        <v>30.0</v>
      </c>
      <c r="O1402" s="228">
        <v>280.0</v>
      </c>
      <c r="P1402" s="217">
        <f t="shared" si="61"/>
        <v>3168</v>
      </c>
      <c r="Q1402" s="1"/>
      <c r="R1402" s="1"/>
      <c r="S1402" s="1"/>
      <c r="T1402" s="1"/>
      <c r="U1402" s="1"/>
    </row>
    <row r="1403" ht="10.5" customHeight="1">
      <c r="A1403" s="1"/>
      <c r="B1403" s="48" t="s">
        <v>104</v>
      </c>
      <c r="C1403" s="228">
        <v>1270.0</v>
      </c>
      <c r="D1403" s="164">
        <v>389.0</v>
      </c>
      <c r="E1403" s="228">
        <v>167.0</v>
      </c>
      <c r="F1403" s="228">
        <v>261.0</v>
      </c>
      <c r="G1403" s="228">
        <v>208.0</v>
      </c>
      <c r="H1403" s="228">
        <v>55.0</v>
      </c>
      <c r="I1403" s="228">
        <v>24.0</v>
      </c>
      <c r="J1403" s="228">
        <v>32.0</v>
      </c>
      <c r="K1403" s="164">
        <v>41.0</v>
      </c>
      <c r="L1403" s="228">
        <v>212.0</v>
      </c>
      <c r="M1403" s="228">
        <v>90.0</v>
      </c>
      <c r="N1403" s="228">
        <v>30.0</v>
      </c>
      <c r="O1403" s="228">
        <v>287.0</v>
      </c>
      <c r="P1403" s="217">
        <f t="shared" si="61"/>
        <v>3066</v>
      </c>
      <c r="Q1403" s="1"/>
      <c r="R1403" s="1"/>
      <c r="S1403" s="1"/>
      <c r="T1403" s="1"/>
      <c r="U1403" s="1"/>
    </row>
    <row r="1404" ht="10.5" customHeight="1">
      <c r="A1404" s="1"/>
      <c r="B1404" s="48"/>
      <c r="C1404" s="228"/>
      <c r="D1404" s="164"/>
      <c r="E1404" s="228"/>
      <c r="F1404" s="228"/>
      <c r="G1404" s="228"/>
      <c r="H1404" s="228"/>
      <c r="I1404" s="228"/>
      <c r="J1404" s="228"/>
      <c r="K1404" s="164"/>
      <c r="L1404" s="228"/>
      <c r="M1404" s="228"/>
      <c r="N1404" s="228"/>
      <c r="O1404" s="228"/>
      <c r="P1404" s="217"/>
      <c r="Q1404" s="1"/>
      <c r="R1404" s="1"/>
      <c r="S1404" s="1"/>
      <c r="T1404" s="1"/>
      <c r="U1404" s="1"/>
    </row>
    <row r="1405" ht="10.5" customHeight="1">
      <c r="A1405" s="1"/>
      <c r="B1405" s="48" t="s">
        <v>108</v>
      </c>
      <c r="C1405" s="228">
        <v>1311.0</v>
      </c>
      <c r="D1405" s="164">
        <v>455.0</v>
      </c>
      <c r="E1405" s="228">
        <v>163.0</v>
      </c>
      <c r="F1405" s="228">
        <v>269.0</v>
      </c>
      <c r="G1405" s="228">
        <v>241.0</v>
      </c>
      <c r="H1405" s="228">
        <v>56.0</v>
      </c>
      <c r="I1405" s="228">
        <v>24.0</v>
      </c>
      <c r="J1405" s="228">
        <v>36.0</v>
      </c>
      <c r="K1405" s="164">
        <v>34.0</v>
      </c>
      <c r="L1405" s="228">
        <v>220.0</v>
      </c>
      <c r="M1405" s="228">
        <v>87.0</v>
      </c>
      <c r="N1405" s="228">
        <v>33.0</v>
      </c>
      <c r="O1405" s="228">
        <v>278.0</v>
      </c>
      <c r="P1405" s="217">
        <f t="shared" ref="P1405:P1409" si="62">SUM(J1405:O1405)+SUM(C1405:I1405)</f>
        <v>3207</v>
      </c>
      <c r="Q1405" s="1"/>
      <c r="R1405" s="1"/>
      <c r="S1405" s="1"/>
      <c r="T1405" s="1"/>
      <c r="U1405" s="1"/>
    </row>
    <row r="1406" ht="10.5" customHeight="1">
      <c r="A1406" s="1"/>
      <c r="B1406" s="48" t="s">
        <v>111</v>
      </c>
      <c r="C1406" s="228">
        <v>1215.0</v>
      </c>
      <c r="D1406" s="164">
        <v>451.0</v>
      </c>
      <c r="E1406" s="228">
        <v>169.0</v>
      </c>
      <c r="F1406" s="228">
        <v>265.0</v>
      </c>
      <c r="G1406" s="228">
        <v>231.0</v>
      </c>
      <c r="H1406" s="228">
        <v>58.0</v>
      </c>
      <c r="I1406" s="228">
        <v>15.0</v>
      </c>
      <c r="J1406" s="228">
        <v>36.0</v>
      </c>
      <c r="K1406" s="164">
        <v>39.0</v>
      </c>
      <c r="L1406" s="228">
        <v>222.0</v>
      </c>
      <c r="M1406" s="228">
        <v>93.0</v>
      </c>
      <c r="N1406" s="228">
        <v>32.0</v>
      </c>
      <c r="O1406" s="228">
        <v>295.0</v>
      </c>
      <c r="P1406" s="217">
        <f t="shared" si="62"/>
        <v>3121</v>
      </c>
      <c r="Q1406" s="1"/>
      <c r="R1406" s="1"/>
      <c r="S1406" s="1"/>
      <c r="T1406" s="1"/>
      <c r="U1406" s="1"/>
    </row>
    <row r="1407" ht="10.5" customHeight="1">
      <c r="A1407" s="1"/>
      <c r="B1407" s="48" t="s">
        <v>112</v>
      </c>
      <c r="C1407" s="228">
        <v>1134.0</v>
      </c>
      <c r="D1407" s="164">
        <v>422.0</v>
      </c>
      <c r="E1407" s="228">
        <v>177.0</v>
      </c>
      <c r="F1407" s="228">
        <v>257.0</v>
      </c>
      <c r="G1407" s="228">
        <v>248.0</v>
      </c>
      <c r="H1407" s="228">
        <v>70.0</v>
      </c>
      <c r="I1407" s="228">
        <v>20.0</v>
      </c>
      <c r="J1407" s="228">
        <v>34.0</v>
      </c>
      <c r="K1407" s="164">
        <v>37.0</v>
      </c>
      <c r="L1407" s="228">
        <v>241.0</v>
      </c>
      <c r="M1407" s="228">
        <v>94.0</v>
      </c>
      <c r="N1407" s="228">
        <v>28.0</v>
      </c>
      <c r="O1407" s="228">
        <v>278.0</v>
      </c>
      <c r="P1407" s="217">
        <f t="shared" si="62"/>
        <v>3040</v>
      </c>
      <c r="Q1407" s="1"/>
      <c r="R1407" s="1"/>
      <c r="S1407" s="1"/>
      <c r="T1407" s="1"/>
      <c r="U1407" s="1"/>
    </row>
    <row r="1408" ht="10.5" customHeight="1">
      <c r="A1408" s="1"/>
      <c r="B1408" s="48" t="s">
        <v>113</v>
      </c>
      <c r="C1408" s="228">
        <v>1316.0</v>
      </c>
      <c r="D1408" s="164">
        <v>408.0</v>
      </c>
      <c r="E1408" s="228">
        <v>177.0</v>
      </c>
      <c r="F1408" s="228">
        <v>277.0</v>
      </c>
      <c r="G1408" s="228">
        <v>245.0</v>
      </c>
      <c r="H1408" s="228">
        <v>67.0</v>
      </c>
      <c r="I1408" s="228">
        <v>19.0</v>
      </c>
      <c r="J1408" s="228">
        <v>31.0</v>
      </c>
      <c r="K1408" s="164">
        <v>29.0</v>
      </c>
      <c r="L1408" s="228">
        <v>224.0</v>
      </c>
      <c r="M1408" s="228">
        <v>93.0</v>
      </c>
      <c r="N1408" s="228">
        <v>32.0</v>
      </c>
      <c r="O1408" s="228">
        <v>288.0</v>
      </c>
      <c r="P1408" s="217">
        <f t="shared" si="62"/>
        <v>3206</v>
      </c>
      <c r="Q1408" s="1"/>
      <c r="R1408" s="1"/>
      <c r="S1408" s="1"/>
      <c r="T1408" s="1"/>
      <c r="U1408" s="1"/>
    </row>
    <row r="1409" ht="10.5" customHeight="1">
      <c r="A1409" s="1"/>
      <c r="B1409" s="48" t="s">
        <v>114</v>
      </c>
      <c r="C1409" s="228">
        <v>1321.0</v>
      </c>
      <c r="D1409" s="164">
        <v>393.0</v>
      </c>
      <c r="E1409" s="228">
        <v>183.0</v>
      </c>
      <c r="F1409" s="228">
        <v>275.0</v>
      </c>
      <c r="G1409" s="228">
        <v>268.0</v>
      </c>
      <c r="H1409" s="228">
        <v>60.0</v>
      </c>
      <c r="I1409" s="228">
        <v>18.0</v>
      </c>
      <c r="J1409" s="228">
        <v>32.0</v>
      </c>
      <c r="K1409" s="164">
        <v>32.0</v>
      </c>
      <c r="L1409" s="228">
        <v>221.0</v>
      </c>
      <c r="M1409" s="228">
        <v>97.0</v>
      </c>
      <c r="N1409" s="228">
        <v>27.0</v>
      </c>
      <c r="O1409" s="228">
        <v>278.0</v>
      </c>
      <c r="P1409" s="217">
        <f t="shared" si="62"/>
        <v>3205</v>
      </c>
      <c r="Q1409" s="1"/>
      <c r="R1409" s="1"/>
      <c r="S1409" s="1"/>
      <c r="T1409" s="1"/>
      <c r="U1409" s="1"/>
    </row>
    <row r="1410" ht="10.5" customHeight="1">
      <c r="A1410" s="1"/>
      <c r="B1410" s="48"/>
      <c r="C1410" s="228"/>
      <c r="D1410" s="164"/>
      <c r="E1410" s="228"/>
      <c r="F1410" s="228"/>
      <c r="G1410" s="228"/>
      <c r="H1410" s="228"/>
      <c r="I1410" s="228"/>
      <c r="J1410" s="228"/>
      <c r="K1410" s="164"/>
      <c r="L1410" s="228"/>
      <c r="M1410" s="228"/>
      <c r="N1410" s="228"/>
      <c r="O1410" s="228"/>
      <c r="P1410" s="217"/>
      <c r="Q1410" s="1"/>
      <c r="R1410" s="1"/>
      <c r="S1410" s="1"/>
      <c r="T1410" s="1"/>
      <c r="U1410" s="1"/>
    </row>
    <row r="1411" ht="10.5" customHeight="1">
      <c r="A1411" s="342">
        <v>55.0</v>
      </c>
      <c r="B1411" s="48" t="s">
        <v>115</v>
      </c>
      <c r="C1411" s="228">
        <v>1552.0</v>
      </c>
      <c r="D1411" s="164">
        <v>452.0</v>
      </c>
      <c r="E1411" s="228">
        <v>190.0</v>
      </c>
      <c r="F1411" s="228">
        <v>278.0</v>
      </c>
      <c r="G1411" s="228">
        <v>290.0</v>
      </c>
      <c r="H1411" s="228">
        <v>57.0</v>
      </c>
      <c r="I1411" s="228">
        <v>13.0</v>
      </c>
      <c r="J1411" s="228">
        <v>36.0</v>
      </c>
      <c r="K1411" s="164">
        <v>32.0</v>
      </c>
      <c r="L1411" s="228">
        <v>214.0</v>
      </c>
      <c r="M1411" s="228">
        <v>132.0</v>
      </c>
      <c r="N1411" s="228">
        <v>30.0</v>
      </c>
      <c r="O1411" s="228">
        <v>299.0</v>
      </c>
      <c r="P1411" s="217">
        <f t="shared" ref="P1411:P1415" si="63">SUM(J1411:O1411)+SUM(C1411:I1411)</f>
        <v>3575</v>
      </c>
      <c r="Q1411" s="1"/>
      <c r="R1411" s="1"/>
      <c r="S1411" s="1"/>
      <c r="T1411" s="1"/>
      <c r="U1411" s="1"/>
    </row>
    <row r="1412" ht="10.5" customHeight="1">
      <c r="A1412" s="87"/>
      <c r="B1412" s="48" t="s">
        <v>117</v>
      </c>
      <c r="C1412" s="228">
        <v>1571.0</v>
      </c>
      <c r="D1412" s="164">
        <v>424.0</v>
      </c>
      <c r="E1412" s="228">
        <v>192.0</v>
      </c>
      <c r="F1412" s="228">
        <v>286.0</v>
      </c>
      <c r="G1412" s="228">
        <v>285.0</v>
      </c>
      <c r="H1412" s="228">
        <v>59.0</v>
      </c>
      <c r="I1412" s="228">
        <v>16.0</v>
      </c>
      <c r="J1412" s="228">
        <v>34.0</v>
      </c>
      <c r="K1412" s="164">
        <v>29.0</v>
      </c>
      <c r="L1412" s="228">
        <v>208.0</v>
      </c>
      <c r="M1412" s="228">
        <v>103.0</v>
      </c>
      <c r="N1412" s="228">
        <v>31.0</v>
      </c>
      <c r="O1412" s="228">
        <v>301.0</v>
      </c>
      <c r="P1412" s="217">
        <f t="shared" si="63"/>
        <v>3539</v>
      </c>
      <c r="Q1412" s="1"/>
      <c r="R1412" s="1"/>
      <c r="S1412" s="1"/>
      <c r="T1412" s="1"/>
      <c r="U1412" s="1"/>
    </row>
    <row r="1413" ht="10.5" customHeight="1">
      <c r="A1413" s="1"/>
      <c r="B1413" s="48" t="s">
        <v>121</v>
      </c>
      <c r="C1413" s="228">
        <v>1667.0</v>
      </c>
      <c r="D1413" s="164">
        <v>453.0</v>
      </c>
      <c r="E1413" s="228">
        <v>197.0</v>
      </c>
      <c r="F1413" s="228">
        <v>290.0</v>
      </c>
      <c r="G1413" s="228">
        <v>342.0</v>
      </c>
      <c r="H1413" s="228">
        <v>59.0</v>
      </c>
      <c r="I1413" s="228">
        <v>22.0</v>
      </c>
      <c r="J1413" s="228">
        <v>41.0</v>
      </c>
      <c r="K1413" s="164">
        <v>26.0</v>
      </c>
      <c r="L1413" s="228">
        <v>204.0</v>
      </c>
      <c r="M1413" s="228">
        <v>103.0</v>
      </c>
      <c r="N1413" s="228">
        <v>33.0</v>
      </c>
      <c r="O1413" s="228">
        <v>314.0</v>
      </c>
      <c r="P1413" s="217">
        <f t="shared" si="63"/>
        <v>3751</v>
      </c>
      <c r="Q1413" s="1"/>
      <c r="R1413" s="1"/>
      <c r="S1413" s="1"/>
      <c r="T1413" s="1"/>
      <c r="U1413" s="1"/>
    </row>
    <row r="1414" ht="10.5" customHeight="1">
      <c r="A1414" s="1"/>
      <c r="B1414" s="48" t="s">
        <v>122</v>
      </c>
      <c r="C1414" s="228">
        <v>1699.0</v>
      </c>
      <c r="D1414" s="164">
        <v>415.0</v>
      </c>
      <c r="E1414" s="228">
        <v>199.0</v>
      </c>
      <c r="F1414" s="228">
        <v>300.0</v>
      </c>
      <c r="G1414" s="228">
        <v>387.0</v>
      </c>
      <c r="H1414" s="228">
        <v>52.0</v>
      </c>
      <c r="I1414" s="228">
        <v>24.0</v>
      </c>
      <c r="J1414" s="228">
        <v>43.0</v>
      </c>
      <c r="K1414" s="164">
        <v>25.0</v>
      </c>
      <c r="L1414" s="228">
        <v>202.0</v>
      </c>
      <c r="M1414" s="228">
        <v>101.0</v>
      </c>
      <c r="N1414" s="228">
        <v>31.0</v>
      </c>
      <c r="O1414" s="228">
        <v>313.0</v>
      </c>
      <c r="P1414" s="217">
        <f t="shared" si="63"/>
        <v>3791</v>
      </c>
      <c r="Q1414" s="1"/>
      <c r="R1414" s="1"/>
      <c r="S1414" s="1"/>
      <c r="T1414" s="1"/>
      <c r="U1414" s="1"/>
    </row>
    <row r="1415" ht="10.5" customHeight="1">
      <c r="A1415" s="1"/>
      <c r="B1415" s="168" t="s">
        <v>123</v>
      </c>
      <c r="C1415" s="228">
        <v>1721.0</v>
      </c>
      <c r="D1415" s="164">
        <v>405.0</v>
      </c>
      <c r="E1415" s="228">
        <v>202.0</v>
      </c>
      <c r="F1415" s="228">
        <v>299.0</v>
      </c>
      <c r="G1415" s="228">
        <v>329.0</v>
      </c>
      <c r="H1415" s="228">
        <v>51.0</v>
      </c>
      <c r="I1415" s="228">
        <v>20.0</v>
      </c>
      <c r="J1415" s="228">
        <v>41.0</v>
      </c>
      <c r="K1415" s="164">
        <v>20.0</v>
      </c>
      <c r="L1415" s="228">
        <v>190.0</v>
      </c>
      <c r="M1415" s="228">
        <v>97.0</v>
      </c>
      <c r="N1415" s="228">
        <v>34.0</v>
      </c>
      <c r="O1415" s="228">
        <v>292.0</v>
      </c>
      <c r="P1415" s="217">
        <f t="shared" si="63"/>
        <v>3701</v>
      </c>
      <c r="Q1415" s="1"/>
      <c r="R1415" s="1"/>
      <c r="S1415" s="1"/>
      <c r="T1415" s="1"/>
      <c r="U1415" s="1"/>
    </row>
    <row r="1416" ht="10.5" customHeight="1">
      <c r="A1416" s="1"/>
      <c r="B1416" s="48"/>
      <c r="C1416" s="228"/>
      <c r="D1416" s="164"/>
      <c r="E1416" s="228"/>
      <c r="F1416" s="228"/>
      <c r="G1416" s="228"/>
      <c r="H1416" s="228"/>
      <c r="I1416" s="228"/>
      <c r="J1416" s="228"/>
      <c r="K1416" s="164"/>
      <c r="L1416" s="228"/>
      <c r="M1416" s="228"/>
      <c r="N1416" s="228"/>
      <c r="O1416" s="228"/>
      <c r="P1416" s="217"/>
      <c r="Q1416" s="1"/>
      <c r="R1416" s="1"/>
      <c r="S1416" s="1"/>
      <c r="T1416" s="1"/>
      <c r="U1416" s="1"/>
    </row>
    <row r="1417" ht="10.5" customHeight="1">
      <c r="A1417" s="1"/>
      <c r="B1417" s="48" t="s">
        <v>125</v>
      </c>
      <c r="C1417" s="228">
        <v>1793.0</v>
      </c>
      <c r="D1417" s="164">
        <v>475.0</v>
      </c>
      <c r="E1417" s="228">
        <v>209.0</v>
      </c>
      <c r="F1417" s="228">
        <v>298.0</v>
      </c>
      <c r="G1417" s="228">
        <v>312.0</v>
      </c>
      <c r="H1417" s="228">
        <v>54.0</v>
      </c>
      <c r="I1417" s="228">
        <v>18.0</v>
      </c>
      <c r="J1417" s="217">
        <v>45.0</v>
      </c>
      <c r="K1417" s="164">
        <v>20.0</v>
      </c>
      <c r="L1417" s="228">
        <v>191.0</v>
      </c>
      <c r="M1417" s="217">
        <v>98.0</v>
      </c>
      <c r="N1417" s="217">
        <v>31.0</v>
      </c>
      <c r="O1417" s="217">
        <v>294.0</v>
      </c>
      <c r="P1417" s="217">
        <f t="shared" ref="P1417:P1421" si="64">SUM(J1417:O1417)+SUM(C1417:I1417)</f>
        <v>3838</v>
      </c>
      <c r="Q1417" s="1"/>
      <c r="R1417" s="1"/>
      <c r="S1417" s="1"/>
      <c r="T1417" s="1"/>
      <c r="U1417" s="1"/>
    </row>
    <row r="1418" ht="10.5" customHeight="1">
      <c r="A1418" s="1"/>
      <c r="B1418" s="48" t="s">
        <v>127</v>
      </c>
      <c r="C1418" s="217">
        <v>1647.0</v>
      </c>
      <c r="D1418" s="164">
        <v>420.0</v>
      </c>
      <c r="E1418" s="228">
        <v>210.0</v>
      </c>
      <c r="F1418" s="217">
        <v>295.0</v>
      </c>
      <c r="G1418" s="217">
        <v>335.0</v>
      </c>
      <c r="H1418" s="217">
        <v>56.0</v>
      </c>
      <c r="I1418" s="217">
        <v>15.0</v>
      </c>
      <c r="J1418" s="228">
        <v>38.0</v>
      </c>
      <c r="K1418" s="164">
        <v>19.0</v>
      </c>
      <c r="L1418" s="228">
        <v>175.0</v>
      </c>
      <c r="M1418" s="228">
        <v>102.0</v>
      </c>
      <c r="N1418" s="228">
        <v>38.0</v>
      </c>
      <c r="O1418" s="228">
        <v>303.0</v>
      </c>
      <c r="P1418" s="217">
        <f t="shared" si="64"/>
        <v>3653</v>
      </c>
      <c r="Q1418" s="1"/>
      <c r="R1418" s="1"/>
      <c r="S1418" s="1"/>
      <c r="T1418" s="1"/>
      <c r="U1418" s="1"/>
    </row>
    <row r="1419" ht="10.5" customHeight="1">
      <c r="A1419" s="1"/>
      <c r="B1419" s="48" t="s">
        <v>128</v>
      </c>
      <c r="C1419" s="217">
        <v>1496.0</v>
      </c>
      <c r="D1419" s="692">
        <v>442.0</v>
      </c>
      <c r="E1419" s="217">
        <v>215.0</v>
      </c>
      <c r="F1419" s="217">
        <v>296.0</v>
      </c>
      <c r="G1419" s="217">
        <v>356.0</v>
      </c>
      <c r="H1419" s="217">
        <v>50.0</v>
      </c>
      <c r="I1419" s="217">
        <v>16.0</v>
      </c>
      <c r="J1419" s="228">
        <v>46.0</v>
      </c>
      <c r="K1419" s="164">
        <v>17.0</v>
      </c>
      <c r="L1419" s="228">
        <v>176.0</v>
      </c>
      <c r="M1419" s="228">
        <v>117.0</v>
      </c>
      <c r="N1419" s="228">
        <v>41.0</v>
      </c>
      <c r="O1419" s="228">
        <v>309.0</v>
      </c>
      <c r="P1419" s="217">
        <f t="shared" si="64"/>
        <v>3577</v>
      </c>
      <c r="Q1419" s="1"/>
      <c r="R1419" s="1"/>
      <c r="S1419" s="1"/>
      <c r="T1419" s="1"/>
      <c r="U1419" s="1"/>
    </row>
    <row r="1420" ht="10.5" customHeight="1">
      <c r="A1420" s="1"/>
      <c r="B1420" s="48" t="s">
        <v>129</v>
      </c>
      <c r="C1420" s="217">
        <v>1785.0</v>
      </c>
      <c r="D1420" s="692">
        <v>427.0</v>
      </c>
      <c r="E1420" s="217">
        <v>230.0</v>
      </c>
      <c r="F1420" s="217">
        <v>323.0</v>
      </c>
      <c r="G1420" s="217">
        <v>418.0</v>
      </c>
      <c r="H1420" s="217">
        <v>53.0</v>
      </c>
      <c r="I1420" s="217">
        <v>9.0</v>
      </c>
      <c r="J1420" s="217">
        <v>46.0</v>
      </c>
      <c r="K1420" s="164">
        <v>22.0</v>
      </c>
      <c r="L1420" s="228">
        <v>178.0</v>
      </c>
      <c r="M1420" s="217">
        <v>141.0</v>
      </c>
      <c r="N1420" s="217">
        <v>44.0</v>
      </c>
      <c r="O1420" s="217">
        <v>347.0</v>
      </c>
      <c r="P1420" s="217">
        <f t="shared" si="64"/>
        <v>4023</v>
      </c>
      <c r="Q1420" s="1"/>
      <c r="R1420" s="1"/>
      <c r="S1420" s="1"/>
      <c r="T1420" s="1"/>
      <c r="U1420" s="1"/>
    </row>
    <row r="1421" ht="10.5" customHeight="1">
      <c r="A1421" s="1"/>
      <c r="B1421" s="48" t="s">
        <v>130</v>
      </c>
      <c r="C1421" s="217">
        <v>1787.0</v>
      </c>
      <c r="D1421" s="692">
        <v>514.0</v>
      </c>
      <c r="E1421" s="217">
        <v>230.0</v>
      </c>
      <c r="F1421" s="217">
        <v>318.0</v>
      </c>
      <c r="G1421" s="217">
        <v>438.0</v>
      </c>
      <c r="H1421" s="217">
        <v>64.0</v>
      </c>
      <c r="I1421" s="217">
        <v>14.0</v>
      </c>
      <c r="J1421" s="217">
        <v>57.0</v>
      </c>
      <c r="K1421" s="692">
        <v>22.0</v>
      </c>
      <c r="L1421" s="217">
        <v>168.0</v>
      </c>
      <c r="M1421" s="217">
        <v>143.0</v>
      </c>
      <c r="N1421" s="217">
        <v>39.0</v>
      </c>
      <c r="O1421" s="217">
        <v>365.0</v>
      </c>
      <c r="P1421" s="217">
        <f t="shared" si="64"/>
        <v>4159</v>
      </c>
      <c r="Q1421" s="1"/>
      <c r="R1421" s="1"/>
      <c r="S1421" s="1"/>
      <c r="T1421" s="1"/>
      <c r="U1421" s="1"/>
    </row>
    <row r="1422" ht="10.5" customHeight="1">
      <c r="A1422" s="1"/>
      <c r="B1422" s="48"/>
      <c r="C1422" s="217"/>
      <c r="D1422" s="692"/>
      <c r="E1422" s="217"/>
      <c r="F1422" s="217"/>
      <c r="G1422" s="217"/>
      <c r="H1422" s="217"/>
      <c r="I1422" s="217"/>
      <c r="J1422" s="217"/>
      <c r="K1422" s="692"/>
      <c r="L1422" s="217"/>
      <c r="M1422" s="217"/>
      <c r="N1422" s="217"/>
      <c r="O1422" s="217"/>
      <c r="P1422" s="217"/>
      <c r="Q1422" s="1"/>
      <c r="R1422" s="1"/>
      <c r="S1422" s="1"/>
      <c r="T1422" s="1"/>
      <c r="U1422" s="1"/>
    </row>
    <row r="1423" ht="10.5" customHeight="1">
      <c r="A1423" s="1"/>
      <c r="B1423" s="48" t="s">
        <v>131</v>
      </c>
      <c r="C1423" s="217">
        <v>1719.0</v>
      </c>
      <c r="D1423" s="164">
        <v>506.0</v>
      </c>
      <c r="E1423" s="217">
        <v>236.0</v>
      </c>
      <c r="F1423" s="217">
        <v>317.0</v>
      </c>
      <c r="G1423" s="217">
        <v>448.0</v>
      </c>
      <c r="H1423" s="217">
        <v>53.0</v>
      </c>
      <c r="I1423" s="217">
        <v>16.0</v>
      </c>
      <c r="J1423" s="217">
        <v>55.0</v>
      </c>
      <c r="K1423" s="164">
        <v>17.0</v>
      </c>
      <c r="L1423" s="217">
        <v>160.0</v>
      </c>
      <c r="M1423" s="217">
        <v>150.0</v>
      </c>
      <c r="N1423" s="217">
        <v>30.0</v>
      </c>
      <c r="O1423" s="217">
        <v>380.0</v>
      </c>
      <c r="P1423" s="217">
        <f t="shared" ref="P1423:P1427" si="65">SUM(J1423:O1423)+SUM(C1423:I1423)</f>
        <v>4087</v>
      </c>
      <c r="Q1423" s="1"/>
      <c r="R1423" s="1"/>
      <c r="S1423" s="1"/>
      <c r="T1423" s="1"/>
      <c r="U1423" s="1"/>
    </row>
    <row r="1424" ht="10.5" customHeight="1">
      <c r="A1424" s="1"/>
      <c r="B1424" s="48" t="s">
        <v>133</v>
      </c>
      <c r="C1424" s="217">
        <v>1946.0</v>
      </c>
      <c r="D1424" s="164">
        <v>528.0</v>
      </c>
      <c r="E1424" s="217">
        <v>232.0</v>
      </c>
      <c r="F1424" s="217">
        <v>319.0</v>
      </c>
      <c r="G1424" s="217">
        <v>475.0</v>
      </c>
      <c r="H1424" s="217">
        <v>53.0</v>
      </c>
      <c r="I1424" s="217">
        <v>16.0</v>
      </c>
      <c r="J1424" s="217">
        <v>59.0</v>
      </c>
      <c r="K1424" s="164">
        <v>17.0</v>
      </c>
      <c r="L1424" s="217">
        <v>146.0</v>
      </c>
      <c r="M1424" s="217">
        <v>146.0</v>
      </c>
      <c r="N1424" s="217">
        <v>25.0</v>
      </c>
      <c r="O1424" s="217">
        <v>374.0</v>
      </c>
      <c r="P1424" s="217">
        <f t="shared" si="65"/>
        <v>4336</v>
      </c>
      <c r="Q1424" s="1"/>
      <c r="R1424" s="1"/>
      <c r="S1424" s="1"/>
      <c r="T1424" s="1"/>
      <c r="U1424" s="1"/>
    </row>
    <row r="1425" ht="10.5" customHeight="1">
      <c r="A1425" s="1"/>
      <c r="B1425" s="293">
        <v>39295.0</v>
      </c>
      <c r="C1425" s="217">
        <v>1979.0</v>
      </c>
      <c r="D1425" s="164">
        <v>500.0</v>
      </c>
      <c r="E1425" s="217">
        <v>230.0</v>
      </c>
      <c r="F1425" s="217">
        <v>324.0</v>
      </c>
      <c r="G1425" s="217">
        <v>445.0</v>
      </c>
      <c r="H1425" s="217">
        <v>51.0</v>
      </c>
      <c r="I1425" s="217">
        <v>14.0</v>
      </c>
      <c r="J1425" s="217">
        <v>64.0</v>
      </c>
      <c r="K1425" s="164">
        <v>17.0</v>
      </c>
      <c r="L1425" s="217">
        <v>150.0</v>
      </c>
      <c r="M1425" s="217">
        <v>144.0</v>
      </c>
      <c r="N1425" s="217">
        <v>24.0</v>
      </c>
      <c r="O1425" s="217">
        <v>393.0</v>
      </c>
      <c r="P1425" s="217">
        <f t="shared" si="65"/>
        <v>4335</v>
      </c>
      <c r="Q1425" s="1"/>
      <c r="R1425" s="1"/>
      <c r="S1425" s="1"/>
      <c r="T1425" s="1"/>
      <c r="U1425" s="1"/>
    </row>
    <row r="1426" ht="10.5" customHeight="1">
      <c r="A1426" s="1"/>
      <c r="B1426" s="293">
        <v>39692.0</v>
      </c>
      <c r="C1426" s="217">
        <v>1927.0</v>
      </c>
      <c r="D1426" s="164">
        <v>515.0</v>
      </c>
      <c r="E1426" s="217">
        <v>229.0</v>
      </c>
      <c r="F1426" s="217">
        <v>337.0</v>
      </c>
      <c r="G1426" s="217">
        <v>472.0</v>
      </c>
      <c r="H1426" s="217">
        <v>63.0</v>
      </c>
      <c r="I1426" s="217">
        <v>15.0</v>
      </c>
      <c r="J1426" s="217">
        <v>61.0</v>
      </c>
      <c r="K1426" s="164">
        <v>18.0</v>
      </c>
      <c r="L1426" s="217">
        <v>141.0</v>
      </c>
      <c r="M1426" s="217">
        <v>164.0</v>
      </c>
      <c r="N1426" s="217">
        <v>25.0</v>
      </c>
      <c r="O1426" s="217">
        <v>387.0</v>
      </c>
      <c r="P1426" s="217">
        <f t="shared" si="65"/>
        <v>4354</v>
      </c>
      <c r="Q1426" s="1"/>
      <c r="R1426" s="1"/>
      <c r="S1426" s="1"/>
      <c r="T1426" s="1"/>
      <c r="U1426" s="1"/>
    </row>
    <row r="1427" ht="10.5" customHeight="1">
      <c r="A1427" s="1"/>
      <c r="B1427" s="293">
        <v>40087.0</v>
      </c>
      <c r="C1427" s="217">
        <v>1955.0</v>
      </c>
      <c r="D1427" s="164">
        <v>575.0</v>
      </c>
      <c r="E1427" s="217">
        <v>234.0</v>
      </c>
      <c r="F1427" s="217">
        <v>339.0</v>
      </c>
      <c r="G1427" s="217">
        <v>489.0</v>
      </c>
      <c r="H1427" s="217">
        <v>60.0</v>
      </c>
      <c r="I1427" s="217">
        <v>17.0</v>
      </c>
      <c r="J1427" s="217">
        <v>67.0</v>
      </c>
      <c r="K1427" s="164">
        <v>25.0</v>
      </c>
      <c r="L1427" s="217">
        <v>141.0</v>
      </c>
      <c r="M1427" s="217">
        <v>151.0</v>
      </c>
      <c r="N1427" s="217">
        <v>23.0</v>
      </c>
      <c r="O1427" s="217">
        <v>400.0</v>
      </c>
      <c r="P1427" s="217">
        <f t="shared" si="65"/>
        <v>4476</v>
      </c>
      <c r="Q1427" s="1"/>
      <c r="R1427" s="1"/>
      <c r="S1427" s="1"/>
      <c r="T1427" s="1"/>
      <c r="U1427" s="1"/>
    </row>
    <row r="1428" ht="10.5" customHeight="1">
      <c r="A1428" s="1"/>
      <c r="B1428" s="293"/>
      <c r="C1428" s="217"/>
      <c r="D1428" s="164"/>
      <c r="E1428" s="217"/>
      <c r="F1428" s="217"/>
      <c r="G1428" s="217"/>
      <c r="H1428" s="217"/>
      <c r="I1428" s="217"/>
      <c r="J1428" s="217"/>
      <c r="K1428" s="164"/>
      <c r="L1428" s="217"/>
      <c r="M1428" s="217"/>
      <c r="N1428" s="217"/>
      <c r="O1428" s="217"/>
      <c r="P1428" s="217"/>
      <c r="Q1428" s="1"/>
      <c r="R1428" s="1"/>
      <c r="S1428" s="1"/>
      <c r="T1428" s="1"/>
      <c r="U1428" s="1"/>
    </row>
    <row r="1429" ht="10.5" customHeight="1">
      <c r="A1429" s="1"/>
      <c r="B1429" s="85" t="s">
        <v>139</v>
      </c>
      <c r="C1429" s="217">
        <v>2165.0</v>
      </c>
      <c r="D1429" s="164">
        <v>523.0</v>
      </c>
      <c r="E1429" s="217">
        <v>237.0</v>
      </c>
      <c r="F1429" s="217">
        <v>340.0</v>
      </c>
      <c r="G1429" s="217">
        <v>563.0</v>
      </c>
      <c r="H1429" s="217">
        <v>63.0</v>
      </c>
      <c r="I1429" s="217">
        <v>12.0</v>
      </c>
      <c r="J1429" s="217">
        <v>62.0</v>
      </c>
      <c r="K1429" s="164">
        <v>16.0</v>
      </c>
      <c r="L1429" s="217">
        <v>153.0</v>
      </c>
      <c r="M1429" s="217">
        <v>152.0</v>
      </c>
      <c r="N1429" s="217">
        <v>25.0</v>
      </c>
      <c r="O1429" s="217">
        <v>406.0</v>
      </c>
      <c r="P1429" s="217">
        <f t="shared" ref="P1429:P1431" si="66">SUM(J1429:O1429)+SUM(C1429:I1429)</f>
        <v>4717</v>
      </c>
      <c r="Q1429" s="1"/>
      <c r="R1429" s="1"/>
      <c r="S1429" s="1"/>
      <c r="T1429" s="1"/>
      <c r="U1429" s="1"/>
    </row>
    <row r="1430" ht="10.5" customHeight="1">
      <c r="A1430" s="1"/>
      <c r="B1430" s="85" t="s">
        <v>143</v>
      </c>
      <c r="C1430" s="217">
        <v>2205.0</v>
      </c>
      <c r="D1430" s="164">
        <v>545.0</v>
      </c>
      <c r="E1430" s="217">
        <v>244.0</v>
      </c>
      <c r="F1430" s="217">
        <v>347.0</v>
      </c>
      <c r="G1430" s="217">
        <v>625.0</v>
      </c>
      <c r="H1430" s="217">
        <v>55.0</v>
      </c>
      <c r="I1430" s="217">
        <v>8.0</v>
      </c>
      <c r="J1430" s="217">
        <v>66.0</v>
      </c>
      <c r="K1430" s="164">
        <v>16.0</v>
      </c>
      <c r="L1430" s="217">
        <v>141.0</v>
      </c>
      <c r="M1430" s="217">
        <v>178.0</v>
      </c>
      <c r="N1430" s="217">
        <v>25.0</v>
      </c>
      <c r="O1430" s="217">
        <v>421.0</v>
      </c>
      <c r="P1430" s="217">
        <f t="shared" si="66"/>
        <v>4876</v>
      </c>
      <c r="Q1430" s="1"/>
      <c r="R1430" s="1"/>
      <c r="S1430" s="1"/>
      <c r="T1430" s="1"/>
      <c r="U1430" s="1"/>
    </row>
    <row r="1431" ht="10.5" customHeight="1">
      <c r="A1431" s="1"/>
      <c r="B1431" s="85" t="s">
        <v>149</v>
      </c>
      <c r="C1431" s="217">
        <v>2202.0</v>
      </c>
      <c r="D1431" s="164">
        <v>527.0</v>
      </c>
      <c r="E1431" s="217">
        <v>247.0</v>
      </c>
      <c r="F1431" s="217">
        <v>361.0</v>
      </c>
      <c r="G1431" s="217">
        <v>596.0</v>
      </c>
      <c r="H1431" s="217">
        <v>57.0</v>
      </c>
      <c r="I1431" s="217">
        <v>11.0</v>
      </c>
      <c r="J1431" s="217">
        <v>66.0</v>
      </c>
      <c r="K1431" s="164">
        <v>14.0</v>
      </c>
      <c r="L1431" s="217">
        <v>136.0</v>
      </c>
      <c r="M1431" s="217">
        <v>183.0</v>
      </c>
      <c r="N1431" s="217">
        <v>24.0</v>
      </c>
      <c r="O1431" s="217">
        <v>420.0</v>
      </c>
      <c r="P1431" s="217">
        <f t="shared" si="66"/>
        <v>4844</v>
      </c>
      <c r="Q1431" s="1"/>
      <c r="R1431" s="1"/>
      <c r="S1431" s="1"/>
      <c r="T1431" s="1"/>
      <c r="U1431" s="1"/>
    </row>
    <row r="1432" ht="10.5" customHeight="1">
      <c r="A1432" s="1"/>
      <c r="B1432" s="85" t="s">
        <v>151</v>
      </c>
      <c r="C1432" s="217">
        <v>2344.0</v>
      </c>
      <c r="D1432" s="164">
        <v>538.0</v>
      </c>
      <c r="E1432" s="217">
        <v>245.0</v>
      </c>
      <c r="F1432" s="217">
        <v>362.0</v>
      </c>
      <c r="G1432" s="217">
        <v>619.0</v>
      </c>
      <c r="H1432" s="217">
        <v>69.0</v>
      </c>
      <c r="I1432" s="217">
        <v>12.0</v>
      </c>
      <c r="J1432" s="217">
        <v>61.0</v>
      </c>
      <c r="K1432" s="164">
        <v>13.0</v>
      </c>
      <c r="L1432" s="217">
        <v>146.0</v>
      </c>
      <c r="M1432" s="217">
        <v>184.0</v>
      </c>
      <c r="N1432" s="217">
        <v>19.0</v>
      </c>
      <c r="O1432" s="217">
        <v>419.0</v>
      </c>
      <c r="P1432" s="217">
        <v>4881.0</v>
      </c>
      <c r="Q1432" s="1"/>
      <c r="R1432" s="1"/>
      <c r="S1432" s="1"/>
      <c r="T1432" s="1"/>
      <c r="U1432" s="1"/>
    </row>
    <row r="1433" ht="10.5" customHeight="1">
      <c r="A1433" s="1"/>
      <c r="B1433" s="85" t="s">
        <v>153</v>
      </c>
      <c r="C1433" s="217">
        <v>2194.0</v>
      </c>
      <c r="D1433" s="164">
        <v>547.0</v>
      </c>
      <c r="E1433" s="217">
        <v>256.0</v>
      </c>
      <c r="F1433" s="217">
        <v>373.0</v>
      </c>
      <c r="G1433" s="217">
        <v>675.0</v>
      </c>
      <c r="H1433" s="217">
        <v>63.0</v>
      </c>
      <c r="I1433" s="217">
        <v>9.0</v>
      </c>
      <c r="J1433" s="217">
        <v>76.0</v>
      </c>
      <c r="K1433" s="164">
        <v>13.0</v>
      </c>
      <c r="L1433" s="217">
        <v>146.0</v>
      </c>
      <c r="M1433" s="217">
        <v>202.0</v>
      </c>
      <c r="N1433" s="217">
        <v>25.0</v>
      </c>
      <c r="O1433" s="217">
        <v>454.0</v>
      </c>
      <c r="P1433" s="217">
        <v>5177.0</v>
      </c>
      <c r="Q1433" s="1"/>
      <c r="R1433" s="1"/>
      <c r="S1433" s="1"/>
      <c r="T1433" s="1"/>
      <c r="U1433" s="1"/>
    </row>
    <row r="1434" ht="10.5" customHeight="1">
      <c r="A1434" s="1"/>
      <c r="B1434" s="85"/>
      <c r="C1434" s="217"/>
      <c r="D1434" s="164"/>
      <c r="E1434" s="217"/>
      <c r="F1434" s="217"/>
      <c r="G1434" s="217"/>
      <c r="H1434" s="217"/>
      <c r="I1434" s="217"/>
      <c r="J1434" s="217"/>
      <c r="K1434" s="164"/>
      <c r="L1434" s="217"/>
      <c r="M1434" s="217"/>
      <c r="N1434" s="217"/>
      <c r="O1434" s="217"/>
      <c r="P1434" s="217"/>
      <c r="Q1434" s="1"/>
      <c r="R1434" s="1"/>
      <c r="S1434" s="1"/>
      <c r="T1434" s="1"/>
      <c r="U1434" s="1"/>
    </row>
    <row r="1435" ht="10.5" customHeight="1">
      <c r="A1435" s="1"/>
      <c r="B1435" s="85" t="s">
        <v>155</v>
      </c>
      <c r="C1435" s="217">
        <v>2309.0</v>
      </c>
      <c r="D1435" s="164">
        <v>563.0</v>
      </c>
      <c r="E1435" s="217">
        <v>254.0</v>
      </c>
      <c r="F1435" s="217">
        <v>378.0</v>
      </c>
      <c r="G1435" s="217">
        <v>687.0</v>
      </c>
      <c r="H1435" s="217">
        <v>61.0</v>
      </c>
      <c r="I1435" s="217">
        <v>11.0</v>
      </c>
      <c r="J1435" s="217">
        <v>77.0</v>
      </c>
      <c r="K1435" s="164">
        <v>14.0</v>
      </c>
      <c r="L1435" s="217">
        <v>139.0</v>
      </c>
      <c r="M1435" s="217">
        <v>214.0</v>
      </c>
      <c r="N1435" s="217">
        <v>24.0</v>
      </c>
      <c r="O1435" s="217">
        <v>444.0</v>
      </c>
      <c r="P1435" s="217">
        <v>5175.0</v>
      </c>
      <c r="Q1435" s="1"/>
      <c r="R1435" s="1"/>
      <c r="S1435" s="1"/>
      <c r="T1435" s="1"/>
      <c r="U1435" s="1"/>
    </row>
    <row r="1436" ht="10.5" customHeight="1">
      <c r="A1436" s="1"/>
      <c r="B1436" s="96" t="s">
        <v>1319</v>
      </c>
      <c r="C1436" s="241">
        <v>2290.0</v>
      </c>
      <c r="D1436" s="210">
        <v>610.0</v>
      </c>
      <c r="E1436" s="241">
        <v>256.0</v>
      </c>
      <c r="F1436" s="241">
        <v>380.0</v>
      </c>
      <c r="G1436" s="241">
        <v>704.0</v>
      </c>
      <c r="H1436" s="241">
        <v>70.0</v>
      </c>
      <c r="I1436" s="241">
        <v>8.0</v>
      </c>
      <c r="J1436" s="241">
        <v>78.0</v>
      </c>
      <c r="K1436" s="210">
        <v>14.0</v>
      </c>
      <c r="L1436" s="241">
        <v>152.0</v>
      </c>
      <c r="M1436" s="241">
        <v>218.0</v>
      </c>
      <c r="N1436" s="241">
        <v>24.0</v>
      </c>
      <c r="O1436" s="241">
        <v>441.0</v>
      </c>
      <c r="P1436" s="241">
        <v>5245.0</v>
      </c>
      <c r="Q1436" s="1"/>
      <c r="R1436" s="1"/>
      <c r="S1436" s="1"/>
      <c r="T1436" s="1"/>
      <c r="U1436" s="1"/>
    </row>
    <row r="1437" ht="6.0" customHeight="1">
      <c r="A1437" s="1"/>
      <c r="B1437" s="291"/>
      <c r="C1437" s="244"/>
      <c r="D1437" s="692"/>
      <c r="E1437" s="763"/>
      <c r="F1437" s="244"/>
      <c r="G1437" s="244"/>
      <c r="H1437" s="244"/>
      <c r="I1437" s="244"/>
      <c r="J1437" s="244"/>
      <c r="K1437" s="692"/>
      <c r="L1437" s="244"/>
      <c r="M1437" s="244"/>
      <c r="N1437" s="244"/>
      <c r="O1437" s="244"/>
      <c r="P1437" s="244"/>
      <c r="Q1437" s="1"/>
      <c r="R1437" s="1"/>
      <c r="S1437" s="1"/>
      <c r="T1437" s="1"/>
      <c r="U1437" s="1"/>
    </row>
    <row r="1438" ht="10.5" customHeight="1">
      <c r="A1438" s="1"/>
      <c r="B1438" s="185" t="s">
        <v>1320</v>
      </c>
      <c r="C1438" s="185"/>
      <c r="D1438" s="698"/>
      <c r="E1438" s="1"/>
      <c r="F1438" s="1"/>
      <c r="G1438" s="1"/>
      <c r="H1438" s="1"/>
      <c r="I1438" s="1"/>
      <c r="J1438" s="1"/>
      <c r="K1438" s="1"/>
      <c r="L1438" s="1"/>
      <c r="M1438" s="1"/>
      <c r="N1438" s="1"/>
      <c r="O1438" s="1"/>
      <c r="P1438" s="1"/>
      <c r="Q1438" s="1"/>
      <c r="R1438" s="1"/>
      <c r="S1438" s="1"/>
      <c r="T1438" s="1"/>
      <c r="U1438" s="1"/>
    </row>
    <row r="1439" ht="10.5" customHeight="1">
      <c r="A1439" s="1"/>
      <c r="B1439" s="642" t="s">
        <v>1321</v>
      </c>
      <c r="D1439" s="698"/>
      <c r="E1439" s="1"/>
      <c r="F1439" s="1"/>
      <c r="G1439" s="1"/>
      <c r="H1439" s="1"/>
      <c r="I1439" s="1"/>
      <c r="J1439" s="1"/>
      <c r="K1439" s="1"/>
      <c r="L1439" s="1"/>
      <c r="M1439" s="1"/>
      <c r="N1439" s="1"/>
      <c r="O1439" s="1"/>
      <c r="P1439" s="1"/>
      <c r="Q1439" s="1"/>
      <c r="R1439" s="1"/>
      <c r="S1439" s="1"/>
      <c r="T1439" s="1"/>
      <c r="U1439" s="1"/>
    </row>
    <row r="1440" ht="10.5" customHeight="1">
      <c r="A1440" s="1"/>
      <c r="B1440" s="1"/>
      <c r="C1440" s="1"/>
      <c r="D1440" s="698"/>
      <c r="E1440" s="1"/>
      <c r="F1440" s="1"/>
      <c r="G1440" s="1"/>
      <c r="H1440" s="1"/>
      <c r="I1440" s="1"/>
      <c r="J1440" s="1"/>
      <c r="K1440" s="1"/>
      <c r="L1440" s="1"/>
      <c r="M1440" s="1"/>
      <c r="N1440" s="1"/>
      <c r="O1440" s="1"/>
      <c r="P1440" s="1"/>
      <c r="Q1440" s="1"/>
      <c r="R1440" s="1"/>
      <c r="S1440" s="1"/>
      <c r="T1440" s="1"/>
      <c r="U1440" s="1"/>
    </row>
    <row r="1441" ht="10.5" customHeight="1">
      <c r="A1441" s="1"/>
      <c r="B1441" s="1"/>
      <c r="C1441" s="430"/>
      <c r="E1441" s="430"/>
      <c r="F1441" s="430"/>
      <c r="G1441" s="430"/>
      <c r="H1441" s="430"/>
      <c r="I1441" s="430"/>
      <c r="J1441" s="430"/>
      <c r="K1441" s="430"/>
      <c r="L1441" s="430"/>
      <c r="M1441" s="430"/>
      <c r="N1441" s="430"/>
      <c r="O1441" s="430"/>
      <c r="P1441" s="430"/>
      <c r="Q1441" s="1"/>
      <c r="R1441" s="1"/>
      <c r="S1441" s="1"/>
      <c r="T1441" s="58"/>
      <c r="U1441" s="1"/>
    </row>
    <row r="1442" ht="10.5" customHeight="1">
      <c r="A1442" s="1"/>
      <c r="B1442" s="1"/>
      <c r="C1442" s="1"/>
      <c r="D1442" s="698"/>
      <c r="E1442" s="1"/>
      <c r="F1442" s="1"/>
      <c r="G1442" s="1"/>
      <c r="H1442" s="1"/>
      <c r="I1442" s="1"/>
      <c r="J1442" s="1"/>
      <c r="K1442" s="1"/>
      <c r="L1442" s="1"/>
      <c r="M1442" s="1"/>
      <c r="N1442" s="1"/>
      <c r="O1442" s="1"/>
      <c r="P1442" s="1"/>
      <c r="Q1442" s="1"/>
      <c r="R1442" s="1"/>
      <c r="S1442" s="1"/>
      <c r="T1442" s="1"/>
      <c r="U1442" s="1"/>
    </row>
    <row r="1443" ht="11.25" customHeight="1">
      <c r="A1443" s="1"/>
      <c r="B1443" s="111" t="s">
        <v>1324</v>
      </c>
      <c r="C1443" s="111"/>
      <c r="D1443" s="764"/>
      <c r="E1443" s="111"/>
      <c r="F1443" s="111"/>
      <c r="G1443" s="111"/>
      <c r="H1443" s="1"/>
      <c r="I1443" s="1"/>
      <c r="J1443" s="1"/>
      <c r="K1443" s="1"/>
      <c r="L1443" s="1"/>
      <c r="M1443" s="1"/>
      <c r="N1443" s="1"/>
      <c r="O1443" s="1"/>
      <c r="P1443" s="1"/>
      <c r="Q1443" s="1"/>
      <c r="R1443" s="1"/>
      <c r="S1443" s="1"/>
      <c r="T1443" s="111"/>
      <c r="U1443" s="111"/>
    </row>
    <row r="1444" ht="11.25" customHeight="1">
      <c r="A1444" s="1"/>
      <c r="B1444" s="112" t="s">
        <v>1327</v>
      </c>
      <c r="C1444" s="70"/>
      <c r="D1444" s="505">
        <v>2000.0</v>
      </c>
      <c r="E1444" s="505">
        <v>2001.0</v>
      </c>
      <c r="F1444" s="505">
        <v>2002.0</v>
      </c>
      <c r="G1444" s="505">
        <v>2003.0</v>
      </c>
      <c r="H1444" s="765">
        <v>2004.0</v>
      </c>
      <c r="I1444" s="765">
        <v>2005.0</v>
      </c>
      <c r="J1444" s="765">
        <v>2006.0</v>
      </c>
      <c r="K1444" s="765">
        <v>2007.0</v>
      </c>
      <c r="L1444" s="765">
        <v>2008.0</v>
      </c>
      <c r="M1444" s="765">
        <v>2009.0</v>
      </c>
      <c r="N1444" s="765">
        <v>2010.0</v>
      </c>
      <c r="O1444" s="766" t="s">
        <v>487</v>
      </c>
      <c r="P1444" s="766" t="s">
        <v>489</v>
      </c>
      <c r="Q1444" s="766" t="s">
        <v>55</v>
      </c>
      <c r="R1444" s="766" t="s">
        <v>57</v>
      </c>
      <c r="S1444" s="40">
        <v>2015.0</v>
      </c>
      <c r="T1444" s="767" t="s">
        <v>59</v>
      </c>
      <c r="U1444" s="768" t="s">
        <v>1335</v>
      </c>
    </row>
    <row r="1445" ht="11.25" customHeight="1">
      <c r="A1445" s="1"/>
      <c r="B1445" s="118"/>
      <c r="C1445" s="94"/>
      <c r="D1445" s="770" t="s">
        <v>49</v>
      </c>
      <c r="E1445" s="9"/>
      <c r="F1445" s="9"/>
      <c r="G1445" s="9"/>
      <c r="H1445" s="9"/>
      <c r="I1445" s="9"/>
      <c r="J1445" s="9"/>
      <c r="K1445" s="9"/>
      <c r="L1445" s="9"/>
      <c r="M1445" s="9"/>
      <c r="N1445" s="9"/>
      <c r="O1445" s="9"/>
      <c r="P1445" s="9"/>
      <c r="Q1445" s="9"/>
      <c r="R1445" s="9"/>
      <c r="S1445" s="9"/>
      <c r="T1445" s="9"/>
      <c r="U1445" s="10"/>
    </row>
    <row r="1446" ht="10.5" customHeight="1">
      <c r="A1446" s="1"/>
      <c r="B1446" s="237" t="s">
        <v>1284</v>
      </c>
      <c r="C1446" s="87"/>
      <c r="D1446" s="570">
        <v>870.4</v>
      </c>
      <c r="E1446" s="570">
        <v>902.0</v>
      </c>
      <c r="F1446" s="570">
        <v>782.0</v>
      </c>
      <c r="G1446" s="570">
        <v>804.8</v>
      </c>
      <c r="H1446" s="772">
        <v>900.1</v>
      </c>
      <c r="I1446" s="693">
        <v>895.2</v>
      </c>
      <c r="J1446" s="693">
        <v>954.1</v>
      </c>
      <c r="K1446" s="693">
        <v>941.2</v>
      </c>
      <c r="L1446" s="693">
        <v>1001.3</v>
      </c>
      <c r="M1446" s="693">
        <v>845.7</v>
      </c>
      <c r="N1446" s="693">
        <v>935.8</v>
      </c>
      <c r="O1446" s="693">
        <v>1005.4</v>
      </c>
      <c r="P1446" s="772">
        <v>1060.4</v>
      </c>
      <c r="Q1446" s="772">
        <v>1040.6</v>
      </c>
      <c r="R1446" s="518">
        <v>1058.2</v>
      </c>
      <c r="S1446" s="494">
        <v>1175.2</v>
      </c>
      <c r="T1446" s="774">
        <v>990.2</v>
      </c>
      <c r="U1446" s="775">
        <v>1165.0</v>
      </c>
    </row>
    <row r="1447" ht="10.5" customHeight="1">
      <c r="A1447" s="1"/>
      <c r="B1447" s="237" t="s">
        <v>1285</v>
      </c>
      <c r="C1447" s="87"/>
      <c r="D1447" s="250">
        <v>227.8</v>
      </c>
      <c r="E1447" s="250">
        <v>234.6</v>
      </c>
      <c r="F1447" s="250">
        <v>246.6</v>
      </c>
      <c r="G1447" s="250">
        <v>227.1</v>
      </c>
      <c r="H1447" s="693">
        <v>240.4</v>
      </c>
      <c r="I1447" s="693">
        <v>255.8</v>
      </c>
      <c r="J1447" s="693">
        <v>251.8</v>
      </c>
      <c r="K1447" s="693">
        <v>247.1</v>
      </c>
      <c r="L1447" s="693">
        <v>258.0</v>
      </c>
      <c r="M1447" s="693">
        <v>252.3</v>
      </c>
      <c r="N1447" s="693">
        <v>265.2</v>
      </c>
      <c r="O1447" s="693">
        <v>262.5</v>
      </c>
      <c r="P1447" s="693">
        <v>282.8</v>
      </c>
      <c r="Q1447" s="693">
        <v>283.7</v>
      </c>
      <c r="R1447" s="518">
        <v>274.1</v>
      </c>
      <c r="S1447" s="494">
        <v>273.1</v>
      </c>
      <c r="T1447" s="774">
        <v>281.6</v>
      </c>
      <c r="U1447" s="776">
        <v>278.9</v>
      </c>
    </row>
    <row r="1448" ht="10.5" customHeight="1">
      <c r="A1448" s="1"/>
      <c r="B1448" s="237" t="s">
        <v>1336</v>
      </c>
      <c r="C1448" s="87"/>
      <c r="D1448" s="250">
        <v>157.3</v>
      </c>
      <c r="E1448" s="250">
        <v>153.1</v>
      </c>
      <c r="F1448" s="250">
        <v>148.7</v>
      </c>
      <c r="G1448" s="250">
        <v>143.0</v>
      </c>
      <c r="H1448" s="693">
        <v>145.1</v>
      </c>
      <c r="I1448" s="693">
        <v>129.3</v>
      </c>
      <c r="J1448" s="693">
        <v>117.8</v>
      </c>
      <c r="K1448" s="693">
        <v>107.0</v>
      </c>
      <c r="L1448" s="693">
        <v>114.7</v>
      </c>
      <c r="M1448" s="693">
        <v>102.3</v>
      </c>
      <c r="N1448" s="693">
        <v>113.4</v>
      </c>
      <c r="O1448" s="693">
        <v>109.6</v>
      </c>
      <c r="P1448" s="693">
        <v>102.5</v>
      </c>
      <c r="Q1448" s="693">
        <v>106.0</v>
      </c>
      <c r="R1448" s="518">
        <v>106.4</v>
      </c>
      <c r="S1448" s="494">
        <v>107.1</v>
      </c>
      <c r="T1448" s="774">
        <v>109.8</v>
      </c>
      <c r="U1448" s="776">
        <v>109.9</v>
      </c>
    </row>
    <row r="1449" ht="10.5" customHeight="1">
      <c r="A1449" s="1"/>
      <c r="B1449" s="237" t="s">
        <v>1288</v>
      </c>
      <c r="C1449" s="87"/>
      <c r="D1449" s="250">
        <v>214.3</v>
      </c>
      <c r="E1449" s="250">
        <v>243.0</v>
      </c>
      <c r="F1449" s="250">
        <v>246.9</v>
      </c>
      <c r="G1449" s="250">
        <v>254.8</v>
      </c>
      <c r="H1449" s="693">
        <v>285.5</v>
      </c>
      <c r="I1449" s="693">
        <v>283.0</v>
      </c>
      <c r="J1449" s="693">
        <v>287.0</v>
      </c>
      <c r="K1449" s="693">
        <v>255.4</v>
      </c>
      <c r="L1449" s="693">
        <v>298.5</v>
      </c>
      <c r="M1449" s="693">
        <v>287.8</v>
      </c>
      <c r="N1449" s="693">
        <v>311.3</v>
      </c>
      <c r="O1449" s="693">
        <v>349.9</v>
      </c>
      <c r="P1449" s="693">
        <v>358.7</v>
      </c>
      <c r="Q1449" s="693">
        <v>328.7</v>
      </c>
      <c r="R1449" s="518">
        <v>359.4</v>
      </c>
      <c r="S1449" s="494">
        <v>392.7</v>
      </c>
      <c r="T1449" s="774">
        <v>381.4</v>
      </c>
      <c r="U1449" s="776">
        <v>395.9</v>
      </c>
    </row>
    <row r="1450" ht="10.5" customHeight="1">
      <c r="A1450" s="1"/>
      <c r="B1450" s="237" t="s">
        <v>1286</v>
      </c>
      <c r="C1450" s="87"/>
      <c r="D1450" s="250">
        <v>56.6</v>
      </c>
      <c r="E1450" s="250">
        <v>65.1</v>
      </c>
      <c r="F1450" s="250">
        <v>57.4</v>
      </c>
      <c r="G1450" s="250">
        <v>64.3</v>
      </c>
      <c r="H1450" s="693">
        <v>68.1</v>
      </c>
      <c r="I1450" s="693">
        <v>64.8</v>
      </c>
      <c r="J1450" s="693">
        <v>61.5</v>
      </c>
      <c r="K1450" s="693">
        <v>59.0</v>
      </c>
      <c r="L1450" s="693">
        <v>57.1</v>
      </c>
      <c r="M1450" s="693">
        <v>51.5</v>
      </c>
      <c r="N1450" s="693">
        <v>47.7</v>
      </c>
      <c r="O1450" s="693">
        <v>57.3</v>
      </c>
      <c r="P1450" s="693">
        <v>58.2</v>
      </c>
      <c r="Q1450" s="693">
        <v>49.2</v>
      </c>
      <c r="R1450" s="518">
        <v>54.8</v>
      </c>
      <c r="S1450" s="494">
        <v>52.9</v>
      </c>
      <c r="T1450" s="774">
        <v>50.3</v>
      </c>
      <c r="U1450" s="776">
        <v>49.8</v>
      </c>
    </row>
    <row r="1451" ht="10.5" customHeight="1">
      <c r="A1451" s="1"/>
      <c r="B1451" s="237" t="s">
        <v>1294</v>
      </c>
      <c r="C1451" s="87"/>
      <c r="D1451" s="250">
        <v>64.4</v>
      </c>
      <c r="E1451" s="250">
        <v>68.2</v>
      </c>
      <c r="F1451" s="250">
        <v>75.0</v>
      </c>
      <c r="G1451" s="250">
        <v>82.3</v>
      </c>
      <c r="H1451" s="693">
        <v>91.4</v>
      </c>
      <c r="I1451" s="693">
        <v>89.4</v>
      </c>
      <c r="J1451" s="693">
        <v>88.0</v>
      </c>
      <c r="K1451" s="693">
        <v>86.4</v>
      </c>
      <c r="L1451" s="693">
        <v>96.7</v>
      </c>
      <c r="M1451" s="693">
        <v>91.5</v>
      </c>
      <c r="N1451" s="693">
        <v>86.6</v>
      </c>
      <c r="O1451" s="693">
        <v>97.8</v>
      </c>
      <c r="P1451" s="693">
        <v>112.4</v>
      </c>
      <c r="Q1451" s="693">
        <v>114.6</v>
      </c>
      <c r="R1451" s="518">
        <v>113.6</v>
      </c>
      <c r="S1451" s="494">
        <v>127.6</v>
      </c>
      <c r="T1451" s="774">
        <v>127.3</v>
      </c>
      <c r="U1451" s="776">
        <v>131.3</v>
      </c>
    </row>
    <row r="1452" ht="10.5" customHeight="1">
      <c r="A1452" s="1"/>
      <c r="B1452" s="237" t="s">
        <v>1337</v>
      </c>
      <c r="C1452" s="87"/>
      <c r="D1452" s="250">
        <v>25.4</v>
      </c>
      <c r="E1452" s="250">
        <v>24.5</v>
      </c>
      <c r="F1452" s="250">
        <v>24.0</v>
      </c>
      <c r="G1452" s="250">
        <v>23.0</v>
      </c>
      <c r="H1452" s="693">
        <v>25.3</v>
      </c>
      <c r="I1452" s="693">
        <v>23.4</v>
      </c>
      <c r="J1452" s="693">
        <v>22.6</v>
      </c>
      <c r="K1452" s="693">
        <v>21.6</v>
      </c>
      <c r="L1452" s="693">
        <v>20.8</v>
      </c>
      <c r="M1452" s="693">
        <v>22.1</v>
      </c>
      <c r="N1452" s="693">
        <v>20.2</v>
      </c>
      <c r="O1452" s="693">
        <v>19.2</v>
      </c>
      <c r="P1452" s="693">
        <v>20.2</v>
      </c>
      <c r="Q1452" s="693">
        <v>19.1</v>
      </c>
      <c r="R1452" s="518">
        <v>19.1</v>
      </c>
      <c r="S1452" s="494">
        <v>17.6</v>
      </c>
      <c r="T1452" s="774">
        <v>16.8</v>
      </c>
      <c r="U1452" s="776">
        <v>16.2</v>
      </c>
    </row>
    <row r="1453" ht="10.5" customHeight="1">
      <c r="A1453" s="1"/>
      <c r="B1453" s="237" t="s">
        <v>1289</v>
      </c>
      <c r="C1453" s="87"/>
      <c r="D1453" s="250">
        <v>26.4</v>
      </c>
      <c r="E1453" s="250">
        <v>27.9</v>
      </c>
      <c r="F1453" s="250">
        <v>24.7</v>
      </c>
      <c r="G1453" s="250">
        <v>22.7</v>
      </c>
      <c r="H1453" s="693">
        <v>28.8</v>
      </c>
      <c r="I1453" s="693">
        <v>26.5</v>
      </c>
      <c r="J1453" s="693">
        <v>20.0</v>
      </c>
      <c r="K1453" s="693">
        <v>20.9</v>
      </c>
      <c r="L1453" s="693">
        <v>21.6</v>
      </c>
      <c r="M1453" s="693">
        <v>26.7</v>
      </c>
      <c r="N1453" s="693">
        <v>32.8</v>
      </c>
      <c r="O1453" s="693">
        <v>22.6</v>
      </c>
      <c r="P1453" s="693">
        <v>22.8</v>
      </c>
      <c r="Q1453" s="693">
        <v>34.4</v>
      </c>
      <c r="R1453" s="518">
        <v>25.9</v>
      </c>
      <c r="S1453" s="494">
        <v>29.0</v>
      </c>
      <c r="T1453" s="774">
        <v>26.9</v>
      </c>
      <c r="U1453" s="776">
        <v>32.3</v>
      </c>
    </row>
    <row r="1454" ht="10.5" customHeight="1">
      <c r="A1454" s="1"/>
      <c r="B1454" s="237" t="s">
        <v>1292</v>
      </c>
      <c r="C1454" s="87"/>
      <c r="D1454" s="250">
        <v>14.9</v>
      </c>
      <c r="E1454" s="250">
        <v>14.1</v>
      </c>
      <c r="F1454" s="250">
        <v>13.7</v>
      </c>
      <c r="G1454" s="250">
        <v>12.5</v>
      </c>
      <c r="H1454" s="693">
        <v>13.4</v>
      </c>
      <c r="I1454" s="693">
        <v>11.8</v>
      </c>
      <c r="J1454" s="693">
        <v>10.1</v>
      </c>
      <c r="K1454" s="693">
        <v>9.5</v>
      </c>
      <c r="L1454" s="693">
        <v>10.5</v>
      </c>
      <c r="M1454" s="693">
        <v>9.0</v>
      </c>
      <c r="N1454" s="693">
        <v>8.8</v>
      </c>
      <c r="O1454" s="693">
        <v>8.2</v>
      </c>
      <c r="P1454" s="693">
        <v>7.3</v>
      </c>
      <c r="Q1454" s="693">
        <v>8.4</v>
      </c>
      <c r="R1454" s="518">
        <v>7.1</v>
      </c>
      <c r="S1454" s="494">
        <v>8.7</v>
      </c>
      <c r="T1454" s="774">
        <v>8.1</v>
      </c>
      <c r="U1454" s="776">
        <v>8.1</v>
      </c>
    </row>
    <row r="1455" ht="10.5" customHeight="1">
      <c r="A1455" s="1"/>
      <c r="B1455" s="237" t="s">
        <v>1295</v>
      </c>
      <c r="C1455" s="87"/>
      <c r="D1455" s="250">
        <v>17.3</v>
      </c>
      <c r="E1455" s="250">
        <v>16.7</v>
      </c>
      <c r="F1455" s="250">
        <v>16.7</v>
      </c>
      <c r="G1455" s="250">
        <v>14.6</v>
      </c>
      <c r="H1455" s="693">
        <v>14.4</v>
      </c>
      <c r="I1455" s="693">
        <v>14.5</v>
      </c>
      <c r="J1455" s="693">
        <v>13.4</v>
      </c>
      <c r="K1455" s="693">
        <v>12.6</v>
      </c>
      <c r="L1455" s="693">
        <v>10.8</v>
      </c>
      <c r="M1455" s="693">
        <v>12.4</v>
      </c>
      <c r="N1455" s="693">
        <v>13.0</v>
      </c>
      <c r="O1455" s="693">
        <v>12.5</v>
      </c>
      <c r="P1455" s="693">
        <v>12.6</v>
      </c>
      <c r="Q1455" s="693">
        <v>12.2</v>
      </c>
      <c r="R1455" s="518">
        <v>11.9</v>
      </c>
      <c r="S1455" s="494">
        <v>12.4</v>
      </c>
      <c r="T1455" s="774">
        <v>11.8</v>
      </c>
      <c r="U1455" s="776">
        <v>12.0</v>
      </c>
    </row>
    <row r="1456" ht="10.5" customHeight="1">
      <c r="A1456" s="1"/>
      <c r="B1456" s="237" t="s">
        <v>1340</v>
      </c>
      <c r="C1456" s="87"/>
      <c r="D1456" s="250">
        <v>44.4</v>
      </c>
      <c r="E1456" s="250">
        <v>39.4</v>
      </c>
      <c r="F1456" s="250">
        <v>35.3</v>
      </c>
      <c r="G1456" s="250">
        <v>36.8</v>
      </c>
      <c r="H1456" s="693">
        <v>34.2</v>
      </c>
      <c r="I1456" s="693">
        <v>37.9</v>
      </c>
      <c r="J1456" s="693">
        <v>34.6</v>
      </c>
      <c r="K1456" s="693">
        <v>31.3</v>
      </c>
      <c r="L1456" s="693">
        <v>29.4</v>
      </c>
      <c r="M1456" s="693">
        <v>26.0</v>
      </c>
      <c r="N1456" s="693">
        <v>22.0</v>
      </c>
      <c r="O1456" s="693">
        <v>24.6</v>
      </c>
      <c r="P1456" s="693">
        <v>24.5</v>
      </c>
      <c r="Q1456" s="693">
        <v>25.3</v>
      </c>
      <c r="R1456" s="518">
        <v>24.2</v>
      </c>
      <c r="S1456" s="494">
        <v>24.9</v>
      </c>
      <c r="T1456" s="774">
        <v>24.6</v>
      </c>
      <c r="U1456" s="776">
        <v>28.2</v>
      </c>
    </row>
    <row r="1457" ht="10.5" customHeight="1">
      <c r="A1457" s="1"/>
      <c r="B1457" s="237" t="s">
        <v>1291</v>
      </c>
      <c r="C1457" s="87"/>
      <c r="D1457" s="250">
        <v>27.8</v>
      </c>
      <c r="E1457" s="250">
        <v>30.6</v>
      </c>
      <c r="F1457" s="250">
        <v>29.2</v>
      </c>
      <c r="G1457" s="250">
        <v>29.6</v>
      </c>
      <c r="H1457" s="693">
        <v>34.9</v>
      </c>
      <c r="I1457" s="693">
        <v>36.4</v>
      </c>
      <c r="J1457" s="693">
        <v>33.9</v>
      </c>
      <c r="K1457" s="693">
        <v>35.7</v>
      </c>
      <c r="L1457" s="693">
        <v>34.6</v>
      </c>
      <c r="M1457" s="693">
        <v>37.8</v>
      </c>
      <c r="N1457" s="693">
        <v>35.0</v>
      </c>
      <c r="O1457" s="693">
        <v>36.8</v>
      </c>
      <c r="P1457" s="693">
        <v>41.9</v>
      </c>
      <c r="Q1457" s="693">
        <v>37.2</v>
      </c>
      <c r="R1457" s="518">
        <v>37.7</v>
      </c>
      <c r="S1457" s="494">
        <v>48.2</v>
      </c>
      <c r="T1457" s="774">
        <v>44.3</v>
      </c>
      <c r="U1457" s="776">
        <v>45.0</v>
      </c>
    </row>
    <row r="1458" ht="10.5" customHeight="1">
      <c r="A1458" s="1"/>
      <c r="B1458" s="237" t="s">
        <v>1344</v>
      </c>
      <c r="C1458" s="87"/>
      <c r="D1458" s="250">
        <v>11.8</v>
      </c>
      <c r="E1458" s="250">
        <v>12.2</v>
      </c>
      <c r="F1458" s="250">
        <v>12.7</v>
      </c>
      <c r="G1458" s="250">
        <v>12.4</v>
      </c>
      <c r="H1458" s="693">
        <v>12.7</v>
      </c>
      <c r="I1458" s="693">
        <v>12.6</v>
      </c>
      <c r="J1458" s="693">
        <v>13.0</v>
      </c>
      <c r="K1458" s="693">
        <v>13.7</v>
      </c>
      <c r="L1458" s="693">
        <v>14.3</v>
      </c>
      <c r="M1458" s="693">
        <v>14.0</v>
      </c>
      <c r="N1458" s="693">
        <v>25.7</v>
      </c>
      <c r="O1458" s="693">
        <v>17.2</v>
      </c>
      <c r="P1458" s="693">
        <v>16.4</v>
      </c>
      <c r="Q1458" s="693">
        <v>16.7</v>
      </c>
      <c r="R1458" s="518">
        <v>17.8</v>
      </c>
      <c r="S1458" s="494">
        <v>20.5</v>
      </c>
      <c r="T1458" s="774">
        <v>19.9</v>
      </c>
      <c r="U1458" s="776">
        <v>20.7</v>
      </c>
    </row>
    <row r="1459" ht="10.5" customHeight="1">
      <c r="A1459" s="342">
        <v>56.0</v>
      </c>
      <c r="B1459" s="237" t="s">
        <v>1346</v>
      </c>
      <c r="C1459" s="87"/>
      <c r="D1459" s="250">
        <v>26.0</v>
      </c>
      <c r="E1459" s="250">
        <v>25.4</v>
      </c>
      <c r="F1459" s="250">
        <v>27.4</v>
      </c>
      <c r="G1459" s="250">
        <v>27.0</v>
      </c>
      <c r="H1459" s="693">
        <v>28.0</v>
      </c>
      <c r="I1459" s="693">
        <v>28.3</v>
      </c>
      <c r="J1459" s="693">
        <v>28.1</v>
      </c>
      <c r="K1459" s="693">
        <v>25.7</v>
      </c>
      <c r="L1459" s="693">
        <v>29.9</v>
      </c>
      <c r="M1459" s="693">
        <v>26.6</v>
      </c>
      <c r="N1459" s="693">
        <v>26.9</v>
      </c>
      <c r="O1459" s="693">
        <v>25.8</v>
      </c>
      <c r="P1459" s="693">
        <v>25.6</v>
      </c>
      <c r="Q1459" s="693">
        <v>25.8</v>
      </c>
      <c r="R1459" s="518">
        <v>26.0</v>
      </c>
      <c r="S1459" s="494">
        <v>26.6</v>
      </c>
      <c r="T1459" s="774">
        <v>26.0</v>
      </c>
      <c r="U1459" s="776">
        <v>24.5</v>
      </c>
    </row>
    <row r="1460" ht="10.5" customHeight="1">
      <c r="A1460" s="87"/>
      <c r="B1460" s="237" t="s">
        <v>1290</v>
      </c>
      <c r="C1460" s="87"/>
      <c r="D1460" s="250">
        <v>0.8</v>
      </c>
      <c r="E1460" s="250">
        <v>0.5</v>
      </c>
      <c r="F1460" s="250">
        <v>0.5</v>
      </c>
      <c r="G1460" s="250">
        <v>0.4</v>
      </c>
      <c r="H1460" s="693">
        <v>0.4</v>
      </c>
      <c r="I1460" s="693">
        <v>0.5</v>
      </c>
      <c r="J1460" s="693">
        <v>0.3</v>
      </c>
      <c r="K1460" s="693">
        <v>0.3</v>
      </c>
      <c r="L1460" s="693">
        <v>0.4</v>
      </c>
      <c r="M1460" s="693">
        <v>0.3</v>
      </c>
      <c r="N1460" s="693">
        <v>0.3</v>
      </c>
      <c r="O1460" s="693">
        <v>0.3</v>
      </c>
      <c r="P1460" s="693">
        <v>0.2</v>
      </c>
      <c r="Q1460" s="693">
        <v>0.3</v>
      </c>
      <c r="R1460" s="779">
        <v>0.3</v>
      </c>
      <c r="S1460" s="494">
        <v>0.2</v>
      </c>
      <c r="T1460" s="774">
        <v>0.2</v>
      </c>
      <c r="U1460" s="776">
        <v>0.2</v>
      </c>
    </row>
    <row r="1461" ht="10.5" customHeight="1">
      <c r="A1461" s="1"/>
      <c r="B1461" s="237" t="s">
        <v>1349</v>
      </c>
      <c r="C1461" s="87"/>
      <c r="D1461" s="250"/>
      <c r="E1461" s="250"/>
      <c r="F1461" s="250"/>
      <c r="G1461" s="250"/>
      <c r="H1461" s="693"/>
      <c r="I1461" s="693"/>
      <c r="J1461" s="693"/>
      <c r="K1461" s="693"/>
      <c r="L1461" s="693"/>
      <c r="M1461" s="693"/>
      <c r="N1461" s="693"/>
      <c r="O1461" s="693"/>
      <c r="P1461" s="780"/>
      <c r="Q1461" s="780"/>
      <c r="R1461" s="518"/>
      <c r="S1461" s="494"/>
      <c r="T1461" s="774"/>
      <c r="U1461" s="776"/>
    </row>
    <row r="1462" ht="10.5" customHeight="1">
      <c r="A1462" s="1"/>
      <c r="B1462" s="237" t="s">
        <v>1351</v>
      </c>
      <c r="C1462" s="180"/>
      <c r="D1462" s="250">
        <v>3.7</v>
      </c>
      <c r="E1462" s="250">
        <v>3.0</v>
      </c>
      <c r="F1462" s="250">
        <v>2.6</v>
      </c>
      <c r="G1462" s="250">
        <v>2.5</v>
      </c>
      <c r="H1462" s="693">
        <v>2.9</v>
      </c>
      <c r="I1462" s="693">
        <v>3.9</v>
      </c>
      <c r="J1462" s="693">
        <v>3.5</v>
      </c>
      <c r="K1462" s="693">
        <v>3.5</v>
      </c>
      <c r="L1462" s="693">
        <v>3.9</v>
      </c>
      <c r="M1462" s="693">
        <v>3.9</v>
      </c>
      <c r="N1462" s="693">
        <v>4.0</v>
      </c>
      <c r="O1462" s="693">
        <v>3.6</v>
      </c>
      <c r="P1462" s="693">
        <v>3.1</v>
      </c>
      <c r="Q1462" s="693">
        <v>4.7</v>
      </c>
      <c r="R1462" s="518">
        <v>3.6</v>
      </c>
      <c r="S1462" s="494">
        <v>3.9</v>
      </c>
      <c r="T1462" s="774">
        <v>3.5</v>
      </c>
      <c r="U1462" s="776">
        <v>4.0</v>
      </c>
    </row>
    <row r="1463" ht="10.5" customHeight="1">
      <c r="A1463" s="1"/>
      <c r="B1463" s="237" t="s">
        <v>1353</v>
      </c>
      <c r="C1463" s="87"/>
      <c r="D1463" s="250">
        <v>0.9</v>
      </c>
      <c r="E1463" s="250">
        <v>0.8</v>
      </c>
      <c r="F1463" s="250">
        <v>0.7</v>
      </c>
      <c r="G1463" s="250">
        <v>0.7</v>
      </c>
      <c r="H1463" s="693">
        <v>0.3</v>
      </c>
      <c r="I1463" s="693">
        <v>0.3</v>
      </c>
      <c r="J1463" s="693">
        <v>1.0</v>
      </c>
      <c r="K1463" s="693">
        <v>1.6</v>
      </c>
      <c r="L1463" s="693">
        <v>1.4</v>
      </c>
      <c r="M1463" s="693">
        <v>1.8</v>
      </c>
      <c r="N1463" s="693">
        <v>1.4</v>
      </c>
      <c r="O1463" s="693">
        <v>1.3</v>
      </c>
      <c r="P1463" s="693">
        <v>1.3</v>
      </c>
      <c r="Q1463" s="693">
        <v>1.2</v>
      </c>
      <c r="R1463" s="518">
        <v>1.2</v>
      </c>
      <c r="S1463" s="494">
        <v>1.2</v>
      </c>
      <c r="T1463" s="774">
        <v>1.4</v>
      </c>
      <c r="U1463" s="776">
        <v>1.2</v>
      </c>
    </row>
    <row r="1464" ht="10.5" customHeight="1">
      <c r="A1464" s="1"/>
      <c r="B1464" s="237" t="s">
        <v>1355</v>
      </c>
      <c r="C1464" s="87"/>
      <c r="D1464" s="250">
        <v>0.9</v>
      </c>
      <c r="E1464" s="250">
        <v>0.8</v>
      </c>
      <c r="F1464" s="250">
        <v>0.8</v>
      </c>
      <c r="G1464" s="250">
        <v>0.9</v>
      </c>
      <c r="H1464" s="693">
        <v>0.8</v>
      </c>
      <c r="I1464" s="693">
        <v>0.7</v>
      </c>
      <c r="J1464" s="693">
        <v>0.7</v>
      </c>
      <c r="K1464" s="693">
        <v>0.7</v>
      </c>
      <c r="L1464" s="693">
        <v>0.7</v>
      </c>
      <c r="M1464" s="693">
        <v>0.6</v>
      </c>
      <c r="N1464" s="693">
        <v>0.6</v>
      </c>
      <c r="O1464" s="693">
        <v>0.6</v>
      </c>
      <c r="P1464" s="693">
        <v>0.6</v>
      </c>
      <c r="Q1464" s="693">
        <v>0.5</v>
      </c>
      <c r="R1464" s="779">
        <v>0.6</v>
      </c>
      <c r="S1464" s="494">
        <v>0.6</v>
      </c>
      <c r="T1464" s="774">
        <v>0.5</v>
      </c>
      <c r="U1464" s="776">
        <v>0.5</v>
      </c>
    </row>
    <row r="1465" ht="10.5" customHeight="1">
      <c r="A1465" s="1"/>
      <c r="B1465" s="237" t="s">
        <v>1356</v>
      </c>
      <c r="C1465" s="87"/>
      <c r="D1465" s="250">
        <v>43.9</v>
      </c>
      <c r="E1465" s="250">
        <v>52.2</v>
      </c>
      <c r="F1465" s="250">
        <v>57.3</v>
      </c>
      <c r="G1465" s="250">
        <v>64.0</v>
      </c>
      <c r="H1465" s="693">
        <v>67.8</v>
      </c>
      <c r="I1465" s="693">
        <v>80.4</v>
      </c>
      <c r="J1465" s="693">
        <v>74.6</v>
      </c>
      <c r="K1465" s="693">
        <v>76.4</v>
      </c>
      <c r="L1465" s="693">
        <v>79.1</v>
      </c>
      <c r="M1465" s="693">
        <v>77.6</v>
      </c>
      <c r="N1465" s="693">
        <v>91.2</v>
      </c>
      <c r="O1465" s="693">
        <v>91.6</v>
      </c>
      <c r="P1465" s="693">
        <v>97.7</v>
      </c>
      <c r="Q1465" s="693">
        <v>93.7</v>
      </c>
      <c r="R1465" s="518">
        <v>87.1</v>
      </c>
      <c r="S1465" s="494">
        <v>101.5</v>
      </c>
      <c r="T1465" s="774">
        <v>84.4</v>
      </c>
      <c r="U1465" s="776">
        <v>88.0</v>
      </c>
    </row>
    <row r="1466" ht="10.5" customHeight="1">
      <c r="A1466" s="1"/>
      <c r="B1466" s="783" t="s">
        <v>8</v>
      </c>
      <c r="C1466" s="94"/>
      <c r="D1466" s="785">
        <v>50.1</v>
      </c>
      <c r="E1466" s="785">
        <v>45.2</v>
      </c>
      <c r="F1466" s="785">
        <v>53.5</v>
      </c>
      <c r="G1466" s="785">
        <v>54.5</v>
      </c>
      <c r="H1466" s="693">
        <v>60.3</v>
      </c>
      <c r="I1466" s="694">
        <v>68.1</v>
      </c>
      <c r="J1466" s="694">
        <v>63.5</v>
      </c>
      <c r="K1466" s="694">
        <v>60.2</v>
      </c>
      <c r="L1466" s="694">
        <v>35.5</v>
      </c>
      <c r="M1466" s="694">
        <v>76.1</v>
      </c>
      <c r="N1466" s="694">
        <v>66.8</v>
      </c>
      <c r="O1466" s="694">
        <v>74.4</v>
      </c>
      <c r="P1466" s="694">
        <v>85.2</v>
      </c>
      <c r="Q1466" s="694">
        <v>88.0</v>
      </c>
      <c r="R1466" s="787">
        <v>89.0</v>
      </c>
      <c r="S1466" s="500">
        <v>95.0</v>
      </c>
      <c r="T1466" s="790">
        <v>93.9</v>
      </c>
      <c r="U1466" s="791">
        <v>98.3</v>
      </c>
    </row>
    <row r="1467" ht="10.5" customHeight="1">
      <c r="A1467" s="1"/>
      <c r="B1467" s="792" t="s">
        <v>2</v>
      </c>
      <c r="C1467" s="10"/>
      <c r="D1467" s="785">
        <f t="shared" ref="D1467:R1467" si="67">SUM(D1446:D1466)</f>
        <v>1885.1</v>
      </c>
      <c r="E1467" s="785">
        <f t="shared" si="67"/>
        <v>1959.3</v>
      </c>
      <c r="F1467" s="785">
        <f t="shared" si="67"/>
        <v>1855.7</v>
      </c>
      <c r="G1467" s="785">
        <f t="shared" si="67"/>
        <v>1877.9</v>
      </c>
      <c r="H1467" s="794">
        <f t="shared" si="67"/>
        <v>2054.8</v>
      </c>
      <c r="I1467" s="794">
        <f t="shared" si="67"/>
        <v>2062.8</v>
      </c>
      <c r="J1467" s="794">
        <f t="shared" si="67"/>
        <v>2079.5</v>
      </c>
      <c r="K1467" s="794">
        <f t="shared" si="67"/>
        <v>2009.8</v>
      </c>
      <c r="L1467" s="794">
        <f t="shared" si="67"/>
        <v>2119.2</v>
      </c>
      <c r="M1467" s="794">
        <f t="shared" si="67"/>
        <v>1966</v>
      </c>
      <c r="N1467" s="794">
        <f t="shared" si="67"/>
        <v>2108.7</v>
      </c>
      <c r="O1467" s="794">
        <f t="shared" si="67"/>
        <v>2221.2</v>
      </c>
      <c r="P1467" s="794">
        <f t="shared" si="67"/>
        <v>2334.4</v>
      </c>
      <c r="Q1467" s="794">
        <f t="shared" si="67"/>
        <v>2290.3</v>
      </c>
      <c r="R1467" s="794">
        <f t="shared" si="67"/>
        <v>2318</v>
      </c>
      <c r="S1467" s="794">
        <v>2518.8</v>
      </c>
      <c r="T1467" s="790">
        <v>2303.0</v>
      </c>
      <c r="U1467" s="791">
        <v>2510.0</v>
      </c>
    </row>
    <row r="1468" ht="6.0" customHeight="1">
      <c r="A1468" s="1"/>
      <c r="B1468" s="154"/>
      <c r="C1468" s="154"/>
      <c r="D1468" s="285"/>
      <c r="E1468" s="285"/>
      <c r="F1468" s="285"/>
      <c r="G1468" s="285"/>
      <c r="H1468" s="294"/>
      <c r="I1468" s="294"/>
      <c r="J1468" s="294"/>
      <c r="K1468" s="294"/>
      <c r="L1468" s="294"/>
      <c r="M1468" s="294"/>
      <c r="N1468" s="294"/>
      <c r="O1468" s="294"/>
      <c r="P1468" s="294"/>
      <c r="Q1468" s="294"/>
      <c r="R1468" s="294"/>
      <c r="S1468" s="294"/>
      <c r="T1468" s="1"/>
      <c r="U1468" s="1"/>
    </row>
    <row r="1469" ht="10.5" customHeight="1">
      <c r="A1469" s="1"/>
      <c r="B1469" s="185" t="s">
        <v>1377</v>
      </c>
      <c r="C1469" s="185"/>
      <c r="D1469" s="185"/>
      <c r="E1469" s="474"/>
      <c r="F1469" s="474"/>
      <c r="G1469" s="1"/>
      <c r="H1469" s="1"/>
      <c r="I1469" s="1"/>
      <c r="J1469" s="1"/>
      <c r="K1469" s="1"/>
      <c r="L1469" s="1"/>
      <c r="M1469" s="1"/>
      <c r="N1469" s="1"/>
      <c r="O1469" s="1"/>
      <c r="P1469" s="1"/>
      <c r="Q1469" s="1"/>
      <c r="R1469" s="1"/>
      <c r="S1469" s="1"/>
      <c r="T1469" s="1"/>
      <c r="U1469" s="1"/>
    </row>
    <row r="1470" ht="10.5" customHeight="1">
      <c r="A1470" s="1"/>
      <c r="B1470" s="185" t="s">
        <v>1378</v>
      </c>
      <c r="C1470" s="185"/>
      <c r="D1470" s="185"/>
      <c r="E1470" s="474"/>
      <c r="F1470" s="474"/>
      <c r="G1470" s="1"/>
      <c r="H1470" s="1"/>
      <c r="I1470" s="1"/>
      <c r="J1470" s="1"/>
      <c r="K1470" s="1"/>
      <c r="L1470" s="1"/>
      <c r="M1470" s="1"/>
      <c r="N1470" s="1"/>
      <c r="O1470" s="1"/>
      <c r="P1470" s="1"/>
      <c r="Q1470" s="1"/>
      <c r="R1470" s="1"/>
      <c r="S1470" s="1"/>
      <c r="T1470" s="1"/>
      <c r="U1470" s="1"/>
    </row>
    <row r="1471" ht="10.5" customHeight="1">
      <c r="A1471" s="1"/>
      <c r="B1471" s="642" t="s">
        <v>1379</v>
      </c>
      <c r="C1471" s="185"/>
      <c r="D1471" s="703"/>
      <c r="E1471" s="474"/>
      <c r="F1471" s="474"/>
      <c r="G1471" s="1"/>
      <c r="H1471" s="1"/>
      <c r="I1471" s="1"/>
      <c r="J1471" s="1"/>
      <c r="K1471" s="1"/>
      <c r="L1471" s="1"/>
      <c r="M1471" s="1"/>
      <c r="N1471" s="1"/>
      <c r="O1471" s="1"/>
      <c r="P1471" s="1"/>
      <c r="Q1471" s="1"/>
      <c r="R1471" s="1"/>
      <c r="S1471" s="1"/>
      <c r="T1471" s="1"/>
      <c r="U1471" s="1"/>
    </row>
    <row r="1472" ht="10.5" customHeight="1">
      <c r="A1472" s="1"/>
      <c r="B1472" s="642" t="s">
        <v>1380</v>
      </c>
      <c r="C1472" s="185"/>
      <c r="D1472" s="185"/>
      <c r="E1472" s="185"/>
      <c r="F1472" s="185"/>
      <c r="G1472" s="1"/>
      <c r="H1472" s="1"/>
      <c r="I1472" s="1"/>
      <c r="J1472" s="1"/>
      <c r="K1472" s="1"/>
      <c r="L1472" s="1"/>
      <c r="M1472" s="1"/>
      <c r="N1472" s="1"/>
      <c r="O1472" s="1"/>
      <c r="P1472" s="1"/>
      <c r="Q1472" s="1"/>
      <c r="R1472" s="1"/>
      <c r="S1472" s="1"/>
      <c r="T1472" s="1"/>
      <c r="U1472" s="1"/>
    </row>
    <row r="1473" ht="10.5" customHeight="1">
      <c r="A1473" s="1"/>
      <c r="B1473" s="642" t="s">
        <v>1381</v>
      </c>
      <c r="G1473" s="1"/>
      <c r="H1473" s="1"/>
      <c r="I1473" s="1"/>
      <c r="J1473" s="1"/>
      <c r="K1473" s="1"/>
      <c r="L1473" s="1"/>
      <c r="M1473" s="1"/>
      <c r="N1473" s="1"/>
      <c r="O1473" s="1"/>
      <c r="P1473" s="1"/>
      <c r="Q1473" s="1"/>
      <c r="R1473" s="1"/>
      <c r="S1473" s="1"/>
      <c r="T1473" s="1"/>
      <c r="U1473" s="1"/>
    </row>
    <row r="1474" ht="10.5" customHeight="1">
      <c r="A1474" s="1"/>
      <c r="B1474" s="642" t="s">
        <v>1382</v>
      </c>
      <c r="E1474" s="185"/>
      <c r="F1474" s="185"/>
      <c r="G1474" s="1"/>
      <c r="H1474" s="1"/>
      <c r="I1474" s="1"/>
      <c r="J1474" s="1"/>
      <c r="K1474" s="1"/>
      <c r="L1474" s="1"/>
      <c r="M1474" s="1"/>
      <c r="N1474" s="1"/>
      <c r="O1474" s="1"/>
      <c r="P1474" s="1"/>
      <c r="Q1474" s="1"/>
      <c r="R1474" s="1"/>
      <c r="S1474" s="1"/>
      <c r="T1474" s="1"/>
      <c r="U1474" s="1"/>
    </row>
    <row r="1475" ht="10.5" customHeight="1">
      <c r="A1475" s="1"/>
      <c r="B1475" s="301"/>
      <c r="C1475" s="301"/>
      <c r="D1475" s="443"/>
      <c r="E1475" s="301"/>
      <c r="F1475" s="301"/>
      <c r="G1475" s="1"/>
      <c r="H1475" s="1"/>
      <c r="I1475" s="1"/>
      <c r="J1475" s="1"/>
      <c r="K1475" s="1"/>
      <c r="L1475" s="1"/>
      <c r="M1475" s="1"/>
      <c r="N1475" s="1"/>
      <c r="O1475" s="1"/>
      <c r="P1475" s="1"/>
      <c r="Q1475" s="1"/>
      <c r="R1475" s="1"/>
      <c r="S1475" s="1"/>
      <c r="T1475" s="1"/>
      <c r="U1475" s="1"/>
    </row>
    <row r="1476" ht="10.5" customHeight="1">
      <c r="A1476" s="1"/>
      <c r="B1476" s="301"/>
      <c r="C1476" s="301"/>
      <c r="D1476" s="443"/>
      <c r="E1476" s="301"/>
      <c r="F1476" s="301"/>
      <c r="G1476" s="1"/>
      <c r="H1476" s="1"/>
      <c r="I1476" s="1"/>
      <c r="J1476" s="1"/>
      <c r="K1476" s="1"/>
      <c r="L1476" s="1"/>
      <c r="M1476" s="1"/>
      <c r="N1476" s="1"/>
      <c r="O1476" s="1"/>
      <c r="P1476" s="1"/>
      <c r="Q1476" s="1"/>
      <c r="R1476" s="1"/>
      <c r="S1476" s="1"/>
      <c r="T1476" s="1"/>
      <c r="U1476" s="1"/>
    </row>
    <row r="1477" ht="10.5" customHeight="1">
      <c r="A1477" s="1"/>
      <c r="B1477" s="301"/>
      <c r="C1477" s="301"/>
      <c r="D1477" s="443"/>
      <c r="E1477" s="301"/>
      <c r="F1477" s="301"/>
      <c r="G1477" s="1"/>
      <c r="H1477" s="1"/>
      <c r="I1477" s="1"/>
      <c r="J1477" s="1"/>
      <c r="K1477" s="1"/>
      <c r="L1477" s="1"/>
      <c r="M1477" s="1"/>
      <c r="N1477" s="1"/>
      <c r="O1477" s="1"/>
      <c r="P1477" s="1"/>
      <c r="Q1477" s="1"/>
      <c r="R1477" s="1"/>
      <c r="S1477" s="1"/>
      <c r="T1477" s="1"/>
      <c r="U1477" s="1"/>
    </row>
    <row r="1478" ht="12.0" customHeight="1">
      <c r="A1478" s="1"/>
      <c r="B1478" s="111" t="s">
        <v>1384</v>
      </c>
      <c r="C1478" s="111"/>
      <c r="D1478" s="180"/>
      <c r="E1478" s="111"/>
      <c r="F1478" s="111"/>
      <c r="G1478" s="111"/>
      <c r="H1478" s="111"/>
      <c r="I1478" s="1"/>
      <c r="J1478" s="1"/>
      <c r="K1478" s="1"/>
      <c r="L1478" s="1"/>
      <c r="M1478" s="1"/>
      <c r="N1478" s="1"/>
      <c r="O1478" s="1"/>
      <c r="P1478" s="1"/>
      <c r="Q1478" s="1"/>
      <c r="R1478" s="1"/>
      <c r="S1478" s="1"/>
      <c r="T1478" s="1"/>
      <c r="U1478" s="1"/>
    </row>
    <row r="1479" ht="11.25" customHeight="1">
      <c r="A1479" s="1"/>
      <c r="B1479" s="112" t="s">
        <v>1327</v>
      </c>
      <c r="C1479" s="70"/>
      <c r="D1479" s="587">
        <v>2000.0</v>
      </c>
      <c r="E1479" s="587">
        <v>2001.0</v>
      </c>
      <c r="F1479" s="505">
        <v>2002.0</v>
      </c>
      <c r="G1479" s="505">
        <v>2003.0</v>
      </c>
      <c r="H1479" s="798">
        <v>2004.0</v>
      </c>
      <c r="I1479" s="765">
        <v>2005.0</v>
      </c>
      <c r="J1479" s="505">
        <v>2006.0</v>
      </c>
      <c r="K1479" s="505">
        <v>2007.0</v>
      </c>
      <c r="L1479" s="505">
        <v>2008.0</v>
      </c>
      <c r="M1479" s="765">
        <v>2009.0</v>
      </c>
      <c r="N1479" s="765">
        <v>2010.0</v>
      </c>
      <c r="O1479" s="766" t="s">
        <v>487</v>
      </c>
      <c r="P1479" s="766" t="s">
        <v>489</v>
      </c>
      <c r="Q1479" s="766" t="s">
        <v>55</v>
      </c>
      <c r="R1479" s="766" t="s">
        <v>57</v>
      </c>
      <c r="S1479" s="782" t="s">
        <v>58</v>
      </c>
      <c r="T1479" s="782" t="s">
        <v>59</v>
      </c>
      <c r="U1479" s="782" t="s">
        <v>1386</v>
      </c>
    </row>
    <row r="1480" ht="11.25" customHeight="1">
      <c r="A1480" s="1"/>
      <c r="B1480" s="118"/>
      <c r="C1480" s="94"/>
      <c r="D1480" s="770" t="s">
        <v>52</v>
      </c>
      <c r="E1480" s="9"/>
      <c r="F1480" s="9"/>
      <c r="G1480" s="9"/>
      <c r="H1480" s="9"/>
      <c r="I1480" s="9"/>
      <c r="J1480" s="9"/>
      <c r="K1480" s="9"/>
      <c r="L1480" s="9"/>
      <c r="M1480" s="9"/>
      <c r="N1480" s="9"/>
      <c r="O1480" s="9"/>
      <c r="P1480" s="9"/>
      <c r="Q1480" s="9"/>
      <c r="R1480" s="9"/>
      <c r="S1480" s="9"/>
      <c r="T1480" s="9"/>
      <c r="U1480" s="10"/>
    </row>
    <row r="1481" ht="10.5" customHeight="1">
      <c r="A1481" s="1"/>
      <c r="B1481" s="802" t="s">
        <v>1284</v>
      </c>
      <c r="C1481" s="70"/>
      <c r="D1481" s="169">
        <v>1202.0</v>
      </c>
      <c r="E1481" s="178">
        <v>1179.0</v>
      </c>
      <c r="F1481" s="178">
        <v>1890.0</v>
      </c>
      <c r="G1481" s="178">
        <v>1921.0</v>
      </c>
      <c r="H1481" s="133">
        <v>1499.0</v>
      </c>
      <c r="I1481" s="178">
        <v>1744.0</v>
      </c>
      <c r="J1481" s="178">
        <v>1688.0</v>
      </c>
      <c r="K1481" s="133">
        <v>2163.0</v>
      </c>
      <c r="L1481" s="569">
        <v>2076.0</v>
      </c>
      <c r="M1481" s="569">
        <v>3354.0</v>
      </c>
      <c r="N1481" s="178">
        <v>2598.0</v>
      </c>
      <c r="O1481" s="178">
        <v>2591.0</v>
      </c>
      <c r="P1481" s="569">
        <v>2645.0</v>
      </c>
      <c r="Q1481" s="569">
        <v>3379.0</v>
      </c>
      <c r="R1481" s="569">
        <v>3428.0</v>
      </c>
      <c r="S1481" s="804">
        <v>2855.0</v>
      </c>
      <c r="T1481" s="807">
        <v>4695.0</v>
      </c>
      <c r="U1481" s="807">
        <v>3445.0</v>
      </c>
    </row>
    <row r="1482" ht="10.5" customHeight="1">
      <c r="A1482" s="1"/>
      <c r="B1482" s="237" t="s">
        <v>1285</v>
      </c>
      <c r="C1482" s="87"/>
      <c r="D1482" s="169">
        <v>1914.0</v>
      </c>
      <c r="E1482" s="178">
        <v>1959.0</v>
      </c>
      <c r="F1482" s="178">
        <v>2098.0</v>
      </c>
      <c r="G1482" s="178">
        <v>2736.0</v>
      </c>
      <c r="H1482" s="178">
        <v>2464.0</v>
      </c>
      <c r="I1482" s="178">
        <v>2501.0</v>
      </c>
      <c r="J1482" s="178">
        <v>2901.0</v>
      </c>
      <c r="K1482" s="133">
        <v>3448.0</v>
      </c>
      <c r="L1482" s="178">
        <v>3562.0</v>
      </c>
      <c r="M1482" s="178">
        <v>4257.0</v>
      </c>
      <c r="N1482" s="178">
        <v>4233.0</v>
      </c>
      <c r="O1482" s="178">
        <v>4339.0</v>
      </c>
      <c r="P1482" s="178">
        <v>4407.0</v>
      </c>
      <c r="Q1482" s="178">
        <v>4847.0</v>
      </c>
      <c r="R1482" s="178">
        <v>5711.0</v>
      </c>
      <c r="S1482" s="804">
        <v>6003.0</v>
      </c>
      <c r="T1482" s="807">
        <v>5913.0</v>
      </c>
      <c r="U1482" s="807">
        <v>6221.0</v>
      </c>
    </row>
    <row r="1483" ht="10.5" customHeight="1">
      <c r="A1483" s="1"/>
      <c r="B1483" s="237" t="s">
        <v>1336</v>
      </c>
      <c r="C1483" s="87"/>
      <c r="D1483" s="169">
        <v>413.0</v>
      </c>
      <c r="E1483" s="178">
        <v>495.0</v>
      </c>
      <c r="F1483" s="178">
        <v>617.0</v>
      </c>
      <c r="G1483" s="178">
        <v>748.0</v>
      </c>
      <c r="H1483" s="178">
        <v>559.0</v>
      </c>
      <c r="I1483" s="178">
        <v>688.0</v>
      </c>
      <c r="J1483" s="178">
        <v>829.0</v>
      </c>
      <c r="K1483" s="133">
        <v>1303.0</v>
      </c>
      <c r="L1483" s="178">
        <v>1080.0</v>
      </c>
      <c r="M1483" s="178">
        <v>1624.0</v>
      </c>
      <c r="N1483" s="178">
        <v>1405.0</v>
      </c>
      <c r="O1483" s="178">
        <v>1516.0</v>
      </c>
      <c r="P1483" s="178">
        <v>1772.0</v>
      </c>
      <c r="Q1483" s="178">
        <v>2109.0</v>
      </c>
      <c r="R1483" s="178">
        <v>2375.0</v>
      </c>
      <c r="S1483" s="804">
        <v>1967.0</v>
      </c>
      <c r="T1483" s="807">
        <v>2321.0</v>
      </c>
      <c r="U1483" s="807">
        <v>2501.0</v>
      </c>
    </row>
    <row r="1484" ht="10.5" customHeight="1">
      <c r="A1484" s="1"/>
      <c r="B1484" s="237" t="s">
        <v>1288</v>
      </c>
      <c r="C1484" s="87"/>
      <c r="D1484" s="169">
        <v>1700.0</v>
      </c>
      <c r="E1484" s="178">
        <v>1192.0</v>
      </c>
      <c r="F1484" s="178">
        <v>1660.0</v>
      </c>
      <c r="G1484" s="178">
        <v>1641.0</v>
      </c>
      <c r="H1484" s="178">
        <v>1229.0</v>
      </c>
      <c r="I1484" s="178">
        <v>1330.0</v>
      </c>
      <c r="J1484" s="178">
        <v>1490.0</v>
      </c>
      <c r="K1484" s="133">
        <v>2938.0</v>
      </c>
      <c r="L1484" s="178">
        <v>2167.0</v>
      </c>
      <c r="M1484" s="178">
        <v>3182.0</v>
      </c>
      <c r="N1484" s="178">
        <v>2573.0</v>
      </c>
      <c r="O1484" s="178">
        <v>2221.0</v>
      </c>
      <c r="P1484" s="178">
        <v>2587.0</v>
      </c>
      <c r="Q1484" s="178">
        <v>3433.0</v>
      </c>
      <c r="R1484" s="178">
        <v>3372.0</v>
      </c>
      <c r="S1484" s="804">
        <v>2801.0</v>
      </c>
      <c r="T1484" s="807">
        <v>4502.0</v>
      </c>
      <c r="U1484" s="807">
        <v>3231.0</v>
      </c>
    </row>
    <row r="1485" ht="10.5" customHeight="1">
      <c r="A1485" s="1"/>
      <c r="B1485" s="237" t="s">
        <v>1286</v>
      </c>
      <c r="C1485" s="87"/>
      <c r="D1485" s="169">
        <v>722.0</v>
      </c>
      <c r="E1485" s="178">
        <v>564.0</v>
      </c>
      <c r="F1485" s="178">
        <v>939.0</v>
      </c>
      <c r="G1485" s="178">
        <v>827.0</v>
      </c>
      <c r="H1485" s="178">
        <v>798.0</v>
      </c>
      <c r="I1485" s="178">
        <v>826.0</v>
      </c>
      <c r="J1485" s="178">
        <v>1074.0</v>
      </c>
      <c r="K1485" s="133">
        <v>1222.0</v>
      </c>
      <c r="L1485" s="178">
        <v>1205.0</v>
      </c>
      <c r="M1485" s="178">
        <v>1470.0</v>
      </c>
      <c r="N1485" s="178">
        <v>1737.0</v>
      </c>
      <c r="O1485" s="178">
        <v>1675.0</v>
      </c>
      <c r="P1485" s="178">
        <v>1617.0</v>
      </c>
      <c r="Q1485" s="178">
        <v>2156.0</v>
      </c>
      <c r="R1485" s="178">
        <v>2127.0</v>
      </c>
      <c r="S1485" s="804">
        <v>1805.0</v>
      </c>
      <c r="T1485" s="807">
        <v>2562.0</v>
      </c>
      <c r="U1485" s="807">
        <v>2540.0</v>
      </c>
    </row>
    <row r="1486" ht="10.5" customHeight="1">
      <c r="A1486" s="1"/>
      <c r="B1486" s="237" t="s">
        <v>1294</v>
      </c>
      <c r="C1486" s="87"/>
      <c r="D1486" s="169">
        <v>1070.0</v>
      </c>
      <c r="E1486" s="178">
        <v>1081.0</v>
      </c>
      <c r="F1486" s="178">
        <v>1291.0</v>
      </c>
      <c r="G1486" s="178">
        <v>1349.0</v>
      </c>
      <c r="H1486" s="178">
        <v>1176.0</v>
      </c>
      <c r="I1486" s="178">
        <v>1446.0</v>
      </c>
      <c r="J1486" s="178">
        <v>1749.0</v>
      </c>
      <c r="K1486" s="133">
        <v>2176.0</v>
      </c>
      <c r="L1486" s="178">
        <v>1962.0</v>
      </c>
      <c r="M1486" s="178">
        <v>2728.0</v>
      </c>
      <c r="N1486" s="178">
        <v>3251.0</v>
      </c>
      <c r="O1486" s="178">
        <v>2815.0</v>
      </c>
      <c r="P1486" s="178">
        <v>2633.0</v>
      </c>
      <c r="Q1486" s="178">
        <v>3154.0</v>
      </c>
      <c r="R1486" s="178">
        <v>3613.0</v>
      </c>
      <c r="S1486" s="804">
        <v>2950.0</v>
      </c>
      <c r="T1486" s="807">
        <v>3690.0</v>
      </c>
      <c r="U1486" s="807">
        <v>3604.0</v>
      </c>
    </row>
    <row r="1487" ht="10.5" customHeight="1">
      <c r="A1487" s="1"/>
      <c r="B1487" s="237" t="s">
        <v>1337</v>
      </c>
      <c r="C1487" s="87"/>
      <c r="D1487" s="169">
        <v>1161.0</v>
      </c>
      <c r="E1487" s="178">
        <v>1159.0</v>
      </c>
      <c r="F1487" s="178">
        <v>1403.0</v>
      </c>
      <c r="G1487" s="178">
        <v>1455.0</v>
      </c>
      <c r="H1487" s="178">
        <v>1298.0</v>
      </c>
      <c r="I1487" s="178">
        <v>1446.0</v>
      </c>
      <c r="J1487" s="178">
        <v>1580.0</v>
      </c>
      <c r="K1487" s="133">
        <v>1977.0</v>
      </c>
      <c r="L1487" s="178">
        <v>2293.0</v>
      </c>
      <c r="M1487" s="178">
        <v>2051.0</v>
      </c>
      <c r="N1487" s="178">
        <v>2719.0</v>
      </c>
      <c r="O1487" s="178">
        <v>2615.0</v>
      </c>
      <c r="P1487" s="178">
        <v>2702.0</v>
      </c>
      <c r="Q1487" s="178">
        <v>2666.0</v>
      </c>
      <c r="R1487" s="178">
        <v>3247.0</v>
      </c>
      <c r="S1487" s="804">
        <v>3276.0</v>
      </c>
      <c r="T1487" s="807">
        <v>3311.0</v>
      </c>
      <c r="U1487" s="807">
        <v>3864.0</v>
      </c>
    </row>
    <row r="1488" ht="10.5" customHeight="1">
      <c r="A1488" s="1"/>
      <c r="B1488" s="237" t="s">
        <v>1289</v>
      </c>
      <c r="C1488" s="87"/>
      <c r="D1488" s="169">
        <v>750.0</v>
      </c>
      <c r="E1488" s="178">
        <v>725.0</v>
      </c>
      <c r="F1488" s="178">
        <v>1109.0</v>
      </c>
      <c r="G1488" s="178">
        <v>1389.0</v>
      </c>
      <c r="H1488" s="178">
        <v>1129.0</v>
      </c>
      <c r="I1488" s="178">
        <v>1184.0</v>
      </c>
      <c r="J1488" s="178">
        <v>1769.0</v>
      </c>
      <c r="K1488" s="133">
        <v>2100.0</v>
      </c>
      <c r="L1488" s="178">
        <v>2325.0</v>
      </c>
      <c r="M1488" s="178">
        <v>2330.0</v>
      </c>
      <c r="N1488" s="178">
        <v>1977.0</v>
      </c>
      <c r="O1488" s="178">
        <v>2995.0</v>
      </c>
      <c r="P1488" s="178">
        <v>3636.0</v>
      </c>
      <c r="Q1488" s="178">
        <v>2798.0</v>
      </c>
      <c r="R1488" s="178">
        <v>3857.0</v>
      </c>
      <c r="S1488" s="804">
        <v>3691.0</v>
      </c>
      <c r="T1488" s="807">
        <v>4872.0</v>
      </c>
      <c r="U1488" s="807">
        <v>3938.0</v>
      </c>
    </row>
    <row r="1489" ht="10.5" customHeight="1">
      <c r="A1489" s="1"/>
      <c r="B1489" s="237" t="s">
        <v>1292</v>
      </c>
      <c r="C1489" s="87"/>
      <c r="D1489" s="169">
        <v>845.0</v>
      </c>
      <c r="E1489" s="178">
        <v>980.0</v>
      </c>
      <c r="F1489" s="178">
        <v>1144.0</v>
      </c>
      <c r="G1489" s="178">
        <v>1368.0</v>
      </c>
      <c r="H1489" s="178">
        <v>1383.0</v>
      </c>
      <c r="I1489" s="178">
        <v>1667.0</v>
      </c>
      <c r="J1489" s="178">
        <v>2083.0</v>
      </c>
      <c r="K1489" s="133">
        <v>2713.0</v>
      </c>
      <c r="L1489" s="178">
        <v>2900.0</v>
      </c>
      <c r="M1489" s="178">
        <v>3616.0</v>
      </c>
      <c r="N1489" s="178">
        <v>3777.0</v>
      </c>
      <c r="O1489" s="178">
        <v>4145.0</v>
      </c>
      <c r="P1489" s="178">
        <v>4960.0</v>
      </c>
      <c r="Q1489" s="178">
        <v>5066.0</v>
      </c>
      <c r="R1489" s="178">
        <v>7712.0</v>
      </c>
      <c r="S1489" s="804">
        <v>7213.0</v>
      </c>
      <c r="T1489" s="807">
        <v>7920.0</v>
      </c>
      <c r="U1489" s="807">
        <v>8250.0</v>
      </c>
    </row>
    <row r="1490" ht="10.5" customHeight="1">
      <c r="A1490" s="342">
        <v>57.0</v>
      </c>
      <c r="B1490" s="237" t="s">
        <v>1295</v>
      </c>
      <c r="C1490" s="87"/>
      <c r="D1490" s="169">
        <v>2237.0</v>
      </c>
      <c r="E1490" s="178">
        <v>2407.0</v>
      </c>
      <c r="F1490" s="178">
        <v>2739.0</v>
      </c>
      <c r="G1490" s="178">
        <v>3516.0</v>
      </c>
      <c r="H1490" s="178">
        <v>3410.0</v>
      </c>
      <c r="I1490" s="178">
        <v>3679.0</v>
      </c>
      <c r="J1490" s="178">
        <v>4317.0</v>
      </c>
      <c r="K1490" s="133">
        <v>5023.0</v>
      </c>
      <c r="L1490" s="178">
        <v>6230.0</v>
      </c>
      <c r="M1490" s="178">
        <v>5681.0</v>
      </c>
      <c r="N1490" s="178">
        <v>5634.0</v>
      </c>
      <c r="O1490" s="178">
        <v>6572.0</v>
      </c>
      <c r="P1490" s="178">
        <v>6815.0</v>
      </c>
      <c r="Q1490" s="178">
        <v>7263.0</v>
      </c>
      <c r="R1490" s="178">
        <v>8424.0</v>
      </c>
      <c r="S1490" s="804">
        <v>8000.0</v>
      </c>
      <c r="T1490" s="807">
        <v>9205.0</v>
      </c>
      <c r="U1490" s="807">
        <v>9121.0</v>
      </c>
    </row>
    <row r="1491" ht="10.5" customHeight="1">
      <c r="A1491" s="87"/>
      <c r="B1491" s="237" t="s">
        <v>1340</v>
      </c>
      <c r="C1491" s="87"/>
      <c r="D1491" s="169">
        <v>630.0</v>
      </c>
      <c r="E1491" s="178">
        <v>672.0</v>
      </c>
      <c r="F1491" s="178">
        <v>948.0</v>
      </c>
      <c r="G1491" s="178">
        <v>852.0</v>
      </c>
      <c r="H1491" s="178">
        <v>858.0</v>
      </c>
      <c r="I1491" s="178">
        <v>822.0</v>
      </c>
      <c r="J1491" s="178">
        <v>346.0</v>
      </c>
      <c r="K1491" s="133">
        <v>1221.0</v>
      </c>
      <c r="L1491" s="178">
        <v>1456.0</v>
      </c>
      <c r="M1491" s="178">
        <v>1646.0</v>
      </c>
      <c r="N1491" s="178">
        <v>1696.0</v>
      </c>
      <c r="O1491" s="178">
        <v>1880.0</v>
      </c>
      <c r="P1491" s="178">
        <v>1844.0</v>
      </c>
      <c r="Q1491" s="178">
        <v>1954.0</v>
      </c>
      <c r="R1491" s="178">
        <v>2283.0</v>
      </c>
      <c r="S1491" s="804">
        <v>1917.0</v>
      </c>
      <c r="T1491" s="807">
        <v>2625.0</v>
      </c>
      <c r="U1491" s="807">
        <v>2418.0</v>
      </c>
    </row>
    <row r="1492" ht="10.5" customHeight="1">
      <c r="A1492" s="1"/>
      <c r="B1492" s="237" t="s">
        <v>1291</v>
      </c>
      <c r="C1492" s="87"/>
      <c r="D1492" s="169">
        <v>941.0</v>
      </c>
      <c r="E1492" s="178">
        <v>874.0</v>
      </c>
      <c r="F1492" s="178">
        <v>1250.0</v>
      </c>
      <c r="G1492" s="178">
        <v>1597.0</v>
      </c>
      <c r="H1492" s="178">
        <v>1343.0</v>
      </c>
      <c r="I1492" s="178">
        <v>1339.0</v>
      </c>
      <c r="J1492" s="178">
        <v>1795.0</v>
      </c>
      <c r="K1492" s="133">
        <v>1992.0</v>
      </c>
      <c r="L1492" s="178">
        <v>2221.0</v>
      </c>
      <c r="M1492" s="178">
        <v>2109.0</v>
      </c>
      <c r="N1492" s="178">
        <v>2763.0</v>
      </c>
      <c r="O1492" s="178">
        <v>2821.0</v>
      </c>
      <c r="P1492" s="178">
        <v>2365.0</v>
      </c>
      <c r="Q1492" s="178">
        <v>3858.0</v>
      </c>
      <c r="R1492" s="178">
        <v>4325.0</v>
      </c>
      <c r="S1492" s="804">
        <v>3048.0</v>
      </c>
      <c r="T1492" s="807">
        <v>4120.0</v>
      </c>
      <c r="U1492" s="807">
        <v>4152.0</v>
      </c>
    </row>
    <row r="1493" ht="10.5" customHeight="1">
      <c r="A1493" s="1"/>
      <c r="B1493" s="237" t="s">
        <v>1344</v>
      </c>
      <c r="C1493" s="87"/>
      <c r="D1493" s="169">
        <v>2855.0</v>
      </c>
      <c r="E1493" s="178">
        <v>3197.0</v>
      </c>
      <c r="F1493" s="178">
        <v>3387.0</v>
      </c>
      <c r="G1493" s="178">
        <v>3965.0</v>
      </c>
      <c r="H1493" s="178">
        <v>3578.0</v>
      </c>
      <c r="I1493" s="178">
        <v>4547.0</v>
      </c>
      <c r="J1493" s="178">
        <v>4777.0</v>
      </c>
      <c r="K1493" s="133">
        <v>5406.0</v>
      </c>
      <c r="L1493" s="178">
        <v>6016.0</v>
      </c>
      <c r="M1493" s="178">
        <v>5913.0</v>
      </c>
      <c r="N1493" s="178">
        <v>6666.0</v>
      </c>
      <c r="O1493" s="178">
        <v>5862.0</v>
      </c>
      <c r="P1493" s="178">
        <v>7337.0</v>
      </c>
      <c r="Q1493" s="178">
        <v>7320.0</v>
      </c>
      <c r="R1493" s="178">
        <v>8664.0</v>
      </c>
      <c r="S1493" s="804">
        <v>8351.0</v>
      </c>
      <c r="T1493" s="807">
        <v>8307.0</v>
      </c>
      <c r="U1493" s="807">
        <v>8716.0</v>
      </c>
    </row>
    <row r="1494" ht="10.5" customHeight="1">
      <c r="A1494" s="1"/>
      <c r="B1494" s="237" t="s">
        <v>1346</v>
      </c>
      <c r="C1494" s="87"/>
      <c r="D1494" s="169">
        <v>1247.0</v>
      </c>
      <c r="E1494" s="178">
        <v>1408.0</v>
      </c>
      <c r="F1494" s="178">
        <v>1400.0</v>
      </c>
      <c r="G1494" s="178">
        <v>1977.0</v>
      </c>
      <c r="H1494" s="178">
        <v>2175.0</v>
      </c>
      <c r="I1494" s="178">
        <v>1789.0</v>
      </c>
      <c r="J1494" s="178">
        <v>2538.0</v>
      </c>
      <c r="K1494" s="133">
        <v>2922.0</v>
      </c>
      <c r="L1494" s="178">
        <v>2919.0</v>
      </c>
      <c r="M1494" s="178">
        <v>3338.0</v>
      </c>
      <c r="N1494" s="178">
        <v>3694.0</v>
      </c>
      <c r="O1494" s="178">
        <v>4263.0</v>
      </c>
      <c r="P1494" s="178">
        <v>4828.0</v>
      </c>
      <c r="Q1494" s="178">
        <v>4573.0</v>
      </c>
      <c r="R1494" s="178">
        <v>5299.0</v>
      </c>
      <c r="S1494" s="804">
        <v>5646.0</v>
      </c>
      <c r="T1494" s="807">
        <v>6457.0</v>
      </c>
      <c r="U1494" s="807">
        <v>6514.0</v>
      </c>
    </row>
    <row r="1495" ht="10.5" customHeight="1">
      <c r="A1495" s="1"/>
      <c r="B1495" s="237" t="s">
        <v>1290</v>
      </c>
      <c r="C1495" s="87"/>
      <c r="D1495" s="169">
        <v>3637.0</v>
      </c>
      <c r="E1495" s="178">
        <v>5156.0</v>
      </c>
      <c r="F1495" s="178">
        <v>5326.0</v>
      </c>
      <c r="G1495" s="178">
        <v>7632.0</v>
      </c>
      <c r="H1495" s="178">
        <v>7316.0</v>
      </c>
      <c r="I1495" s="178">
        <v>7660.0</v>
      </c>
      <c r="J1495" s="178">
        <v>11523.0</v>
      </c>
      <c r="K1495" s="133">
        <v>12572.0</v>
      </c>
      <c r="L1495" s="178">
        <v>13617.0</v>
      </c>
      <c r="M1495" s="178">
        <v>13687.0</v>
      </c>
      <c r="N1495" s="178">
        <v>17960.0</v>
      </c>
      <c r="O1495" s="178">
        <v>21035.0</v>
      </c>
      <c r="P1495" s="178">
        <v>27516.0</v>
      </c>
      <c r="Q1495" s="178">
        <v>23923.0</v>
      </c>
      <c r="R1495" s="178">
        <v>32757.0</v>
      </c>
      <c r="S1495" s="804">
        <v>35201.0</v>
      </c>
      <c r="T1495" s="807">
        <v>37242.0</v>
      </c>
      <c r="U1495" s="807">
        <v>35527.0</v>
      </c>
    </row>
    <row r="1496" ht="10.5" customHeight="1">
      <c r="A1496" s="1"/>
      <c r="B1496" s="237" t="s">
        <v>1349</v>
      </c>
      <c r="C1496" s="87"/>
      <c r="D1496" s="169"/>
      <c r="E1496" s="178"/>
      <c r="F1496" s="178"/>
      <c r="G1496" s="178"/>
      <c r="H1496" s="178"/>
      <c r="I1496" s="178"/>
      <c r="J1496" s="178"/>
      <c r="K1496" s="133"/>
      <c r="L1496" s="178"/>
      <c r="M1496" s="178"/>
      <c r="N1496" s="178"/>
      <c r="O1496" s="178"/>
      <c r="P1496" s="178"/>
      <c r="Q1496" s="178"/>
      <c r="R1496" s="178"/>
      <c r="S1496" s="804"/>
      <c r="T1496" s="807"/>
      <c r="U1496" s="807"/>
    </row>
    <row r="1497" ht="10.5" customHeight="1">
      <c r="A1497" s="1"/>
      <c r="B1497" s="237" t="s">
        <v>1351</v>
      </c>
      <c r="C1497" s="87"/>
      <c r="D1497" s="169">
        <v>2921.0</v>
      </c>
      <c r="E1497" s="178">
        <v>3682.0</v>
      </c>
      <c r="F1497" s="178">
        <v>5077.0</v>
      </c>
      <c r="G1497" s="178">
        <v>6283.0</v>
      </c>
      <c r="H1497" s="178">
        <v>6201.0</v>
      </c>
      <c r="I1497" s="178">
        <v>5038.0</v>
      </c>
      <c r="J1497" s="178">
        <v>6347.0</v>
      </c>
      <c r="K1497" s="133">
        <v>6872.0</v>
      </c>
      <c r="L1497" s="178">
        <v>6936.0</v>
      </c>
      <c r="M1497" s="178">
        <v>8076.0</v>
      </c>
      <c r="N1497" s="178">
        <v>8260.0</v>
      </c>
      <c r="O1497" s="178">
        <v>9471.0</v>
      </c>
      <c r="P1497" s="178">
        <v>11409.0</v>
      </c>
      <c r="Q1497" s="178">
        <v>8344.0</v>
      </c>
      <c r="R1497" s="178">
        <v>12180.0</v>
      </c>
      <c r="S1497" s="804">
        <v>13701.0</v>
      </c>
      <c r="T1497" s="807">
        <v>16639.0</v>
      </c>
      <c r="U1497" s="807">
        <v>15427.0</v>
      </c>
    </row>
    <row r="1498" ht="10.5" customHeight="1">
      <c r="A1498" s="1"/>
      <c r="B1498" s="237" t="s">
        <v>1353</v>
      </c>
      <c r="C1498" s="87"/>
      <c r="D1498" s="169">
        <v>4010.0</v>
      </c>
      <c r="E1498" s="178">
        <v>4108.0</v>
      </c>
      <c r="F1498" s="178">
        <v>5137.0</v>
      </c>
      <c r="G1498" s="178">
        <v>4783.0</v>
      </c>
      <c r="H1498" s="178">
        <v>4595.0</v>
      </c>
      <c r="I1498" s="178">
        <v>2609.0</v>
      </c>
      <c r="J1498" s="178">
        <v>5945.0</v>
      </c>
      <c r="K1498" s="133">
        <v>6050.0</v>
      </c>
      <c r="L1498" s="178">
        <v>7659.0</v>
      </c>
      <c r="M1498" s="178">
        <v>6363.0</v>
      </c>
      <c r="N1498" s="178">
        <v>7345.0</v>
      </c>
      <c r="O1498" s="178">
        <v>8575.0</v>
      </c>
      <c r="P1498" s="178">
        <v>7648.0</v>
      </c>
      <c r="Q1498" s="178">
        <v>9085.0</v>
      </c>
      <c r="R1498" s="178">
        <v>9766.0</v>
      </c>
      <c r="S1498" s="804">
        <v>10056.0</v>
      </c>
      <c r="T1498" s="807">
        <v>10639.0</v>
      </c>
      <c r="U1498" s="807">
        <v>11878.0</v>
      </c>
    </row>
    <row r="1499" ht="10.5" customHeight="1">
      <c r="A1499" s="1"/>
      <c r="B1499" s="237" t="s">
        <v>1355</v>
      </c>
      <c r="C1499" s="87"/>
      <c r="D1499" s="169">
        <v>1148.0</v>
      </c>
      <c r="E1499" s="178">
        <v>1189.0</v>
      </c>
      <c r="F1499" s="178">
        <v>1304.0</v>
      </c>
      <c r="G1499" s="178">
        <v>1629.0</v>
      </c>
      <c r="H1499" s="178">
        <v>1647.0</v>
      </c>
      <c r="I1499" s="178">
        <v>1728.0</v>
      </c>
      <c r="J1499" s="178">
        <v>2172.0</v>
      </c>
      <c r="K1499" s="133">
        <v>2746.0</v>
      </c>
      <c r="L1499" s="178">
        <v>2854.0</v>
      </c>
      <c r="M1499" s="178">
        <v>2781.0</v>
      </c>
      <c r="N1499" s="178">
        <v>3483.0</v>
      </c>
      <c r="O1499" s="178">
        <v>3651.0</v>
      </c>
      <c r="P1499" s="178">
        <v>2728.0</v>
      </c>
      <c r="Q1499" s="178">
        <v>3527.0</v>
      </c>
      <c r="R1499" s="178">
        <v>4014.0</v>
      </c>
      <c r="S1499" s="804">
        <v>3457.0</v>
      </c>
      <c r="T1499" s="807">
        <v>4125.0</v>
      </c>
      <c r="U1499" s="807">
        <v>4506.0</v>
      </c>
    </row>
    <row r="1500" ht="10.5" customHeight="1">
      <c r="A1500" s="1"/>
      <c r="B1500" s="783" t="s">
        <v>1356</v>
      </c>
      <c r="C1500" s="94"/>
      <c r="D1500" s="169">
        <v>992.0</v>
      </c>
      <c r="E1500" s="178">
        <v>956.0</v>
      </c>
      <c r="F1500" s="178">
        <v>1283.0</v>
      </c>
      <c r="G1500" s="178">
        <v>1247.0</v>
      </c>
      <c r="H1500" s="178">
        <v>1220.0</v>
      </c>
      <c r="I1500" s="178">
        <v>1123.0</v>
      </c>
      <c r="J1500" s="178">
        <v>1413.0</v>
      </c>
      <c r="K1500" s="184">
        <v>1750.0</v>
      </c>
      <c r="L1500" s="511">
        <v>1813.0</v>
      </c>
      <c r="M1500" s="511">
        <v>2266.0</v>
      </c>
      <c r="N1500" s="511">
        <v>2078.0</v>
      </c>
      <c r="O1500" s="511">
        <v>2420.0</v>
      </c>
      <c r="P1500" s="511">
        <v>2408.0</v>
      </c>
      <c r="Q1500" s="511">
        <v>2871.0</v>
      </c>
      <c r="R1500" s="511">
        <v>3227.0</v>
      </c>
      <c r="S1500" s="809">
        <v>2593.0</v>
      </c>
      <c r="T1500" s="810">
        <v>3741.0</v>
      </c>
      <c r="U1500" s="810">
        <v>3506.0</v>
      </c>
    </row>
    <row r="1501" ht="10.5" customHeight="1">
      <c r="A1501" s="1"/>
      <c r="B1501" s="792" t="s">
        <v>1401</v>
      </c>
      <c r="C1501" s="10"/>
      <c r="D1501" s="811">
        <v>1310.0</v>
      </c>
      <c r="E1501" s="811">
        <v>1255.0</v>
      </c>
      <c r="F1501" s="811">
        <v>1738.0</v>
      </c>
      <c r="G1501" s="811">
        <v>1876.0</v>
      </c>
      <c r="H1501" s="811">
        <v>1564.0</v>
      </c>
      <c r="I1501" s="812">
        <v>1743.0</v>
      </c>
      <c r="J1501" s="812">
        <v>1899.0</v>
      </c>
      <c r="K1501" s="260">
        <v>2496.0</v>
      </c>
      <c r="L1501" s="813">
        <v>2391.0</v>
      </c>
      <c r="M1501" s="813">
        <v>3332.0</v>
      </c>
      <c r="N1501" s="260">
        <v>2945.0</v>
      </c>
      <c r="O1501" s="260">
        <v>2944.0</v>
      </c>
      <c r="P1501" s="260">
        <v>3047.0</v>
      </c>
      <c r="Q1501" s="260">
        <v>3683.0</v>
      </c>
      <c r="R1501" s="260">
        <v>3981.0</v>
      </c>
      <c r="S1501" s="809">
        <v>3504.0</v>
      </c>
      <c r="T1501" s="810">
        <v>4874.0</v>
      </c>
      <c r="U1501" s="810">
        <v>4120.0</v>
      </c>
    </row>
    <row r="1502" ht="6.0" customHeight="1">
      <c r="A1502" s="1"/>
      <c r="B1502" s="154"/>
      <c r="C1502" s="154"/>
      <c r="D1502" s="267"/>
      <c r="E1502" s="267"/>
      <c r="F1502" s="267"/>
      <c r="G1502" s="267"/>
      <c r="H1502" s="267"/>
      <c r="I1502" s="267"/>
      <c r="J1502" s="267"/>
      <c r="K1502" s="267"/>
      <c r="L1502" s="267"/>
      <c r="M1502" s="267"/>
      <c r="N1502" s="267"/>
      <c r="O1502" s="267"/>
      <c r="P1502" s="267"/>
      <c r="Q1502" s="267"/>
      <c r="R1502" s="267"/>
      <c r="S1502" s="814"/>
      <c r="T1502" s="1"/>
      <c r="U1502" s="1"/>
    </row>
    <row r="1503" ht="10.5" customHeight="1">
      <c r="A1503" s="1"/>
      <c r="B1503" s="185" t="s">
        <v>1402</v>
      </c>
      <c r="C1503" s="185"/>
      <c r="D1503" s="185"/>
      <c r="E1503" s="474"/>
      <c r="F1503" s="474"/>
      <c r="G1503" s="15"/>
      <c r="H1503" s="15"/>
      <c r="I1503" s="15"/>
      <c r="J1503" s="15"/>
      <c r="K1503" s="15"/>
      <c r="L1503" s="15"/>
      <c r="M1503" s="15"/>
      <c r="N1503" s="15"/>
      <c r="O1503" s="15"/>
      <c r="P1503" s="15"/>
      <c r="Q1503" s="420"/>
      <c r="R1503" s="1"/>
      <c r="S1503" s="1"/>
      <c r="T1503" s="1"/>
      <c r="U1503" s="1"/>
    </row>
    <row r="1504" ht="10.5" customHeight="1">
      <c r="A1504" s="1"/>
      <c r="B1504" s="185" t="s">
        <v>1378</v>
      </c>
      <c r="C1504" s="185"/>
      <c r="D1504" s="185"/>
      <c r="E1504" s="474"/>
      <c r="F1504" s="474"/>
      <c r="G1504" s="15"/>
      <c r="H1504" s="15"/>
      <c r="I1504" s="15"/>
      <c r="J1504" s="15"/>
      <c r="K1504" s="15"/>
      <c r="L1504" s="15"/>
      <c r="M1504" s="15"/>
      <c r="N1504" s="15"/>
      <c r="O1504" s="15"/>
      <c r="P1504" s="15"/>
      <c r="Q1504" s="1"/>
      <c r="R1504" s="1"/>
      <c r="S1504" s="1"/>
      <c r="T1504" s="1"/>
      <c r="U1504" s="1"/>
    </row>
    <row r="1505" ht="10.5" customHeight="1">
      <c r="A1505" s="1"/>
      <c r="B1505" s="642" t="s">
        <v>1379</v>
      </c>
      <c r="C1505" s="185"/>
      <c r="D1505" s="703"/>
      <c r="E1505" s="474"/>
      <c r="F1505" s="474"/>
      <c r="G1505" s="15"/>
      <c r="H1505" s="15"/>
      <c r="I1505" s="15"/>
      <c r="J1505" s="15"/>
      <c r="K1505" s="15"/>
      <c r="L1505" s="15"/>
      <c r="M1505" s="15"/>
      <c r="N1505" s="15"/>
      <c r="O1505" s="15"/>
      <c r="P1505" s="15"/>
      <c r="Q1505" s="1"/>
      <c r="R1505" s="1"/>
      <c r="S1505" s="1"/>
      <c r="T1505" s="1"/>
      <c r="U1505" s="1"/>
    </row>
    <row r="1506" ht="10.5" customHeight="1">
      <c r="A1506" s="1"/>
      <c r="B1506" s="642" t="s">
        <v>1380</v>
      </c>
      <c r="C1506" s="185"/>
      <c r="D1506" s="185"/>
      <c r="E1506" s="185"/>
      <c r="F1506" s="185"/>
      <c r="G1506" s="1"/>
      <c r="H1506" s="1"/>
      <c r="I1506" s="1"/>
      <c r="J1506" s="1"/>
      <c r="K1506" s="1"/>
      <c r="L1506" s="1"/>
      <c r="M1506" s="1"/>
      <c r="N1506" s="1"/>
      <c r="O1506" s="1"/>
      <c r="P1506" s="1"/>
      <c r="Q1506" s="1"/>
      <c r="R1506" s="1"/>
      <c r="S1506" s="1"/>
      <c r="T1506" s="1"/>
      <c r="U1506" s="1"/>
    </row>
    <row r="1507" ht="10.5" customHeight="1">
      <c r="A1507" s="1"/>
      <c r="B1507" s="642" t="s">
        <v>1381</v>
      </c>
      <c r="G1507" s="113"/>
      <c r="H1507" s="113"/>
      <c r="I1507" s="113"/>
      <c r="J1507" s="113"/>
      <c r="K1507" s="113"/>
      <c r="L1507" s="113"/>
      <c r="M1507" s="113"/>
      <c r="N1507" s="113"/>
      <c r="O1507" s="113"/>
      <c r="P1507" s="113"/>
      <c r="Q1507" s="113"/>
      <c r="R1507" s="1"/>
      <c r="S1507" s="1"/>
      <c r="T1507" s="1"/>
      <c r="U1507" s="1"/>
    </row>
    <row r="1508" ht="10.5" customHeight="1">
      <c r="A1508" s="1"/>
      <c r="B1508" s="642" t="s">
        <v>1403</v>
      </c>
      <c r="E1508" s="185"/>
      <c r="F1508" s="185"/>
      <c r="G1508" s="1"/>
      <c r="H1508" s="1"/>
      <c r="I1508" s="1"/>
      <c r="J1508" s="1"/>
      <c r="K1508" s="1"/>
      <c r="L1508" s="1"/>
      <c r="M1508" s="1"/>
      <c r="N1508" s="1"/>
      <c r="O1508" s="1"/>
      <c r="P1508" s="1"/>
      <c r="Q1508" s="1"/>
      <c r="R1508" s="1"/>
      <c r="S1508" s="1"/>
      <c r="T1508" s="1"/>
      <c r="U1508" s="1"/>
    </row>
    <row r="1509" ht="11.25" customHeight="1">
      <c r="A1509" s="1"/>
      <c r="B1509" s="301"/>
      <c r="C1509" s="23"/>
      <c r="D1509" s="23"/>
      <c r="E1509" s="1"/>
      <c r="F1509" s="1"/>
      <c r="G1509" s="1"/>
      <c r="H1509" s="1"/>
      <c r="I1509" s="1"/>
      <c r="J1509" s="1"/>
      <c r="K1509" s="1"/>
      <c r="L1509" s="1"/>
      <c r="M1509" s="1"/>
      <c r="N1509" s="1"/>
      <c r="O1509" s="1"/>
      <c r="P1509" s="1"/>
      <c r="Q1509" s="1"/>
      <c r="R1509" s="1"/>
      <c r="S1509" s="1"/>
      <c r="T1509" s="1"/>
      <c r="U1509" s="1"/>
    </row>
    <row r="1510" ht="11.25" customHeight="1">
      <c r="A1510" s="1"/>
      <c r="B1510" s="301"/>
      <c r="C1510" s="23"/>
      <c r="D1510" s="23"/>
      <c r="E1510" s="1"/>
      <c r="F1510" s="1"/>
      <c r="G1510" s="1"/>
      <c r="H1510" s="1"/>
      <c r="I1510" s="1"/>
      <c r="J1510" s="1"/>
      <c r="K1510" s="1"/>
      <c r="L1510" s="1"/>
      <c r="M1510" s="1"/>
      <c r="N1510" s="1"/>
      <c r="O1510" s="1"/>
      <c r="P1510" s="1"/>
      <c r="Q1510" s="1"/>
      <c r="R1510" s="1"/>
      <c r="S1510" s="1"/>
      <c r="T1510" s="1"/>
      <c r="U1510" s="1"/>
    </row>
    <row r="1511" ht="11.25" customHeight="1">
      <c r="A1511" s="1"/>
      <c r="B1511" s="301"/>
      <c r="C1511" s="23"/>
      <c r="D1511" s="23"/>
      <c r="E1511" s="1"/>
      <c r="F1511" s="1"/>
      <c r="G1511" s="1"/>
      <c r="H1511" s="1"/>
      <c r="I1511" s="1"/>
      <c r="J1511" s="1"/>
      <c r="K1511" s="1"/>
      <c r="L1511" s="1"/>
      <c r="M1511" s="1"/>
      <c r="N1511" s="1"/>
      <c r="O1511" s="1"/>
      <c r="P1511" s="1"/>
      <c r="Q1511" s="1"/>
      <c r="R1511" s="1"/>
      <c r="S1511" s="1"/>
      <c r="T1511" s="1"/>
      <c r="U1511" s="1"/>
    </row>
    <row r="1512" ht="11.25" customHeight="1">
      <c r="A1512" s="1"/>
      <c r="B1512" s="301"/>
      <c r="C1512" s="1"/>
      <c r="D1512" s="1"/>
      <c r="E1512" s="1"/>
      <c r="F1512" s="1"/>
      <c r="G1512" s="1"/>
      <c r="H1512" s="1"/>
      <c r="I1512" s="1"/>
      <c r="J1512" s="1"/>
      <c r="K1512" s="1"/>
      <c r="L1512" s="1"/>
      <c r="M1512" s="1"/>
      <c r="N1512" s="1"/>
      <c r="O1512" s="1"/>
      <c r="P1512" s="1"/>
      <c r="Q1512" s="1"/>
      <c r="R1512" s="1"/>
      <c r="S1512" s="1"/>
      <c r="T1512" s="1"/>
      <c r="U1512" s="1"/>
    </row>
    <row r="1513" ht="11.25" customHeight="1">
      <c r="A1513" s="1"/>
      <c r="B1513" s="301"/>
      <c r="C1513" s="1"/>
      <c r="D1513" s="1"/>
      <c r="E1513" s="1"/>
      <c r="F1513" s="1"/>
      <c r="G1513" s="1"/>
      <c r="H1513" s="1"/>
      <c r="I1513" s="1"/>
      <c r="J1513" s="1"/>
      <c r="K1513" s="1"/>
      <c r="L1513" s="1"/>
      <c r="M1513" s="1"/>
      <c r="N1513" s="1"/>
      <c r="O1513" s="1"/>
      <c r="P1513" s="1"/>
      <c r="Q1513" s="1"/>
      <c r="R1513" s="1"/>
      <c r="S1513" s="1"/>
      <c r="T1513" s="1"/>
      <c r="U1513" s="1"/>
    </row>
    <row r="1514" ht="11.25" customHeight="1">
      <c r="A1514" s="1"/>
      <c r="B1514" s="301"/>
      <c r="C1514" s="1"/>
      <c r="D1514" s="1"/>
      <c r="E1514" s="1"/>
      <c r="F1514" s="1"/>
      <c r="G1514" s="1"/>
      <c r="H1514" s="1"/>
      <c r="I1514" s="1"/>
      <c r="J1514" s="1"/>
      <c r="K1514" s="1"/>
      <c r="L1514" s="1"/>
      <c r="M1514" s="1"/>
      <c r="N1514" s="1"/>
      <c r="O1514" s="1"/>
      <c r="P1514" s="1"/>
      <c r="Q1514" s="1"/>
      <c r="R1514" s="1"/>
      <c r="S1514" s="1"/>
      <c r="T1514" s="1"/>
      <c r="U1514" s="1"/>
    </row>
    <row r="1515" ht="11.25" customHeight="1">
      <c r="A1515" s="1"/>
      <c r="B1515" s="301"/>
      <c r="C1515" s="1"/>
      <c r="D1515" s="1"/>
      <c r="E1515" s="1"/>
      <c r="F1515" s="1"/>
      <c r="G1515" s="1"/>
      <c r="H1515" s="1"/>
      <c r="I1515" s="1"/>
      <c r="J1515" s="1"/>
      <c r="K1515" s="1"/>
      <c r="L1515" s="1"/>
      <c r="M1515" s="1"/>
      <c r="N1515" s="1"/>
      <c r="O1515" s="1"/>
      <c r="P1515" s="1"/>
      <c r="Q1515" s="1"/>
      <c r="R1515" s="1"/>
      <c r="S1515" s="1"/>
      <c r="T1515" s="1"/>
      <c r="U1515" s="1"/>
    </row>
    <row r="1516" ht="11.25" customHeight="1">
      <c r="A1516" s="1"/>
      <c r="B1516" s="301"/>
      <c r="C1516" s="1"/>
      <c r="D1516" s="1"/>
      <c r="E1516" s="1"/>
      <c r="F1516" s="1"/>
      <c r="G1516" s="1"/>
      <c r="H1516" s="1"/>
      <c r="I1516" s="1"/>
      <c r="J1516" s="1"/>
      <c r="K1516" s="1"/>
      <c r="L1516" s="1"/>
      <c r="M1516" s="1"/>
      <c r="N1516" s="1"/>
      <c r="O1516" s="1"/>
      <c r="P1516" s="1"/>
      <c r="Q1516" s="1"/>
      <c r="R1516" s="1"/>
      <c r="S1516" s="1"/>
      <c r="T1516" s="1"/>
      <c r="U1516" s="1"/>
    </row>
    <row r="1517" ht="11.25" customHeight="1">
      <c r="A1517" s="1"/>
      <c r="B1517" s="301"/>
      <c r="C1517" s="1"/>
      <c r="D1517" s="1"/>
      <c r="E1517" s="1"/>
      <c r="F1517" s="1"/>
      <c r="G1517" s="1"/>
      <c r="H1517" s="1"/>
      <c r="I1517" s="1"/>
      <c r="J1517" s="1"/>
      <c r="K1517" s="1"/>
      <c r="L1517" s="1"/>
      <c r="M1517" s="1"/>
      <c r="N1517" s="1"/>
      <c r="O1517" s="1"/>
      <c r="P1517" s="1"/>
      <c r="Q1517" s="1"/>
      <c r="R1517" s="1"/>
      <c r="S1517" s="1"/>
      <c r="T1517" s="1"/>
      <c r="U1517" s="1"/>
    </row>
    <row r="1518" ht="11.25" customHeight="1">
      <c r="A1518" s="1"/>
      <c r="B1518" s="301"/>
      <c r="C1518" s="1"/>
      <c r="D1518" s="1"/>
      <c r="E1518" s="1"/>
      <c r="F1518" s="1"/>
      <c r="G1518" s="1"/>
      <c r="H1518" s="1"/>
      <c r="I1518" s="1"/>
      <c r="J1518" s="1"/>
      <c r="K1518" s="1"/>
      <c r="L1518" s="1"/>
      <c r="M1518" s="1"/>
      <c r="N1518" s="1"/>
      <c r="O1518" s="1"/>
      <c r="P1518" s="1"/>
      <c r="Q1518" s="1"/>
      <c r="R1518" s="1"/>
      <c r="S1518" s="1"/>
      <c r="T1518" s="1"/>
      <c r="U1518" s="1"/>
    </row>
    <row r="1519" ht="11.25" customHeight="1">
      <c r="A1519" s="1"/>
      <c r="B1519" s="301"/>
      <c r="C1519" s="1"/>
      <c r="D1519" s="1"/>
      <c r="E1519" s="1"/>
      <c r="F1519" s="1"/>
      <c r="G1519" s="1"/>
      <c r="H1519" s="1"/>
      <c r="I1519" s="1"/>
      <c r="J1519" s="1"/>
      <c r="K1519" s="1"/>
      <c r="L1519" s="1"/>
      <c r="M1519" s="1"/>
      <c r="N1519" s="1"/>
      <c r="O1519" s="1"/>
      <c r="P1519" s="1"/>
      <c r="Q1519" s="1"/>
      <c r="R1519" s="1"/>
      <c r="S1519" s="1"/>
      <c r="T1519" s="1"/>
      <c r="U1519" s="1"/>
    </row>
    <row r="1520" ht="11.25" customHeight="1">
      <c r="A1520" s="1"/>
      <c r="B1520" s="301"/>
      <c r="C1520" s="1"/>
      <c r="D1520" s="1"/>
      <c r="E1520" s="1"/>
      <c r="F1520" s="1"/>
      <c r="G1520" s="1"/>
      <c r="H1520" s="1"/>
      <c r="I1520" s="1"/>
      <c r="J1520" s="1"/>
      <c r="K1520" s="1"/>
      <c r="L1520" s="1"/>
      <c r="M1520" s="1"/>
      <c r="N1520" s="1"/>
      <c r="O1520" s="1"/>
      <c r="P1520" s="1"/>
      <c r="Q1520" s="1"/>
      <c r="R1520" s="1"/>
      <c r="S1520" s="1"/>
      <c r="T1520" s="1"/>
      <c r="U1520" s="1"/>
    </row>
    <row r="1521" ht="11.25" customHeight="1">
      <c r="A1521" s="1"/>
      <c r="B1521" s="301"/>
      <c r="C1521" s="1"/>
      <c r="D1521" s="1"/>
      <c r="E1521" s="1"/>
      <c r="F1521" s="1"/>
      <c r="G1521" s="1"/>
      <c r="H1521" s="1"/>
      <c r="I1521" s="1"/>
      <c r="J1521" s="1"/>
      <c r="K1521" s="1"/>
      <c r="L1521" s="1"/>
      <c r="M1521" s="1"/>
      <c r="N1521" s="1"/>
      <c r="O1521" s="1"/>
      <c r="P1521" s="1"/>
      <c r="Q1521" s="1"/>
      <c r="R1521" s="1"/>
      <c r="S1521" s="1"/>
      <c r="T1521" s="1"/>
      <c r="U1521" s="1"/>
    </row>
    <row r="1522" ht="11.25" customHeight="1">
      <c r="A1522" s="1"/>
      <c r="B1522" s="301"/>
      <c r="C1522" s="1"/>
      <c r="D1522" s="1"/>
      <c r="E1522" s="1"/>
      <c r="F1522" s="1"/>
      <c r="G1522" s="1"/>
      <c r="H1522" s="1"/>
      <c r="I1522" s="1"/>
      <c r="J1522" s="1"/>
      <c r="K1522" s="1"/>
      <c r="L1522" s="1"/>
      <c r="M1522" s="1"/>
      <c r="N1522" s="1"/>
      <c r="O1522" s="1"/>
      <c r="P1522" s="1"/>
      <c r="Q1522" s="1"/>
      <c r="R1522" s="1"/>
      <c r="S1522" s="1"/>
      <c r="T1522" s="1"/>
      <c r="U1522" s="1"/>
    </row>
    <row r="1523" ht="11.25" customHeight="1">
      <c r="A1523" s="1"/>
      <c r="B1523" s="301"/>
      <c r="C1523" s="1"/>
      <c r="D1523" s="1"/>
      <c r="E1523" s="1"/>
      <c r="F1523" s="1"/>
      <c r="G1523" s="1"/>
      <c r="H1523" s="1"/>
      <c r="I1523" s="1"/>
      <c r="J1523" s="1"/>
      <c r="K1523" s="1"/>
      <c r="L1523" s="1"/>
      <c r="M1523" s="1"/>
      <c r="N1523" s="1"/>
      <c r="O1523" s="1"/>
      <c r="P1523" s="1"/>
      <c r="Q1523" s="1"/>
      <c r="R1523" s="1"/>
      <c r="S1523" s="1"/>
      <c r="T1523" s="1"/>
      <c r="U1523" s="1"/>
    </row>
    <row r="1524" ht="11.25" customHeight="1">
      <c r="A1524" s="1"/>
      <c r="B1524" s="301"/>
      <c r="C1524" s="1"/>
      <c r="D1524" s="1"/>
      <c r="E1524" s="1"/>
      <c r="F1524" s="1"/>
      <c r="G1524" s="1"/>
      <c r="H1524" s="1"/>
      <c r="I1524" s="1"/>
      <c r="J1524" s="1"/>
      <c r="K1524" s="1"/>
      <c r="L1524" s="1"/>
      <c r="M1524" s="1"/>
      <c r="N1524" s="1"/>
      <c r="O1524" s="1"/>
      <c r="P1524" s="1"/>
      <c r="Q1524" s="1"/>
      <c r="R1524" s="1"/>
      <c r="S1524" s="1"/>
      <c r="T1524" s="1"/>
      <c r="U1524" s="1"/>
    </row>
    <row r="1525" ht="11.25" customHeight="1">
      <c r="A1525" s="1"/>
      <c r="B1525" s="1"/>
      <c r="C1525" s="1"/>
      <c r="D1525" s="443"/>
      <c r="E1525" s="1"/>
      <c r="F1525" s="1"/>
      <c r="G1525" s="1"/>
      <c r="H1525" s="1"/>
      <c r="I1525" s="1"/>
      <c r="J1525" s="1"/>
      <c r="K1525" s="1"/>
      <c r="L1525" s="1"/>
      <c r="M1525" s="1"/>
      <c r="N1525" s="1"/>
      <c r="O1525" s="1"/>
      <c r="P1525" s="1"/>
      <c r="Q1525" s="1"/>
      <c r="R1525" s="1"/>
      <c r="S1525" s="1"/>
      <c r="T1525" s="1"/>
      <c r="U1525" s="1"/>
    </row>
    <row r="1526" ht="11.25" customHeight="1">
      <c r="A1526" s="1"/>
      <c r="B1526" s="1"/>
      <c r="C1526" s="1"/>
      <c r="D1526" s="1"/>
      <c r="E1526" s="1"/>
      <c r="F1526" s="1"/>
      <c r="G1526" s="1"/>
      <c r="H1526" s="1"/>
      <c r="I1526" s="1"/>
      <c r="J1526" s="1"/>
      <c r="K1526" s="1"/>
      <c r="L1526" s="1"/>
      <c r="M1526" s="1"/>
      <c r="N1526" s="1"/>
      <c r="O1526" s="1"/>
      <c r="P1526" s="1"/>
      <c r="Q1526" s="1"/>
      <c r="R1526" s="1"/>
      <c r="S1526" s="1"/>
      <c r="T1526" s="1"/>
      <c r="U1526" s="1"/>
    </row>
    <row r="1527" ht="11.25" customHeight="1">
      <c r="A1527" s="1"/>
      <c r="B1527" s="1"/>
      <c r="C1527" s="1"/>
      <c r="D1527" s="443"/>
      <c r="E1527" s="1"/>
      <c r="F1527" s="1"/>
      <c r="G1527" s="1"/>
      <c r="H1527" s="1"/>
      <c r="I1527" s="1"/>
      <c r="J1527" s="1"/>
      <c r="K1527" s="1"/>
      <c r="L1527" s="1"/>
      <c r="M1527" s="1"/>
      <c r="N1527" s="1"/>
      <c r="O1527" s="1"/>
      <c r="P1527" s="1"/>
      <c r="Q1527" s="1"/>
      <c r="R1527" s="1"/>
      <c r="S1527" s="1"/>
      <c r="T1527" s="1"/>
      <c r="U1527" s="1"/>
    </row>
    <row r="1528" ht="11.25" customHeight="1">
      <c r="A1528" s="1"/>
      <c r="B1528" s="1"/>
      <c r="C1528" s="1"/>
      <c r="D1528" s="154"/>
      <c r="E1528" s="1"/>
      <c r="F1528" s="1"/>
      <c r="G1528" s="1"/>
      <c r="H1528" s="1"/>
      <c r="I1528" s="1"/>
      <c r="J1528" s="1"/>
      <c r="K1528" s="1"/>
      <c r="L1528" s="1"/>
      <c r="M1528" s="1"/>
      <c r="N1528" s="1"/>
      <c r="O1528" s="1"/>
      <c r="P1528" s="1"/>
      <c r="Q1528" s="1"/>
      <c r="R1528" s="1"/>
      <c r="S1528" s="1"/>
      <c r="T1528" s="1"/>
      <c r="U1528" s="1"/>
    </row>
    <row r="1529" ht="11.25" customHeight="1">
      <c r="A1529" s="1"/>
      <c r="B1529" s="1"/>
      <c r="C1529" s="1"/>
      <c r="D1529" s="154"/>
      <c r="E1529" s="1"/>
      <c r="F1529" s="1"/>
      <c r="G1529" s="1"/>
      <c r="H1529" s="1"/>
      <c r="I1529" s="1"/>
      <c r="J1529" s="1"/>
      <c r="K1529" s="1"/>
      <c r="L1529" s="1"/>
      <c r="M1529" s="1"/>
      <c r="N1529" s="1"/>
      <c r="O1529" s="1"/>
      <c r="P1529" s="1"/>
      <c r="Q1529" s="1"/>
      <c r="R1529" s="1"/>
      <c r="S1529" s="1"/>
      <c r="T1529" s="1"/>
      <c r="U1529" s="1"/>
    </row>
    <row r="1530" ht="11.25" customHeight="1">
      <c r="A1530" s="1"/>
      <c r="B1530" s="1"/>
      <c r="C1530" s="1"/>
      <c r="D1530" s="1"/>
      <c r="E1530" s="1"/>
      <c r="F1530" s="1"/>
      <c r="G1530" s="1"/>
      <c r="H1530" s="1"/>
      <c r="I1530" s="1"/>
      <c r="J1530" s="1"/>
      <c r="K1530" s="1"/>
      <c r="L1530" s="1"/>
      <c r="M1530" s="1"/>
      <c r="N1530" s="1"/>
      <c r="O1530" s="1"/>
      <c r="P1530" s="1"/>
      <c r="Q1530" s="1"/>
      <c r="R1530" s="1"/>
      <c r="S1530" s="1"/>
      <c r="T1530" s="1"/>
      <c r="U1530" s="1"/>
    </row>
    <row r="1531" ht="11.25" customHeight="1">
      <c r="A1531" s="1"/>
      <c r="B1531" s="1"/>
      <c r="C1531" s="1"/>
      <c r="D1531" s="1"/>
      <c r="E1531" s="1"/>
      <c r="F1531" s="1"/>
      <c r="G1531" s="1"/>
      <c r="H1531" s="1"/>
      <c r="I1531" s="1"/>
      <c r="J1531" s="1"/>
      <c r="K1531" s="1"/>
      <c r="L1531" s="1"/>
      <c r="M1531" s="1"/>
      <c r="N1531" s="1"/>
      <c r="O1531" s="1"/>
      <c r="P1531" s="1"/>
      <c r="Q1531" s="1"/>
      <c r="R1531" s="1"/>
      <c r="S1531" s="1"/>
      <c r="T1531" s="1"/>
      <c r="U1531" s="1"/>
    </row>
    <row r="1532" ht="11.25" customHeight="1">
      <c r="A1532" s="1"/>
      <c r="B1532" s="1"/>
      <c r="C1532" s="1"/>
      <c r="D1532" s="1"/>
      <c r="E1532" s="1"/>
      <c r="F1532" s="1"/>
      <c r="G1532" s="1"/>
      <c r="H1532" s="1"/>
      <c r="I1532" s="1"/>
      <c r="J1532" s="1"/>
      <c r="K1532" s="1"/>
      <c r="L1532" s="1"/>
      <c r="M1532" s="1"/>
      <c r="N1532" s="1"/>
      <c r="O1532" s="1"/>
      <c r="P1532" s="1"/>
      <c r="Q1532" s="1"/>
      <c r="R1532" s="1"/>
      <c r="S1532" s="1"/>
      <c r="T1532" s="1"/>
      <c r="U1532" s="1"/>
    </row>
    <row r="1533" ht="11.25" customHeight="1">
      <c r="A1533" s="1"/>
      <c r="B1533" s="1"/>
      <c r="C1533" s="1"/>
      <c r="D1533" s="1"/>
      <c r="E1533" s="1"/>
      <c r="F1533" s="1"/>
      <c r="G1533" s="1"/>
      <c r="H1533" s="1"/>
      <c r="I1533" s="1"/>
      <c r="J1533" s="1"/>
      <c r="K1533" s="1"/>
      <c r="L1533" s="1"/>
      <c r="M1533" s="1"/>
      <c r="N1533" s="1"/>
      <c r="O1533" s="1"/>
      <c r="P1533" s="1"/>
      <c r="Q1533" s="1"/>
      <c r="R1533" s="1"/>
      <c r="S1533" s="1"/>
      <c r="T1533" s="1"/>
      <c r="U1533" s="1"/>
    </row>
    <row r="1534" ht="11.25" customHeight="1">
      <c r="A1534" s="1"/>
      <c r="B1534" s="1"/>
      <c r="C1534" s="1"/>
      <c r="D1534" s="1"/>
      <c r="E1534" s="1"/>
      <c r="F1534" s="1"/>
      <c r="G1534" s="1"/>
      <c r="H1534" s="1"/>
      <c r="I1534" s="1"/>
      <c r="J1534" s="1"/>
      <c r="K1534" s="1"/>
      <c r="L1534" s="1"/>
      <c r="M1534" s="1"/>
      <c r="N1534" s="1"/>
      <c r="O1534" s="1"/>
      <c r="P1534" s="1"/>
      <c r="Q1534" s="1"/>
      <c r="R1534" s="1"/>
      <c r="S1534" s="1"/>
      <c r="T1534" s="1"/>
      <c r="U1534" s="1"/>
    </row>
    <row r="1535" ht="11.25" customHeight="1">
      <c r="A1535" s="1"/>
      <c r="B1535" s="1"/>
      <c r="C1535" s="1"/>
      <c r="D1535" s="65"/>
      <c r="E1535" s="1"/>
      <c r="F1535" s="1"/>
      <c r="G1535" s="1"/>
      <c r="H1535" s="1"/>
      <c r="I1535" s="1"/>
      <c r="J1535" s="1"/>
      <c r="K1535" s="1"/>
      <c r="L1535" s="1"/>
      <c r="M1535" s="1"/>
      <c r="N1535" s="1"/>
      <c r="O1535" s="1"/>
      <c r="P1535" s="1"/>
      <c r="Q1535" s="1"/>
      <c r="R1535" s="1"/>
      <c r="S1535" s="1"/>
      <c r="T1535" s="1"/>
      <c r="U1535" s="1"/>
    </row>
  </sheetData>
  <mergeCells count="434">
    <mergeCell ref="E1178:F1178"/>
    <mergeCell ref="B1165:H1165"/>
    <mergeCell ref="G1178:H1178"/>
    <mergeCell ref="G1251:H1251"/>
    <mergeCell ref="E1251:F1251"/>
    <mergeCell ref="I1251:I1252"/>
    <mergeCell ref="C1178:C1179"/>
    <mergeCell ref="B1178:B1180"/>
    <mergeCell ref="B1233:F1233"/>
    <mergeCell ref="B1084:H1084"/>
    <mergeCell ref="B1239:H1239"/>
    <mergeCell ref="B1159:F1159"/>
    <mergeCell ref="G1104:H1104"/>
    <mergeCell ref="B1104:B1106"/>
    <mergeCell ref="C1104:C1105"/>
    <mergeCell ref="B1312:H1312"/>
    <mergeCell ref="B1306:F1306"/>
    <mergeCell ref="E1324:F1324"/>
    <mergeCell ref="D1324:D1325"/>
    <mergeCell ref="G1324:H1324"/>
    <mergeCell ref="C1324:C1325"/>
    <mergeCell ref="B1455:C1455"/>
    <mergeCell ref="B1453:C1453"/>
    <mergeCell ref="B1454:C1454"/>
    <mergeCell ref="B1448:C1448"/>
    <mergeCell ref="B1446:C1446"/>
    <mergeCell ref="B1447:C1447"/>
    <mergeCell ref="D1445:U1445"/>
    <mergeCell ref="B1444:C1445"/>
    <mergeCell ref="B1439:C1439"/>
    <mergeCell ref="A1411:A1412"/>
    <mergeCell ref="C1398:P1398"/>
    <mergeCell ref="B1384:H1384"/>
    <mergeCell ref="D1178:D1179"/>
    <mergeCell ref="I1178:I1179"/>
    <mergeCell ref="B1456:C1456"/>
    <mergeCell ref="B1449:C1449"/>
    <mergeCell ref="B1452:C1452"/>
    <mergeCell ref="B1450:C1450"/>
    <mergeCell ref="B1451:C1451"/>
    <mergeCell ref="C956:F956"/>
    <mergeCell ref="B937:H937"/>
    <mergeCell ref="I883:I884"/>
    <mergeCell ref="J883:J884"/>
    <mergeCell ref="E883:F883"/>
    <mergeCell ref="C957:C958"/>
    <mergeCell ref="E957:F957"/>
    <mergeCell ref="D957:D958"/>
    <mergeCell ref="C882:H882"/>
    <mergeCell ref="C749:D749"/>
    <mergeCell ref="I749:J749"/>
    <mergeCell ref="G740:H740"/>
    <mergeCell ref="G741:H741"/>
    <mergeCell ref="G743:H743"/>
    <mergeCell ref="I743:J743"/>
    <mergeCell ref="I741:J741"/>
    <mergeCell ref="I740:J740"/>
    <mergeCell ref="I745:J745"/>
    <mergeCell ref="I746:J746"/>
    <mergeCell ref="E750:F750"/>
    <mergeCell ref="C747:D747"/>
    <mergeCell ref="C748:D748"/>
    <mergeCell ref="I742:J742"/>
    <mergeCell ref="G751:H751"/>
    <mergeCell ref="I751:J751"/>
    <mergeCell ref="I760:I761"/>
    <mergeCell ref="J821:J822"/>
    <mergeCell ref="I882:J882"/>
    <mergeCell ref="G883:H883"/>
    <mergeCell ref="G821:H821"/>
    <mergeCell ref="I821:I822"/>
    <mergeCell ref="D1031:D1032"/>
    <mergeCell ref="C1031:C1032"/>
    <mergeCell ref="C1030:J1030"/>
    <mergeCell ref="D883:D884"/>
    <mergeCell ref="C883:C884"/>
    <mergeCell ref="B882:B885"/>
    <mergeCell ref="B874:H874"/>
    <mergeCell ref="B956:B959"/>
    <mergeCell ref="B1010:H1010"/>
    <mergeCell ref="B1030:B1033"/>
    <mergeCell ref="I1104:I1105"/>
    <mergeCell ref="D1104:D1105"/>
    <mergeCell ref="E1104:F1104"/>
    <mergeCell ref="H957:H958"/>
    <mergeCell ref="I957:J957"/>
    <mergeCell ref="G957:G958"/>
    <mergeCell ref="G956:J956"/>
    <mergeCell ref="I1031:J1031"/>
    <mergeCell ref="G1031:H1031"/>
    <mergeCell ref="E1031:F1031"/>
    <mergeCell ref="A840:A841"/>
    <mergeCell ref="A776:A777"/>
    <mergeCell ref="I747:J747"/>
    <mergeCell ref="I748:J748"/>
    <mergeCell ref="K743:L743"/>
    <mergeCell ref="G742:H742"/>
    <mergeCell ref="K742:L742"/>
    <mergeCell ref="C751:D751"/>
    <mergeCell ref="E751:F751"/>
    <mergeCell ref="C750:D750"/>
    <mergeCell ref="D760:D761"/>
    <mergeCell ref="B759:B762"/>
    <mergeCell ref="G748:H748"/>
    <mergeCell ref="E748:F748"/>
    <mergeCell ref="E744:F744"/>
    <mergeCell ref="E742:F742"/>
    <mergeCell ref="C739:D739"/>
    <mergeCell ref="E739:F739"/>
    <mergeCell ref="E741:F741"/>
    <mergeCell ref="C741:D741"/>
    <mergeCell ref="B1464:C1464"/>
    <mergeCell ref="B1463:C1463"/>
    <mergeCell ref="B1465:C1465"/>
    <mergeCell ref="B1467:C1467"/>
    <mergeCell ref="B1466:C1466"/>
    <mergeCell ref="D1480:U1480"/>
    <mergeCell ref="B1479:C1480"/>
    <mergeCell ref="B1474:D1474"/>
    <mergeCell ref="B1473:F1473"/>
    <mergeCell ref="B1487:C1487"/>
    <mergeCell ref="B1485:C1485"/>
    <mergeCell ref="B1486:C1486"/>
    <mergeCell ref="B1489:C1489"/>
    <mergeCell ref="B1488:C1488"/>
    <mergeCell ref="B1481:C1481"/>
    <mergeCell ref="A1490:A1491"/>
    <mergeCell ref="A1459:A1460"/>
    <mergeCell ref="B1492:C1492"/>
    <mergeCell ref="B1493:C1493"/>
    <mergeCell ref="B1484:C1484"/>
    <mergeCell ref="B1482:C1482"/>
    <mergeCell ref="B1494:C1494"/>
    <mergeCell ref="B1491:C1491"/>
    <mergeCell ref="B1490:C1490"/>
    <mergeCell ref="B1483:C1483"/>
    <mergeCell ref="B1460:C1460"/>
    <mergeCell ref="B1499:C1499"/>
    <mergeCell ref="B1498:C1498"/>
    <mergeCell ref="B1495:C1495"/>
    <mergeCell ref="B1496:C1496"/>
    <mergeCell ref="B1497:C1497"/>
    <mergeCell ref="B1507:F1507"/>
    <mergeCell ref="B1508:D1508"/>
    <mergeCell ref="B1501:C1501"/>
    <mergeCell ref="B1500:C1500"/>
    <mergeCell ref="B1324:B1326"/>
    <mergeCell ref="B1397:B1398"/>
    <mergeCell ref="D1251:D1252"/>
    <mergeCell ref="B1251:B1253"/>
    <mergeCell ref="C1251:C1252"/>
    <mergeCell ref="B1459:C1459"/>
    <mergeCell ref="B1457:C1457"/>
    <mergeCell ref="B1461:C1461"/>
    <mergeCell ref="B1458:C1458"/>
    <mergeCell ref="C743:D743"/>
    <mergeCell ref="E743:F743"/>
    <mergeCell ref="C744:D744"/>
    <mergeCell ref="C742:D742"/>
    <mergeCell ref="E745:F745"/>
    <mergeCell ref="E747:F747"/>
    <mergeCell ref="G747:H747"/>
    <mergeCell ref="G738:H738"/>
    <mergeCell ref="I737:J737"/>
    <mergeCell ref="I738:J738"/>
    <mergeCell ref="G737:H737"/>
    <mergeCell ref="E723:F723"/>
    <mergeCell ref="E722:F722"/>
    <mergeCell ref="C720:D720"/>
    <mergeCell ref="E720:F720"/>
    <mergeCell ref="G717:H717"/>
    <mergeCell ref="I717:J717"/>
    <mergeCell ref="C733:D733"/>
    <mergeCell ref="E734:F734"/>
    <mergeCell ref="G746:H746"/>
    <mergeCell ref="E746:F746"/>
    <mergeCell ref="E731:F731"/>
    <mergeCell ref="G733:H733"/>
    <mergeCell ref="I731:J731"/>
    <mergeCell ref="I733:J733"/>
    <mergeCell ref="C732:D732"/>
    <mergeCell ref="E725:F725"/>
    <mergeCell ref="E724:F724"/>
    <mergeCell ref="C738:D738"/>
    <mergeCell ref="C737:D737"/>
    <mergeCell ref="E719:F719"/>
    <mergeCell ref="C719:D719"/>
    <mergeCell ref="C721:D721"/>
    <mergeCell ref="C722:D722"/>
    <mergeCell ref="C736:D736"/>
    <mergeCell ref="E717:F717"/>
    <mergeCell ref="K748:L748"/>
    <mergeCell ref="K747:L747"/>
    <mergeCell ref="M716:O716"/>
    <mergeCell ref="N718:O718"/>
    <mergeCell ref="K739:L739"/>
    <mergeCell ref="K745:L745"/>
    <mergeCell ref="K744:L744"/>
    <mergeCell ref="K749:L749"/>
    <mergeCell ref="K746:L746"/>
    <mergeCell ref="K738:L738"/>
    <mergeCell ref="K737:L737"/>
    <mergeCell ref="C760:C761"/>
    <mergeCell ref="C759:H759"/>
    <mergeCell ref="E760:F760"/>
    <mergeCell ref="I759:L759"/>
    <mergeCell ref="K760:L760"/>
    <mergeCell ref="G760:H760"/>
    <mergeCell ref="G745:H745"/>
    <mergeCell ref="G744:H744"/>
    <mergeCell ref="G739:H739"/>
    <mergeCell ref="I739:J739"/>
    <mergeCell ref="C745:D745"/>
    <mergeCell ref="C746:D746"/>
    <mergeCell ref="I750:J750"/>
    <mergeCell ref="J760:J761"/>
    <mergeCell ref="G750:H750"/>
    <mergeCell ref="G749:H749"/>
    <mergeCell ref="B813:H813"/>
    <mergeCell ref="E737:F737"/>
    <mergeCell ref="E738:F738"/>
    <mergeCell ref="E749:F749"/>
    <mergeCell ref="I744:J744"/>
    <mergeCell ref="K751:L751"/>
    <mergeCell ref="K750:L750"/>
    <mergeCell ref="K741:L741"/>
    <mergeCell ref="K740:L740"/>
    <mergeCell ref="K821:L821"/>
    <mergeCell ref="I820:L820"/>
    <mergeCell ref="C740:D740"/>
    <mergeCell ref="E740:F740"/>
    <mergeCell ref="C820:H820"/>
    <mergeCell ref="B820:B823"/>
    <mergeCell ref="C821:C822"/>
    <mergeCell ref="D821:D822"/>
    <mergeCell ref="E821:F821"/>
    <mergeCell ref="G372:H372"/>
    <mergeCell ref="H373:H374"/>
    <mergeCell ref="G373:G374"/>
    <mergeCell ref="F446:G446"/>
    <mergeCell ref="F312:G312"/>
    <mergeCell ref="B365:H365"/>
    <mergeCell ref="B312:B314"/>
    <mergeCell ref="H312:I312"/>
    <mergeCell ref="D65:E65"/>
    <mergeCell ref="C67:D67"/>
    <mergeCell ref="I373:I374"/>
    <mergeCell ref="C448:D448"/>
    <mergeCell ref="H65:I65"/>
    <mergeCell ref="B65:B67"/>
    <mergeCell ref="B250:B252"/>
    <mergeCell ref="B188:B190"/>
    <mergeCell ref="O126:O127"/>
    <mergeCell ref="L126:N126"/>
    <mergeCell ref="L128:O128"/>
    <mergeCell ref="F65:G65"/>
    <mergeCell ref="C65:C66"/>
    <mergeCell ref="K65:L65"/>
    <mergeCell ref="B126:B128"/>
    <mergeCell ref="C188:C189"/>
    <mergeCell ref="D188:E188"/>
    <mergeCell ref="C190:D190"/>
    <mergeCell ref="K190:M190"/>
    <mergeCell ref="K446:K447"/>
    <mergeCell ref="I446:J446"/>
    <mergeCell ref="B372:B375"/>
    <mergeCell ref="D375:F375"/>
    <mergeCell ref="I372:J372"/>
    <mergeCell ref="J373:J374"/>
    <mergeCell ref="D446:E446"/>
    <mergeCell ref="C446:C447"/>
    <mergeCell ref="I448:K448"/>
    <mergeCell ref="K726:L726"/>
    <mergeCell ref="K725:L725"/>
    <mergeCell ref="I719:J719"/>
    <mergeCell ref="K719:L719"/>
    <mergeCell ref="C4:D4"/>
    <mergeCell ref="B2:B4"/>
    <mergeCell ref="C2:C3"/>
    <mergeCell ref="H2:I2"/>
    <mergeCell ref="K2:L2"/>
    <mergeCell ref="D2:E2"/>
    <mergeCell ref="C718:L718"/>
    <mergeCell ref="C716:L716"/>
    <mergeCell ref="K717:L717"/>
    <mergeCell ref="B642:B644"/>
    <mergeCell ref="E644:F644"/>
    <mergeCell ref="E642:F642"/>
    <mergeCell ref="E726:F726"/>
    <mergeCell ref="I724:J724"/>
    <mergeCell ref="I723:J723"/>
    <mergeCell ref="K723:L723"/>
    <mergeCell ref="G723:H723"/>
    <mergeCell ref="I725:J725"/>
    <mergeCell ref="K724:L724"/>
    <mergeCell ref="I508:I509"/>
    <mergeCell ref="J508:J509"/>
    <mergeCell ref="B507:B510"/>
    <mergeCell ref="D577:D579"/>
    <mergeCell ref="E508:F508"/>
    <mergeCell ref="D508:D509"/>
    <mergeCell ref="C576:J576"/>
    <mergeCell ref="I578:J578"/>
    <mergeCell ref="E577:J577"/>
    <mergeCell ref="K312:L312"/>
    <mergeCell ref="M312:M313"/>
    <mergeCell ref="C250:C251"/>
    <mergeCell ref="C312:C313"/>
    <mergeCell ref="K314:M314"/>
    <mergeCell ref="D250:E250"/>
    <mergeCell ref="K252:M252"/>
    <mergeCell ref="K250:L250"/>
    <mergeCell ref="M250:M251"/>
    <mergeCell ref="C314:D314"/>
    <mergeCell ref="C372:F372"/>
    <mergeCell ref="C373:C374"/>
    <mergeCell ref="F373:F374"/>
    <mergeCell ref="D373:E373"/>
    <mergeCell ref="A145:A146"/>
    <mergeCell ref="A527:A528"/>
    <mergeCell ref="A392:A393"/>
    <mergeCell ref="A269:A270"/>
    <mergeCell ref="A206:A207"/>
    <mergeCell ref="A595:A596"/>
    <mergeCell ref="A465:A466"/>
    <mergeCell ref="A331:A332"/>
    <mergeCell ref="C252:D252"/>
    <mergeCell ref="D312:E312"/>
    <mergeCell ref="H250:I250"/>
    <mergeCell ref="F250:G250"/>
    <mergeCell ref="B241:H241"/>
    <mergeCell ref="B303:H303"/>
    <mergeCell ref="B446:B448"/>
    <mergeCell ref="B499:H499"/>
    <mergeCell ref="K188:L188"/>
    <mergeCell ref="M188:M189"/>
    <mergeCell ref="M65:M66"/>
    <mergeCell ref="M2:M3"/>
    <mergeCell ref="K67:M67"/>
    <mergeCell ref="K4:M4"/>
    <mergeCell ref="A84:A85"/>
    <mergeCell ref="A20:A21"/>
    <mergeCell ref="C128:D128"/>
    <mergeCell ref="F126:G126"/>
    <mergeCell ref="C126:C127"/>
    <mergeCell ref="H126:I126"/>
    <mergeCell ref="H188:I188"/>
    <mergeCell ref="F188:G188"/>
    <mergeCell ref="J128:K128"/>
    <mergeCell ref="G732:H732"/>
    <mergeCell ref="I732:J732"/>
    <mergeCell ref="E730:F730"/>
    <mergeCell ref="C730:D730"/>
    <mergeCell ref="I730:J730"/>
    <mergeCell ref="G730:H730"/>
    <mergeCell ref="G731:H731"/>
    <mergeCell ref="E732:F732"/>
    <mergeCell ref="E733:F733"/>
    <mergeCell ref="C731:D731"/>
    <mergeCell ref="L577:L579"/>
    <mergeCell ref="K577:K579"/>
    <mergeCell ref="I507:L507"/>
    <mergeCell ref="K508:L508"/>
    <mergeCell ref="B631:H631"/>
    <mergeCell ref="B561:H561"/>
    <mergeCell ref="G578:H578"/>
    <mergeCell ref="G508:H508"/>
    <mergeCell ref="C507:H507"/>
    <mergeCell ref="E578:F578"/>
    <mergeCell ref="K576:L576"/>
    <mergeCell ref="G734:H734"/>
    <mergeCell ref="C734:D734"/>
    <mergeCell ref="A733:A734"/>
    <mergeCell ref="E735:F735"/>
    <mergeCell ref="E736:F736"/>
    <mergeCell ref="G735:H735"/>
    <mergeCell ref="G736:H736"/>
    <mergeCell ref="I734:J734"/>
    <mergeCell ref="I735:J735"/>
    <mergeCell ref="I736:J736"/>
    <mergeCell ref="C735:D735"/>
    <mergeCell ref="E727:F727"/>
    <mergeCell ref="K727:L727"/>
    <mergeCell ref="I727:J727"/>
    <mergeCell ref="G727:H727"/>
    <mergeCell ref="C723:D723"/>
    <mergeCell ref="C724:D724"/>
    <mergeCell ref="C725:D725"/>
    <mergeCell ref="C726:D726"/>
    <mergeCell ref="C727:D727"/>
    <mergeCell ref="E728:F728"/>
    <mergeCell ref="G728:H728"/>
    <mergeCell ref="G726:H726"/>
    <mergeCell ref="I726:J726"/>
    <mergeCell ref="K729:L729"/>
    <mergeCell ref="K728:L728"/>
    <mergeCell ref="I728:J728"/>
    <mergeCell ref="I729:J729"/>
    <mergeCell ref="G729:H729"/>
    <mergeCell ref="E729:F729"/>
    <mergeCell ref="C728:D728"/>
    <mergeCell ref="C729:D729"/>
    <mergeCell ref="I722:J722"/>
    <mergeCell ref="K722:L722"/>
    <mergeCell ref="G722:H722"/>
    <mergeCell ref="G720:H720"/>
    <mergeCell ref="G721:H721"/>
    <mergeCell ref="I720:J720"/>
    <mergeCell ref="K720:L720"/>
    <mergeCell ref="I721:J721"/>
    <mergeCell ref="E721:F721"/>
    <mergeCell ref="K721:L721"/>
    <mergeCell ref="K730:L730"/>
    <mergeCell ref="K736:L736"/>
    <mergeCell ref="K735:L735"/>
    <mergeCell ref="K732:L732"/>
    <mergeCell ref="K731:L731"/>
    <mergeCell ref="K733:L733"/>
    <mergeCell ref="K734:L734"/>
    <mergeCell ref="G724:H724"/>
    <mergeCell ref="B576:B580"/>
    <mergeCell ref="C577:C579"/>
    <mergeCell ref="G719:H719"/>
    <mergeCell ref="B716:B718"/>
    <mergeCell ref="C644:D644"/>
    <mergeCell ref="C642:D642"/>
    <mergeCell ref="C717:D717"/>
    <mergeCell ref="G725:H725"/>
    <mergeCell ref="B55:H55"/>
    <mergeCell ref="F2:G2"/>
    <mergeCell ref="B118:H118"/>
    <mergeCell ref="B179:H179"/>
    <mergeCell ref="D126:E126"/>
    <mergeCell ref="C508:C509"/>
  </mergeCells>
  <printOptions/>
  <pageMargins bottom="0.7086614173228347" footer="0.0" header="0.0" left="0.7086614173228347" right="0.7086614173228347" top="0.7086614173228347"/>
  <pageSetup paperSize="9" orientation="landscape"/>
  <rowBreaks count="23" manualBreakCount="23">
    <brk id="640" man="1"/>
    <brk id="1249" man="1"/>
    <brk id="1442" man="1"/>
    <brk id="1028" man="1"/>
    <brk id="1477" man="1"/>
    <brk id="714" man="1"/>
    <brk id="1322" man="1"/>
    <brk id="1102" man="1"/>
    <brk id="880" man="1"/>
    <brk id="818" man="1"/>
    <brk id="370" man="1"/>
    <brk id="1395" man="1"/>
    <brk id="757" man="1"/>
    <brk id="310" man="1"/>
    <brk id="1176" man="1"/>
    <brk id="248" man="1"/>
    <brk id="505" man="1"/>
    <brk id="954" man="1"/>
    <brk id="186" man="1"/>
    <brk id="124" man="1"/>
    <brk id="444" man="1"/>
    <brk id="574" man="1"/>
    <brk id="63"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8.86"/>
    <col customWidth="1" min="3" max="5" width="8.71"/>
    <col customWidth="1" min="6" max="6" width="9.0"/>
    <col customWidth="1" min="7" max="16" width="8.71"/>
    <col customWidth="1" min="17" max="17" width="9.14"/>
    <col customWidth="1" min="18" max="26" width="8.71"/>
  </cols>
  <sheetData>
    <row r="1" ht="11.25" customHeight="1">
      <c r="A1" s="1"/>
      <c r="B1" s="1" t="s">
        <v>937</v>
      </c>
      <c r="C1" s="1"/>
      <c r="D1" s="1"/>
      <c r="E1" s="1"/>
      <c r="F1" s="1"/>
      <c r="G1" s="1"/>
      <c r="H1" s="1"/>
      <c r="I1" s="1"/>
      <c r="J1" s="1"/>
      <c r="K1" s="1"/>
      <c r="L1" s="1"/>
      <c r="M1" s="1"/>
      <c r="N1" s="1"/>
      <c r="O1" s="1"/>
      <c r="P1" s="1"/>
      <c r="Q1" s="1"/>
      <c r="R1" s="1"/>
      <c r="S1" s="1"/>
      <c r="T1" s="1"/>
      <c r="U1" s="1"/>
      <c r="V1" s="1"/>
      <c r="W1" s="1"/>
      <c r="X1" s="1"/>
      <c r="Y1" s="1"/>
      <c r="Z1" s="1"/>
    </row>
    <row r="2" ht="22.5" customHeight="1">
      <c r="A2" s="1"/>
      <c r="B2" s="31" t="s">
        <v>938</v>
      </c>
      <c r="C2" s="31" t="s">
        <v>939</v>
      </c>
      <c r="D2" s="128" t="s">
        <v>940</v>
      </c>
      <c r="E2" s="10"/>
      <c r="F2" s="31" t="s">
        <v>941</v>
      </c>
      <c r="G2" s="565"/>
      <c r="H2" s="236"/>
      <c r="I2" s="1"/>
      <c r="J2" s="1"/>
      <c r="K2" s="1"/>
      <c r="L2" s="1"/>
      <c r="M2" s="1"/>
      <c r="N2" s="1"/>
      <c r="O2" s="1"/>
      <c r="P2" s="1"/>
      <c r="Q2" s="1"/>
      <c r="R2" s="1"/>
      <c r="S2" s="1"/>
      <c r="T2" s="1"/>
      <c r="U2" s="1"/>
      <c r="V2" s="1"/>
      <c r="W2" s="1"/>
      <c r="X2" s="1"/>
      <c r="Y2" s="1"/>
      <c r="Z2" s="1"/>
    </row>
    <row r="3" ht="11.25" customHeight="1">
      <c r="A3" s="1"/>
      <c r="B3" s="5"/>
      <c r="C3" s="566" t="s">
        <v>942</v>
      </c>
      <c r="D3" s="3" t="s">
        <v>943</v>
      </c>
      <c r="E3" s="3" t="s">
        <v>944</v>
      </c>
      <c r="F3" s="6"/>
      <c r="G3" s="565"/>
      <c r="H3" s="236"/>
      <c r="I3" s="1"/>
      <c r="J3" s="1"/>
      <c r="K3" s="1"/>
      <c r="L3" s="1"/>
      <c r="M3" s="1"/>
      <c r="N3" s="1"/>
      <c r="O3" s="1"/>
      <c r="P3" s="1"/>
      <c r="Q3" s="1"/>
      <c r="R3" s="1"/>
      <c r="S3" s="1"/>
      <c r="T3" s="1"/>
      <c r="U3" s="1"/>
      <c r="V3" s="1"/>
      <c r="W3" s="1"/>
      <c r="X3" s="1"/>
      <c r="Y3" s="1"/>
      <c r="Z3" s="1"/>
    </row>
    <row r="4" ht="11.25" customHeight="1">
      <c r="A4" s="1"/>
      <c r="B4" s="6"/>
      <c r="C4" s="7" t="s">
        <v>945</v>
      </c>
      <c r="D4" s="128" t="s">
        <v>9</v>
      </c>
      <c r="E4" s="10"/>
      <c r="F4" s="190" t="s">
        <v>933</v>
      </c>
      <c r="G4" s="567"/>
      <c r="H4" s="125"/>
      <c r="I4" s="1"/>
      <c r="J4" s="1"/>
      <c r="K4" s="1"/>
      <c r="L4" s="1"/>
      <c r="M4" s="1"/>
      <c r="N4" s="1"/>
      <c r="O4" s="1"/>
      <c r="P4" s="1"/>
      <c r="Q4" s="1"/>
      <c r="R4" s="1"/>
      <c r="S4" s="1"/>
      <c r="T4" s="1"/>
      <c r="U4" s="1"/>
      <c r="V4" s="1"/>
      <c r="W4" s="1"/>
      <c r="X4" s="1"/>
      <c r="Y4" s="1"/>
      <c r="Z4" s="1"/>
    </row>
    <row r="5" ht="10.5" customHeight="1">
      <c r="A5" s="1"/>
      <c r="B5" s="48" t="s">
        <v>264</v>
      </c>
      <c r="C5" s="366">
        <v>7.9</v>
      </c>
      <c r="D5" s="569">
        <v>2022.0</v>
      </c>
      <c r="E5" s="524">
        <v>239.0</v>
      </c>
      <c r="F5" s="570">
        <v>44.9</v>
      </c>
      <c r="G5" s="571"/>
      <c r="H5" s="1"/>
      <c r="I5" s="1"/>
      <c r="J5" s="1"/>
      <c r="K5" s="1"/>
      <c r="L5" s="1"/>
      <c r="M5" s="1"/>
      <c r="N5" s="1"/>
      <c r="O5" s="1"/>
      <c r="P5" s="1"/>
      <c r="Q5" s="1"/>
      <c r="R5" s="1"/>
      <c r="S5" s="1"/>
      <c r="T5" s="1"/>
      <c r="U5" s="1"/>
      <c r="V5" s="1"/>
      <c r="W5" s="1"/>
      <c r="X5" s="1"/>
      <c r="Y5" s="1"/>
      <c r="Z5" s="1"/>
    </row>
    <row r="6" ht="10.5" customHeight="1">
      <c r="A6" s="1"/>
      <c r="B6" s="48" t="s">
        <v>267</v>
      </c>
      <c r="C6" s="366">
        <v>7.8</v>
      </c>
      <c r="D6" s="178">
        <v>2137.0</v>
      </c>
      <c r="E6" s="524">
        <v>241.0</v>
      </c>
      <c r="F6" s="54">
        <v>44.4</v>
      </c>
      <c r="G6" s="571"/>
      <c r="H6" s="1"/>
      <c r="I6" s="1"/>
      <c r="J6" s="1"/>
      <c r="K6" s="1"/>
      <c r="L6" s="1"/>
      <c r="M6" s="1"/>
      <c r="N6" s="1"/>
      <c r="O6" s="1"/>
      <c r="P6" s="1"/>
      <c r="Q6" s="1"/>
      <c r="R6" s="1"/>
      <c r="S6" s="1"/>
      <c r="T6" s="1"/>
      <c r="U6" s="1"/>
      <c r="V6" s="1"/>
      <c r="W6" s="1"/>
      <c r="X6" s="1"/>
      <c r="Y6" s="1"/>
      <c r="Z6" s="1"/>
    </row>
    <row r="7" ht="10.5" customHeight="1">
      <c r="A7" s="1"/>
      <c r="B7" s="48" t="s">
        <v>268</v>
      </c>
      <c r="C7" s="366">
        <v>8.0</v>
      </c>
      <c r="D7" s="178">
        <v>2274.0</v>
      </c>
      <c r="E7" s="524">
        <v>226.0</v>
      </c>
      <c r="F7" s="54">
        <v>58.6</v>
      </c>
      <c r="G7" s="571"/>
      <c r="H7" s="1"/>
      <c r="I7" s="1"/>
      <c r="J7" s="1"/>
      <c r="K7" s="1"/>
      <c r="L7" s="1"/>
      <c r="M7" s="1"/>
      <c r="N7" s="1"/>
      <c r="O7" s="1"/>
      <c r="P7" s="1"/>
      <c r="Q7" s="1"/>
      <c r="R7" s="1"/>
      <c r="S7" s="1"/>
      <c r="T7" s="1"/>
      <c r="U7" s="1"/>
      <c r="V7" s="1"/>
      <c r="W7" s="1"/>
      <c r="X7" s="1"/>
      <c r="Y7" s="1"/>
      <c r="Z7" s="1"/>
    </row>
    <row r="8" ht="10.5" customHeight="1">
      <c r="A8" s="1"/>
      <c r="B8" s="48" t="s">
        <v>269</v>
      </c>
      <c r="C8" s="366">
        <v>8.2</v>
      </c>
      <c r="D8" s="178">
        <v>2076.0</v>
      </c>
      <c r="E8" s="524">
        <v>169.0</v>
      </c>
      <c r="F8" s="54">
        <v>80.7</v>
      </c>
      <c r="G8" s="571"/>
      <c r="H8" s="1"/>
      <c r="I8" s="1"/>
      <c r="J8" s="1"/>
      <c r="K8" s="1"/>
      <c r="L8" s="1"/>
      <c r="M8" s="1"/>
      <c r="N8" s="1"/>
      <c r="O8" s="1"/>
      <c r="P8" s="1"/>
      <c r="Q8" s="1"/>
      <c r="R8" s="1"/>
      <c r="S8" s="1"/>
      <c r="T8" s="1"/>
      <c r="U8" s="1"/>
      <c r="V8" s="1"/>
      <c r="W8" s="1"/>
      <c r="X8" s="1"/>
      <c r="Y8" s="1"/>
      <c r="Z8" s="1"/>
    </row>
    <row r="9" ht="10.5" customHeight="1">
      <c r="A9" s="1"/>
      <c r="B9" s="48" t="s">
        <v>270</v>
      </c>
      <c r="C9" s="366">
        <v>8.5</v>
      </c>
      <c r="D9" s="178">
        <v>1814.0</v>
      </c>
      <c r="E9" s="524">
        <v>147.0</v>
      </c>
      <c r="F9" s="54">
        <v>89.3</v>
      </c>
      <c r="G9" s="571"/>
      <c r="H9" s="1"/>
      <c r="I9" s="1"/>
      <c r="J9" s="1"/>
      <c r="K9" s="1"/>
      <c r="L9" s="1"/>
      <c r="M9" s="1"/>
      <c r="N9" s="1"/>
      <c r="O9" s="1"/>
      <c r="P9" s="1"/>
      <c r="Q9" s="1"/>
      <c r="R9" s="1"/>
      <c r="S9" s="1"/>
      <c r="T9" s="1"/>
      <c r="U9" s="1"/>
      <c r="V9" s="1"/>
      <c r="W9" s="1"/>
      <c r="X9" s="1"/>
      <c r="Y9" s="1"/>
      <c r="Z9" s="1"/>
    </row>
    <row r="10" ht="10.5" customHeight="1">
      <c r="A10" s="1"/>
      <c r="B10" s="48"/>
      <c r="C10" s="366"/>
      <c r="D10" s="178"/>
      <c r="E10" s="524"/>
      <c r="F10" s="54"/>
      <c r="G10" s="571"/>
      <c r="H10" s="1"/>
      <c r="I10" s="1"/>
      <c r="J10" s="1"/>
      <c r="K10" s="1"/>
      <c r="L10" s="1"/>
      <c r="M10" s="1"/>
      <c r="N10" s="1"/>
      <c r="O10" s="1"/>
      <c r="P10" s="1"/>
      <c r="Q10" s="1"/>
      <c r="R10" s="1"/>
      <c r="S10" s="1"/>
      <c r="T10" s="1"/>
      <c r="U10" s="1"/>
      <c r="V10" s="1"/>
      <c r="W10" s="1"/>
      <c r="X10" s="1"/>
      <c r="Y10" s="1"/>
      <c r="Z10" s="1"/>
    </row>
    <row r="11" ht="10.5" customHeight="1">
      <c r="A11" s="1"/>
      <c r="B11" s="48" t="s">
        <v>271</v>
      </c>
      <c r="C11" s="366">
        <v>8.8</v>
      </c>
      <c r="D11" s="178">
        <v>1979.0</v>
      </c>
      <c r="E11" s="524">
        <v>167.0</v>
      </c>
      <c r="F11" s="54">
        <v>87.2</v>
      </c>
      <c r="G11" s="571"/>
      <c r="H11" s="1"/>
      <c r="I11" s="1"/>
      <c r="J11" s="1"/>
      <c r="K11" s="1"/>
      <c r="L11" s="1"/>
      <c r="M11" s="1"/>
      <c r="N11" s="1"/>
      <c r="O11" s="1"/>
      <c r="P11" s="1"/>
      <c r="Q11" s="1"/>
      <c r="R11" s="1"/>
      <c r="S11" s="1"/>
      <c r="T11" s="1"/>
      <c r="U11" s="1"/>
      <c r="V11" s="1"/>
      <c r="W11" s="1"/>
      <c r="X11" s="1"/>
      <c r="Y11" s="1"/>
      <c r="Z11" s="1"/>
    </row>
    <row r="12" ht="10.5" customHeight="1">
      <c r="A12" s="1"/>
      <c r="B12" s="48" t="s">
        <v>272</v>
      </c>
      <c r="C12" s="366">
        <v>9.1</v>
      </c>
      <c r="D12" s="178">
        <v>2217.0</v>
      </c>
      <c r="E12" s="524">
        <v>183.0</v>
      </c>
      <c r="F12" s="54">
        <v>93.6</v>
      </c>
      <c r="G12" s="571"/>
      <c r="H12" s="1"/>
      <c r="I12" s="1"/>
      <c r="J12" s="1"/>
      <c r="K12" s="1"/>
      <c r="L12" s="1"/>
      <c r="M12" s="1"/>
      <c r="N12" s="1"/>
      <c r="O12" s="1"/>
      <c r="P12" s="1"/>
      <c r="Q12" s="1"/>
      <c r="R12" s="1"/>
      <c r="S12" s="1"/>
      <c r="T12" s="1"/>
      <c r="U12" s="1"/>
      <c r="V12" s="1"/>
      <c r="W12" s="1"/>
      <c r="X12" s="1"/>
      <c r="Y12" s="1"/>
      <c r="Z12" s="1"/>
    </row>
    <row r="13" ht="10.5" customHeight="1">
      <c r="A13" s="1"/>
      <c r="B13" s="48" t="s">
        <v>274</v>
      </c>
      <c r="C13" s="366">
        <v>9.3</v>
      </c>
      <c r="D13" s="178">
        <v>2424.0</v>
      </c>
      <c r="E13" s="524">
        <v>199.0</v>
      </c>
      <c r="F13" s="54">
        <v>93.5</v>
      </c>
      <c r="G13" s="571"/>
      <c r="H13" s="1"/>
      <c r="I13" s="1"/>
      <c r="J13" s="1"/>
      <c r="K13" s="1"/>
      <c r="L13" s="1"/>
      <c r="M13" s="1"/>
      <c r="N13" s="1"/>
      <c r="O13" s="1"/>
      <c r="P13" s="1"/>
      <c r="Q13" s="1"/>
      <c r="R13" s="1"/>
      <c r="S13" s="1"/>
      <c r="T13" s="1"/>
      <c r="U13" s="1"/>
      <c r="V13" s="1"/>
      <c r="W13" s="1"/>
      <c r="X13" s="1"/>
      <c r="Y13" s="1"/>
      <c r="Z13" s="1"/>
    </row>
    <row r="14" ht="10.5" customHeight="1">
      <c r="A14" s="1"/>
      <c r="B14" s="48" t="s">
        <v>275</v>
      </c>
      <c r="C14" s="366">
        <v>9.1</v>
      </c>
      <c r="D14" s="178">
        <v>2738.0</v>
      </c>
      <c r="E14" s="524">
        <v>212.0</v>
      </c>
      <c r="F14" s="54">
        <v>96.9</v>
      </c>
      <c r="G14" s="571"/>
      <c r="H14" s="1"/>
      <c r="I14" s="1"/>
      <c r="J14" s="1"/>
      <c r="K14" s="1"/>
      <c r="L14" s="1"/>
      <c r="M14" s="1"/>
      <c r="N14" s="1"/>
      <c r="O14" s="1"/>
      <c r="P14" s="1"/>
      <c r="Q14" s="1"/>
      <c r="R14" s="1"/>
      <c r="S14" s="1"/>
      <c r="T14" s="1"/>
      <c r="U14" s="1"/>
      <c r="V14" s="1"/>
      <c r="W14" s="1"/>
      <c r="X14" s="1"/>
      <c r="Y14" s="1"/>
      <c r="Z14" s="1"/>
    </row>
    <row r="15" ht="10.5" customHeight="1">
      <c r="A15" s="1"/>
      <c r="B15" s="48" t="s">
        <v>276</v>
      </c>
      <c r="C15" s="366">
        <v>8.7</v>
      </c>
      <c r="D15" s="178">
        <v>3195.0</v>
      </c>
      <c r="E15" s="524">
        <v>200.0</v>
      </c>
      <c r="F15" s="54">
        <v>119.0</v>
      </c>
      <c r="G15" s="571"/>
      <c r="H15" s="1"/>
      <c r="I15" s="1"/>
      <c r="J15" s="1"/>
      <c r="K15" s="1"/>
      <c r="L15" s="1"/>
      <c r="M15" s="1"/>
      <c r="N15" s="1"/>
      <c r="O15" s="1"/>
      <c r="P15" s="1"/>
      <c r="Q15" s="1"/>
      <c r="R15" s="1"/>
      <c r="S15" s="1"/>
      <c r="T15" s="1"/>
      <c r="U15" s="1"/>
      <c r="V15" s="1"/>
      <c r="W15" s="1"/>
      <c r="X15" s="1"/>
      <c r="Y15" s="1"/>
      <c r="Z15" s="1"/>
    </row>
    <row r="16" ht="10.5" customHeight="1">
      <c r="A16" s="1"/>
      <c r="B16" s="48"/>
      <c r="C16" s="366"/>
      <c r="D16" s="178"/>
      <c r="E16" s="524"/>
      <c r="F16" s="54"/>
      <c r="G16" s="571"/>
      <c r="H16" s="1"/>
      <c r="I16" s="1"/>
      <c r="J16" s="1"/>
      <c r="K16" s="1"/>
      <c r="L16" s="1"/>
      <c r="M16" s="1"/>
      <c r="N16" s="1"/>
      <c r="O16" s="1"/>
      <c r="P16" s="1"/>
      <c r="Q16" s="1"/>
      <c r="R16" s="1"/>
      <c r="S16" s="1"/>
      <c r="T16" s="1"/>
      <c r="U16" s="1"/>
      <c r="V16" s="1"/>
      <c r="W16" s="1"/>
      <c r="X16" s="1"/>
      <c r="Y16" s="1"/>
      <c r="Z16" s="1"/>
    </row>
    <row r="17" ht="10.5" customHeight="1">
      <c r="A17" s="1"/>
      <c r="B17" s="48" t="s">
        <v>56</v>
      </c>
      <c r="C17" s="366">
        <v>12.9</v>
      </c>
      <c r="D17" s="178">
        <v>2434.0</v>
      </c>
      <c r="E17" s="524">
        <v>158.0</v>
      </c>
      <c r="F17" s="54">
        <v>202.4</v>
      </c>
      <c r="G17" s="571"/>
      <c r="H17" s="1"/>
      <c r="I17" s="1"/>
      <c r="J17" s="1"/>
      <c r="K17" s="1"/>
      <c r="L17" s="1"/>
      <c r="M17" s="1"/>
      <c r="N17" s="1"/>
      <c r="O17" s="1"/>
      <c r="P17" s="1"/>
      <c r="Q17" s="1"/>
      <c r="R17" s="1"/>
      <c r="S17" s="1"/>
      <c r="T17" s="1"/>
      <c r="U17" s="1"/>
      <c r="V17" s="1"/>
      <c r="W17" s="1"/>
      <c r="X17" s="1"/>
      <c r="Y17" s="1"/>
      <c r="Z17" s="1"/>
    </row>
    <row r="18" ht="10.5" customHeight="1">
      <c r="A18" s="1"/>
      <c r="B18" s="48" t="s">
        <v>81</v>
      </c>
      <c r="C18" s="366">
        <v>12.9</v>
      </c>
      <c r="D18" s="178">
        <v>2558.0</v>
      </c>
      <c r="E18" s="524">
        <v>131.0</v>
      </c>
      <c r="F18" s="54">
        <v>212.2</v>
      </c>
      <c r="G18" s="571"/>
      <c r="H18" s="1"/>
      <c r="I18" s="1"/>
      <c r="J18" s="1"/>
      <c r="K18" s="1"/>
      <c r="L18" s="1"/>
      <c r="M18" s="1"/>
      <c r="N18" s="1"/>
      <c r="O18" s="1"/>
      <c r="P18" s="1"/>
      <c r="Q18" s="1"/>
      <c r="R18" s="1"/>
      <c r="S18" s="1"/>
      <c r="T18" s="1"/>
      <c r="U18" s="1"/>
      <c r="V18" s="1"/>
      <c r="W18" s="1"/>
      <c r="X18" s="1"/>
      <c r="Y18" s="1"/>
      <c r="Z18" s="1"/>
    </row>
    <row r="19" ht="10.5" customHeight="1">
      <c r="A19" s="1"/>
      <c r="B19" s="48" t="s">
        <v>86</v>
      </c>
      <c r="C19" s="366">
        <v>13.1</v>
      </c>
      <c r="D19" s="178">
        <v>2788.0</v>
      </c>
      <c r="E19" s="524">
        <v>144.0</v>
      </c>
      <c r="F19" s="54">
        <v>211.4</v>
      </c>
      <c r="G19" s="571"/>
      <c r="H19" s="1"/>
      <c r="I19" s="1"/>
      <c r="J19" s="1"/>
      <c r="K19" s="1"/>
      <c r="L19" s="1"/>
      <c r="M19" s="1"/>
      <c r="N19" s="1"/>
      <c r="O19" s="1"/>
      <c r="P19" s="1"/>
      <c r="Q19" s="1"/>
      <c r="R19" s="1"/>
      <c r="S19" s="1"/>
      <c r="T19" s="1"/>
      <c r="U19" s="1"/>
      <c r="V19" s="1"/>
      <c r="W19" s="1"/>
      <c r="X19" s="1"/>
      <c r="Y19" s="1"/>
      <c r="Z19" s="1"/>
    </row>
    <row r="20" ht="10.5" customHeight="1">
      <c r="A20" s="1"/>
      <c r="B20" s="48" t="s">
        <v>87</v>
      </c>
      <c r="C20" s="366">
        <v>12.7</v>
      </c>
      <c r="D20" s="178">
        <v>2853.0</v>
      </c>
      <c r="E20" s="524">
        <v>138.0</v>
      </c>
      <c r="F20" s="54">
        <v>222.9</v>
      </c>
      <c r="G20" s="571"/>
      <c r="H20" s="1"/>
      <c r="I20" s="1"/>
      <c r="J20" s="1"/>
      <c r="K20" s="1"/>
      <c r="L20" s="1"/>
      <c r="M20" s="1"/>
      <c r="N20" s="1"/>
      <c r="O20" s="1"/>
      <c r="P20" s="1"/>
      <c r="Q20" s="1"/>
      <c r="R20" s="1"/>
      <c r="S20" s="1"/>
      <c r="T20" s="1"/>
      <c r="U20" s="1"/>
      <c r="V20" s="1"/>
      <c r="W20" s="1"/>
      <c r="X20" s="1"/>
      <c r="Y20" s="1"/>
      <c r="Z20" s="1"/>
    </row>
    <row r="21" ht="10.5" customHeight="1">
      <c r="A21" s="1"/>
      <c r="B21" s="48" t="s">
        <v>90</v>
      </c>
      <c r="C21" s="366">
        <v>11.9</v>
      </c>
      <c r="D21" s="178">
        <v>2806.0</v>
      </c>
      <c r="E21" s="524">
        <v>146.0</v>
      </c>
      <c r="F21" s="54">
        <v>228.4</v>
      </c>
      <c r="G21" s="571"/>
      <c r="H21" s="1"/>
      <c r="I21" s="1"/>
      <c r="J21" s="1"/>
      <c r="K21" s="1"/>
      <c r="L21" s="1"/>
      <c r="M21" s="1"/>
      <c r="N21" s="1"/>
      <c r="O21" s="1"/>
      <c r="P21" s="1"/>
      <c r="Q21" s="1"/>
      <c r="R21" s="1"/>
      <c r="S21" s="1"/>
      <c r="T21" s="1"/>
      <c r="U21" s="1"/>
      <c r="V21" s="1"/>
      <c r="W21" s="1"/>
      <c r="X21" s="1"/>
      <c r="Y21" s="1"/>
      <c r="Z21" s="1"/>
    </row>
    <row r="22" ht="10.5" customHeight="1">
      <c r="A22" s="1"/>
      <c r="B22" s="48"/>
      <c r="C22" s="366"/>
      <c r="D22" s="178"/>
      <c r="E22" s="524"/>
      <c r="F22" s="54"/>
      <c r="G22" s="571"/>
      <c r="H22" s="1"/>
      <c r="I22" s="1"/>
      <c r="J22" s="1"/>
      <c r="K22" s="1"/>
      <c r="L22" s="1"/>
      <c r="M22" s="1"/>
      <c r="N22" s="1"/>
      <c r="O22" s="1"/>
      <c r="P22" s="1"/>
      <c r="Q22" s="1"/>
      <c r="R22" s="1"/>
      <c r="S22" s="1"/>
      <c r="T22" s="1"/>
      <c r="U22" s="1"/>
      <c r="V22" s="1"/>
      <c r="W22" s="1"/>
      <c r="X22" s="1"/>
      <c r="Y22" s="1"/>
      <c r="Z22" s="1"/>
    </row>
    <row r="23" ht="10.5" customHeight="1">
      <c r="A23" s="1"/>
      <c r="B23" s="48" t="s">
        <v>93</v>
      </c>
      <c r="C23" s="366">
        <v>12.0</v>
      </c>
      <c r="D23" s="178">
        <v>2682.0</v>
      </c>
      <c r="E23" s="524">
        <v>144.0</v>
      </c>
      <c r="F23" s="54">
        <v>257.3</v>
      </c>
      <c r="G23" s="571"/>
      <c r="H23" s="1"/>
      <c r="I23" s="1"/>
      <c r="J23" s="1"/>
      <c r="K23" s="1"/>
      <c r="L23" s="1"/>
      <c r="M23" s="1"/>
      <c r="N23" s="1"/>
      <c r="O23" s="1"/>
      <c r="P23" s="1"/>
      <c r="Q23" s="1"/>
      <c r="R23" s="1"/>
      <c r="S23" s="1"/>
      <c r="T23" s="1"/>
      <c r="U23" s="1"/>
      <c r="V23" s="1"/>
      <c r="W23" s="1"/>
      <c r="X23" s="1"/>
      <c r="Y23" s="1"/>
      <c r="Z23" s="1"/>
    </row>
    <row r="24" ht="10.5" customHeight="1">
      <c r="A24" s="1"/>
      <c r="B24" s="48" t="s">
        <v>97</v>
      </c>
      <c r="C24" s="366">
        <v>12.2</v>
      </c>
      <c r="D24" s="178">
        <v>2657.0</v>
      </c>
      <c r="E24" s="524">
        <v>126.0</v>
      </c>
      <c r="F24" s="54">
        <v>353.4</v>
      </c>
      <c r="G24" s="571"/>
      <c r="H24" s="1"/>
      <c r="I24" s="1"/>
      <c r="J24" s="1"/>
      <c r="K24" s="1"/>
      <c r="L24" s="1"/>
      <c r="M24" s="1"/>
      <c r="N24" s="1"/>
      <c r="O24" s="1"/>
      <c r="P24" s="1"/>
      <c r="Q24" s="1"/>
      <c r="R24" s="1"/>
      <c r="S24" s="1"/>
      <c r="T24" s="1"/>
      <c r="U24" s="1"/>
      <c r="V24" s="1"/>
      <c r="W24" s="1"/>
      <c r="X24" s="1"/>
      <c r="Y24" s="1"/>
      <c r="Z24" s="1"/>
    </row>
    <row r="25" ht="10.5" customHeight="1">
      <c r="A25" s="1"/>
      <c r="B25" s="48" t="s">
        <v>101</v>
      </c>
      <c r="C25" s="366">
        <v>12.4</v>
      </c>
      <c r="D25" s="178">
        <v>2266.0</v>
      </c>
      <c r="E25" s="524">
        <v>99.0</v>
      </c>
      <c r="F25" s="54">
        <v>451.6</v>
      </c>
      <c r="G25" s="571"/>
      <c r="H25" s="1"/>
      <c r="I25" s="1"/>
      <c r="J25" s="1"/>
      <c r="K25" s="1"/>
      <c r="L25" s="1"/>
      <c r="M25" s="1"/>
      <c r="N25" s="1"/>
      <c r="O25" s="1"/>
      <c r="P25" s="1"/>
      <c r="Q25" s="1"/>
      <c r="R25" s="1"/>
      <c r="S25" s="1"/>
      <c r="T25" s="1"/>
      <c r="U25" s="1"/>
      <c r="V25" s="1"/>
      <c r="W25" s="1"/>
      <c r="X25" s="1"/>
      <c r="Y25" s="1"/>
      <c r="Z25" s="1"/>
    </row>
    <row r="26" ht="10.5" customHeight="1">
      <c r="A26" s="1"/>
      <c r="B26" s="48" t="s">
        <v>103</v>
      </c>
      <c r="C26" s="366">
        <v>12.8</v>
      </c>
      <c r="D26" s="178">
        <v>2237.0</v>
      </c>
      <c r="E26" s="524">
        <v>88.0</v>
      </c>
      <c r="F26" s="54">
        <v>482.6</v>
      </c>
      <c r="G26" s="571"/>
      <c r="H26" s="1"/>
      <c r="I26" s="1"/>
      <c r="J26" s="1"/>
      <c r="K26" s="1"/>
      <c r="L26" s="1"/>
      <c r="M26" s="1"/>
      <c r="N26" s="1"/>
      <c r="O26" s="1"/>
      <c r="P26" s="1"/>
      <c r="Q26" s="1"/>
      <c r="R26" s="1"/>
      <c r="S26" s="1"/>
      <c r="T26" s="1"/>
      <c r="U26" s="1"/>
      <c r="V26" s="1"/>
      <c r="W26" s="1"/>
      <c r="X26" s="1"/>
      <c r="Y26" s="1"/>
      <c r="Z26" s="1"/>
    </row>
    <row r="27" ht="10.5" customHeight="1">
      <c r="A27" s="1"/>
      <c r="B27" s="48" t="s">
        <v>104</v>
      </c>
      <c r="C27" s="366">
        <v>13.3</v>
      </c>
      <c r="D27" s="178">
        <v>2573.0</v>
      </c>
      <c r="E27" s="524">
        <v>93.0</v>
      </c>
      <c r="F27" s="54">
        <v>473.6</v>
      </c>
      <c r="G27" s="571"/>
      <c r="H27" s="1"/>
      <c r="I27" s="1"/>
      <c r="J27" s="1"/>
      <c r="K27" s="1"/>
      <c r="L27" s="1"/>
      <c r="M27" s="1"/>
      <c r="N27" s="1"/>
      <c r="O27" s="1"/>
      <c r="P27" s="1"/>
      <c r="Q27" s="1"/>
      <c r="R27" s="1"/>
      <c r="S27" s="1"/>
      <c r="T27" s="1"/>
      <c r="U27" s="1"/>
      <c r="V27" s="1"/>
      <c r="W27" s="1"/>
      <c r="X27" s="1"/>
      <c r="Y27" s="1"/>
      <c r="Z27" s="1"/>
    </row>
    <row r="28" ht="10.5" customHeight="1">
      <c r="A28" s="1"/>
      <c r="B28" s="48"/>
      <c r="C28" s="366"/>
      <c r="D28" s="178"/>
      <c r="E28" s="524"/>
      <c r="F28" s="54"/>
      <c r="G28" s="571"/>
      <c r="H28" s="1"/>
      <c r="I28" s="1"/>
      <c r="J28" s="1"/>
      <c r="K28" s="1"/>
      <c r="L28" s="1"/>
      <c r="M28" s="1"/>
      <c r="N28" s="1"/>
      <c r="O28" s="1"/>
      <c r="P28" s="1"/>
      <c r="Q28" s="1"/>
      <c r="R28" s="1"/>
      <c r="S28" s="1"/>
      <c r="T28" s="1"/>
      <c r="U28" s="1"/>
      <c r="V28" s="1"/>
      <c r="W28" s="1"/>
      <c r="X28" s="1"/>
      <c r="Y28" s="1"/>
      <c r="Z28" s="1"/>
    </row>
    <row r="29" ht="10.5" customHeight="1">
      <c r="A29" s="1"/>
      <c r="B29" s="48" t="s">
        <v>108</v>
      </c>
      <c r="C29" s="366">
        <v>13.5</v>
      </c>
      <c r="D29" s="178">
        <v>2844.0</v>
      </c>
      <c r="E29" s="524">
        <v>106.0</v>
      </c>
      <c r="F29" s="54">
        <v>474.9</v>
      </c>
      <c r="G29" s="571"/>
      <c r="H29" s="1"/>
      <c r="I29" s="1"/>
      <c r="J29" s="1"/>
      <c r="K29" s="1"/>
      <c r="L29" s="1"/>
      <c r="M29" s="1"/>
      <c r="N29" s="1"/>
      <c r="O29" s="1"/>
      <c r="P29" s="1"/>
      <c r="Q29" s="1"/>
      <c r="R29" s="1"/>
      <c r="S29" s="1"/>
      <c r="T29" s="1"/>
      <c r="U29" s="1"/>
      <c r="V29" s="1"/>
      <c r="W29" s="1"/>
      <c r="X29" s="1"/>
      <c r="Y29" s="1"/>
      <c r="Z29" s="1"/>
    </row>
    <row r="30" ht="10.5" customHeight="1">
      <c r="A30" s="1"/>
      <c r="B30" s="48" t="s">
        <v>111</v>
      </c>
      <c r="C30" s="366">
        <v>13.5</v>
      </c>
      <c r="D30" s="178">
        <v>2970.0</v>
      </c>
      <c r="E30" s="524">
        <v>109.0</v>
      </c>
      <c r="F30" s="54">
        <v>522.0</v>
      </c>
      <c r="G30" s="571"/>
      <c r="H30" s="1"/>
      <c r="I30" s="1"/>
      <c r="J30" s="1"/>
      <c r="K30" s="1"/>
      <c r="L30" s="1"/>
      <c r="M30" s="1"/>
      <c r="N30" s="1"/>
      <c r="O30" s="1"/>
      <c r="P30" s="1"/>
      <c r="Q30" s="1"/>
      <c r="R30" s="1"/>
      <c r="S30" s="1"/>
      <c r="T30" s="1"/>
      <c r="U30" s="1"/>
      <c r="V30" s="1"/>
      <c r="W30" s="1"/>
      <c r="X30" s="1"/>
      <c r="Y30" s="1"/>
      <c r="Z30" s="1"/>
    </row>
    <row r="31" ht="10.5" customHeight="1">
      <c r="A31" s="1"/>
      <c r="B31" s="48" t="s">
        <v>112</v>
      </c>
      <c r="C31" s="366">
        <v>13.1</v>
      </c>
      <c r="D31" s="178">
        <v>2960.0</v>
      </c>
      <c r="E31" s="524">
        <v>111.0</v>
      </c>
      <c r="F31" s="54">
        <v>521.4</v>
      </c>
      <c r="G31" s="571"/>
      <c r="H31" s="1"/>
      <c r="I31" s="1"/>
      <c r="J31" s="1"/>
      <c r="K31" s="1"/>
      <c r="L31" s="1"/>
      <c r="M31" s="1"/>
      <c r="N31" s="1"/>
      <c r="O31" s="1"/>
      <c r="P31" s="1"/>
      <c r="Q31" s="1"/>
      <c r="R31" s="1"/>
      <c r="S31" s="1"/>
      <c r="T31" s="1"/>
      <c r="U31" s="1"/>
      <c r="V31" s="1"/>
      <c r="W31" s="1"/>
      <c r="X31" s="1"/>
      <c r="Y31" s="1"/>
      <c r="Z31" s="1"/>
    </row>
    <row r="32" ht="10.5" customHeight="1">
      <c r="A32" s="1"/>
      <c r="B32" s="48" t="s">
        <v>113</v>
      </c>
      <c r="C32" s="366">
        <v>12.5</v>
      </c>
      <c r="D32" s="178">
        <v>2629.0</v>
      </c>
      <c r="E32" s="524">
        <v>95.0</v>
      </c>
      <c r="F32" s="54">
        <v>599.6</v>
      </c>
      <c r="G32" s="571"/>
      <c r="H32" s="1"/>
      <c r="I32" s="1"/>
      <c r="J32" s="1"/>
      <c r="K32" s="1"/>
      <c r="L32" s="1"/>
      <c r="M32" s="1"/>
      <c r="N32" s="1"/>
      <c r="O32" s="1"/>
      <c r="P32" s="1"/>
      <c r="Q32" s="1"/>
      <c r="R32" s="1"/>
      <c r="S32" s="1"/>
      <c r="T32" s="1"/>
      <c r="U32" s="1"/>
      <c r="V32" s="1"/>
      <c r="W32" s="1"/>
      <c r="X32" s="1"/>
      <c r="Y32" s="1"/>
      <c r="Z32" s="1"/>
    </row>
    <row r="33" ht="10.5" customHeight="1">
      <c r="A33" s="1"/>
      <c r="B33" s="48" t="s">
        <v>114</v>
      </c>
      <c r="C33" s="366">
        <v>12.6</v>
      </c>
      <c r="D33" s="178">
        <v>2112.0</v>
      </c>
      <c r="E33" s="524">
        <v>70.0</v>
      </c>
      <c r="F33" s="54">
        <v>823.4</v>
      </c>
      <c r="G33" s="571"/>
      <c r="H33" s="1"/>
      <c r="I33" s="1"/>
      <c r="J33" s="1"/>
      <c r="K33" s="1"/>
      <c r="L33" s="1"/>
      <c r="M33" s="1"/>
      <c r="N33" s="1"/>
      <c r="O33" s="1"/>
      <c r="P33" s="1"/>
      <c r="Q33" s="1"/>
      <c r="R33" s="1"/>
      <c r="S33" s="1"/>
      <c r="T33" s="1"/>
      <c r="U33" s="1"/>
      <c r="V33" s="1"/>
      <c r="W33" s="1"/>
      <c r="X33" s="1"/>
      <c r="Y33" s="1"/>
      <c r="Z33" s="1"/>
    </row>
    <row r="34" ht="10.5" customHeight="1">
      <c r="A34" s="1"/>
      <c r="B34" s="48"/>
      <c r="C34" s="366"/>
      <c r="D34" s="178"/>
      <c r="E34" s="524"/>
      <c r="F34" s="54"/>
      <c r="G34" s="571"/>
      <c r="H34" s="1"/>
      <c r="I34" s="1"/>
      <c r="J34" s="1"/>
      <c r="K34" s="1"/>
      <c r="L34" s="1"/>
      <c r="M34" s="1"/>
      <c r="N34" s="1"/>
      <c r="O34" s="1"/>
      <c r="P34" s="1"/>
      <c r="Q34" s="1"/>
      <c r="R34" s="1"/>
      <c r="S34" s="1"/>
      <c r="T34" s="1"/>
      <c r="U34" s="1"/>
      <c r="V34" s="1"/>
      <c r="W34" s="1"/>
      <c r="X34" s="1"/>
      <c r="Y34" s="1"/>
      <c r="Z34" s="1"/>
    </row>
    <row r="35" ht="10.5" customHeight="1">
      <c r="A35" s="1"/>
      <c r="B35" s="48" t="s">
        <v>115</v>
      </c>
      <c r="C35" s="366">
        <v>13.0</v>
      </c>
      <c r="D35" s="178">
        <v>2171.0</v>
      </c>
      <c r="E35" s="524">
        <v>71.0</v>
      </c>
      <c r="F35" s="54">
        <v>752.7</v>
      </c>
      <c r="G35" s="571"/>
      <c r="H35" s="1"/>
      <c r="I35" s="480"/>
      <c r="J35" s="1"/>
      <c r="K35" s="1"/>
      <c r="L35" s="1"/>
      <c r="M35" s="1"/>
      <c r="N35" s="1"/>
      <c r="O35" s="1"/>
      <c r="P35" s="1"/>
      <c r="Q35" s="1"/>
      <c r="R35" s="1"/>
      <c r="S35" s="1"/>
      <c r="T35" s="1"/>
      <c r="U35" s="1"/>
      <c r="V35" s="1"/>
      <c r="W35" s="1"/>
      <c r="X35" s="1"/>
      <c r="Y35" s="1"/>
      <c r="Z35" s="1"/>
    </row>
    <row r="36" ht="10.5" customHeight="1">
      <c r="A36" s="1"/>
      <c r="B36" s="48" t="s">
        <v>117</v>
      </c>
      <c r="C36" s="366">
        <v>13.4</v>
      </c>
      <c r="D36" s="178">
        <v>2118.0</v>
      </c>
      <c r="E36" s="524">
        <v>67.0</v>
      </c>
      <c r="F36" s="54">
        <v>820.9</v>
      </c>
      <c r="G36" s="571"/>
      <c r="H36" s="1"/>
      <c r="I36" s="1"/>
      <c r="J36" s="1"/>
      <c r="K36" s="1"/>
      <c r="L36" s="1"/>
      <c r="M36" s="1"/>
      <c r="N36" s="1"/>
      <c r="O36" s="1"/>
      <c r="P36" s="1"/>
      <c r="Q36" s="1"/>
      <c r="R36" s="1"/>
      <c r="S36" s="1"/>
      <c r="T36" s="1"/>
      <c r="U36" s="1"/>
      <c r="V36" s="1"/>
      <c r="W36" s="1"/>
      <c r="X36" s="1"/>
      <c r="Y36" s="1"/>
      <c r="Z36" s="1"/>
    </row>
    <row r="37" ht="10.5" customHeight="1">
      <c r="A37" s="1"/>
      <c r="B37" s="48" t="s">
        <v>121</v>
      </c>
      <c r="C37" s="366">
        <v>13.7</v>
      </c>
      <c r="D37" s="178">
        <v>2095.0</v>
      </c>
      <c r="E37" s="524">
        <v>64.0</v>
      </c>
      <c r="F37" s="54">
        <v>820.6</v>
      </c>
      <c r="G37" s="571"/>
      <c r="H37" s="1"/>
      <c r="I37" s="1"/>
      <c r="J37" s="1"/>
      <c r="K37" s="1"/>
      <c r="L37" s="1"/>
      <c r="M37" s="1"/>
      <c r="N37" s="1"/>
      <c r="O37" s="1"/>
      <c r="P37" s="1"/>
      <c r="Q37" s="1"/>
      <c r="R37" s="1"/>
      <c r="S37" s="1"/>
      <c r="T37" s="1"/>
      <c r="U37" s="1"/>
      <c r="V37" s="1"/>
      <c r="W37" s="1"/>
      <c r="X37" s="1"/>
      <c r="Y37" s="1"/>
      <c r="Z37" s="1"/>
    </row>
    <row r="38" ht="10.5" customHeight="1">
      <c r="A38" s="1"/>
      <c r="B38" s="48" t="s">
        <v>122</v>
      </c>
      <c r="C38" s="366">
        <v>13.8</v>
      </c>
      <c r="D38" s="178">
        <v>2197.0</v>
      </c>
      <c r="E38" s="524">
        <v>61.0</v>
      </c>
      <c r="F38" s="54">
        <v>786.8</v>
      </c>
      <c r="G38" s="571"/>
      <c r="H38" s="1"/>
      <c r="I38" s="1"/>
      <c r="J38" s="1"/>
      <c r="K38" s="1"/>
      <c r="L38" s="1"/>
      <c r="M38" s="1"/>
      <c r="N38" s="1"/>
      <c r="O38" s="1"/>
      <c r="P38" s="1"/>
      <c r="Q38" s="1"/>
      <c r="R38" s="1"/>
      <c r="S38" s="1"/>
      <c r="T38" s="1"/>
      <c r="U38" s="1"/>
      <c r="V38" s="1"/>
      <c r="W38" s="1"/>
      <c r="X38" s="1"/>
      <c r="Y38" s="1"/>
      <c r="Z38" s="1"/>
    </row>
    <row r="39" ht="10.5" customHeight="1">
      <c r="A39" s="1"/>
      <c r="B39" s="48" t="s">
        <v>123</v>
      </c>
      <c r="C39" s="366">
        <v>13.6</v>
      </c>
      <c r="D39" s="178">
        <v>2666.0</v>
      </c>
      <c r="E39" s="524">
        <v>60.0</v>
      </c>
      <c r="F39" s="54">
        <v>837.9</v>
      </c>
      <c r="G39" s="571"/>
      <c r="H39" s="1"/>
      <c r="I39" s="1"/>
      <c r="J39" s="1"/>
      <c r="K39" s="1"/>
      <c r="L39" s="1"/>
      <c r="M39" s="1"/>
      <c r="N39" s="1"/>
      <c r="O39" s="1"/>
      <c r="P39" s="1"/>
      <c r="Q39" s="1"/>
      <c r="R39" s="1"/>
      <c r="S39" s="1"/>
      <c r="T39" s="1"/>
      <c r="U39" s="1"/>
      <c r="V39" s="1"/>
      <c r="W39" s="1"/>
      <c r="X39" s="1"/>
      <c r="Y39" s="1"/>
      <c r="Z39" s="1"/>
    </row>
    <row r="40" ht="10.5" customHeight="1">
      <c r="A40" s="1"/>
      <c r="B40" s="48"/>
      <c r="C40" s="366"/>
      <c r="D40" s="178"/>
      <c r="E40" s="524"/>
      <c r="F40" s="54"/>
      <c r="G40" s="571"/>
      <c r="H40" s="1"/>
      <c r="I40" s="1"/>
      <c r="J40" s="1"/>
      <c r="K40" s="1"/>
      <c r="L40" s="1"/>
      <c r="M40" s="1"/>
      <c r="N40" s="1"/>
      <c r="O40" s="1"/>
      <c r="P40" s="1"/>
      <c r="Q40" s="1"/>
      <c r="R40" s="1"/>
      <c r="S40" s="1"/>
      <c r="T40" s="1"/>
      <c r="U40" s="1"/>
      <c r="V40" s="1"/>
      <c r="W40" s="1"/>
      <c r="X40" s="1"/>
      <c r="Y40" s="1"/>
      <c r="Z40" s="1"/>
    </row>
    <row r="41" ht="10.5" customHeight="1">
      <c r="A41" s="1"/>
      <c r="B41" s="48" t="s">
        <v>125</v>
      </c>
      <c r="C41" s="366">
        <v>13.5</v>
      </c>
      <c r="D41" s="178">
        <v>2247.0</v>
      </c>
      <c r="E41" s="524">
        <v>55.0</v>
      </c>
      <c r="F41" s="54">
        <v>837.7</v>
      </c>
      <c r="G41" s="583"/>
      <c r="H41" s="1"/>
      <c r="I41" s="1"/>
      <c r="J41" s="1"/>
      <c r="K41" s="1"/>
      <c r="L41" s="1"/>
      <c r="M41" s="1"/>
      <c r="N41" s="1"/>
      <c r="O41" s="1"/>
      <c r="P41" s="1"/>
      <c r="Q41" s="1"/>
      <c r="R41" s="1"/>
      <c r="S41" s="1"/>
      <c r="T41" s="1"/>
      <c r="U41" s="1"/>
      <c r="V41" s="1"/>
      <c r="W41" s="1"/>
      <c r="X41" s="1"/>
      <c r="Y41" s="1"/>
      <c r="Z41" s="1"/>
    </row>
    <row r="42" ht="10.5" customHeight="1">
      <c r="A42" s="1"/>
      <c r="B42" s="48" t="s">
        <v>127</v>
      </c>
      <c r="C42" s="366">
        <v>13.5</v>
      </c>
      <c r="D42" s="178">
        <v>2452.0</v>
      </c>
      <c r="E42" s="524">
        <v>58.0</v>
      </c>
      <c r="F42" s="54">
        <v>1000.0</v>
      </c>
      <c r="G42" s="583"/>
      <c r="H42" s="1"/>
      <c r="I42" s="1"/>
      <c r="J42" s="1"/>
      <c r="K42" s="1"/>
      <c r="L42" s="1"/>
      <c r="M42" s="1"/>
      <c r="N42" s="1"/>
      <c r="O42" s="1"/>
      <c r="P42" s="1"/>
      <c r="Q42" s="1"/>
      <c r="R42" s="1"/>
      <c r="S42" s="1"/>
      <c r="T42" s="1"/>
      <c r="U42" s="1"/>
      <c r="V42" s="1"/>
      <c r="W42" s="1"/>
      <c r="X42" s="1"/>
      <c r="Y42" s="1"/>
      <c r="Z42" s="1"/>
    </row>
    <row r="43" ht="10.5" customHeight="1">
      <c r="A43" s="1"/>
      <c r="B43" s="48" t="s">
        <v>128</v>
      </c>
      <c r="C43" s="366">
        <v>13.6</v>
      </c>
      <c r="D43" s="178">
        <v>2478.0</v>
      </c>
      <c r="E43" s="524">
        <v>57.0</v>
      </c>
      <c r="F43" s="54">
        <v>1277.5</v>
      </c>
      <c r="G43" s="583"/>
      <c r="H43" s="1"/>
      <c r="I43" s="1"/>
      <c r="J43" s="1"/>
      <c r="K43" s="1"/>
      <c r="L43" s="1"/>
      <c r="M43" s="1"/>
      <c r="N43" s="1"/>
      <c r="O43" s="1"/>
      <c r="P43" s="1"/>
      <c r="Q43" s="1"/>
      <c r="R43" s="1"/>
      <c r="S43" s="1"/>
      <c r="T43" s="1"/>
      <c r="U43" s="1"/>
      <c r="V43" s="1"/>
      <c r="W43" s="1"/>
      <c r="X43" s="1"/>
      <c r="Y43" s="1"/>
      <c r="Z43" s="1"/>
    </row>
    <row r="44" ht="10.5" customHeight="1">
      <c r="A44" s="1"/>
      <c r="B44" s="224" t="s">
        <v>129</v>
      </c>
      <c r="C44" s="366">
        <v>13.5</v>
      </c>
      <c r="D44" s="178">
        <v>2545.0</v>
      </c>
      <c r="E44" s="524">
        <v>57.0</v>
      </c>
      <c r="F44" s="54">
        <v>1325.5</v>
      </c>
      <c r="G44" s="583"/>
      <c r="H44" s="1"/>
      <c r="I44" s="1"/>
      <c r="J44" s="1"/>
      <c r="K44" s="1"/>
      <c r="L44" s="1"/>
      <c r="M44" s="1"/>
      <c r="N44" s="1"/>
      <c r="O44" s="1"/>
      <c r="P44" s="1"/>
      <c r="Q44" s="1"/>
      <c r="R44" s="1"/>
      <c r="S44" s="1"/>
      <c r="T44" s="1"/>
      <c r="U44" s="1"/>
      <c r="V44" s="1"/>
      <c r="W44" s="1"/>
      <c r="X44" s="1"/>
      <c r="Y44" s="1"/>
      <c r="Z44" s="1"/>
    </row>
    <row r="45" ht="10.5" customHeight="1">
      <c r="A45" s="1"/>
      <c r="B45" s="224" t="s">
        <v>130</v>
      </c>
      <c r="C45" s="585">
        <v>13.5</v>
      </c>
      <c r="D45" s="178">
        <v>2616.0</v>
      </c>
      <c r="E45" s="524">
        <v>57.0</v>
      </c>
      <c r="F45" s="54">
        <v>1436.3</v>
      </c>
      <c r="G45" s="583"/>
      <c r="H45" s="1"/>
      <c r="I45" s="1"/>
      <c r="J45" s="1"/>
      <c r="K45" s="1"/>
      <c r="L45" s="1"/>
      <c r="M45" s="1"/>
      <c r="N45" s="1"/>
      <c r="O45" s="1"/>
      <c r="P45" s="1"/>
      <c r="Q45" s="1"/>
      <c r="R45" s="1"/>
      <c r="S45" s="1"/>
      <c r="T45" s="1"/>
      <c r="U45" s="1"/>
      <c r="V45" s="1"/>
      <c r="W45" s="1"/>
      <c r="X45" s="1"/>
      <c r="Y45" s="1"/>
      <c r="Z45" s="1"/>
    </row>
    <row r="46" ht="10.5" customHeight="1">
      <c r="A46" s="1"/>
      <c r="B46" s="225"/>
      <c r="C46" s="585"/>
      <c r="D46" s="178"/>
      <c r="E46" s="524"/>
      <c r="F46" s="54"/>
      <c r="G46" s="583"/>
      <c r="H46" s="1"/>
      <c r="I46" s="1"/>
      <c r="J46" s="1"/>
      <c r="K46" s="1"/>
      <c r="L46" s="1"/>
      <c r="M46" s="1"/>
      <c r="N46" s="1"/>
      <c r="O46" s="1"/>
      <c r="P46" s="1"/>
      <c r="Q46" s="1"/>
      <c r="R46" s="1"/>
      <c r="S46" s="1"/>
      <c r="T46" s="1"/>
      <c r="U46" s="1"/>
      <c r="V46" s="1"/>
      <c r="W46" s="1"/>
      <c r="X46" s="1"/>
      <c r="Y46" s="1"/>
      <c r="Z46" s="1"/>
    </row>
    <row r="47" ht="10.5" customHeight="1">
      <c r="A47" s="1"/>
      <c r="B47" s="225" t="s">
        <v>131</v>
      </c>
      <c r="C47" s="585">
        <v>13.5</v>
      </c>
      <c r="D47" s="178">
        <v>2985.0</v>
      </c>
      <c r="E47" s="543">
        <v>41.0</v>
      </c>
      <c r="F47" s="54">
        <v>1647.2</v>
      </c>
      <c r="G47" s="583"/>
      <c r="H47" s="1"/>
      <c r="I47" s="1"/>
      <c r="J47" s="1"/>
      <c r="K47" s="1"/>
      <c r="L47" s="1"/>
      <c r="M47" s="1"/>
      <c r="N47" s="1"/>
      <c r="O47" s="1"/>
      <c r="P47" s="1"/>
      <c r="Q47" s="1"/>
      <c r="R47" s="1"/>
      <c r="S47" s="1"/>
      <c r="T47" s="1"/>
      <c r="U47" s="1"/>
      <c r="V47" s="1"/>
      <c r="W47" s="1"/>
      <c r="X47" s="1"/>
      <c r="Y47" s="1"/>
      <c r="Z47" s="1"/>
    </row>
    <row r="48" ht="10.5" customHeight="1">
      <c r="A48" s="1"/>
      <c r="B48" s="225" t="s">
        <v>133</v>
      </c>
      <c r="C48" s="585">
        <v>13.9</v>
      </c>
      <c r="D48" s="178">
        <v>3060.0</v>
      </c>
      <c r="E48" s="543">
        <v>38.0</v>
      </c>
      <c r="F48" s="54">
        <v>2097.5</v>
      </c>
      <c r="G48" s="589"/>
      <c r="H48" s="1"/>
      <c r="I48" s="1"/>
      <c r="J48" s="1"/>
      <c r="K48" s="1"/>
      <c r="L48" s="1"/>
      <c r="M48" s="1"/>
      <c r="N48" s="1"/>
      <c r="O48" s="1"/>
      <c r="P48" s="1"/>
      <c r="Q48" s="1"/>
      <c r="R48" s="1"/>
      <c r="S48" s="1"/>
      <c r="T48" s="1"/>
      <c r="U48" s="1"/>
      <c r="V48" s="1"/>
      <c r="W48" s="1"/>
      <c r="X48" s="1"/>
      <c r="Y48" s="1"/>
      <c r="Z48" s="1"/>
    </row>
    <row r="49" ht="10.5" customHeight="1">
      <c r="A49" s="1"/>
      <c r="B49" s="225" t="s">
        <v>134</v>
      </c>
      <c r="C49" s="585">
        <v>13.9</v>
      </c>
      <c r="D49" s="178">
        <v>2742.0</v>
      </c>
      <c r="E49" s="543">
        <v>34.0</v>
      </c>
      <c r="F49" s="54">
        <v>2087.6</v>
      </c>
      <c r="G49" s="583"/>
      <c r="H49" s="1"/>
      <c r="I49" s="1"/>
      <c r="J49" s="1"/>
      <c r="K49" s="1"/>
      <c r="L49" s="1"/>
      <c r="M49" s="1"/>
      <c r="N49" s="1"/>
      <c r="O49" s="1"/>
      <c r="P49" s="1"/>
      <c r="Q49" s="1"/>
      <c r="R49" s="1"/>
      <c r="S49" s="1"/>
      <c r="T49" s="1"/>
      <c r="U49" s="1"/>
      <c r="V49" s="1"/>
      <c r="W49" s="1"/>
      <c r="X49" s="1"/>
      <c r="Y49" s="1"/>
      <c r="Z49" s="1"/>
    </row>
    <row r="50" ht="10.5" customHeight="1">
      <c r="A50" s="1"/>
      <c r="B50" s="293">
        <v>39692.0</v>
      </c>
      <c r="C50" s="585">
        <v>13.8</v>
      </c>
      <c r="D50" s="178">
        <v>2838.0</v>
      </c>
      <c r="E50" s="543">
        <v>31.0</v>
      </c>
      <c r="F50" s="54">
        <v>2215.1</v>
      </c>
      <c r="G50" s="583"/>
      <c r="H50" s="1"/>
      <c r="I50" s="1"/>
      <c r="J50" s="1"/>
      <c r="K50" s="1"/>
      <c r="L50" s="1"/>
      <c r="M50" s="1"/>
      <c r="N50" s="1"/>
      <c r="O50" s="1"/>
      <c r="P50" s="1"/>
      <c r="Q50" s="1"/>
      <c r="R50" s="1"/>
      <c r="S50" s="1"/>
      <c r="T50" s="1"/>
      <c r="U50" s="1"/>
      <c r="V50" s="1"/>
      <c r="W50" s="1"/>
      <c r="X50" s="1"/>
      <c r="Y50" s="1"/>
      <c r="Z50" s="1"/>
    </row>
    <row r="51" ht="10.5" customHeight="1">
      <c r="A51" s="1"/>
      <c r="B51" s="293">
        <v>40087.0</v>
      </c>
      <c r="C51" s="585">
        <v>13.7</v>
      </c>
      <c r="D51" s="178">
        <v>2953.0</v>
      </c>
      <c r="E51" s="132">
        <v>29.0</v>
      </c>
      <c r="F51" s="54">
        <v>2216.7</v>
      </c>
      <c r="G51" s="583"/>
      <c r="H51" s="1"/>
      <c r="I51" s="1"/>
      <c r="J51" s="1"/>
      <c r="K51" s="1"/>
      <c r="L51" s="1"/>
      <c r="M51" s="1"/>
      <c r="N51" s="1"/>
      <c r="O51" s="1"/>
      <c r="P51" s="1"/>
      <c r="Q51" s="1"/>
      <c r="R51" s="1"/>
      <c r="S51" s="1"/>
      <c r="T51" s="1"/>
      <c r="U51" s="1"/>
      <c r="V51" s="1"/>
      <c r="W51" s="1"/>
      <c r="X51" s="1"/>
      <c r="Y51" s="1"/>
      <c r="Z51" s="1"/>
    </row>
    <row r="52" ht="10.5" customHeight="1">
      <c r="A52" s="1"/>
      <c r="B52" s="293"/>
      <c r="C52" s="585"/>
      <c r="D52" s="178"/>
      <c r="E52" s="543"/>
      <c r="F52" s="54"/>
      <c r="G52" s="583"/>
      <c r="H52" s="1"/>
      <c r="I52" s="1"/>
      <c r="J52" s="1"/>
      <c r="K52" s="1"/>
      <c r="L52" s="1"/>
      <c r="M52" s="1"/>
      <c r="N52" s="1"/>
      <c r="O52" s="1"/>
      <c r="P52" s="1"/>
      <c r="Q52" s="1"/>
      <c r="R52" s="1"/>
      <c r="S52" s="1"/>
      <c r="T52" s="1"/>
      <c r="U52" s="1"/>
      <c r="V52" s="1"/>
      <c r="W52" s="1"/>
      <c r="X52" s="1"/>
      <c r="Y52" s="1"/>
      <c r="Z52" s="1"/>
    </row>
    <row r="53" ht="10.5" customHeight="1">
      <c r="A53" s="1"/>
      <c r="B53" s="293">
        <v>40483.0</v>
      </c>
      <c r="C53" s="591">
        <v>13.7</v>
      </c>
      <c r="D53" s="592">
        <v>2924.0</v>
      </c>
      <c r="E53" s="593">
        <v>24.0</v>
      </c>
      <c r="F53" s="594">
        <v>2431.6</v>
      </c>
      <c r="G53" s="583"/>
      <c r="H53" s="1"/>
      <c r="I53" s="1"/>
      <c r="J53" s="1"/>
      <c r="K53" s="1"/>
      <c r="L53" s="1"/>
      <c r="M53" s="1"/>
      <c r="N53" s="1"/>
      <c r="O53" s="1"/>
      <c r="P53" s="1"/>
      <c r="Q53" s="1"/>
      <c r="R53" s="1"/>
      <c r="S53" s="1"/>
      <c r="T53" s="1"/>
      <c r="U53" s="1"/>
      <c r="V53" s="1"/>
      <c r="W53" s="1"/>
      <c r="X53" s="1"/>
      <c r="Y53" s="1"/>
      <c r="Z53" s="1"/>
    </row>
    <row r="54" ht="10.5" customHeight="1">
      <c r="A54" s="1"/>
      <c r="B54" s="293">
        <v>40878.0</v>
      </c>
      <c r="C54" s="591">
        <v>13.9</v>
      </c>
      <c r="D54" s="592">
        <v>2873.0</v>
      </c>
      <c r="E54" s="595">
        <v>22.0</v>
      </c>
      <c r="F54" s="594">
        <v>2843.0</v>
      </c>
      <c r="G54" s="583"/>
      <c r="H54" s="1"/>
      <c r="I54" s="1"/>
      <c r="J54" s="1"/>
      <c r="K54" s="1"/>
      <c r="L54" s="1"/>
      <c r="M54" s="1"/>
      <c r="N54" s="1"/>
      <c r="O54" s="1"/>
      <c r="P54" s="1"/>
      <c r="Q54" s="1"/>
      <c r="R54" s="1"/>
      <c r="S54" s="1"/>
      <c r="T54" s="1"/>
      <c r="U54" s="1"/>
      <c r="V54" s="1"/>
      <c r="W54" s="1"/>
      <c r="X54" s="1"/>
      <c r="Y54" s="1"/>
      <c r="Z54" s="1"/>
    </row>
    <row r="55" ht="10.5" customHeight="1">
      <c r="A55" s="1"/>
      <c r="B55" s="293" t="s">
        <v>149</v>
      </c>
      <c r="C55" s="591">
        <v>13.9</v>
      </c>
      <c r="D55" s="592">
        <v>3013.0</v>
      </c>
      <c r="E55" s="595">
        <v>22.0</v>
      </c>
      <c r="F55" s="594">
        <v>2880.1</v>
      </c>
      <c r="G55" s="583"/>
      <c r="H55" s="1"/>
      <c r="I55" s="1"/>
      <c r="J55" s="1"/>
      <c r="K55" s="1"/>
      <c r="L55" s="1"/>
      <c r="M55" s="1"/>
      <c r="N55" s="1"/>
      <c r="O55" s="1"/>
      <c r="P55" s="1"/>
      <c r="Q55" s="1"/>
      <c r="R55" s="1"/>
      <c r="S55" s="1"/>
      <c r="T55" s="1"/>
      <c r="U55" s="1"/>
      <c r="V55" s="1"/>
      <c r="W55" s="1"/>
      <c r="X55" s="1"/>
      <c r="Y55" s="1"/>
      <c r="Z55" s="1"/>
    </row>
    <row r="56" ht="10.5" customHeight="1">
      <c r="A56" s="1"/>
      <c r="B56" s="293" t="s">
        <v>151</v>
      </c>
      <c r="C56" s="591">
        <v>13.9</v>
      </c>
      <c r="D56" s="592">
        <v>3286.0</v>
      </c>
      <c r="E56" s="595">
        <v>21.0</v>
      </c>
      <c r="F56" s="594">
        <v>2927.4</v>
      </c>
      <c r="G56" s="583"/>
      <c r="H56" s="1"/>
      <c r="I56" s="1"/>
      <c r="J56" s="1"/>
      <c r="K56" s="1"/>
      <c r="L56" s="1"/>
      <c r="M56" s="1"/>
      <c r="N56" s="1"/>
      <c r="O56" s="1"/>
      <c r="P56" s="1"/>
      <c r="Q56" s="1"/>
      <c r="R56" s="1"/>
      <c r="S56" s="1"/>
      <c r="T56" s="1"/>
      <c r="U56" s="1"/>
      <c r="V56" s="1"/>
      <c r="W56" s="1"/>
      <c r="X56" s="1"/>
      <c r="Y56" s="1"/>
      <c r="Z56" s="1"/>
    </row>
    <row r="57" ht="10.5" customHeight="1">
      <c r="A57" s="1"/>
      <c r="B57" s="293" t="s">
        <v>153</v>
      </c>
      <c r="C57" s="591">
        <v>13.7</v>
      </c>
      <c r="D57" s="592">
        <v>3476.0</v>
      </c>
      <c r="E57" s="595">
        <v>21.0</v>
      </c>
      <c r="F57" s="594">
        <v>3254.4</v>
      </c>
      <c r="G57" s="583"/>
      <c r="H57" s="1"/>
      <c r="I57" s="1"/>
      <c r="J57" s="1"/>
      <c r="K57" s="1"/>
      <c r="L57" s="1"/>
      <c r="M57" s="1"/>
      <c r="N57" s="1"/>
      <c r="O57" s="1"/>
      <c r="P57" s="1"/>
      <c r="Q57" s="1"/>
      <c r="R57" s="1"/>
      <c r="S57" s="1"/>
      <c r="T57" s="1"/>
      <c r="U57" s="1"/>
      <c r="V57" s="1"/>
      <c r="W57" s="1"/>
      <c r="X57" s="1"/>
      <c r="Y57" s="1"/>
      <c r="Z57" s="1"/>
    </row>
    <row r="58" ht="10.5" customHeight="1">
      <c r="A58" s="1"/>
      <c r="B58" s="293"/>
      <c r="C58" s="591"/>
      <c r="D58" s="592"/>
      <c r="E58" s="595"/>
      <c r="F58" s="594"/>
      <c r="G58" s="583"/>
      <c r="H58" s="1"/>
      <c r="I58" s="1"/>
      <c r="J58" s="1"/>
      <c r="K58" s="1"/>
      <c r="L58" s="1"/>
      <c r="M58" s="1"/>
      <c r="N58" s="1"/>
      <c r="O58" s="1"/>
      <c r="P58" s="1"/>
      <c r="Q58" s="1"/>
      <c r="R58" s="1"/>
      <c r="S58" s="1"/>
      <c r="T58" s="1"/>
      <c r="U58" s="1"/>
      <c r="V58" s="1"/>
      <c r="W58" s="1"/>
      <c r="X58" s="1"/>
      <c r="Y58" s="1"/>
      <c r="Z58" s="1"/>
    </row>
    <row r="59" ht="10.5" customHeight="1">
      <c r="A59" s="1"/>
      <c r="B59" s="293" t="s">
        <v>155</v>
      </c>
      <c r="C59" s="591">
        <v>13.4</v>
      </c>
      <c r="D59" s="592">
        <v>3641.0</v>
      </c>
      <c r="E59" s="595">
        <v>21.0</v>
      </c>
      <c r="F59" s="594">
        <v>3517.0</v>
      </c>
      <c r="G59" s="583"/>
      <c r="H59" s="1"/>
      <c r="I59" s="1"/>
      <c r="J59" s="1"/>
      <c r="K59" s="1"/>
      <c r="L59" s="1"/>
      <c r="M59" s="1"/>
      <c r="N59" s="1"/>
      <c r="O59" s="1"/>
      <c r="P59" s="1"/>
      <c r="Q59" s="1"/>
      <c r="R59" s="1"/>
      <c r="S59" s="1"/>
      <c r="T59" s="1"/>
      <c r="U59" s="1"/>
      <c r="V59" s="1"/>
      <c r="W59" s="1"/>
      <c r="X59" s="1"/>
      <c r="Y59" s="1"/>
      <c r="Z59" s="1"/>
    </row>
    <row r="60" ht="10.5" customHeight="1">
      <c r="A60" s="1"/>
      <c r="B60" s="52" t="s">
        <v>160</v>
      </c>
      <c r="C60" s="597">
        <v>13.0</v>
      </c>
      <c r="D60" s="601">
        <v>3503.0</v>
      </c>
      <c r="E60" s="602">
        <v>20.0</v>
      </c>
      <c r="F60" s="603">
        <v>4015.0</v>
      </c>
      <c r="G60" s="583"/>
      <c r="H60" s="1"/>
      <c r="I60" s="1"/>
      <c r="J60" s="1"/>
      <c r="K60" s="1"/>
      <c r="L60" s="1"/>
      <c r="M60" s="1"/>
      <c r="N60" s="1"/>
      <c r="O60" s="1"/>
      <c r="P60" s="1"/>
      <c r="Q60" s="1"/>
      <c r="R60" s="1"/>
      <c r="S60" s="1"/>
      <c r="T60" s="1"/>
      <c r="U60" s="1"/>
      <c r="V60" s="1"/>
      <c r="W60" s="1"/>
      <c r="X60" s="1"/>
      <c r="Y60" s="1"/>
      <c r="Z60" s="1"/>
    </row>
    <row r="61" ht="6.0" customHeight="1">
      <c r="A61" s="1"/>
      <c r="B61" s="242"/>
      <c r="C61" s="604"/>
      <c r="D61" s="605"/>
      <c r="E61" s="606"/>
      <c r="F61" s="607"/>
      <c r="G61" s="608"/>
      <c r="H61" s="1"/>
      <c r="I61" s="1"/>
      <c r="J61" s="1"/>
      <c r="K61" s="1"/>
      <c r="L61" s="1"/>
      <c r="M61" s="1"/>
      <c r="N61" s="1"/>
      <c r="O61" s="1"/>
      <c r="P61" s="1"/>
      <c r="Q61" s="1"/>
      <c r="R61" s="1"/>
      <c r="S61" s="1"/>
      <c r="T61" s="1"/>
      <c r="U61" s="1"/>
      <c r="V61" s="1"/>
      <c r="W61" s="1"/>
      <c r="X61" s="1"/>
      <c r="Y61" s="1"/>
      <c r="Z61" s="1"/>
    </row>
    <row r="62" ht="9.75" customHeight="1">
      <c r="A62" s="1"/>
      <c r="B62" s="185" t="s">
        <v>983</v>
      </c>
      <c r="C62" s="186"/>
      <c r="D62" s="186"/>
      <c r="E62" s="186"/>
      <c r="F62" s="1"/>
      <c r="G62" s="1"/>
      <c r="H62" s="1"/>
      <c r="I62" s="1"/>
      <c r="J62" s="1"/>
      <c r="K62" s="1"/>
      <c r="L62" s="1"/>
      <c r="M62" s="1"/>
      <c r="N62" s="1"/>
      <c r="O62" s="1"/>
      <c r="P62" s="1"/>
      <c r="Q62" s="1"/>
      <c r="R62" s="1"/>
      <c r="S62" s="1"/>
      <c r="T62" s="1"/>
      <c r="U62" s="1"/>
      <c r="V62" s="1"/>
      <c r="W62" s="1"/>
      <c r="X62" s="1"/>
      <c r="Y62" s="1"/>
      <c r="Z62" s="1"/>
    </row>
    <row r="63" ht="10.5" customHeight="1">
      <c r="A63" s="1"/>
      <c r="B63" s="185" t="s">
        <v>984</v>
      </c>
      <c r="C63" s="186"/>
      <c r="D63" s="186"/>
      <c r="E63" s="186"/>
      <c r="F63" s="1"/>
      <c r="G63" s="1"/>
      <c r="H63" s="1"/>
      <c r="I63" s="1"/>
      <c r="J63" s="1"/>
      <c r="K63" s="1"/>
      <c r="L63" s="1"/>
      <c r="M63" s="1"/>
      <c r="N63" s="1"/>
      <c r="O63" s="1"/>
      <c r="P63" s="1"/>
      <c r="Q63" s="1"/>
      <c r="R63" s="1"/>
      <c r="S63" s="1"/>
      <c r="T63" s="1"/>
      <c r="U63" s="1"/>
      <c r="V63" s="1"/>
      <c r="W63" s="1"/>
      <c r="X63" s="1"/>
      <c r="Y63" s="1"/>
      <c r="Z63" s="1"/>
    </row>
    <row r="64" ht="10.5" customHeight="1">
      <c r="A64" s="1"/>
      <c r="B64" s="185" t="s">
        <v>985</v>
      </c>
      <c r="C64" s="186"/>
      <c r="D64" s="186"/>
      <c r="E64" s="186"/>
      <c r="F64" s="1"/>
      <c r="G64" s="1"/>
      <c r="H64" s="1"/>
      <c r="I64" s="1"/>
      <c r="J64" s="1"/>
      <c r="K64" s="1"/>
      <c r="L64" s="1"/>
      <c r="M64" s="1"/>
      <c r="N64" s="1"/>
      <c r="O64" s="1"/>
      <c r="P64" s="1"/>
      <c r="Q64" s="1"/>
      <c r="R64" s="1"/>
      <c r="S64" s="1"/>
      <c r="T64" s="1"/>
      <c r="U64" s="1"/>
      <c r="V64" s="1"/>
      <c r="W64" s="1"/>
      <c r="X64" s="1"/>
      <c r="Y64" s="1"/>
      <c r="Z64" s="1"/>
    </row>
    <row r="65" ht="10.5" customHeight="1">
      <c r="A65" s="1"/>
      <c r="B65" s="185" t="s">
        <v>986</v>
      </c>
      <c r="C65" s="186"/>
      <c r="D65" s="186"/>
      <c r="E65" s="186"/>
      <c r="F65" s="1"/>
      <c r="G65" s="1"/>
      <c r="H65" s="1"/>
      <c r="I65" s="1"/>
      <c r="J65" s="1"/>
      <c r="K65" s="1"/>
      <c r="L65" s="1"/>
      <c r="M65" s="1"/>
      <c r="N65" s="1"/>
      <c r="O65" s="1"/>
      <c r="P65" s="1"/>
      <c r="Q65" s="1"/>
      <c r="R65" s="1"/>
      <c r="S65" s="1"/>
      <c r="T65" s="1"/>
      <c r="U65" s="1"/>
      <c r="V65" s="1"/>
      <c r="W65" s="1"/>
      <c r="X65" s="1"/>
      <c r="Y65" s="1"/>
      <c r="Z65" s="1"/>
    </row>
    <row r="66" ht="10.5" customHeight="1">
      <c r="A66" s="1"/>
      <c r="B66" s="185" t="s">
        <v>987</v>
      </c>
      <c r="C66" s="186"/>
      <c r="D66" s="186"/>
      <c r="E66" s="186"/>
      <c r="F66" s="1"/>
      <c r="G66" s="1"/>
      <c r="H66" s="1"/>
      <c r="I66" s="1"/>
      <c r="J66" s="1"/>
      <c r="K66" s="1"/>
      <c r="L66" s="1"/>
      <c r="M66" s="1"/>
      <c r="N66" s="1"/>
      <c r="O66" s="1"/>
      <c r="P66" s="1"/>
      <c r="Q66" s="1"/>
      <c r="R66" s="1"/>
      <c r="S66" s="1"/>
      <c r="T66" s="1"/>
      <c r="U66" s="1"/>
      <c r="V66" s="1"/>
      <c r="W66" s="1"/>
      <c r="X66" s="1"/>
      <c r="Y66" s="1"/>
      <c r="Z66" s="1"/>
    </row>
    <row r="67" ht="10.5" customHeight="1">
      <c r="A67" s="1"/>
      <c r="B67" s="185" t="s">
        <v>988</v>
      </c>
      <c r="C67" s="186"/>
      <c r="D67" s="186"/>
      <c r="E67" s="186"/>
      <c r="F67" s="1"/>
      <c r="G67" s="1"/>
      <c r="H67" s="1"/>
      <c r="I67" s="1"/>
      <c r="J67" s="1"/>
      <c r="K67" s="1"/>
      <c r="L67" s="1"/>
      <c r="M67" s="1"/>
      <c r="N67" s="1"/>
      <c r="O67" s="1"/>
      <c r="P67" s="1"/>
      <c r="Q67" s="1"/>
      <c r="R67" s="1"/>
      <c r="S67" s="1"/>
      <c r="T67" s="1"/>
      <c r="U67" s="1"/>
      <c r="V67" s="1"/>
      <c r="W67" s="1"/>
      <c r="X67" s="1"/>
      <c r="Y67" s="1"/>
      <c r="Z67" s="1"/>
    </row>
    <row r="68" ht="10.5" customHeight="1">
      <c r="A68" s="1"/>
      <c r="B68" s="1"/>
      <c r="C68" s="612"/>
      <c r="D68" s="612"/>
      <c r="E68" s="612"/>
      <c r="F68" s="612"/>
      <c r="G68" s="1"/>
      <c r="H68" s="1"/>
      <c r="I68" s="1"/>
      <c r="J68" s="1"/>
      <c r="K68" s="1"/>
      <c r="L68" s="1"/>
      <c r="M68" s="1"/>
      <c r="N68" s="1"/>
      <c r="O68" s="1"/>
      <c r="P68" s="1"/>
      <c r="Q68" s="1"/>
      <c r="R68" s="1"/>
      <c r="S68" s="1"/>
      <c r="T68" s="1"/>
      <c r="U68" s="1"/>
      <c r="V68" s="1"/>
      <c r="W68" s="1"/>
      <c r="X68" s="1"/>
      <c r="Y68" s="1"/>
      <c r="Z68" s="1"/>
    </row>
    <row r="69" ht="10.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0.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0.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0.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0.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0.5" customHeight="1">
      <c r="A74" s="1"/>
      <c r="B74" s="1"/>
      <c r="C74" s="1"/>
      <c r="D74" s="1"/>
      <c r="E74" s="1"/>
      <c r="F74" s="1"/>
      <c r="G74" s="110">
        <v>58.0</v>
      </c>
      <c r="H74" s="1"/>
      <c r="I74" s="1"/>
      <c r="J74" s="1"/>
      <c r="K74" s="1"/>
      <c r="L74" s="1"/>
      <c r="M74" s="1"/>
      <c r="N74" s="1"/>
      <c r="O74" s="1"/>
      <c r="P74" s="1"/>
      <c r="Q74" s="1"/>
      <c r="R74" s="1"/>
      <c r="S74" s="1"/>
      <c r="T74" s="1"/>
      <c r="U74" s="1"/>
      <c r="V74" s="1"/>
      <c r="W74" s="1"/>
      <c r="X74" s="1"/>
      <c r="Y74" s="1"/>
      <c r="Z74" s="1"/>
    </row>
    <row r="75" ht="10.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1.25" customHeight="1">
      <c r="A76" s="1"/>
      <c r="B76" s="1" t="s">
        <v>991</v>
      </c>
      <c r="C76" s="1"/>
      <c r="D76" s="1"/>
      <c r="E76" s="1"/>
      <c r="F76" s="1"/>
      <c r="G76" s="1"/>
      <c r="H76" s="1"/>
      <c r="I76" s="1"/>
      <c r="J76" s="1"/>
      <c r="K76" s="1"/>
      <c r="L76" s="1"/>
      <c r="M76" s="1"/>
      <c r="N76" s="1"/>
      <c r="O76" s="1"/>
      <c r="P76" s="1"/>
      <c r="Q76" s="1"/>
      <c r="R76" s="1"/>
      <c r="S76" s="1"/>
      <c r="T76" s="1"/>
      <c r="U76" s="1"/>
      <c r="V76" s="1"/>
      <c r="W76" s="1"/>
      <c r="X76" s="1"/>
      <c r="Y76" s="1"/>
      <c r="Z76" s="1"/>
    </row>
    <row r="77" ht="11.25" customHeight="1">
      <c r="A77" s="1"/>
      <c r="B77" s="189" t="s">
        <v>1</v>
      </c>
      <c r="C77" s="31" t="s">
        <v>992</v>
      </c>
      <c r="D77" s="128" t="s">
        <v>993</v>
      </c>
      <c r="E77" s="10"/>
      <c r="F77" s="128" t="s">
        <v>994</v>
      </c>
      <c r="G77" s="10"/>
      <c r="H77" s="31" t="s">
        <v>944</v>
      </c>
      <c r="I77" s="31" t="s">
        <v>995</v>
      </c>
      <c r="J77" s="31" t="s">
        <v>996</v>
      </c>
      <c r="K77" s="31" t="s">
        <v>2</v>
      </c>
      <c r="L77" s="1"/>
      <c r="M77" s="1"/>
      <c r="N77" s="1"/>
      <c r="O77" s="1"/>
      <c r="P77" s="1"/>
      <c r="Q77" s="1"/>
      <c r="R77" s="1"/>
      <c r="S77" s="1"/>
      <c r="T77" s="1"/>
      <c r="U77" s="1"/>
      <c r="V77" s="1"/>
      <c r="W77" s="1"/>
      <c r="X77" s="1"/>
      <c r="Y77" s="1"/>
      <c r="Z77" s="1"/>
    </row>
    <row r="78" ht="11.25" customHeight="1">
      <c r="A78" s="1"/>
      <c r="B78" s="5"/>
      <c r="C78" s="6"/>
      <c r="D78" s="7" t="s">
        <v>997</v>
      </c>
      <c r="E78" s="7" t="s">
        <v>8</v>
      </c>
      <c r="F78" s="7" t="s">
        <v>997</v>
      </c>
      <c r="G78" s="7" t="s">
        <v>8</v>
      </c>
      <c r="H78" s="6"/>
      <c r="I78" s="6"/>
      <c r="J78" s="6"/>
      <c r="K78" s="6"/>
      <c r="L78" s="1"/>
      <c r="M78" s="1"/>
      <c r="N78" s="1"/>
      <c r="O78" s="1"/>
      <c r="P78" s="1"/>
      <c r="Q78" s="1"/>
      <c r="R78" s="1"/>
      <c r="S78" s="1"/>
      <c r="T78" s="1"/>
      <c r="U78" s="1"/>
      <c r="V78" s="1"/>
      <c r="W78" s="1"/>
      <c r="X78" s="1"/>
      <c r="Y78" s="1"/>
      <c r="Z78" s="1"/>
    </row>
    <row r="79" ht="11.25" customHeight="1">
      <c r="A79" s="1"/>
      <c r="B79" s="6"/>
      <c r="C79" s="128" t="s">
        <v>945</v>
      </c>
      <c r="D79" s="9"/>
      <c r="E79" s="9"/>
      <c r="F79" s="9"/>
      <c r="G79" s="9"/>
      <c r="H79" s="9"/>
      <c r="I79" s="9"/>
      <c r="J79" s="9"/>
      <c r="K79" s="10"/>
      <c r="L79" s="625"/>
      <c r="M79" s="1"/>
      <c r="N79" s="1"/>
      <c r="O79" s="1"/>
      <c r="P79" s="1"/>
      <c r="Q79" s="1"/>
      <c r="R79" s="1"/>
      <c r="S79" s="1"/>
      <c r="T79" s="1"/>
      <c r="U79" s="1"/>
      <c r="V79" s="1"/>
      <c r="W79" s="1"/>
      <c r="X79" s="1"/>
      <c r="Y79" s="1"/>
      <c r="Z79" s="1"/>
    </row>
    <row r="80" ht="10.5" customHeight="1">
      <c r="A80" s="1"/>
      <c r="B80" s="238">
        <v>1970.0</v>
      </c>
      <c r="C80" s="51">
        <v>0.13</v>
      </c>
      <c r="D80" s="51">
        <v>1.3</v>
      </c>
      <c r="E80" s="51">
        <v>2.3</v>
      </c>
      <c r="F80" s="51">
        <v>0.44</v>
      </c>
      <c r="G80" s="51">
        <v>0.7</v>
      </c>
      <c r="H80" s="51">
        <v>1.67</v>
      </c>
      <c r="I80" s="51">
        <v>0.7</v>
      </c>
      <c r="J80" s="51">
        <v>0.64</v>
      </c>
      <c r="K80" s="51">
        <f t="shared" ref="K80:K84" si="1">SUM(C80:J80)</f>
        <v>7.88</v>
      </c>
      <c r="L80" s="1"/>
      <c r="M80" s="1"/>
      <c r="N80" s="1"/>
      <c r="O80" s="1"/>
      <c r="P80" s="1"/>
      <c r="Q80" s="1"/>
      <c r="R80" s="1"/>
      <c r="S80" s="1"/>
      <c r="T80" s="1"/>
      <c r="U80" s="1"/>
      <c r="V80" s="1"/>
      <c r="W80" s="1"/>
      <c r="X80" s="1"/>
      <c r="Y80" s="1"/>
      <c r="Z80" s="1"/>
    </row>
    <row r="81" ht="10.5" customHeight="1">
      <c r="A81" s="1"/>
      <c r="B81" s="238">
        <v>1971.0</v>
      </c>
      <c r="C81" s="51">
        <v>0.12</v>
      </c>
      <c r="D81" s="51">
        <v>1.14</v>
      </c>
      <c r="E81" s="51">
        <v>2.42</v>
      </c>
      <c r="F81" s="51">
        <v>0.36</v>
      </c>
      <c r="G81" s="51">
        <v>0.8</v>
      </c>
      <c r="H81" s="51">
        <v>1.51</v>
      </c>
      <c r="I81" s="51">
        <v>0.84</v>
      </c>
      <c r="J81" s="51">
        <v>0.65</v>
      </c>
      <c r="K81" s="51">
        <f t="shared" si="1"/>
        <v>7.84</v>
      </c>
      <c r="L81" s="1"/>
      <c r="M81" s="1"/>
      <c r="N81" s="1"/>
      <c r="O81" s="1"/>
      <c r="P81" s="1"/>
      <c r="Q81" s="1"/>
      <c r="R81" s="1"/>
      <c r="S81" s="1"/>
      <c r="T81" s="1"/>
      <c r="U81" s="1"/>
      <c r="V81" s="1"/>
      <c r="W81" s="1"/>
      <c r="X81" s="1"/>
      <c r="Y81" s="1"/>
      <c r="Z81" s="1"/>
    </row>
    <row r="82" ht="10.5" customHeight="1">
      <c r="A82" s="1"/>
      <c r="B82" s="238">
        <v>1972.0</v>
      </c>
      <c r="C82" s="51">
        <v>0.14</v>
      </c>
      <c r="D82" s="51">
        <v>1.15</v>
      </c>
      <c r="E82" s="51">
        <v>2.66</v>
      </c>
      <c r="F82" s="51">
        <v>0.37</v>
      </c>
      <c r="G82" s="51">
        <v>0.78</v>
      </c>
      <c r="H82" s="51">
        <v>1.57</v>
      </c>
      <c r="I82" s="51">
        <v>0.78</v>
      </c>
      <c r="J82" s="51">
        <v>0.59</v>
      </c>
      <c r="K82" s="51">
        <f t="shared" si="1"/>
        <v>8.04</v>
      </c>
      <c r="L82" s="1"/>
      <c r="M82" s="1"/>
      <c r="N82" s="1"/>
      <c r="O82" s="1"/>
      <c r="P82" s="1"/>
      <c r="Q82" s="1"/>
      <c r="R82" s="1"/>
      <c r="S82" s="1"/>
      <c r="T82" s="1"/>
      <c r="U82" s="1"/>
      <c r="V82" s="1"/>
      <c r="W82" s="1"/>
      <c r="X82" s="1"/>
      <c r="Y82" s="1"/>
      <c r="Z82" s="1"/>
    </row>
    <row r="83" ht="10.5" customHeight="1">
      <c r="A83" s="1"/>
      <c r="B83" s="238">
        <v>1973.0</v>
      </c>
      <c r="C83" s="51">
        <v>0.14</v>
      </c>
      <c r="D83" s="51">
        <v>1.08</v>
      </c>
      <c r="E83" s="51">
        <v>2.72</v>
      </c>
      <c r="F83" s="51">
        <v>0.37</v>
      </c>
      <c r="G83" s="51">
        <v>0.81</v>
      </c>
      <c r="H83" s="51">
        <v>1.83</v>
      </c>
      <c r="I83" s="51">
        <v>0.79</v>
      </c>
      <c r="J83" s="51">
        <v>0.57</v>
      </c>
      <c r="K83" s="51">
        <f t="shared" si="1"/>
        <v>8.31</v>
      </c>
      <c r="L83" s="1"/>
      <c r="M83" s="1"/>
      <c r="N83" s="1"/>
      <c r="O83" s="1"/>
      <c r="P83" s="1"/>
      <c r="Q83" s="1"/>
      <c r="R83" s="1"/>
      <c r="S83" s="1"/>
      <c r="T83" s="1"/>
      <c r="U83" s="1"/>
      <c r="V83" s="1"/>
      <c r="W83" s="1"/>
      <c r="X83" s="1"/>
      <c r="Y83" s="1"/>
      <c r="Z83" s="1"/>
    </row>
    <row r="84" ht="10.5" customHeight="1">
      <c r="A84" s="1"/>
      <c r="B84" s="238">
        <v>1974.0</v>
      </c>
      <c r="C84" s="51">
        <v>0.15</v>
      </c>
      <c r="D84" s="51">
        <v>1.06</v>
      </c>
      <c r="E84" s="51">
        <v>2.71</v>
      </c>
      <c r="F84" s="51">
        <v>0.42</v>
      </c>
      <c r="G84" s="51">
        <v>0.98</v>
      </c>
      <c r="H84" s="51">
        <v>1.64</v>
      </c>
      <c r="I84" s="51">
        <v>0.95</v>
      </c>
      <c r="J84" s="51">
        <v>0.57</v>
      </c>
      <c r="K84" s="51">
        <f t="shared" si="1"/>
        <v>8.48</v>
      </c>
      <c r="L84" s="1"/>
      <c r="M84" s="1"/>
      <c r="N84" s="1"/>
      <c r="O84" s="1"/>
      <c r="P84" s="1"/>
      <c r="Q84" s="1"/>
      <c r="R84" s="1"/>
      <c r="S84" s="1"/>
      <c r="T84" s="1"/>
      <c r="U84" s="1"/>
      <c r="V84" s="1"/>
      <c r="W84" s="1"/>
      <c r="X84" s="1"/>
      <c r="Y84" s="1"/>
      <c r="Z84" s="1"/>
    </row>
    <row r="85" ht="10.5" customHeight="1">
      <c r="A85" s="1"/>
      <c r="B85" s="238"/>
      <c r="C85" s="51"/>
      <c r="D85" s="51"/>
      <c r="E85" s="51"/>
      <c r="F85" s="51"/>
      <c r="G85" s="51"/>
      <c r="H85" s="51"/>
      <c r="I85" s="51"/>
      <c r="J85" s="51"/>
      <c r="K85" s="51"/>
      <c r="L85" s="1"/>
      <c r="M85" s="1"/>
      <c r="N85" s="1"/>
      <c r="O85" s="1"/>
      <c r="P85" s="1"/>
      <c r="Q85" s="1"/>
      <c r="R85" s="1"/>
      <c r="S85" s="1"/>
      <c r="T85" s="1"/>
      <c r="U85" s="1"/>
      <c r="V85" s="1"/>
      <c r="W85" s="1"/>
      <c r="X85" s="1"/>
      <c r="Y85" s="1"/>
      <c r="Z85" s="1"/>
    </row>
    <row r="86" ht="10.5" customHeight="1">
      <c r="A86" s="1"/>
      <c r="B86" s="238">
        <v>1975.0</v>
      </c>
      <c r="C86" s="51">
        <v>0.18</v>
      </c>
      <c r="D86" s="51">
        <v>0.93</v>
      </c>
      <c r="E86" s="51">
        <v>3.06</v>
      </c>
      <c r="F86" s="51">
        <v>0.35</v>
      </c>
      <c r="G86" s="51">
        <v>1.08</v>
      </c>
      <c r="H86" s="51">
        <v>1.63</v>
      </c>
      <c r="I86" s="51">
        <v>0.97</v>
      </c>
      <c r="J86" s="51">
        <v>0.61</v>
      </c>
      <c r="K86" s="51">
        <f t="shared" ref="K86:K90" si="2">SUM(C86:J86)</f>
        <v>8.81</v>
      </c>
      <c r="L86" s="1"/>
      <c r="M86" s="1"/>
      <c r="N86" s="1"/>
      <c r="O86" s="1"/>
      <c r="P86" s="1"/>
      <c r="Q86" s="1"/>
      <c r="R86" s="1"/>
      <c r="S86" s="1"/>
      <c r="T86" s="1"/>
      <c r="U86" s="1"/>
      <c r="V86" s="1"/>
      <c r="W86" s="1"/>
      <c r="X86" s="1"/>
      <c r="Y86" s="1"/>
      <c r="Z86" s="1"/>
    </row>
    <row r="87" ht="10.5" customHeight="1">
      <c r="A87" s="1"/>
      <c r="B87" s="238">
        <v>1976.0</v>
      </c>
      <c r="C87" s="51">
        <v>0.16</v>
      </c>
      <c r="D87" s="51">
        <v>0.92</v>
      </c>
      <c r="E87" s="51">
        <v>3.17</v>
      </c>
      <c r="F87" s="51">
        <v>0.37</v>
      </c>
      <c r="G87" s="51">
        <v>1.09</v>
      </c>
      <c r="H87" s="51">
        <v>1.69</v>
      </c>
      <c r="I87" s="51">
        <v>1.04</v>
      </c>
      <c r="J87" s="51">
        <v>0.64</v>
      </c>
      <c r="K87" s="51">
        <f t="shared" si="2"/>
        <v>9.08</v>
      </c>
      <c r="L87" s="1"/>
      <c r="M87" s="1"/>
      <c r="N87" s="1"/>
      <c r="O87" s="1"/>
      <c r="P87" s="1"/>
      <c r="Q87" s="1"/>
      <c r="R87" s="1"/>
      <c r="S87" s="1"/>
      <c r="T87" s="1"/>
      <c r="U87" s="1"/>
      <c r="V87" s="1"/>
      <c r="W87" s="1"/>
      <c r="X87" s="1"/>
      <c r="Y87" s="1"/>
      <c r="Z87" s="1"/>
    </row>
    <row r="88" ht="10.5" customHeight="1">
      <c r="A88" s="1"/>
      <c r="B88" s="238">
        <v>1977.0</v>
      </c>
      <c r="C88" s="51">
        <v>0.17</v>
      </c>
      <c r="D88" s="51">
        <v>0.9</v>
      </c>
      <c r="E88" s="51">
        <v>3.3</v>
      </c>
      <c r="F88" s="51">
        <v>0.34</v>
      </c>
      <c r="G88" s="51">
        <v>1.17</v>
      </c>
      <c r="H88" s="51">
        <v>1.71</v>
      </c>
      <c r="I88" s="51">
        <v>1.0</v>
      </c>
      <c r="J88" s="51">
        <v>0.7</v>
      </c>
      <c r="K88" s="51">
        <f t="shared" si="2"/>
        <v>9.29</v>
      </c>
      <c r="L88" s="1"/>
      <c r="M88" s="1"/>
      <c r="N88" s="1"/>
      <c r="O88" s="1"/>
      <c r="P88" s="1"/>
      <c r="Q88" s="1"/>
      <c r="R88" s="1"/>
      <c r="S88" s="1"/>
      <c r="T88" s="1"/>
      <c r="U88" s="1"/>
      <c r="V88" s="1"/>
      <c r="W88" s="1"/>
      <c r="X88" s="1"/>
      <c r="Y88" s="1"/>
      <c r="Z88" s="1"/>
    </row>
    <row r="89" ht="10.5" customHeight="1">
      <c r="A89" s="1"/>
      <c r="B89" s="238">
        <v>1978.0</v>
      </c>
      <c r="C89" s="51">
        <v>0.17</v>
      </c>
      <c r="D89" s="51">
        <v>0.93</v>
      </c>
      <c r="E89" s="51">
        <v>3.18</v>
      </c>
      <c r="F89" s="51">
        <v>0.37</v>
      </c>
      <c r="G89" s="51">
        <v>1.15</v>
      </c>
      <c r="H89" s="51">
        <v>1.72</v>
      </c>
      <c r="I89" s="51">
        <v>1.01</v>
      </c>
      <c r="J89" s="51">
        <v>0.62</v>
      </c>
      <c r="K89" s="51">
        <f t="shared" si="2"/>
        <v>9.15</v>
      </c>
      <c r="L89" s="1"/>
      <c r="M89" s="1"/>
      <c r="N89" s="1"/>
      <c r="O89" s="1"/>
      <c r="P89" s="1"/>
      <c r="Q89" s="1"/>
      <c r="R89" s="1"/>
      <c r="S89" s="1"/>
      <c r="T89" s="1"/>
      <c r="U89" s="1"/>
      <c r="V89" s="1"/>
      <c r="W89" s="1"/>
      <c r="X89" s="1"/>
      <c r="Y89" s="1"/>
      <c r="Z89" s="1"/>
    </row>
    <row r="90" ht="10.5" customHeight="1">
      <c r="A90" s="1"/>
      <c r="B90" s="238">
        <v>1979.0</v>
      </c>
      <c r="C90" s="51">
        <v>0.17</v>
      </c>
      <c r="D90" s="51">
        <v>0.89</v>
      </c>
      <c r="E90" s="51">
        <v>3.07</v>
      </c>
      <c r="F90" s="51">
        <v>0.38</v>
      </c>
      <c r="G90" s="51">
        <v>1.09</v>
      </c>
      <c r="H90" s="51">
        <v>1.66</v>
      </c>
      <c r="I90" s="51">
        <v>0.99</v>
      </c>
      <c r="J90" s="51">
        <v>0.48</v>
      </c>
      <c r="K90" s="51">
        <f t="shared" si="2"/>
        <v>8.73</v>
      </c>
      <c r="L90" s="1"/>
      <c r="M90" s="1"/>
      <c r="N90" s="1"/>
      <c r="O90" s="1"/>
      <c r="P90" s="1"/>
      <c r="Q90" s="1"/>
      <c r="R90" s="1"/>
      <c r="S90" s="1"/>
      <c r="T90" s="1"/>
      <c r="U90" s="1"/>
      <c r="V90" s="1"/>
      <c r="W90" s="1"/>
      <c r="X90" s="1"/>
      <c r="Y90" s="1"/>
      <c r="Z90" s="1"/>
    </row>
    <row r="91" ht="10.5" customHeight="1">
      <c r="A91" s="1"/>
      <c r="B91" s="238"/>
      <c r="C91" s="51"/>
      <c r="D91" s="51"/>
      <c r="E91" s="51"/>
      <c r="F91" s="51"/>
      <c r="G91" s="51"/>
      <c r="H91" s="51"/>
      <c r="I91" s="51"/>
      <c r="J91" s="51"/>
      <c r="K91" s="51"/>
      <c r="L91" s="1"/>
      <c r="M91" s="1"/>
      <c r="N91" s="1"/>
      <c r="O91" s="1"/>
      <c r="P91" s="1"/>
      <c r="Q91" s="1"/>
      <c r="R91" s="1"/>
      <c r="S91" s="1"/>
      <c r="T91" s="1"/>
      <c r="U91" s="1"/>
      <c r="V91" s="1"/>
      <c r="W91" s="1"/>
      <c r="X91" s="1"/>
      <c r="Y91" s="1"/>
      <c r="Z91" s="1"/>
    </row>
    <row r="92" ht="10.5" customHeight="1">
      <c r="A92" s="1"/>
      <c r="B92" s="238">
        <v>1980.0</v>
      </c>
      <c r="C92" s="51">
        <v>0.15</v>
      </c>
      <c r="D92" s="51">
        <v>0.83</v>
      </c>
      <c r="E92" s="51">
        <v>3.01</v>
      </c>
      <c r="F92" s="51">
        <v>0.33</v>
      </c>
      <c r="G92" s="51">
        <v>1.09</v>
      </c>
      <c r="H92" s="51">
        <v>1.57</v>
      </c>
      <c r="I92" s="51">
        <v>0.9</v>
      </c>
      <c r="J92" s="51">
        <v>0.41</v>
      </c>
      <c r="K92" s="51">
        <f t="shared" ref="K92:K96" si="3">SUM(C92:J92)</f>
        <v>8.29</v>
      </c>
      <c r="L92" s="1"/>
      <c r="M92" s="1"/>
      <c r="N92" s="1"/>
      <c r="O92" s="1"/>
      <c r="P92" s="1"/>
      <c r="Q92" s="1"/>
      <c r="R92" s="1"/>
      <c r="S92" s="1"/>
      <c r="T92" s="1"/>
      <c r="U92" s="1"/>
      <c r="V92" s="1"/>
      <c r="W92" s="1"/>
      <c r="X92" s="1"/>
      <c r="Y92" s="1"/>
      <c r="Z92" s="1"/>
    </row>
    <row r="93" ht="10.5" customHeight="1">
      <c r="A93" s="1"/>
      <c r="B93" s="238">
        <v>1981.0</v>
      </c>
      <c r="C93" s="51">
        <v>0.16</v>
      </c>
      <c r="D93" s="51">
        <v>0.84</v>
      </c>
      <c r="E93" s="51">
        <v>3.14</v>
      </c>
      <c r="F93" s="51">
        <v>0.33</v>
      </c>
      <c r="G93" s="51">
        <v>1.0</v>
      </c>
      <c r="H93" s="51">
        <v>1.66</v>
      </c>
      <c r="I93" s="51">
        <v>0.81</v>
      </c>
      <c r="J93" s="51">
        <v>0.41</v>
      </c>
      <c r="K93" s="51">
        <f t="shared" si="3"/>
        <v>8.35</v>
      </c>
      <c r="L93" s="1"/>
      <c r="M93" s="1"/>
      <c r="N93" s="1"/>
      <c r="O93" s="1"/>
      <c r="P93" s="1"/>
      <c r="Q93" s="1"/>
      <c r="R93" s="1"/>
      <c r="S93" s="1"/>
      <c r="T93" s="1"/>
      <c r="U93" s="1"/>
      <c r="V93" s="1"/>
      <c r="W93" s="1"/>
      <c r="X93" s="1"/>
      <c r="Y93" s="1"/>
      <c r="Z93" s="1"/>
    </row>
    <row r="94" ht="10.5" customHeight="1">
      <c r="A94" s="1"/>
      <c r="B94" s="238">
        <v>1982.0</v>
      </c>
      <c r="C94" s="51">
        <v>0.14</v>
      </c>
      <c r="D94" s="51">
        <v>0.87</v>
      </c>
      <c r="E94" s="51">
        <v>3.2</v>
      </c>
      <c r="F94" s="51">
        <v>0.39</v>
      </c>
      <c r="G94" s="51">
        <v>1.08</v>
      </c>
      <c r="H94" s="51">
        <v>1.55</v>
      </c>
      <c r="I94" s="51">
        <v>0.81</v>
      </c>
      <c r="J94" s="51">
        <v>0.41</v>
      </c>
      <c r="K94" s="51">
        <f t="shared" si="3"/>
        <v>8.45</v>
      </c>
      <c r="L94" s="1"/>
      <c r="M94" s="1"/>
      <c r="N94" s="1"/>
      <c r="O94" s="1"/>
      <c r="P94" s="1"/>
      <c r="Q94" s="1"/>
      <c r="R94" s="1"/>
      <c r="S94" s="1"/>
      <c r="T94" s="1"/>
      <c r="U94" s="1"/>
      <c r="V94" s="1"/>
      <c r="W94" s="1"/>
      <c r="X94" s="1"/>
      <c r="Y94" s="1"/>
      <c r="Z94" s="1"/>
    </row>
    <row r="95" ht="10.5" customHeight="1">
      <c r="A95" s="1"/>
      <c r="B95" s="238">
        <v>1983.0</v>
      </c>
      <c r="C95" s="51">
        <v>0.16</v>
      </c>
      <c r="D95" s="51">
        <v>0.91</v>
      </c>
      <c r="E95" s="51">
        <v>3.07</v>
      </c>
      <c r="F95" s="51">
        <v>0.37</v>
      </c>
      <c r="G95" s="51">
        <v>1.08</v>
      </c>
      <c r="H95" s="51">
        <v>1.51</v>
      </c>
      <c r="I95" s="51">
        <v>0.78</v>
      </c>
      <c r="J95" s="51">
        <v>0.32</v>
      </c>
      <c r="K95" s="51">
        <f t="shared" si="3"/>
        <v>8.2</v>
      </c>
      <c r="L95" s="1"/>
      <c r="M95" s="1"/>
      <c r="N95" s="1"/>
      <c r="O95" s="1"/>
      <c r="P95" s="1"/>
      <c r="Q95" s="1"/>
      <c r="R95" s="1"/>
      <c r="S95" s="1"/>
      <c r="T95" s="1"/>
      <c r="U95" s="1"/>
      <c r="V95" s="1"/>
      <c r="W95" s="1"/>
      <c r="X95" s="1"/>
      <c r="Y95" s="1"/>
      <c r="Z95" s="1"/>
    </row>
    <row r="96" ht="10.5" customHeight="1">
      <c r="A96" s="1"/>
      <c r="B96" s="238">
        <v>1984.0</v>
      </c>
      <c r="C96" s="51">
        <v>0.17</v>
      </c>
      <c r="D96" s="51">
        <v>0.87</v>
      </c>
      <c r="E96" s="51">
        <v>3.08</v>
      </c>
      <c r="F96" s="51">
        <v>0.37</v>
      </c>
      <c r="G96" s="51">
        <v>1.03</v>
      </c>
      <c r="H96" s="51">
        <v>1.44</v>
      </c>
      <c r="I96" s="51">
        <v>0.68</v>
      </c>
      <c r="J96" s="51">
        <v>0.28</v>
      </c>
      <c r="K96" s="51">
        <f t="shared" si="3"/>
        <v>7.92</v>
      </c>
      <c r="L96" s="1"/>
      <c r="M96" s="1"/>
      <c r="N96" s="1"/>
      <c r="O96" s="1"/>
      <c r="P96" s="1"/>
      <c r="Q96" s="1"/>
      <c r="R96" s="1"/>
      <c r="S96" s="1"/>
      <c r="T96" s="1"/>
      <c r="U96" s="1"/>
      <c r="V96" s="1"/>
      <c r="W96" s="1"/>
      <c r="X96" s="1"/>
      <c r="Y96" s="1"/>
      <c r="Z96" s="1"/>
    </row>
    <row r="97" ht="10.5" customHeight="1">
      <c r="A97" s="1"/>
      <c r="B97" s="238"/>
      <c r="C97" s="51"/>
      <c r="D97" s="51"/>
      <c r="E97" s="51"/>
      <c r="F97" s="51"/>
      <c r="G97" s="51"/>
      <c r="H97" s="51"/>
      <c r="I97" s="51"/>
      <c r="J97" s="51"/>
      <c r="K97" s="51"/>
      <c r="L97" s="1"/>
      <c r="M97" s="1"/>
      <c r="N97" s="1"/>
      <c r="O97" s="1"/>
      <c r="P97" s="1"/>
      <c r="Q97" s="1"/>
      <c r="R97" s="1"/>
      <c r="S97" s="1"/>
      <c r="T97" s="1"/>
      <c r="U97" s="1"/>
      <c r="V97" s="1"/>
      <c r="W97" s="1"/>
      <c r="X97" s="1"/>
      <c r="Y97" s="1"/>
      <c r="Z97" s="1"/>
    </row>
    <row r="98" ht="10.5" customHeight="1">
      <c r="A98" s="1"/>
      <c r="B98" s="238">
        <v>1985.0</v>
      </c>
      <c r="C98" s="51">
        <v>0.16</v>
      </c>
      <c r="D98" s="51">
        <v>0.75</v>
      </c>
      <c r="E98" s="51">
        <v>3.11</v>
      </c>
      <c r="F98" s="51">
        <v>0.32</v>
      </c>
      <c r="G98" s="51">
        <v>1.06</v>
      </c>
      <c r="H98" s="51">
        <v>1.44</v>
      </c>
      <c r="I98" s="51">
        <v>0.73</v>
      </c>
      <c r="J98" s="51">
        <v>0.26</v>
      </c>
      <c r="K98" s="51">
        <f t="shared" ref="K98:K102" si="4">SUM(C98:J98)</f>
        <v>7.83</v>
      </c>
      <c r="L98" s="1"/>
      <c r="M98" s="1"/>
      <c r="N98" s="1"/>
      <c r="O98" s="1"/>
      <c r="P98" s="1"/>
      <c r="Q98" s="1"/>
      <c r="R98" s="1"/>
      <c r="S98" s="1"/>
      <c r="T98" s="1"/>
      <c r="U98" s="1"/>
      <c r="V98" s="1"/>
      <c r="W98" s="1"/>
      <c r="X98" s="1"/>
      <c r="Y98" s="1"/>
      <c r="Z98" s="1"/>
    </row>
    <row r="99" ht="10.5" customHeight="1">
      <c r="A99" s="1"/>
      <c r="B99" s="238">
        <v>1986.0</v>
      </c>
      <c r="C99" s="51">
        <v>0.16</v>
      </c>
      <c r="D99" s="51">
        <v>0.92</v>
      </c>
      <c r="E99" s="51">
        <v>3.06</v>
      </c>
      <c r="F99" s="51">
        <v>0.41</v>
      </c>
      <c r="G99" s="51">
        <v>0.97</v>
      </c>
      <c r="H99" s="51">
        <v>1.46</v>
      </c>
      <c r="I99" s="51">
        <v>0.6</v>
      </c>
      <c r="J99" s="51">
        <v>0.25</v>
      </c>
      <c r="K99" s="51">
        <f t="shared" si="4"/>
        <v>7.83</v>
      </c>
      <c r="L99" s="1"/>
      <c r="M99" s="1"/>
      <c r="N99" s="1"/>
      <c r="O99" s="1"/>
      <c r="P99" s="1"/>
      <c r="Q99" s="1"/>
      <c r="R99" s="1"/>
      <c r="S99" s="1"/>
      <c r="T99" s="1"/>
      <c r="U99" s="1"/>
      <c r="V99" s="1"/>
      <c r="W99" s="1"/>
      <c r="X99" s="1"/>
      <c r="Y99" s="1"/>
      <c r="Z99" s="1"/>
    </row>
    <row r="100" ht="10.5" customHeight="1">
      <c r="A100" s="1"/>
      <c r="B100" s="238">
        <v>1987.0</v>
      </c>
      <c r="C100" s="51">
        <v>0.18</v>
      </c>
      <c r="D100" s="51">
        <v>0.85</v>
      </c>
      <c r="E100" s="51">
        <v>3.13</v>
      </c>
      <c r="F100" s="51">
        <v>0.36</v>
      </c>
      <c r="G100" s="51">
        <v>1.0</v>
      </c>
      <c r="H100" s="51">
        <v>1.46</v>
      </c>
      <c r="I100" s="51">
        <v>0.66</v>
      </c>
      <c r="J100" s="51">
        <v>0.27</v>
      </c>
      <c r="K100" s="51">
        <f t="shared" si="4"/>
        <v>7.91</v>
      </c>
      <c r="L100" s="1"/>
      <c r="M100" s="1"/>
      <c r="N100" s="1"/>
      <c r="O100" s="1"/>
      <c r="P100" s="1"/>
      <c r="Q100" s="1"/>
      <c r="R100" s="1"/>
      <c r="S100" s="1"/>
      <c r="T100" s="1"/>
      <c r="U100" s="1"/>
      <c r="V100" s="1"/>
      <c r="W100" s="1"/>
      <c r="X100" s="1"/>
      <c r="Y100" s="1"/>
      <c r="Z100" s="1"/>
    </row>
    <row r="101" ht="10.5" customHeight="1">
      <c r="A101" s="1"/>
      <c r="B101" s="238">
        <v>1988.0</v>
      </c>
      <c r="C101" s="51">
        <v>0.18</v>
      </c>
      <c r="D101" s="51">
        <v>0.86</v>
      </c>
      <c r="E101" s="51">
        <v>3.18</v>
      </c>
      <c r="F101" s="51">
        <v>0.35</v>
      </c>
      <c r="G101" s="51">
        <v>1.06</v>
      </c>
      <c r="H101" s="51">
        <v>1.56</v>
      </c>
      <c r="I101" s="51">
        <v>0.73</v>
      </c>
      <c r="J101" s="51">
        <v>0.28</v>
      </c>
      <c r="K101" s="51">
        <f t="shared" si="4"/>
        <v>8.2</v>
      </c>
      <c r="L101" s="1"/>
      <c r="M101" s="1"/>
      <c r="N101" s="1"/>
      <c r="O101" s="1"/>
      <c r="P101" s="1"/>
      <c r="Q101" s="1"/>
      <c r="R101" s="1"/>
      <c r="S101" s="1"/>
      <c r="T101" s="1"/>
      <c r="U101" s="1"/>
      <c r="V101" s="1"/>
      <c r="W101" s="1"/>
      <c r="X101" s="1"/>
      <c r="Y101" s="1"/>
      <c r="Z101" s="1"/>
    </row>
    <row r="102" ht="10.5" customHeight="1">
      <c r="A102" s="1"/>
      <c r="B102" s="238">
        <v>1989.0</v>
      </c>
      <c r="C102" s="51">
        <v>0.21</v>
      </c>
      <c r="D102" s="51">
        <v>0.76</v>
      </c>
      <c r="E102" s="51">
        <v>3.43</v>
      </c>
      <c r="F102" s="51">
        <v>0.35</v>
      </c>
      <c r="G102" s="51">
        <v>1.13</v>
      </c>
      <c r="H102" s="51">
        <v>1.62</v>
      </c>
      <c r="I102" s="51">
        <v>0.81</v>
      </c>
      <c r="J102" s="51">
        <v>0.3</v>
      </c>
      <c r="K102" s="51">
        <f t="shared" si="4"/>
        <v>8.61</v>
      </c>
      <c r="L102" s="1"/>
      <c r="M102" s="1"/>
      <c r="N102" s="1"/>
      <c r="O102" s="1"/>
      <c r="P102" s="1"/>
      <c r="Q102" s="1"/>
      <c r="R102" s="1"/>
      <c r="S102" s="1"/>
      <c r="T102" s="1"/>
      <c r="U102" s="1"/>
      <c r="V102" s="1"/>
      <c r="W102" s="1"/>
      <c r="X102" s="1"/>
      <c r="Y102" s="1"/>
      <c r="Z102" s="1"/>
    </row>
    <row r="103" ht="10.5" customHeight="1">
      <c r="A103" s="1"/>
      <c r="B103" s="238"/>
      <c r="C103" s="51"/>
      <c r="D103" s="51"/>
      <c r="E103" s="51"/>
      <c r="F103" s="51"/>
      <c r="G103" s="51"/>
      <c r="H103" s="51"/>
      <c r="I103" s="51"/>
      <c r="J103" s="51"/>
      <c r="K103" s="51"/>
      <c r="L103" s="1"/>
      <c r="M103" s="1"/>
      <c r="N103" s="1"/>
      <c r="O103" s="1"/>
      <c r="P103" s="1"/>
      <c r="Q103" s="1"/>
      <c r="R103" s="1"/>
      <c r="S103" s="1"/>
      <c r="T103" s="1"/>
      <c r="U103" s="1"/>
      <c r="V103" s="1"/>
      <c r="W103" s="1"/>
      <c r="X103" s="1"/>
      <c r="Y103" s="1"/>
      <c r="Z103" s="1"/>
    </row>
    <row r="104" ht="10.5" customHeight="1">
      <c r="A104" s="1"/>
      <c r="B104" s="238">
        <v>1990.0</v>
      </c>
      <c r="C104" s="51">
        <v>0.19</v>
      </c>
      <c r="D104" s="51">
        <v>0.77</v>
      </c>
      <c r="E104" s="51">
        <v>3.61</v>
      </c>
      <c r="F104" s="51">
        <v>0.33</v>
      </c>
      <c r="G104" s="51">
        <v>1.18</v>
      </c>
      <c r="H104" s="51">
        <v>1.63</v>
      </c>
      <c r="I104" s="51">
        <v>0.74</v>
      </c>
      <c r="J104" s="51">
        <v>0.26</v>
      </c>
      <c r="K104" s="51">
        <f t="shared" ref="K104:K108" si="5">SUM(C104:J104)</f>
        <v>8.71</v>
      </c>
      <c r="L104" s="1"/>
      <c r="M104" s="1"/>
      <c r="N104" s="1"/>
      <c r="O104" s="1"/>
      <c r="P104" s="1"/>
      <c r="Q104" s="1"/>
      <c r="R104" s="1"/>
      <c r="S104" s="1"/>
      <c r="T104" s="1"/>
      <c r="U104" s="1"/>
      <c r="V104" s="1"/>
      <c r="W104" s="1"/>
      <c r="X104" s="1"/>
      <c r="Y104" s="1"/>
      <c r="Z104" s="1"/>
    </row>
    <row r="105" ht="10.5" customHeight="1">
      <c r="A105" s="1"/>
      <c r="B105" s="238">
        <v>1991.0</v>
      </c>
      <c r="C105" s="51">
        <v>0.18</v>
      </c>
      <c r="D105" s="51">
        <v>0.89</v>
      </c>
      <c r="E105" s="51">
        <v>3.42</v>
      </c>
      <c r="F105" s="51">
        <v>0.37</v>
      </c>
      <c r="G105" s="51">
        <v>1.17</v>
      </c>
      <c r="H105" s="51">
        <v>1.64</v>
      </c>
      <c r="I105" s="51">
        <v>0.68</v>
      </c>
      <c r="J105" s="51">
        <v>0.28</v>
      </c>
      <c r="K105" s="51">
        <f t="shared" si="5"/>
        <v>8.63</v>
      </c>
      <c r="L105" s="1"/>
      <c r="M105" s="1"/>
      <c r="N105" s="1"/>
      <c r="O105" s="1"/>
      <c r="P105" s="1"/>
      <c r="Q105" s="1"/>
      <c r="R105" s="1"/>
      <c r="S105" s="1"/>
      <c r="T105" s="1"/>
      <c r="U105" s="1"/>
      <c r="V105" s="1"/>
      <c r="W105" s="1"/>
      <c r="X105" s="1"/>
      <c r="Y105" s="1"/>
      <c r="Z105" s="1"/>
    </row>
    <row r="106" ht="10.5" customHeight="1">
      <c r="A106" s="1"/>
      <c r="B106" s="238">
        <v>1992.0</v>
      </c>
      <c r="C106" s="51">
        <v>0.17</v>
      </c>
      <c r="D106" s="51">
        <v>0.77</v>
      </c>
      <c r="E106" s="51">
        <v>3.59</v>
      </c>
      <c r="F106" s="51">
        <v>0.32</v>
      </c>
      <c r="G106" s="51">
        <v>1.09</v>
      </c>
      <c r="H106" s="51">
        <v>1.53</v>
      </c>
      <c r="I106" s="51">
        <v>0.71</v>
      </c>
      <c r="J106" s="51">
        <v>0.22</v>
      </c>
      <c r="K106" s="51">
        <f t="shared" si="5"/>
        <v>8.4</v>
      </c>
      <c r="L106" s="1"/>
      <c r="M106" s="1"/>
      <c r="N106" s="1"/>
      <c r="O106" s="1"/>
      <c r="P106" s="1"/>
      <c r="Q106" s="1"/>
      <c r="R106" s="1"/>
      <c r="S106" s="1"/>
      <c r="T106" s="1"/>
      <c r="U106" s="1"/>
      <c r="V106" s="1"/>
      <c r="W106" s="1"/>
      <c r="X106" s="1"/>
      <c r="Y106" s="1"/>
      <c r="Z106" s="1"/>
    </row>
    <row r="107" ht="10.5" customHeight="1">
      <c r="A107" s="1"/>
      <c r="B107" s="238">
        <v>1993.0</v>
      </c>
      <c r="C107" s="51">
        <v>0.17</v>
      </c>
      <c r="D107" s="51">
        <v>0.82</v>
      </c>
      <c r="E107" s="51">
        <v>3.27</v>
      </c>
      <c r="F107" s="51">
        <v>0.33</v>
      </c>
      <c r="G107" s="51">
        <v>1.06</v>
      </c>
      <c r="H107" s="51">
        <v>1.52</v>
      </c>
      <c r="I107" s="51">
        <v>0.66</v>
      </c>
      <c r="J107" s="51">
        <v>0.23</v>
      </c>
      <c r="K107" s="51">
        <f t="shared" si="5"/>
        <v>8.06</v>
      </c>
      <c r="L107" s="1"/>
      <c r="M107" s="1"/>
      <c r="N107" s="1"/>
      <c r="O107" s="1"/>
      <c r="P107" s="1"/>
      <c r="Q107" s="1"/>
      <c r="R107" s="1"/>
      <c r="S107" s="1"/>
      <c r="T107" s="1"/>
      <c r="U107" s="1"/>
      <c r="V107" s="1"/>
      <c r="W107" s="1"/>
      <c r="X107" s="1"/>
      <c r="Y107" s="1"/>
      <c r="Z107" s="1"/>
    </row>
    <row r="108" ht="10.5" customHeight="1">
      <c r="A108" s="1"/>
      <c r="B108" s="238">
        <v>1994.0</v>
      </c>
      <c r="C108" s="51">
        <v>0.18</v>
      </c>
      <c r="D108" s="51">
        <v>0.77</v>
      </c>
      <c r="E108" s="51">
        <v>3.3</v>
      </c>
      <c r="F108" s="51">
        <v>0.28</v>
      </c>
      <c r="G108" s="51">
        <v>1.1</v>
      </c>
      <c r="H108" s="51">
        <v>1.49</v>
      </c>
      <c r="I108" s="51">
        <v>0.7</v>
      </c>
      <c r="J108" s="51">
        <v>0.29</v>
      </c>
      <c r="K108" s="51">
        <f t="shared" si="5"/>
        <v>8.11</v>
      </c>
      <c r="L108" s="1"/>
      <c r="M108" s="1"/>
      <c r="N108" s="1"/>
      <c r="O108" s="1"/>
      <c r="P108" s="1"/>
      <c r="Q108" s="1"/>
      <c r="R108" s="1"/>
      <c r="S108" s="1"/>
      <c r="T108" s="1"/>
      <c r="U108" s="1"/>
      <c r="V108" s="1"/>
      <c r="W108" s="1"/>
      <c r="X108" s="1"/>
      <c r="Y108" s="1"/>
      <c r="Z108" s="1"/>
    </row>
    <row r="109" ht="10.5" customHeight="1">
      <c r="A109" s="1"/>
      <c r="B109" s="238"/>
      <c r="C109" s="51"/>
      <c r="D109" s="51"/>
      <c r="E109" s="51"/>
      <c r="F109" s="51"/>
      <c r="G109" s="51"/>
      <c r="H109" s="51"/>
      <c r="I109" s="51"/>
      <c r="J109" s="51"/>
      <c r="K109" s="51"/>
      <c r="L109" s="1"/>
      <c r="M109" s="1"/>
      <c r="N109" s="1"/>
      <c r="O109" s="1"/>
      <c r="P109" s="1"/>
      <c r="Q109" s="1"/>
      <c r="R109" s="1"/>
      <c r="S109" s="1"/>
      <c r="T109" s="1"/>
      <c r="U109" s="1"/>
      <c r="V109" s="1"/>
      <c r="W109" s="1"/>
      <c r="X109" s="1"/>
      <c r="Y109" s="1"/>
      <c r="Z109" s="1"/>
    </row>
    <row r="110" ht="10.5" customHeight="1">
      <c r="A110" s="1"/>
      <c r="B110" s="238">
        <v>1995.0</v>
      </c>
      <c r="C110" s="51">
        <v>0.2</v>
      </c>
      <c r="D110" s="51">
        <v>0.82</v>
      </c>
      <c r="E110" s="51">
        <v>3.46</v>
      </c>
      <c r="F110" s="51">
        <v>0.31</v>
      </c>
      <c r="G110" s="51">
        <v>1.14</v>
      </c>
      <c r="H110" s="51">
        <v>1.54</v>
      </c>
      <c r="I110" s="51">
        <v>0.69</v>
      </c>
      <c r="J110" s="51">
        <v>0.2</v>
      </c>
      <c r="K110" s="51">
        <f t="shared" ref="K110:K114" si="6">SUM(C110:J110)</f>
        <v>8.36</v>
      </c>
      <c r="L110" s="1"/>
      <c r="M110" s="1"/>
      <c r="N110" s="1"/>
      <c r="O110" s="1"/>
      <c r="P110" s="1"/>
      <c r="Q110" s="1"/>
      <c r="R110" s="1"/>
      <c r="S110" s="1"/>
      <c r="T110" s="1"/>
      <c r="U110" s="1"/>
      <c r="V110" s="1"/>
      <c r="W110" s="1"/>
      <c r="X110" s="1"/>
      <c r="Y110" s="1"/>
      <c r="Z110" s="1"/>
    </row>
    <row r="111" ht="10.5" customHeight="1">
      <c r="A111" s="1"/>
      <c r="B111" s="238">
        <v>1996.0</v>
      </c>
      <c r="C111" s="51">
        <v>0.18</v>
      </c>
      <c r="D111" s="51">
        <v>0.82</v>
      </c>
      <c r="E111" s="51">
        <v>3.49</v>
      </c>
      <c r="F111" s="51">
        <v>0.32</v>
      </c>
      <c r="G111" s="51">
        <v>1.12</v>
      </c>
      <c r="H111" s="51">
        <v>1.68</v>
      </c>
      <c r="I111" s="51">
        <v>0.79</v>
      </c>
      <c r="J111" s="51">
        <v>0.24</v>
      </c>
      <c r="K111" s="51">
        <f t="shared" si="6"/>
        <v>8.64</v>
      </c>
      <c r="L111" s="1"/>
      <c r="M111" s="1"/>
      <c r="N111" s="1"/>
      <c r="O111" s="1"/>
      <c r="P111" s="1"/>
      <c r="Q111" s="1"/>
      <c r="R111" s="1"/>
      <c r="S111" s="1"/>
      <c r="T111" s="1"/>
      <c r="U111" s="1"/>
      <c r="V111" s="1"/>
      <c r="W111" s="1"/>
      <c r="X111" s="1"/>
      <c r="Y111" s="1"/>
      <c r="Z111" s="1"/>
    </row>
    <row r="112" ht="10.5" customHeight="1">
      <c r="A112" s="1"/>
      <c r="B112" s="238">
        <v>1997.0</v>
      </c>
      <c r="C112" s="51">
        <v>0.18</v>
      </c>
      <c r="D112" s="51">
        <v>0.79</v>
      </c>
      <c r="E112" s="51">
        <v>3.58</v>
      </c>
      <c r="F112" s="51">
        <v>0.31</v>
      </c>
      <c r="G112" s="51">
        <v>1.19</v>
      </c>
      <c r="H112" s="51">
        <v>1.63</v>
      </c>
      <c r="I112" s="51">
        <v>0.87</v>
      </c>
      <c r="J112" s="51">
        <v>0.29</v>
      </c>
      <c r="K112" s="51">
        <f t="shared" si="6"/>
        <v>8.84</v>
      </c>
      <c r="L112" s="1"/>
      <c r="M112" s="1"/>
      <c r="N112" s="1"/>
      <c r="O112" s="1"/>
      <c r="P112" s="1"/>
      <c r="Q112" s="1"/>
      <c r="R112" s="1"/>
      <c r="S112" s="1"/>
      <c r="T112" s="1"/>
      <c r="U112" s="1"/>
      <c r="V112" s="1"/>
      <c r="W112" s="1"/>
      <c r="X112" s="1"/>
      <c r="Y112" s="1"/>
      <c r="Z112" s="1"/>
    </row>
    <row r="113" ht="10.5" customHeight="1">
      <c r="A113" s="1"/>
      <c r="B113" s="238">
        <v>1998.0</v>
      </c>
      <c r="C113" s="51">
        <v>0.19</v>
      </c>
      <c r="D113" s="51">
        <v>0.79</v>
      </c>
      <c r="E113" s="51">
        <v>3.77</v>
      </c>
      <c r="F113" s="51">
        <v>0.28</v>
      </c>
      <c r="G113" s="51">
        <v>1.16</v>
      </c>
      <c r="H113" s="51">
        <v>1.66</v>
      </c>
      <c r="I113" s="51">
        <v>0.7</v>
      </c>
      <c r="J113" s="51">
        <v>0.31</v>
      </c>
      <c r="K113" s="51">
        <f t="shared" si="6"/>
        <v>8.86</v>
      </c>
      <c r="L113" s="1"/>
      <c r="M113" s="1"/>
      <c r="N113" s="1"/>
      <c r="O113" s="1"/>
      <c r="P113" s="1"/>
      <c r="Q113" s="1"/>
      <c r="R113" s="1"/>
      <c r="S113" s="1"/>
      <c r="T113" s="1"/>
      <c r="U113" s="1"/>
      <c r="V113" s="1"/>
      <c r="W113" s="1"/>
      <c r="X113" s="1"/>
      <c r="Y113" s="1"/>
      <c r="Z113" s="1"/>
    </row>
    <row r="114" ht="10.5" customHeight="1">
      <c r="A114" s="1"/>
      <c r="B114" s="238">
        <v>1999.0</v>
      </c>
      <c r="C114" s="51">
        <v>0.2</v>
      </c>
      <c r="D114" s="51">
        <v>0.76</v>
      </c>
      <c r="E114" s="51">
        <v>3.87</v>
      </c>
      <c r="F114" s="51">
        <v>0.32</v>
      </c>
      <c r="G114" s="51">
        <v>1.22</v>
      </c>
      <c r="H114" s="51">
        <v>1.6</v>
      </c>
      <c r="I114" s="51">
        <v>0.61</v>
      </c>
      <c r="J114" s="51">
        <v>0.18</v>
      </c>
      <c r="K114" s="51">
        <f t="shared" si="6"/>
        <v>8.76</v>
      </c>
      <c r="L114" s="1"/>
      <c r="M114" s="1"/>
      <c r="N114" s="1"/>
      <c r="O114" s="1"/>
      <c r="P114" s="1"/>
      <c r="Q114" s="1"/>
      <c r="R114" s="1"/>
      <c r="S114" s="1"/>
      <c r="T114" s="1"/>
      <c r="U114" s="1"/>
      <c r="V114" s="1"/>
      <c r="W114" s="1"/>
      <c r="X114" s="1"/>
      <c r="Y114" s="1"/>
      <c r="Z114" s="1"/>
    </row>
    <row r="115" ht="10.5" customHeight="1">
      <c r="A115" s="1"/>
      <c r="B115" s="238"/>
      <c r="C115" s="51"/>
      <c r="D115" s="51"/>
      <c r="E115" s="51"/>
      <c r="F115" s="51"/>
      <c r="G115" s="51"/>
      <c r="H115" s="51"/>
      <c r="I115" s="51"/>
      <c r="J115" s="51"/>
      <c r="K115" s="51"/>
      <c r="L115" s="1"/>
      <c r="M115" s="1"/>
      <c r="N115" s="1"/>
      <c r="O115" s="1"/>
      <c r="P115" s="1"/>
      <c r="Q115" s="1"/>
      <c r="R115" s="1"/>
      <c r="S115" s="1"/>
      <c r="T115" s="1"/>
      <c r="U115" s="1"/>
      <c r="V115" s="1"/>
      <c r="W115" s="1"/>
      <c r="X115" s="1"/>
      <c r="Y115" s="1"/>
      <c r="Z115" s="1"/>
    </row>
    <row r="116" ht="10.5" customHeight="1">
      <c r="A116" s="1"/>
      <c r="B116" s="238">
        <v>2000.0</v>
      </c>
      <c r="C116" s="51">
        <v>0.2</v>
      </c>
      <c r="D116" s="51">
        <v>0.99</v>
      </c>
      <c r="E116" s="51">
        <v>3.54</v>
      </c>
      <c r="F116" s="51">
        <v>0.38</v>
      </c>
      <c r="G116" s="51">
        <v>1.05</v>
      </c>
      <c r="H116" s="51">
        <v>1.63</v>
      </c>
      <c r="I116" s="51">
        <v>0.66</v>
      </c>
      <c r="J116" s="51">
        <v>0.23</v>
      </c>
      <c r="K116" s="51">
        <f t="shared" ref="K116:K120" si="7">SUM(C116:J116)</f>
        <v>8.68</v>
      </c>
      <c r="L116" s="1"/>
      <c r="M116" s="1"/>
      <c r="N116" s="1"/>
      <c r="O116" s="1"/>
      <c r="P116" s="1"/>
      <c r="Q116" s="1"/>
      <c r="R116" s="1"/>
      <c r="S116" s="1"/>
      <c r="T116" s="1"/>
      <c r="U116" s="1"/>
      <c r="V116" s="1"/>
      <c r="W116" s="1"/>
      <c r="X116" s="1"/>
      <c r="Y116" s="1"/>
      <c r="Z116" s="1"/>
    </row>
    <row r="117" ht="10.5" customHeight="1">
      <c r="A117" s="1"/>
      <c r="B117" s="238">
        <v>2001.0</v>
      </c>
      <c r="C117" s="50">
        <v>0.19</v>
      </c>
      <c r="D117" s="50">
        <v>0.99</v>
      </c>
      <c r="E117" s="50">
        <v>3.6</v>
      </c>
      <c r="F117" s="50">
        <v>0.37</v>
      </c>
      <c r="G117" s="50">
        <v>1.04</v>
      </c>
      <c r="H117" s="50">
        <v>1.61</v>
      </c>
      <c r="I117" s="50">
        <v>0.66</v>
      </c>
      <c r="J117" s="50">
        <v>0.24</v>
      </c>
      <c r="K117" s="51">
        <f t="shared" si="7"/>
        <v>8.7</v>
      </c>
      <c r="L117" s="1"/>
      <c r="M117" s="1"/>
      <c r="N117" s="1"/>
      <c r="O117" s="1"/>
      <c r="P117" s="1"/>
      <c r="Q117" s="1"/>
      <c r="R117" s="1"/>
      <c r="S117" s="1"/>
      <c r="T117" s="1"/>
      <c r="U117" s="1"/>
      <c r="V117" s="1"/>
      <c r="W117" s="1"/>
      <c r="X117" s="1"/>
      <c r="Y117" s="1"/>
      <c r="Z117" s="1"/>
    </row>
    <row r="118" ht="10.5" customHeight="1">
      <c r="A118" s="1"/>
      <c r="B118" s="238">
        <v>2002.0</v>
      </c>
      <c r="C118" s="51">
        <v>0.19</v>
      </c>
      <c r="D118" s="51">
        <v>0.85</v>
      </c>
      <c r="E118" s="51">
        <v>3.43</v>
      </c>
      <c r="F118" s="51">
        <v>0.36</v>
      </c>
      <c r="G118" s="51">
        <v>1.02</v>
      </c>
      <c r="H118" s="51">
        <v>1.47</v>
      </c>
      <c r="I118" s="51">
        <v>0.54</v>
      </c>
      <c r="J118" s="51">
        <v>0.2</v>
      </c>
      <c r="K118" s="51">
        <f t="shared" si="7"/>
        <v>8.06</v>
      </c>
      <c r="L118" s="1"/>
      <c r="M118" s="1"/>
      <c r="N118" s="1"/>
      <c r="O118" s="1"/>
      <c r="P118" s="1"/>
      <c r="Q118" s="1"/>
      <c r="R118" s="1"/>
      <c r="S118" s="1"/>
      <c r="T118" s="1"/>
      <c r="U118" s="1"/>
      <c r="V118" s="1"/>
      <c r="W118" s="1"/>
      <c r="X118" s="1"/>
      <c r="Y118" s="1"/>
      <c r="Z118" s="1"/>
    </row>
    <row r="119" ht="10.5" customHeight="1">
      <c r="A119" s="1"/>
      <c r="B119" s="238">
        <v>2003.0</v>
      </c>
      <c r="C119" s="51">
        <v>0.19</v>
      </c>
      <c r="D119" s="51">
        <v>0.79</v>
      </c>
      <c r="E119" s="51">
        <v>3.08</v>
      </c>
      <c r="F119" s="51">
        <v>0.28</v>
      </c>
      <c r="G119" s="51">
        <v>0.95</v>
      </c>
      <c r="H119" s="51">
        <v>1.91</v>
      </c>
      <c r="I119" s="51">
        <v>0.57</v>
      </c>
      <c r="J119" s="51">
        <v>0.26</v>
      </c>
      <c r="K119" s="51">
        <f t="shared" si="7"/>
        <v>8.03</v>
      </c>
      <c r="L119" s="1"/>
      <c r="M119" s="1"/>
      <c r="N119" s="1"/>
      <c r="O119" s="1"/>
      <c r="P119" s="1"/>
      <c r="Q119" s="1"/>
      <c r="R119" s="1"/>
      <c r="S119" s="1"/>
      <c r="T119" s="1"/>
      <c r="U119" s="1"/>
      <c r="V119" s="1"/>
      <c r="W119" s="1"/>
      <c r="X119" s="1"/>
      <c r="Y119" s="1"/>
      <c r="Z119" s="1"/>
    </row>
    <row r="120" ht="10.5" customHeight="1">
      <c r="A120" s="1"/>
      <c r="B120" s="238">
        <v>2004.0</v>
      </c>
      <c r="C120" s="50">
        <v>0.2</v>
      </c>
      <c r="D120" s="50">
        <v>0.77</v>
      </c>
      <c r="E120" s="50">
        <v>2.84</v>
      </c>
      <c r="F120" s="50">
        <v>0.25</v>
      </c>
      <c r="G120" s="50">
        <v>1.39</v>
      </c>
      <c r="H120" s="50">
        <v>1.77</v>
      </c>
      <c r="I120" s="50">
        <v>0.52</v>
      </c>
      <c r="J120" s="50">
        <v>0.28</v>
      </c>
      <c r="K120" s="51">
        <f t="shared" si="7"/>
        <v>8.02</v>
      </c>
      <c r="L120" s="1"/>
      <c r="M120" s="1"/>
      <c r="N120" s="1"/>
      <c r="O120" s="1"/>
      <c r="P120" s="1"/>
      <c r="Q120" s="1"/>
      <c r="R120" s="1"/>
      <c r="S120" s="1"/>
      <c r="T120" s="1"/>
      <c r="U120" s="1"/>
      <c r="V120" s="1"/>
      <c r="W120" s="1"/>
      <c r="X120" s="1"/>
      <c r="Y120" s="1"/>
      <c r="Z120" s="1"/>
    </row>
    <row r="121" ht="10.5" customHeight="1">
      <c r="A121" s="1"/>
      <c r="B121" s="238"/>
      <c r="C121" s="50"/>
      <c r="D121" s="50"/>
      <c r="E121" s="50"/>
      <c r="F121" s="51"/>
      <c r="G121" s="50"/>
      <c r="H121" s="50"/>
      <c r="I121" s="50"/>
      <c r="J121" s="50"/>
      <c r="K121" s="50"/>
      <c r="L121" s="1"/>
      <c r="M121" s="1"/>
      <c r="N121" s="1"/>
      <c r="O121" s="1"/>
      <c r="P121" s="1"/>
      <c r="Q121" s="1"/>
      <c r="R121" s="1"/>
      <c r="S121" s="1"/>
      <c r="T121" s="1"/>
      <c r="U121" s="1"/>
      <c r="V121" s="1"/>
      <c r="W121" s="1"/>
      <c r="X121" s="1"/>
      <c r="Y121" s="1"/>
      <c r="Z121" s="1"/>
    </row>
    <row r="122" ht="10.5" customHeight="1">
      <c r="A122" s="180"/>
      <c r="B122" s="540">
        <v>2005.0</v>
      </c>
      <c r="C122" s="646">
        <v>0.19</v>
      </c>
      <c r="D122" s="646">
        <v>0.82</v>
      </c>
      <c r="E122" s="646">
        <v>3.14</v>
      </c>
      <c r="F122" s="646">
        <v>0.28</v>
      </c>
      <c r="G122" s="646">
        <v>0.92</v>
      </c>
      <c r="H122" s="646">
        <v>2.11</v>
      </c>
      <c r="I122" s="646">
        <v>0.51</v>
      </c>
      <c r="J122" s="646">
        <v>0.21</v>
      </c>
      <c r="K122" s="51">
        <f t="shared" ref="K122:K126" si="8">SUM(C122:J122)</f>
        <v>8.18</v>
      </c>
      <c r="L122" s="1"/>
      <c r="M122" s="1"/>
      <c r="N122" s="1"/>
      <c r="O122" s="1"/>
      <c r="P122" s="1"/>
      <c r="Q122" s="1"/>
      <c r="R122" s="1"/>
      <c r="S122" s="1"/>
      <c r="T122" s="1"/>
      <c r="U122" s="1"/>
      <c r="V122" s="1"/>
      <c r="W122" s="1"/>
      <c r="X122" s="1"/>
      <c r="Y122" s="1"/>
      <c r="Z122" s="1"/>
    </row>
    <row r="123" ht="10.5" customHeight="1">
      <c r="A123" s="180"/>
      <c r="B123" s="540">
        <v>2006.0</v>
      </c>
      <c r="C123" s="646">
        <v>0.18</v>
      </c>
      <c r="D123" s="646">
        <v>0.8</v>
      </c>
      <c r="E123" s="646">
        <v>3.08</v>
      </c>
      <c r="F123" s="646">
        <v>0.28</v>
      </c>
      <c r="G123" s="646">
        <v>0.9</v>
      </c>
      <c r="H123" s="646">
        <v>2.07</v>
      </c>
      <c r="I123" s="646">
        <v>0.5</v>
      </c>
      <c r="J123" s="646">
        <v>0.2</v>
      </c>
      <c r="K123" s="50">
        <f t="shared" si="8"/>
        <v>8.01</v>
      </c>
      <c r="L123" s="1"/>
      <c r="M123" s="1"/>
      <c r="N123" s="1"/>
      <c r="O123" s="1"/>
      <c r="P123" s="1"/>
      <c r="Q123" s="1"/>
      <c r="R123" s="1"/>
      <c r="S123" s="1"/>
      <c r="T123" s="1"/>
      <c r="U123" s="1"/>
      <c r="V123" s="1"/>
      <c r="W123" s="1"/>
      <c r="X123" s="1"/>
      <c r="Y123" s="1"/>
      <c r="Z123" s="1"/>
    </row>
    <row r="124" ht="10.5" customHeight="1">
      <c r="A124" s="180"/>
      <c r="B124" s="540">
        <v>2007.0</v>
      </c>
      <c r="C124" s="646">
        <v>0.15</v>
      </c>
      <c r="D124" s="646">
        <v>0.79</v>
      </c>
      <c r="E124" s="646">
        <v>2.46</v>
      </c>
      <c r="F124" s="646">
        <v>0.29</v>
      </c>
      <c r="G124" s="646">
        <v>0.85</v>
      </c>
      <c r="H124" s="646">
        <v>2.4</v>
      </c>
      <c r="I124" s="646">
        <v>1.08</v>
      </c>
      <c r="J124" s="646">
        <v>0.17</v>
      </c>
      <c r="K124" s="50">
        <f t="shared" si="8"/>
        <v>8.19</v>
      </c>
      <c r="L124" s="1"/>
      <c r="M124" s="1"/>
      <c r="N124" s="1"/>
      <c r="O124" s="1"/>
      <c r="P124" s="1"/>
      <c r="Q124" s="1"/>
      <c r="R124" s="1"/>
      <c r="S124" s="1"/>
      <c r="T124" s="1"/>
      <c r="U124" s="1"/>
      <c r="V124" s="1"/>
      <c r="W124" s="1"/>
      <c r="X124" s="1"/>
      <c r="Y124" s="1"/>
      <c r="Z124" s="1"/>
    </row>
    <row r="125" ht="10.5" customHeight="1">
      <c r="A125" s="180"/>
      <c r="B125" s="540">
        <v>2008.0</v>
      </c>
      <c r="C125" s="646">
        <v>0.16</v>
      </c>
      <c r="D125" s="646">
        <v>0.98</v>
      </c>
      <c r="E125" s="646">
        <v>2.71</v>
      </c>
      <c r="F125" s="646">
        <v>0.32</v>
      </c>
      <c r="G125" s="646">
        <v>0.77</v>
      </c>
      <c r="H125" s="646">
        <v>1.96</v>
      </c>
      <c r="I125" s="646">
        <v>1.14</v>
      </c>
      <c r="J125" s="646">
        <v>0.24</v>
      </c>
      <c r="K125" s="50">
        <f t="shared" si="8"/>
        <v>8.28</v>
      </c>
      <c r="L125" s="1"/>
      <c r="M125" s="1"/>
      <c r="N125" s="1"/>
      <c r="O125" s="1"/>
      <c r="P125" s="1"/>
      <c r="Q125" s="1"/>
      <c r="R125" s="1"/>
      <c r="S125" s="1"/>
      <c r="T125" s="1"/>
      <c r="U125" s="1"/>
      <c r="V125" s="1"/>
      <c r="W125" s="1"/>
      <c r="X125" s="1"/>
      <c r="Y125" s="1"/>
      <c r="Z125" s="1"/>
    </row>
    <row r="126" ht="10.5" customHeight="1">
      <c r="A126" s="180"/>
      <c r="B126" s="540">
        <v>2009.0</v>
      </c>
      <c r="C126" s="646">
        <v>0.18</v>
      </c>
      <c r="D126" s="646">
        <v>1.0</v>
      </c>
      <c r="E126" s="646">
        <v>2.39</v>
      </c>
      <c r="F126" s="646">
        <v>0.34</v>
      </c>
      <c r="G126" s="646">
        <v>0.7</v>
      </c>
      <c r="H126" s="646">
        <v>2.49</v>
      </c>
      <c r="I126" s="646">
        <v>0.86</v>
      </c>
      <c r="J126" s="646">
        <v>0.28</v>
      </c>
      <c r="K126" s="50">
        <f t="shared" si="8"/>
        <v>8.24</v>
      </c>
      <c r="L126" s="1"/>
      <c r="M126" s="1"/>
      <c r="N126" s="1"/>
      <c r="O126" s="1"/>
      <c r="P126" s="1"/>
      <c r="Q126" s="1"/>
      <c r="R126" s="1"/>
      <c r="S126" s="1"/>
      <c r="T126" s="1"/>
      <c r="U126" s="1"/>
      <c r="V126" s="1"/>
      <c r="W126" s="1"/>
      <c r="X126" s="1"/>
      <c r="Y126" s="1"/>
      <c r="Z126" s="1"/>
    </row>
    <row r="127" ht="10.5" customHeight="1">
      <c r="A127" s="180"/>
      <c r="B127" s="540"/>
      <c r="C127" s="646"/>
      <c r="D127" s="646"/>
      <c r="E127" s="646"/>
      <c r="F127" s="646"/>
      <c r="G127" s="646"/>
      <c r="H127" s="646"/>
      <c r="I127" s="646"/>
      <c r="J127" s="646"/>
      <c r="K127" s="50"/>
      <c r="L127" s="1"/>
      <c r="M127" s="1"/>
      <c r="N127" s="1"/>
      <c r="O127" s="1"/>
      <c r="P127" s="1"/>
      <c r="Q127" s="1"/>
      <c r="R127" s="1"/>
      <c r="S127" s="1"/>
      <c r="T127" s="1"/>
      <c r="U127" s="1"/>
      <c r="V127" s="1"/>
      <c r="W127" s="1"/>
      <c r="X127" s="1"/>
      <c r="Y127" s="1"/>
      <c r="Z127" s="1"/>
    </row>
    <row r="128" ht="10.5" customHeight="1">
      <c r="A128" s="180"/>
      <c r="B128" s="540">
        <v>2010.0</v>
      </c>
      <c r="C128" s="649">
        <v>0.2</v>
      </c>
      <c r="D128" s="649">
        <v>1.0</v>
      </c>
      <c r="E128" s="646">
        <v>2.98</v>
      </c>
      <c r="F128" s="649">
        <v>0.34</v>
      </c>
      <c r="G128" s="646">
        <v>0.91</v>
      </c>
      <c r="H128" s="646">
        <v>1.99</v>
      </c>
      <c r="I128" s="646">
        <v>0.63</v>
      </c>
      <c r="J128" s="646">
        <v>0.17</v>
      </c>
      <c r="K128" s="50">
        <v>8.22</v>
      </c>
      <c r="L128" s="1"/>
      <c r="M128" s="1"/>
      <c r="N128" s="1"/>
      <c r="O128" s="1"/>
      <c r="P128" s="1"/>
      <c r="Q128" s="1"/>
      <c r="R128" s="1"/>
      <c r="S128" s="1"/>
      <c r="T128" s="1"/>
      <c r="U128" s="1"/>
      <c r="V128" s="1"/>
      <c r="W128" s="1"/>
      <c r="X128" s="1"/>
      <c r="Y128" s="1"/>
      <c r="Z128" s="1"/>
    </row>
    <row r="129" ht="10.5" customHeight="1">
      <c r="A129" s="180"/>
      <c r="B129" s="540">
        <v>2011.0</v>
      </c>
      <c r="C129" s="649">
        <v>0.21</v>
      </c>
      <c r="D129" s="649">
        <v>0.97</v>
      </c>
      <c r="E129" s="649">
        <v>2.8</v>
      </c>
      <c r="F129" s="649">
        <v>0.31</v>
      </c>
      <c r="G129" s="649">
        <v>0.95</v>
      </c>
      <c r="H129" s="649">
        <v>2.09</v>
      </c>
      <c r="I129" s="649">
        <v>0.4</v>
      </c>
      <c r="J129" s="649">
        <v>0.45</v>
      </c>
      <c r="K129" s="50">
        <v>8.18</v>
      </c>
      <c r="L129" s="1"/>
      <c r="M129" s="1"/>
      <c r="N129" s="1"/>
      <c r="O129" s="1"/>
      <c r="P129" s="1"/>
      <c r="Q129" s="1"/>
      <c r="R129" s="1"/>
      <c r="S129" s="1"/>
      <c r="T129" s="1"/>
      <c r="U129" s="1"/>
      <c r="V129" s="1"/>
      <c r="W129" s="1"/>
      <c r="X129" s="1"/>
      <c r="Y129" s="1"/>
      <c r="Z129" s="1"/>
    </row>
    <row r="130" ht="10.5" customHeight="1">
      <c r="A130" s="180"/>
      <c r="B130" s="540">
        <v>2012.0</v>
      </c>
      <c r="C130" s="646">
        <v>0.16</v>
      </c>
      <c r="D130" s="646">
        <v>0.93</v>
      </c>
      <c r="E130" s="649">
        <v>2.42</v>
      </c>
      <c r="F130" s="646">
        <v>0.31</v>
      </c>
      <c r="G130" s="649">
        <v>1.72</v>
      </c>
      <c r="H130" s="649">
        <v>2.65</v>
      </c>
      <c r="I130" s="649">
        <v>0.82</v>
      </c>
      <c r="J130" s="649">
        <v>0.24</v>
      </c>
      <c r="K130" s="50">
        <v>9.25</v>
      </c>
      <c r="L130" s="1"/>
      <c r="M130" s="1"/>
      <c r="N130" s="1"/>
      <c r="O130" s="1"/>
      <c r="P130" s="1"/>
      <c r="Q130" s="1"/>
      <c r="R130" s="1"/>
      <c r="S130" s="1"/>
      <c r="T130" s="1"/>
      <c r="U130" s="1"/>
      <c r="V130" s="1"/>
      <c r="W130" s="1"/>
      <c r="X130" s="1"/>
      <c r="Y130" s="1"/>
      <c r="Z130" s="1"/>
    </row>
    <row r="131" ht="10.5" customHeight="1">
      <c r="A131" s="180"/>
      <c r="B131" s="540">
        <v>2013.0</v>
      </c>
      <c r="C131" s="646">
        <v>0.19</v>
      </c>
      <c r="D131" s="646">
        <v>0.99</v>
      </c>
      <c r="E131" s="649">
        <v>2.72</v>
      </c>
      <c r="F131" s="646">
        <v>0.37</v>
      </c>
      <c r="G131" s="649">
        <v>0.82</v>
      </c>
      <c r="H131" s="649">
        <v>1.67</v>
      </c>
      <c r="I131" s="649">
        <v>0.89</v>
      </c>
      <c r="J131" s="649">
        <v>0.57</v>
      </c>
      <c r="K131" s="650">
        <v>8.22</v>
      </c>
      <c r="L131" s="1"/>
      <c r="M131" s="1"/>
      <c r="N131" s="1"/>
      <c r="O131" s="1"/>
      <c r="P131" s="1"/>
      <c r="Q131" s="1"/>
      <c r="R131" s="1"/>
      <c r="S131" s="1"/>
      <c r="T131" s="1"/>
      <c r="U131" s="1"/>
      <c r="V131" s="1"/>
      <c r="W131" s="1"/>
      <c r="X131" s="1"/>
      <c r="Y131" s="1"/>
      <c r="Z131" s="1"/>
    </row>
    <row r="132" ht="10.5" customHeight="1">
      <c r="A132" s="180"/>
      <c r="B132" s="540">
        <v>2014.0</v>
      </c>
      <c r="C132" s="646">
        <v>0.18</v>
      </c>
      <c r="D132" s="646">
        <v>0.95</v>
      </c>
      <c r="E132" s="649">
        <v>2.66</v>
      </c>
      <c r="F132" s="646">
        <v>0.31</v>
      </c>
      <c r="G132" s="649">
        <v>0.85</v>
      </c>
      <c r="H132" s="649">
        <v>1.72</v>
      </c>
      <c r="I132" s="649">
        <v>0.79</v>
      </c>
      <c r="J132" s="649">
        <v>0.78</v>
      </c>
      <c r="K132" s="650">
        <v>8.24</v>
      </c>
      <c r="L132" s="1"/>
      <c r="M132" s="1"/>
      <c r="N132" s="1"/>
      <c r="O132" s="1"/>
      <c r="P132" s="1"/>
      <c r="Q132" s="1"/>
      <c r="R132" s="1"/>
      <c r="S132" s="1"/>
      <c r="T132" s="1"/>
      <c r="U132" s="1"/>
      <c r="V132" s="1"/>
      <c r="W132" s="1"/>
      <c r="X132" s="1"/>
      <c r="Y132" s="1"/>
      <c r="Z132" s="1"/>
    </row>
    <row r="133" ht="10.5" customHeight="1">
      <c r="A133" s="180"/>
      <c r="B133" s="540"/>
      <c r="C133" s="646"/>
      <c r="D133" s="646"/>
      <c r="E133" s="649"/>
      <c r="F133" s="646"/>
      <c r="G133" s="649"/>
      <c r="H133" s="649"/>
      <c r="I133" s="649"/>
      <c r="J133" s="649"/>
      <c r="K133" s="650"/>
      <c r="L133" s="1"/>
      <c r="M133" s="1"/>
      <c r="N133" s="1"/>
      <c r="O133" s="1"/>
      <c r="P133" s="1"/>
      <c r="Q133" s="1"/>
      <c r="R133" s="1"/>
      <c r="S133" s="1"/>
      <c r="T133" s="1"/>
      <c r="U133" s="1"/>
      <c r="V133" s="1"/>
      <c r="W133" s="1"/>
      <c r="X133" s="1"/>
      <c r="Y133" s="1"/>
      <c r="Z133" s="1"/>
    </row>
    <row r="134" ht="10.5" customHeight="1">
      <c r="A134" s="180"/>
      <c r="B134" s="540">
        <v>2015.0</v>
      </c>
      <c r="C134" s="646">
        <v>0.19</v>
      </c>
      <c r="D134" s="646">
        <v>0.97</v>
      </c>
      <c r="E134" s="649">
        <v>2.73</v>
      </c>
      <c r="F134" s="646">
        <v>0.29</v>
      </c>
      <c r="G134" s="649">
        <v>0.83</v>
      </c>
      <c r="H134" s="649">
        <v>1.56</v>
      </c>
      <c r="I134" s="649">
        <v>0.8</v>
      </c>
      <c r="J134" s="649">
        <v>0.75</v>
      </c>
      <c r="K134" s="650">
        <v>8.12</v>
      </c>
      <c r="L134" s="1"/>
      <c r="M134" s="1"/>
      <c r="N134" s="1"/>
      <c r="O134" s="1"/>
      <c r="P134" s="1"/>
      <c r="Q134" s="1"/>
      <c r="R134" s="1"/>
      <c r="S134" s="1"/>
      <c r="T134" s="1"/>
      <c r="U134" s="1"/>
      <c r="V134" s="1"/>
      <c r="W134" s="1"/>
      <c r="X134" s="1"/>
      <c r="Y134" s="1"/>
      <c r="Z134" s="1"/>
    </row>
    <row r="135" ht="10.5" customHeight="1">
      <c r="A135" s="180"/>
      <c r="B135" s="540">
        <v>2016.0</v>
      </c>
      <c r="C135" s="646">
        <v>0.21</v>
      </c>
      <c r="D135" s="646">
        <v>1.01</v>
      </c>
      <c r="E135" s="649">
        <v>2.72</v>
      </c>
      <c r="F135" s="646">
        <v>0.29</v>
      </c>
      <c r="G135" s="649">
        <v>0.86</v>
      </c>
      <c r="H135" s="649">
        <v>2.41</v>
      </c>
      <c r="I135" s="649">
        <v>0.31</v>
      </c>
      <c r="J135" s="649">
        <v>0.75</v>
      </c>
      <c r="K135" s="650">
        <v>7.92</v>
      </c>
      <c r="L135" s="1"/>
      <c r="M135" s="1"/>
      <c r="N135" s="1"/>
      <c r="O135" s="1"/>
      <c r="P135" s="1"/>
      <c r="Q135" s="1"/>
      <c r="R135" s="1"/>
      <c r="S135" s="1"/>
      <c r="T135" s="1"/>
      <c r="U135" s="1"/>
      <c r="V135" s="1"/>
      <c r="W135" s="1"/>
      <c r="X135" s="1"/>
      <c r="Y135" s="1"/>
      <c r="Z135" s="1"/>
    </row>
    <row r="136" ht="10.5" customHeight="1">
      <c r="A136" s="180"/>
      <c r="B136" s="652">
        <v>2017.0</v>
      </c>
      <c r="C136" s="653">
        <v>0.19</v>
      </c>
      <c r="D136" s="653">
        <v>1.08</v>
      </c>
      <c r="E136" s="654">
        <v>2.6</v>
      </c>
      <c r="F136" s="653">
        <v>0.33</v>
      </c>
      <c r="G136" s="654">
        <v>0.66</v>
      </c>
      <c r="H136" s="654">
        <v>2.31</v>
      </c>
      <c r="I136" s="654">
        <v>0.27</v>
      </c>
      <c r="J136" s="654">
        <v>0.26</v>
      </c>
      <c r="K136" s="655">
        <v>7.7</v>
      </c>
      <c r="L136" s="1"/>
      <c r="M136" s="1"/>
      <c r="N136" s="1"/>
      <c r="O136" s="1"/>
      <c r="P136" s="1"/>
      <c r="Q136" s="1"/>
      <c r="R136" s="1"/>
      <c r="S136" s="1"/>
      <c r="T136" s="1"/>
      <c r="U136" s="1"/>
      <c r="V136" s="1"/>
      <c r="W136" s="1"/>
      <c r="X136" s="1"/>
      <c r="Y136" s="1"/>
      <c r="Z136" s="1"/>
    </row>
    <row r="137" ht="6.0" customHeight="1">
      <c r="A137" s="1"/>
      <c r="B137" s="65"/>
      <c r="C137" s="656"/>
      <c r="D137" s="656"/>
      <c r="E137" s="656"/>
      <c r="F137" s="656"/>
      <c r="G137" s="656"/>
      <c r="H137" s="656"/>
      <c r="I137" s="656"/>
      <c r="J137" s="656"/>
      <c r="K137" s="657"/>
      <c r="L137" s="1"/>
      <c r="M137" s="1"/>
      <c r="N137" s="1"/>
      <c r="O137" s="1"/>
      <c r="P137" s="1"/>
      <c r="Q137" s="1"/>
      <c r="R137" s="1"/>
      <c r="S137" s="1"/>
      <c r="T137" s="1"/>
      <c r="U137" s="1"/>
      <c r="V137" s="1"/>
      <c r="W137" s="1"/>
      <c r="X137" s="1"/>
      <c r="Y137" s="1"/>
      <c r="Z137" s="1"/>
    </row>
    <row r="138" ht="14.25" customHeight="1">
      <c r="A138" s="1"/>
      <c r="B138" s="185" t="s">
        <v>1027</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0.5" customHeight="1">
      <c r="A139" s="1"/>
      <c r="B139" s="1"/>
      <c r="C139" s="481"/>
      <c r="D139" s="481"/>
      <c r="E139" s="481"/>
      <c r="F139" s="481"/>
      <c r="G139" s="481"/>
      <c r="H139" s="481"/>
      <c r="I139" s="481"/>
      <c r="J139" s="481"/>
      <c r="K139" s="481"/>
      <c r="L139" s="1"/>
      <c r="M139" s="1"/>
      <c r="N139" s="1"/>
      <c r="O139" s="1"/>
      <c r="P139" s="1"/>
      <c r="Q139" s="1"/>
      <c r="R139" s="1"/>
      <c r="S139" s="1"/>
      <c r="T139" s="1"/>
      <c r="U139" s="1"/>
      <c r="V139" s="1"/>
      <c r="W139" s="1"/>
      <c r="X139" s="1"/>
      <c r="Y139" s="1"/>
      <c r="Z139" s="1"/>
    </row>
    <row r="140" ht="10.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0.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0.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0.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0.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0.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0.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0.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0.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0.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0.5" customHeight="1">
      <c r="A150" s="1"/>
      <c r="B150" s="1"/>
      <c r="C150" s="1"/>
      <c r="D150" s="1"/>
      <c r="E150" s="1"/>
      <c r="F150" s="1"/>
      <c r="G150" s="110">
        <v>59.0</v>
      </c>
      <c r="H150" s="1"/>
      <c r="I150" s="1"/>
      <c r="J150" s="1"/>
      <c r="K150" s="1"/>
      <c r="L150" s="1"/>
      <c r="M150" s="1"/>
      <c r="N150" s="1"/>
      <c r="O150" s="1"/>
      <c r="P150" s="1"/>
      <c r="Q150" s="1"/>
      <c r="R150" s="1"/>
      <c r="S150" s="1"/>
      <c r="T150" s="1"/>
      <c r="U150" s="1"/>
      <c r="V150" s="1"/>
      <c r="W150" s="1"/>
      <c r="X150" s="1"/>
      <c r="Y150" s="1"/>
      <c r="Z150" s="1"/>
    </row>
    <row r="151" ht="10.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1.25" customHeight="1">
      <c r="A152" s="1"/>
      <c r="B152" s="1" t="s">
        <v>1032</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4.75" customHeight="1">
      <c r="A153" s="1"/>
      <c r="B153" s="189" t="s">
        <v>1</v>
      </c>
      <c r="C153" s="31" t="s">
        <v>1035</v>
      </c>
      <c r="D153" s="31" t="s">
        <v>1037</v>
      </c>
      <c r="E153" s="128" t="s">
        <v>524</v>
      </c>
      <c r="F153" s="10"/>
      <c r="G153" s="1"/>
      <c r="H153" s="1"/>
      <c r="I153" s="1"/>
      <c r="J153" s="1"/>
      <c r="K153" s="1"/>
      <c r="L153" s="1"/>
      <c r="M153" s="1"/>
      <c r="N153" s="1"/>
      <c r="O153" s="1"/>
      <c r="P153" s="1"/>
      <c r="Q153" s="1"/>
      <c r="R153" s="1"/>
      <c r="S153" s="1"/>
      <c r="T153" s="1"/>
      <c r="U153" s="1"/>
      <c r="V153" s="1"/>
      <c r="W153" s="1"/>
      <c r="X153" s="1"/>
      <c r="Y153" s="1"/>
      <c r="Z153" s="1"/>
    </row>
    <row r="154" ht="11.25" customHeight="1">
      <c r="A154" s="1"/>
      <c r="B154" s="5"/>
      <c r="C154" s="6"/>
      <c r="D154" s="6"/>
      <c r="E154" s="7" t="s">
        <v>2</v>
      </c>
      <c r="F154" s="7" t="s">
        <v>1040</v>
      </c>
      <c r="G154" s="1"/>
      <c r="H154" s="1"/>
      <c r="I154" s="1"/>
      <c r="J154" s="1"/>
      <c r="K154" s="1"/>
      <c r="L154" s="1"/>
      <c r="M154" s="1"/>
      <c r="N154" s="1"/>
      <c r="O154" s="1"/>
      <c r="P154" s="1"/>
      <c r="Q154" s="1"/>
      <c r="R154" s="1"/>
      <c r="S154" s="1"/>
      <c r="T154" s="1"/>
      <c r="U154" s="1"/>
      <c r="V154" s="1"/>
      <c r="W154" s="1"/>
      <c r="X154" s="1"/>
      <c r="Y154" s="1"/>
      <c r="Z154" s="1"/>
    </row>
    <row r="155" ht="11.25" customHeight="1">
      <c r="A155" s="1"/>
      <c r="B155" s="6"/>
      <c r="C155" s="8" t="s">
        <v>49</v>
      </c>
      <c r="D155" s="9"/>
      <c r="E155" s="10"/>
      <c r="F155" s="134" t="s">
        <v>71</v>
      </c>
      <c r="G155" s="1"/>
      <c r="H155" s="1"/>
      <c r="I155" s="1"/>
      <c r="J155" s="1"/>
      <c r="K155" s="1"/>
      <c r="L155" s="1"/>
      <c r="M155" s="1"/>
      <c r="N155" s="1"/>
      <c r="O155" s="1"/>
      <c r="P155" s="1"/>
      <c r="Q155" s="1"/>
      <c r="R155" s="1"/>
      <c r="S155" s="1"/>
      <c r="T155" s="1"/>
      <c r="U155" s="1"/>
      <c r="V155" s="1"/>
      <c r="W155" s="1"/>
      <c r="X155" s="1"/>
      <c r="Y155" s="1"/>
      <c r="Z155" s="1"/>
    </row>
    <row r="156" ht="10.5" customHeight="1">
      <c r="A156" s="1"/>
      <c r="B156" s="238" t="s">
        <v>264</v>
      </c>
      <c r="C156" s="250">
        <v>449.4</v>
      </c>
      <c r="D156" s="136">
        <v>140.0</v>
      </c>
      <c r="E156" s="136">
        <v>549.0</v>
      </c>
      <c r="F156" s="249">
        <v>24.15</v>
      </c>
      <c r="G156" s="1"/>
      <c r="H156" s="1"/>
      <c r="I156" s="1"/>
      <c r="J156" s="1"/>
      <c r="K156" s="1"/>
      <c r="L156" s="1"/>
      <c r="M156" s="1"/>
      <c r="N156" s="1"/>
      <c r="O156" s="1"/>
      <c r="P156" s="1"/>
      <c r="Q156" s="1"/>
      <c r="R156" s="1"/>
      <c r="S156" s="1"/>
      <c r="T156" s="1"/>
      <c r="U156" s="1"/>
      <c r="V156" s="1"/>
      <c r="W156" s="1"/>
      <c r="X156" s="1"/>
      <c r="Y156" s="1"/>
      <c r="Z156" s="1"/>
    </row>
    <row r="157" ht="10.5" customHeight="1">
      <c r="A157" s="1"/>
      <c r="B157" s="238" t="s">
        <v>267</v>
      </c>
      <c r="C157" s="250">
        <v>487.8</v>
      </c>
      <c r="D157" s="136">
        <v>155.0</v>
      </c>
      <c r="E157" s="136">
        <v>583.0</v>
      </c>
      <c r="F157" s="249">
        <v>25.08</v>
      </c>
      <c r="G157" s="1"/>
      <c r="H157" s="1"/>
      <c r="I157" s="1"/>
      <c r="J157" s="1"/>
      <c r="K157" s="1"/>
      <c r="L157" s="1"/>
      <c r="M157" s="1"/>
      <c r="N157" s="1"/>
      <c r="O157" s="1"/>
      <c r="P157" s="1"/>
      <c r="Q157" s="1"/>
      <c r="R157" s="1"/>
      <c r="S157" s="1"/>
      <c r="T157" s="1"/>
      <c r="U157" s="1"/>
      <c r="V157" s="1"/>
      <c r="W157" s="1"/>
      <c r="X157" s="1"/>
      <c r="Y157" s="1"/>
      <c r="Z157" s="1"/>
    </row>
    <row r="158" ht="10.5" customHeight="1">
      <c r="A158" s="1"/>
      <c r="B158" s="238" t="s">
        <v>268</v>
      </c>
      <c r="C158" s="250">
        <v>510.1</v>
      </c>
      <c r="D158" s="136">
        <v>163.0</v>
      </c>
      <c r="E158" s="136">
        <v>609.0</v>
      </c>
      <c r="F158" s="249">
        <v>25.64</v>
      </c>
      <c r="G158" s="1"/>
      <c r="H158" s="1"/>
      <c r="I158" s="1"/>
      <c r="J158" s="1"/>
      <c r="K158" s="1"/>
      <c r="L158" s="1"/>
      <c r="M158" s="1"/>
      <c r="N158" s="1"/>
      <c r="O158" s="1"/>
      <c r="P158" s="1"/>
      <c r="Q158" s="1"/>
      <c r="R158" s="1"/>
      <c r="S158" s="1"/>
      <c r="T158" s="1"/>
      <c r="U158" s="1"/>
      <c r="V158" s="1"/>
      <c r="W158" s="1"/>
      <c r="X158" s="1"/>
      <c r="Y158" s="1"/>
      <c r="Z158" s="1"/>
    </row>
    <row r="159" ht="10.5" customHeight="1">
      <c r="A159" s="1"/>
      <c r="B159" s="238" t="s">
        <v>269</v>
      </c>
      <c r="C159" s="250">
        <v>469.7</v>
      </c>
      <c r="D159" s="136">
        <v>140.0</v>
      </c>
      <c r="E159" s="136">
        <v>570.0</v>
      </c>
      <c r="F159" s="249">
        <v>23.46</v>
      </c>
      <c r="G159" s="1"/>
      <c r="H159" s="1"/>
      <c r="I159" s="1"/>
      <c r="J159" s="1"/>
      <c r="K159" s="1"/>
      <c r="L159" s="1"/>
      <c r="M159" s="1"/>
      <c r="N159" s="1"/>
      <c r="O159" s="1"/>
      <c r="P159" s="1"/>
      <c r="Q159" s="1"/>
      <c r="R159" s="1"/>
      <c r="S159" s="1"/>
      <c r="T159" s="1"/>
      <c r="U159" s="1"/>
      <c r="V159" s="1"/>
      <c r="W159" s="1"/>
      <c r="X159" s="1"/>
      <c r="Y159" s="1"/>
      <c r="Z159" s="1"/>
    </row>
    <row r="160" ht="10.5" customHeight="1">
      <c r="A160" s="1"/>
      <c r="B160" s="238" t="s">
        <v>270</v>
      </c>
      <c r="C160" s="250">
        <v>426.4</v>
      </c>
      <c r="D160" s="136">
        <v>145.0</v>
      </c>
      <c r="E160" s="136">
        <v>552.0</v>
      </c>
      <c r="F160" s="249">
        <v>22.21</v>
      </c>
      <c r="G160" s="1"/>
      <c r="H160" s="1"/>
      <c r="I160" s="1"/>
      <c r="J160" s="1"/>
      <c r="K160" s="1"/>
      <c r="L160" s="1"/>
      <c r="M160" s="1"/>
      <c r="N160" s="1"/>
      <c r="O160" s="1"/>
      <c r="P160" s="1"/>
      <c r="Q160" s="1"/>
      <c r="R160" s="1"/>
      <c r="S160" s="1"/>
      <c r="T160" s="1"/>
      <c r="U160" s="1"/>
      <c r="V160" s="1"/>
      <c r="W160" s="1"/>
      <c r="X160" s="1"/>
      <c r="Y160" s="1"/>
      <c r="Z160" s="1"/>
    </row>
    <row r="161" ht="10.5" customHeight="1">
      <c r="A161" s="1"/>
      <c r="B161" s="238"/>
      <c r="C161" s="250"/>
      <c r="D161" s="136"/>
      <c r="E161" s="136"/>
      <c r="F161" s="249"/>
      <c r="G161" s="1"/>
      <c r="H161" s="1"/>
      <c r="I161" s="1"/>
      <c r="J161" s="1"/>
      <c r="K161" s="1"/>
      <c r="L161" s="1"/>
      <c r="M161" s="1"/>
      <c r="N161" s="1"/>
      <c r="O161" s="1"/>
      <c r="P161" s="1"/>
      <c r="Q161" s="1"/>
      <c r="R161" s="1"/>
      <c r="S161" s="1"/>
      <c r="T161" s="1"/>
      <c r="U161" s="1"/>
      <c r="V161" s="1"/>
      <c r="W161" s="1"/>
      <c r="X161" s="1"/>
      <c r="Y161" s="1"/>
      <c r="Z161" s="1"/>
    </row>
    <row r="162" ht="10.5" customHeight="1">
      <c r="A162" s="1"/>
      <c r="B162" s="238" t="s">
        <v>271</v>
      </c>
      <c r="C162" s="250">
        <v>465.2</v>
      </c>
      <c r="D162" s="136">
        <v>138.0</v>
      </c>
      <c r="E162" s="136">
        <v>579.0</v>
      </c>
      <c r="F162" s="249">
        <v>22.81</v>
      </c>
      <c r="G162" s="1"/>
      <c r="H162" s="1"/>
      <c r="I162" s="1"/>
      <c r="J162" s="1"/>
      <c r="K162" s="1"/>
      <c r="L162" s="1"/>
      <c r="M162" s="1"/>
      <c r="N162" s="1"/>
      <c r="O162" s="1"/>
      <c r="P162" s="1"/>
      <c r="Q162" s="1"/>
      <c r="R162" s="1"/>
      <c r="S162" s="1"/>
      <c r="T162" s="1"/>
      <c r="U162" s="1"/>
      <c r="V162" s="1"/>
      <c r="W162" s="1"/>
      <c r="X162" s="1"/>
      <c r="Y162" s="1"/>
      <c r="Z162" s="1"/>
    </row>
    <row r="163" ht="10.5" customHeight="1">
      <c r="A163" s="1"/>
      <c r="B163" s="238" t="s">
        <v>272</v>
      </c>
      <c r="C163" s="250">
        <v>523.5</v>
      </c>
      <c r="D163" s="136">
        <v>118.0</v>
      </c>
      <c r="E163" s="136">
        <v>606.0</v>
      </c>
      <c r="F163" s="249">
        <v>23.32</v>
      </c>
      <c r="G163" s="1"/>
      <c r="H163" s="1"/>
      <c r="I163" s="1"/>
      <c r="J163" s="1"/>
      <c r="K163" s="1"/>
      <c r="L163" s="1"/>
      <c r="M163" s="1"/>
      <c r="N163" s="1"/>
      <c r="O163" s="1"/>
      <c r="P163" s="1"/>
      <c r="Q163" s="1"/>
      <c r="R163" s="1"/>
      <c r="S163" s="1"/>
      <c r="T163" s="1"/>
      <c r="U163" s="1"/>
      <c r="V163" s="1"/>
      <c r="W163" s="1"/>
      <c r="X163" s="1"/>
      <c r="Y163" s="1"/>
      <c r="Z163" s="1"/>
    </row>
    <row r="164" ht="10.5" customHeight="1">
      <c r="A164" s="1"/>
      <c r="B164" s="238" t="s">
        <v>274</v>
      </c>
      <c r="C164" s="250">
        <v>581.2</v>
      </c>
      <c r="D164" s="136">
        <v>85.0</v>
      </c>
      <c r="E164" s="136">
        <v>627.0</v>
      </c>
      <c r="F164" s="249">
        <v>23.63</v>
      </c>
      <c r="G164" s="1"/>
      <c r="H164" s="1"/>
      <c r="I164" s="1"/>
      <c r="J164" s="1"/>
      <c r="K164" s="1"/>
      <c r="L164" s="1"/>
      <c r="M164" s="1"/>
      <c r="N164" s="1"/>
      <c r="O164" s="1"/>
      <c r="P164" s="1"/>
      <c r="Q164" s="1"/>
      <c r="R164" s="1"/>
      <c r="S164" s="1"/>
      <c r="T164" s="1"/>
      <c r="U164" s="1"/>
      <c r="V164" s="1"/>
      <c r="W164" s="1"/>
      <c r="X164" s="1"/>
      <c r="Y164" s="1"/>
      <c r="Z164" s="1"/>
    </row>
    <row r="165" ht="10.5" customHeight="1">
      <c r="A165" s="1"/>
      <c r="B165" s="238" t="s">
        <v>275</v>
      </c>
      <c r="C165" s="250">
        <v>632.0</v>
      </c>
      <c r="D165" s="136">
        <v>78.0</v>
      </c>
      <c r="E165" s="136">
        <v>660.0</v>
      </c>
      <c r="F165" s="249">
        <v>24.31</v>
      </c>
      <c r="G165" s="1"/>
      <c r="H165" s="1"/>
      <c r="I165" s="1"/>
      <c r="J165" s="1"/>
      <c r="K165" s="1"/>
      <c r="L165" s="1"/>
      <c r="M165" s="1"/>
      <c r="N165" s="1"/>
      <c r="O165" s="1"/>
      <c r="P165" s="1"/>
      <c r="Q165" s="1"/>
      <c r="R165" s="1"/>
      <c r="S165" s="1"/>
      <c r="T165" s="1"/>
      <c r="U165" s="1"/>
      <c r="V165" s="1"/>
      <c r="W165" s="1"/>
      <c r="X165" s="1"/>
      <c r="Y165" s="1"/>
      <c r="Z165" s="1"/>
    </row>
    <row r="166" ht="10.5" customHeight="1">
      <c r="A166" s="1"/>
      <c r="B166" s="238" t="s">
        <v>276</v>
      </c>
      <c r="C166" s="250">
        <v>712.2</v>
      </c>
      <c r="D166" s="136">
        <v>60.0</v>
      </c>
      <c r="E166" s="136">
        <v>719.0</v>
      </c>
      <c r="F166" s="249">
        <v>25.91</v>
      </c>
      <c r="G166" s="1"/>
      <c r="H166" s="1"/>
      <c r="I166" s="1"/>
      <c r="J166" s="1"/>
      <c r="K166" s="1"/>
      <c r="L166" s="1"/>
      <c r="M166" s="1"/>
      <c r="N166" s="1"/>
      <c r="O166" s="1"/>
      <c r="P166" s="1"/>
      <c r="Q166" s="1"/>
      <c r="R166" s="1"/>
      <c r="S166" s="1"/>
      <c r="T166" s="1"/>
      <c r="U166" s="1"/>
      <c r="V166" s="1"/>
      <c r="W166" s="1"/>
      <c r="X166" s="1"/>
      <c r="Y166" s="1"/>
      <c r="Z166" s="1"/>
    </row>
    <row r="167" ht="10.5" customHeight="1">
      <c r="A167" s="1"/>
      <c r="B167" s="238"/>
      <c r="C167" s="250"/>
      <c r="D167" s="136"/>
      <c r="E167" s="136"/>
      <c r="F167" s="249"/>
      <c r="G167" s="1"/>
      <c r="H167" s="1"/>
      <c r="I167" s="1"/>
      <c r="J167" s="1"/>
      <c r="K167" s="1"/>
      <c r="L167" s="1"/>
      <c r="M167" s="1"/>
      <c r="N167" s="1"/>
      <c r="O167" s="1"/>
      <c r="P167" s="1"/>
      <c r="Q167" s="1"/>
      <c r="R167" s="1"/>
      <c r="S167" s="1"/>
      <c r="T167" s="1"/>
      <c r="U167" s="1"/>
      <c r="V167" s="1"/>
      <c r="W167" s="1"/>
      <c r="X167" s="1"/>
      <c r="Y167" s="1"/>
      <c r="Z167" s="1"/>
    </row>
    <row r="168" ht="10.5" customHeight="1">
      <c r="A168" s="1"/>
      <c r="B168" s="238" t="s">
        <v>56</v>
      </c>
      <c r="C168" s="250">
        <v>545.2</v>
      </c>
      <c r="D168" s="136">
        <v>109.0</v>
      </c>
      <c r="E168" s="136">
        <v>624.0</v>
      </c>
      <c r="F168" s="249">
        <v>21.99</v>
      </c>
      <c r="G168" s="1"/>
      <c r="H168" s="1"/>
      <c r="I168" s="1"/>
      <c r="J168" s="1"/>
      <c r="K168" s="1"/>
      <c r="L168" s="1"/>
      <c r="M168" s="1"/>
      <c r="N168" s="1"/>
      <c r="O168" s="1"/>
      <c r="P168" s="1"/>
      <c r="Q168" s="1"/>
      <c r="R168" s="1"/>
      <c r="S168" s="1"/>
      <c r="T168" s="1"/>
      <c r="U168" s="1"/>
      <c r="V168" s="1"/>
      <c r="W168" s="1"/>
      <c r="X168" s="1"/>
      <c r="Y168" s="1"/>
      <c r="Z168" s="1"/>
    </row>
    <row r="169" ht="10.5" customHeight="1">
      <c r="A169" s="1"/>
      <c r="B169" s="238" t="s">
        <v>81</v>
      </c>
      <c r="C169" s="250">
        <v>591.7</v>
      </c>
      <c r="D169" s="136">
        <v>78.0</v>
      </c>
      <c r="E169" s="136">
        <v>643.0</v>
      </c>
      <c r="F169" s="249">
        <v>22.17</v>
      </c>
      <c r="G169" s="1"/>
      <c r="H169" s="1"/>
      <c r="I169" s="1"/>
      <c r="J169" s="1"/>
      <c r="K169" s="1"/>
      <c r="L169" s="1"/>
      <c r="M169" s="1"/>
      <c r="N169" s="1"/>
      <c r="O169" s="1"/>
      <c r="P169" s="1"/>
      <c r="Q169" s="1"/>
      <c r="R169" s="1"/>
      <c r="S169" s="1"/>
      <c r="T169" s="1"/>
      <c r="U169" s="1"/>
      <c r="V169" s="1"/>
      <c r="W169" s="1"/>
      <c r="X169" s="1"/>
      <c r="Y169" s="1"/>
      <c r="Z169" s="1"/>
    </row>
    <row r="170" ht="10.5" customHeight="1">
      <c r="A170" s="1"/>
      <c r="B170" s="238" t="s">
        <v>86</v>
      </c>
      <c r="C170" s="250">
        <v>647.3</v>
      </c>
      <c r="D170" s="136">
        <v>62.0</v>
      </c>
      <c r="E170" s="136">
        <v>676.0</v>
      </c>
      <c r="F170" s="249">
        <v>22.81</v>
      </c>
      <c r="G170" s="1"/>
      <c r="H170" s="1"/>
      <c r="I170" s="1"/>
      <c r="J170" s="1"/>
      <c r="K170" s="1"/>
      <c r="L170" s="1"/>
      <c r="M170" s="1"/>
      <c r="N170" s="1"/>
      <c r="O170" s="1"/>
      <c r="P170" s="1"/>
      <c r="Q170" s="1"/>
      <c r="R170" s="1"/>
      <c r="S170" s="1"/>
      <c r="T170" s="1"/>
      <c r="U170" s="1"/>
      <c r="V170" s="1"/>
      <c r="W170" s="1"/>
      <c r="X170" s="1"/>
      <c r="Y170" s="1"/>
      <c r="Z170" s="1"/>
    </row>
    <row r="171" ht="10.5" customHeight="1">
      <c r="A171" s="1"/>
      <c r="B171" s="238" t="s">
        <v>87</v>
      </c>
      <c r="C171" s="250">
        <v>659.0</v>
      </c>
      <c r="D171" s="136">
        <v>55.0</v>
      </c>
      <c r="E171" s="136">
        <v>682.0</v>
      </c>
      <c r="F171" s="249">
        <v>22.48</v>
      </c>
      <c r="G171" s="1"/>
      <c r="H171" s="1"/>
      <c r="I171" s="1"/>
      <c r="J171" s="1"/>
      <c r="K171" s="1"/>
      <c r="L171" s="1"/>
      <c r="M171" s="1"/>
      <c r="N171" s="1"/>
      <c r="O171" s="1"/>
      <c r="P171" s="1"/>
      <c r="Q171" s="1"/>
      <c r="R171" s="1"/>
      <c r="S171" s="1"/>
      <c r="T171" s="1"/>
      <c r="U171" s="1"/>
      <c r="V171" s="1"/>
      <c r="W171" s="1"/>
      <c r="X171" s="1"/>
      <c r="Y171" s="1"/>
      <c r="Z171" s="1"/>
    </row>
    <row r="172" ht="10.5" customHeight="1">
      <c r="A172" s="1"/>
      <c r="B172" s="238" t="s">
        <v>90</v>
      </c>
      <c r="C172" s="250">
        <v>649.0</v>
      </c>
      <c r="D172" s="136">
        <v>54.0</v>
      </c>
      <c r="E172" s="136">
        <v>670.0</v>
      </c>
      <c r="F172" s="249">
        <v>21.61</v>
      </c>
      <c r="G172" s="1"/>
      <c r="H172" s="1"/>
      <c r="I172" s="1"/>
      <c r="J172" s="1"/>
      <c r="K172" s="1"/>
      <c r="L172" s="1"/>
      <c r="M172" s="1"/>
      <c r="N172" s="1"/>
      <c r="O172" s="1"/>
      <c r="P172" s="1"/>
      <c r="Q172" s="1"/>
      <c r="R172" s="1"/>
      <c r="S172" s="1"/>
      <c r="T172" s="1"/>
      <c r="U172" s="1"/>
      <c r="V172" s="1"/>
      <c r="W172" s="1"/>
      <c r="X172" s="1"/>
      <c r="Y172" s="1"/>
      <c r="Z172" s="1"/>
    </row>
    <row r="173" ht="10.5" customHeight="1">
      <c r="A173" s="1"/>
      <c r="B173" s="238"/>
      <c r="C173" s="250"/>
      <c r="D173" s="136"/>
      <c r="E173" s="136"/>
      <c r="F173" s="249"/>
      <c r="G173" s="1"/>
      <c r="H173" s="1"/>
      <c r="I173" s="1"/>
      <c r="J173" s="1"/>
      <c r="K173" s="1"/>
      <c r="L173" s="1"/>
      <c r="M173" s="1"/>
      <c r="N173" s="1"/>
      <c r="O173" s="1"/>
      <c r="P173" s="1"/>
      <c r="Q173" s="1"/>
      <c r="R173" s="1"/>
      <c r="S173" s="1"/>
      <c r="T173" s="1"/>
      <c r="U173" s="1"/>
      <c r="V173" s="1"/>
      <c r="W173" s="1"/>
      <c r="X173" s="1"/>
      <c r="Y173" s="1"/>
      <c r="Z173" s="1"/>
    </row>
    <row r="174" ht="10.5" customHeight="1">
      <c r="A174" s="1"/>
      <c r="B174" s="238" t="s">
        <v>93</v>
      </c>
      <c r="C174" s="250">
        <v>604.5</v>
      </c>
      <c r="D174" s="136">
        <v>57.0</v>
      </c>
      <c r="E174" s="136">
        <v>630.0</v>
      </c>
      <c r="F174" s="249">
        <v>19.89</v>
      </c>
      <c r="G174" s="1"/>
      <c r="H174" s="1"/>
      <c r="I174" s="1"/>
      <c r="J174" s="1"/>
      <c r="K174" s="1"/>
      <c r="L174" s="1"/>
      <c r="M174" s="1"/>
      <c r="N174" s="1"/>
      <c r="O174" s="1"/>
      <c r="P174" s="1"/>
      <c r="Q174" s="1"/>
      <c r="R174" s="1"/>
      <c r="S174" s="1"/>
      <c r="T174" s="1"/>
      <c r="U174" s="1"/>
      <c r="V174" s="1"/>
      <c r="W174" s="1"/>
      <c r="X174" s="1"/>
      <c r="Y174" s="1"/>
      <c r="Z174" s="1"/>
    </row>
    <row r="175" ht="10.5" customHeight="1">
      <c r="A175" s="1"/>
      <c r="B175" s="238" t="s">
        <v>97</v>
      </c>
      <c r="C175" s="250">
        <v>595.5</v>
      </c>
      <c r="D175" s="136">
        <v>78.0</v>
      </c>
      <c r="E175" s="136">
        <v>651.0</v>
      </c>
      <c r="F175" s="249">
        <v>20.08</v>
      </c>
      <c r="G175" s="1"/>
      <c r="H175" s="1"/>
      <c r="I175" s="1"/>
      <c r="J175" s="1"/>
      <c r="K175" s="1"/>
      <c r="L175" s="1"/>
      <c r="M175" s="1"/>
      <c r="N175" s="1"/>
      <c r="O175" s="1"/>
      <c r="P175" s="1"/>
      <c r="Q175" s="1"/>
      <c r="R175" s="1"/>
      <c r="S175" s="1"/>
      <c r="T175" s="1"/>
      <c r="U175" s="1"/>
      <c r="V175" s="1"/>
      <c r="W175" s="1"/>
      <c r="X175" s="1"/>
      <c r="Y175" s="1"/>
      <c r="Z175" s="1"/>
    </row>
    <row r="176" ht="10.5" customHeight="1">
      <c r="A176" s="1"/>
      <c r="B176" s="238" t="s">
        <v>101</v>
      </c>
      <c r="C176" s="250">
        <v>545.2</v>
      </c>
      <c r="D176" s="136">
        <v>89.0</v>
      </c>
      <c r="E176" s="136">
        <v>609.0</v>
      </c>
      <c r="F176" s="249">
        <v>18.4</v>
      </c>
      <c r="G176" s="1"/>
      <c r="H176" s="1"/>
      <c r="I176" s="1"/>
      <c r="J176" s="1"/>
      <c r="K176" s="1"/>
      <c r="L176" s="1"/>
      <c r="M176" s="1"/>
      <c r="N176" s="1"/>
      <c r="O176" s="1"/>
      <c r="P176" s="1"/>
      <c r="Q176" s="1"/>
      <c r="R176" s="1"/>
      <c r="S176" s="1"/>
      <c r="T176" s="1"/>
      <c r="U176" s="1"/>
      <c r="V176" s="1"/>
      <c r="W176" s="1"/>
      <c r="X176" s="1"/>
      <c r="Y176" s="1"/>
      <c r="Z176" s="1"/>
    </row>
    <row r="177" ht="10.5" customHeight="1">
      <c r="A177" s="1"/>
      <c r="B177" s="238" t="s">
        <v>103</v>
      </c>
      <c r="C177" s="250">
        <v>542.9</v>
      </c>
      <c r="D177" s="136">
        <v>92.0</v>
      </c>
      <c r="E177" s="136">
        <v>609.0</v>
      </c>
      <c r="F177" s="249">
        <v>17.98</v>
      </c>
      <c r="G177" s="1"/>
      <c r="H177" s="1"/>
      <c r="I177" s="1"/>
      <c r="J177" s="1"/>
      <c r="K177" s="1"/>
      <c r="L177" s="1"/>
      <c r="M177" s="1"/>
      <c r="N177" s="1"/>
      <c r="O177" s="1"/>
      <c r="P177" s="1"/>
      <c r="Q177" s="1"/>
      <c r="R177" s="1"/>
      <c r="S177" s="1"/>
      <c r="T177" s="1"/>
      <c r="U177" s="1"/>
      <c r="V177" s="1"/>
      <c r="W177" s="1"/>
      <c r="X177" s="1"/>
      <c r="Y177" s="1"/>
      <c r="Z177" s="1"/>
    </row>
    <row r="178" ht="10.5" customHeight="1">
      <c r="A178" s="1"/>
      <c r="B178" s="238" t="s">
        <v>104</v>
      </c>
      <c r="C178" s="250">
        <v>610.3</v>
      </c>
      <c r="D178" s="136">
        <v>83.0</v>
      </c>
      <c r="E178" s="136">
        <v>668.0</v>
      </c>
      <c r="F178" s="249">
        <v>19.3</v>
      </c>
      <c r="G178" s="1"/>
      <c r="H178" s="1"/>
      <c r="I178" s="1"/>
      <c r="J178" s="1"/>
      <c r="K178" s="1"/>
      <c r="L178" s="1"/>
      <c r="M178" s="1"/>
      <c r="N178" s="1"/>
      <c r="O178" s="1"/>
      <c r="P178" s="1"/>
      <c r="Q178" s="1"/>
      <c r="R178" s="1"/>
      <c r="S178" s="1"/>
      <c r="T178" s="1"/>
      <c r="U178" s="1"/>
      <c r="V178" s="1"/>
      <c r="W178" s="1"/>
      <c r="X178" s="1"/>
      <c r="Y178" s="1"/>
      <c r="Z178" s="1"/>
    </row>
    <row r="179" ht="10.5" customHeight="1">
      <c r="A179" s="1"/>
      <c r="B179" s="238"/>
      <c r="C179" s="250"/>
      <c r="D179" s="136"/>
      <c r="E179" s="136"/>
      <c r="F179" s="249"/>
      <c r="G179" s="1"/>
      <c r="H179" s="1"/>
      <c r="I179" s="1"/>
      <c r="J179" s="1"/>
      <c r="K179" s="1"/>
      <c r="L179" s="1"/>
      <c r="M179" s="1"/>
      <c r="N179" s="1"/>
      <c r="O179" s="1"/>
      <c r="P179" s="1"/>
      <c r="Q179" s="1"/>
      <c r="R179" s="1"/>
      <c r="S179" s="1"/>
      <c r="T179" s="1"/>
      <c r="U179" s="1"/>
      <c r="V179" s="1"/>
      <c r="W179" s="1"/>
      <c r="X179" s="1"/>
      <c r="Y179" s="1"/>
      <c r="Z179" s="1"/>
    </row>
    <row r="180" ht="10.5" customHeight="1">
      <c r="A180" s="1"/>
      <c r="B180" s="238" t="s">
        <v>108</v>
      </c>
      <c r="C180" s="250">
        <v>664.9</v>
      </c>
      <c r="D180" s="136">
        <v>68.0</v>
      </c>
      <c r="E180" s="136">
        <v>714.0</v>
      </c>
      <c r="F180" s="249">
        <v>20.16</v>
      </c>
      <c r="G180" s="1"/>
      <c r="H180" s="1"/>
      <c r="I180" s="1"/>
      <c r="J180" s="1"/>
      <c r="K180" s="1"/>
      <c r="L180" s="1"/>
      <c r="M180" s="1"/>
      <c r="N180" s="1"/>
      <c r="O180" s="1"/>
      <c r="P180" s="1"/>
      <c r="Q180" s="1"/>
      <c r="R180" s="1"/>
      <c r="S180" s="1"/>
      <c r="T180" s="1"/>
      <c r="U180" s="1"/>
      <c r="V180" s="1"/>
      <c r="W180" s="1"/>
      <c r="X180" s="1"/>
      <c r="Y180" s="1"/>
      <c r="Z180" s="1"/>
    </row>
    <row r="181" ht="10.5" customHeight="1">
      <c r="A181" s="1"/>
      <c r="B181" s="238" t="s">
        <v>111</v>
      </c>
      <c r="C181" s="250">
        <v>703.5</v>
      </c>
      <c r="D181" s="136">
        <v>60.0</v>
      </c>
      <c r="E181" s="136">
        <v>741.0</v>
      </c>
      <c r="F181" s="249">
        <v>20.47</v>
      </c>
      <c r="G181" s="1"/>
      <c r="H181" s="1"/>
      <c r="I181" s="1"/>
      <c r="J181" s="1"/>
      <c r="K181" s="1"/>
      <c r="L181" s="1"/>
      <c r="M181" s="1"/>
      <c r="N181" s="1"/>
      <c r="O181" s="1"/>
      <c r="P181" s="1"/>
      <c r="Q181" s="1"/>
      <c r="R181" s="1"/>
      <c r="S181" s="1"/>
      <c r="T181" s="1"/>
      <c r="U181" s="1"/>
      <c r="V181" s="1"/>
      <c r="W181" s="1"/>
      <c r="X181" s="1"/>
      <c r="Y181" s="1"/>
      <c r="Z181" s="1"/>
    </row>
    <row r="182" ht="10.5" customHeight="1">
      <c r="A182" s="1"/>
      <c r="B182" s="238" t="s">
        <v>112</v>
      </c>
      <c r="C182" s="250">
        <v>694.0</v>
      </c>
      <c r="D182" s="136">
        <v>69.0</v>
      </c>
      <c r="E182" s="136">
        <v>718.0</v>
      </c>
      <c r="F182" s="249">
        <v>19.4</v>
      </c>
      <c r="G182" s="1"/>
      <c r="H182" s="1"/>
      <c r="I182" s="1"/>
      <c r="J182" s="1"/>
      <c r="K182" s="1"/>
      <c r="L182" s="1"/>
      <c r="M182" s="1"/>
      <c r="N182" s="1"/>
      <c r="O182" s="1"/>
      <c r="P182" s="1"/>
      <c r="Q182" s="1"/>
      <c r="R182" s="1"/>
      <c r="S182" s="1"/>
      <c r="T182" s="1"/>
      <c r="U182" s="1"/>
      <c r="V182" s="1"/>
      <c r="W182" s="1"/>
      <c r="X182" s="1"/>
      <c r="Y182" s="1"/>
      <c r="Z182" s="1"/>
    </row>
    <row r="183" ht="10.5" customHeight="1">
      <c r="A183" s="1"/>
      <c r="B183" s="238" t="s">
        <v>113</v>
      </c>
      <c r="C183" s="250">
        <v>611.2</v>
      </c>
      <c r="D183" s="136">
        <v>70.0</v>
      </c>
      <c r="E183" s="136">
        <v>663.0</v>
      </c>
      <c r="F183" s="249">
        <v>17.53</v>
      </c>
      <c r="G183" s="1"/>
      <c r="H183" s="1"/>
      <c r="I183" s="1"/>
      <c r="J183" s="1"/>
      <c r="K183" s="1"/>
      <c r="L183" s="1"/>
      <c r="M183" s="1"/>
      <c r="N183" s="1"/>
      <c r="O183" s="1"/>
      <c r="P183" s="1"/>
      <c r="Q183" s="1"/>
      <c r="R183" s="1"/>
      <c r="S183" s="1"/>
      <c r="T183" s="1"/>
      <c r="U183" s="1"/>
      <c r="V183" s="1"/>
      <c r="W183" s="1"/>
      <c r="X183" s="1"/>
      <c r="Y183" s="1"/>
      <c r="Z183" s="1"/>
    </row>
    <row r="184" ht="10.5" customHeight="1">
      <c r="A184" s="1"/>
      <c r="B184" s="238" t="s">
        <v>114</v>
      </c>
      <c r="C184" s="250">
        <v>507.5</v>
      </c>
      <c r="D184" s="136">
        <v>82.0</v>
      </c>
      <c r="E184" s="136">
        <v>587.0</v>
      </c>
      <c r="F184" s="249">
        <v>15.19</v>
      </c>
      <c r="G184" s="1"/>
      <c r="H184" s="1"/>
      <c r="I184" s="1"/>
      <c r="J184" s="1"/>
      <c r="K184" s="1"/>
      <c r="L184" s="1"/>
      <c r="M184" s="1"/>
      <c r="N184" s="1"/>
      <c r="O184" s="1"/>
      <c r="P184" s="1"/>
      <c r="Q184" s="1"/>
      <c r="R184" s="1"/>
      <c r="S184" s="1"/>
      <c r="T184" s="1"/>
      <c r="U184" s="1"/>
      <c r="V184" s="1"/>
      <c r="W184" s="1"/>
      <c r="X184" s="1"/>
      <c r="Y184" s="1"/>
      <c r="Z184" s="1"/>
    </row>
    <row r="185" ht="10.5" customHeight="1">
      <c r="A185" s="1"/>
      <c r="B185" s="238"/>
      <c r="C185" s="250"/>
      <c r="D185" s="136"/>
      <c r="E185" s="136"/>
      <c r="F185" s="249"/>
      <c r="G185" s="1"/>
      <c r="H185" s="1"/>
      <c r="I185" s="1"/>
      <c r="J185" s="1"/>
      <c r="K185" s="1"/>
      <c r="L185" s="1"/>
      <c r="M185" s="1"/>
      <c r="N185" s="1"/>
      <c r="O185" s="1"/>
      <c r="P185" s="1"/>
      <c r="Q185" s="1"/>
      <c r="R185" s="1"/>
      <c r="S185" s="1"/>
      <c r="T185" s="1"/>
      <c r="U185" s="1"/>
      <c r="V185" s="1"/>
      <c r="W185" s="1"/>
      <c r="X185" s="1"/>
      <c r="Y185" s="1"/>
      <c r="Z185" s="1"/>
    </row>
    <row r="186" ht="10.5" customHeight="1">
      <c r="A186" s="1"/>
      <c r="B186" s="238" t="s">
        <v>115</v>
      </c>
      <c r="C186" s="250">
        <v>507.0</v>
      </c>
      <c r="D186" s="136">
        <v>108.0</v>
      </c>
      <c r="E186" s="136">
        <v>591.0</v>
      </c>
      <c r="F186" s="249">
        <v>14.98</v>
      </c>
      <c r="G186" s="1"/>
      <c r="H186" s="1"/>
      <c r="I186" s="1"/>
      <c r="J186" s="1"/>
      <c r="K186" s="1"/>
      <c r="L186" s="1"/>
      <c r="M186" s="1"/>
      <c r="N186" s="1"/>
      <c r="O186" s="1"/>
      <c r="P186" s="1"/>
      <c r="Q186" s="1"/>
      <c r="R186" s="1"/>
      <c r="S186" s="1"/>
      <c r="T186" s="1"/>
      <c r="U186" s="1"/>
      <c r="V186" s="1"/>
      <c r="W186" s="1"/>
      <c r="X186" s="1"/>
      <c r="Y186" s="1"/>
      <c r="Z186" s="1"/>
    </row>
    <row r="187" ht="10.5" customHeight="1">
      <c r="A187" s="1"/>
      <c r="B187" s="238" t="s">
        <v>117</v>
      </c>
      <c r="C187" s="250">
        <v>502.4</v>
      </c>
      <c r="D187" s="136">
        <v>91.0</v>
      </c>
      <c r="E187" s="136">
        <v>573.0</v>
      </c>
      <c r="F187" s="249">
        <v>14.13</v>
      </c>
      <c r="G187" s="253"/>
      <c r="H187" s="1"/>
      <c r="I187" s="1"/>
      <c r="J187" s="1"/>
      <c r="K187" s="1"/>
      <c r="L187" s="1"/>
      <c r="M187" s="1"/>
      <c r="N187" s="1"/>
      <c r="O187" s="1"/>
      <c r="P187" s="1"/>
      <c r="Q187" s="1"/>
      <c r="R187" s="1"/>
      <c r="S187" s="1"/>
      <c r="T187" s="1"/>
      <c r="U187" s="1"/>
      <c r="V187" s="1"/>
      <c r="W187" s="1"/>
      <c r="X187" s="1"/>
      <c r="Y187" s="1"/>
      <c r="Z187" s="1"/>
    </row>
    <row r="188" ht="10.5" customHeight="1">
      <c r="A188" s="1"/>
      <c r="B188" s="238" t="s">
        <v>121</v>
      </c>
      <c r="C188" s="250">
        <v>496.3</v>
      </c>
      <c r="D188" s="136">
        <v>88.0</v>
      </c>
      <c r="E188" s="136">
        <v>560.0</v>
      </c>
      <c r="F188" s="249">
        <v>13.59</v>
      </c>
      <c r="G188" s="1"/>
      <c r="H188" s="1"/>
      <c r="I188" s="1"/>
      <c r="J188" s="1"/>
      <c r="K188" s="1"/>
      <c r="L188" s="1"/>
      <c r="M188" s="1"/>
      <c r="N188" s="1"/>
      <c r="O188" s="1"/>
      <c r="P188" s="1"/>
      <c r="Q188" s="1"/>
      <c r="R188" s="1"/>
      <c r="S188" s="1"/>
      <c r="T188" s="1"/>
      <c r="U188" s="1"/>
      <c r="V188" s="1"/>
      <c r="W188" s="1"/>
      <c r="X188" s="1"/>
      <c r="Y188" s="1"/>
      <c r="Z188" s="1"/>
    </row>
    <row r="189" ht="10.5" customHeight="1">
      <c r="A189" s="1"/>
      <c r="B189" s="238" t="s">
        <v>122</v>
      </c>
      <c r="C189" s="250">
        <v>511.7</v>
      </c>
      <c r="D189" s="136">
        <v>67.0</v>
      </c>
      <c r="E189" s="136">
        <v>559.0</v>
      </c>
      <c r="F189" s="249">
        <v>13.28</v>
      </c>
      <c r="G189" s="1"/>
      <c r="H189" s="1"/>
      <c r="I189" s="1"/>
      <c r="J189" s="1"/>
      <c r="K189" s="1"/>
      <c r="L189" s="1"/>
      <c r="M189" s="1"/>
      <c r="N189" s="1"/>
      <c r="O189" s="1"/>
      <c r="P189" s="1"/>
      <c r="Q189" s="1"/>
      <c r="R189" s="1"/>
      <c r="S189" s="1"/>
      <c r="T189" s="1"/>
      <c r="U189" s="1"/>
      <c r="V189" s="1"/>
      <c r="W189" s="1"/>
      <c r="X189" s="1"/>
      <c r="Y189" s="1"/>
      <c r="Z189" s="1"/>
    </row>
    <row r="190" ht="10.5" customHeight="1">
      <c r="A190" s="1"/>
      <c r="B190" s="238" t="s">
        <v>123</v>
      </c>
      <c r="C190" s="250">
        <v>624.6</v>
      </c>
      <c r="D190" s="136">
        <v>56.0</v>
      </c>
      <c r="E190" s="136">
        <v>671.0</v>
      </c>
      <c r="F190" s="249">
        <v>15.58</v>
      </c>
      <c r="G190" s="1"/>
      <c r="H190" s="1"/>
      <c r="I190" s="1"/>
      <c r="J190" s="1"/>
      <c r="K190" s="1"/>
      <c r="L190" s="1"/>
      <c r="M190" s="1"/>
      <c r="N190" s="1"/>
      <c r="O190" s="1"/>
      <c r="P190" s="1"/>
      <c r="Q190" s="1"/>
      <c r="R190" s="1"/>
      <c r="S190" s="1"/>
      <c r="T190" s="1"/>
      <c r="U190" s="1"/>
      <c r="V190" s="1"/>
      <c r="W190" s="1"/>
      <c r="X190" s="1"/>
      <c r="Y190" s="1"/>
      <c r="Z190" s="1"/>
    </row>
    <row r="191" ht="10.5" customHeight="1">
      <c r="A191" s="1"/>
      <c r="B191" s="238"/>
      <c r="C191" s="250"/>
      <c r="D191" s="136"/>
      <c r="E191" s="136"/>
      <c r="F191" s="249"/>
      <c r="G191" s="1"/>
      <c r="H191" s="1"/>
      <c r="I191" s="1"/>
      <c r="J191" s="1"/>
      <c r="K191" s="1"/>
      <c r="L191" s="1"/>
      <c r="M191" s="1"/>
      <c r="N191" s="1"/>
      <c r="O191" s="1"/>
      <c r="P191" s="1"/>
      <c r="Q191" s="1"/>
      <c r="R191" s="1"/>
      <c r="S191" s="1"/>
      <c r="T191" s="1"/>
      <c r="U191" s="1"/>
      <c r="V191" s="1"/>
      <c r="W191" s="1"/>
      <c r="X191" s="1"/>
      <c r="Y191" s="1"/>
      <c r="Z191" s="1"/>
    </row>
    <row r="192" ht="10.5" customHeight="1">
      <c r="A192" s="1"/>
      <c r="B192" s="238" t="s">
        <v>125</v>
      </c>
      <c r="C192" s="250">
        <v>524.3</v>
      </c>
      <c r="D192" s="136">
        <v>42.0</v>
      </c>
      <c r="E192" s="136">
        <v>554.0</v>
      </c>
      <c r="F192" s="249">
        <v>12.69</v>
      </c>
      <c r="G192" s="1"/>
      <c r="H192" s="1"/>
      <c r="I192" s="1"/>
      <c r="J192" s="1"/>
      <c r="K192" s="1"/>
      <c r="L192" s="1"/>
      <c r="M192" s="1"/>
      <c r="N192" s="1"/>
      <c r="O192" s="1"/>
      <c r="P192" s="1"/>
      <c r="Q192" s="1"/>
      <c r="R192" s="1"/>
      <c r="S192" s="1"/>
      <c r="T192" s="1"/>
      <c r="U192" s="1"/>
      <c r="V192" s="1"/>
      <c r="W192" s="1"/>
      <c r="X192" s="1"/>
      <c r="Y192" s="1"/>
      <c r="Z192" s="1"/>
    </row>
    <row r="193" ht="10.5" customHeight="1">
      <c r="A193" s="1"/>
      <c r="B193" s="238" t="s">
        <v>127</v>
      </c>
      <c r="C193" s="250">
        <v>573.4</v>
      </c>
      <c r="D193" s="136">
        <v>45.0</v>
      </c>
      <c r="E193" s="136">
        <v>602.0</v>
      </c>
      <c r="F193" s="249">
        <v>13.51</v>
      </c>
      <c r="G193" s="1"/>
      <c r="H193" s="1"/>
      <c r="I193" s="1"/>
      <c r="J193" s="1"/>
      <c r="K193" s="1"/>
      <c r="L193" s="1"/>
      <c r="M193" s="1"/>
      <c r="N193" s="1"/>
      <c r="O193" s="1"/>
      <c r="P193" s="1"/>
      <c r="Q193" s="1"/>
      <c r="R193" s="1"/>
      <c r="S193" s="1"/>
      <c r="T193" s="1"/>
      <c r="U193" s="1"/>
      <c r="V193" s="1"/>
      <c r="W193" s="1"/>
      <c r="X193" s="1"/>
      <c r="Y193" s="1"/>
      <c r="Z193" s="1"/>
    </row>
    <row r="194" ht="10.5" customHeight="1">
      <c r="A194" s="1"/>
      <c r="B194" s="238" t="s">
        <v>128</v>
      </c>
      <c r="C194" s="250">
        <v>609.7</v>
      </c>
      <c r="D194" s="136">
        <v>48.0</v>
      </c>
      <c r="E194" s="136">
        <v>643.0</v>
      </c>
      <c r="F194" s="249">
        <v>14.15</v>
      </c>
      <c r="G194" s="1"/>
      <c r="H194" s="1"/>
      <c r="I194" s="1"/>
      <c r="J194" s="1"/>
      <c r="K194" s="1"/>
      <c r="L194" s="1"/>
      <c r="M194" s="1"/>
      <c r="N194" s="1"/>
      <c r="O194" s="1"/>
      <c r="P194" s="1"/>
      <c r="Q194" s="1"/>
      <c r="R194" s="1"/>
      <c r="S194" s="1"/>
      <c r="T194" s="1"/>
      <c r="U194" s="1"/>
      <c r="V194" s="1"/>
      <c r="W194" s="1"/>
      <c r="X194" s="1"/>
      <c r="Y194" s="1"/>
      <c r="Z194" s="1"/>
    </row>
    <row r="195" ht="10.5" customHeight="1">
      <c r="A195" s="1"/>
      <c r="B195" s="238" t="s">
        <v>129</v>
      </c>
      <c r="C195" s="250">
        <v>631.7</v>
      </c>
      <c r="D195" s="136">
        <v>56.0</v>
      </c>
      <c r="E195" s="136">
        <v>675.0</v>
      </c>
      <c r="F195" s="249">
        <v>14.53</v>
      </c>
      <c r="G195" s="481"/>
      <c r="H195" s="481"/>
      <c r="I195" s="1"/>
      <c r="J195" s="1"/>
      <c r="K195" s="1"/>
      <c r="L195" s="1"/>
      <c r="M195" s="1"/>
      <c r="N195" s="1"/>
      <c r="O195" s="1"/>
      <c r="P195" s="1"/>
      <c r="Q195" s="1"/>
      <c r="R195" s="1"/>
      <c r="S195" s="1"/>
      <c r="T195" s="1"/>
      <c r="U195" s="1"/>
      <c r="V195" s="1"/>
      <c r="W195" s="1"/>
      <c r="X195" s="1"/>
      <c r="Y195" s="1"/>
      <c r="Z195" s="1"/>
    </row>
    <row r="196" ht="10.5" customHeight="1">
      <c r="A196" s="1"/>
      <c r="B196" s="238" t="s">
        <v>130</v>
      </c>
      <c r="C196" s="54">
        <v>672.3</v>
      </c>
      <c r="D196" s="169">
        <v>62.0</v>
      </c>
      <c r="E196" s="169">
        <v>723.0</v>
      </c>
      <c r="F196" s="252">
        <v>15.52</v>
      </c>
      <c r="G196" s="481"/>
      <c r="H196" s="481"/>
      <c r="I196" s="1"/>
      <c r="J196" s="1"/>
      <c r="K196" s="1"/>
      <c r="L196" s="1"/>
      <c r="M196" s="1"/>
      <c r="N196" s="1"/>
      <c r="O196" s="1"/>
      <c r="P196" s="1"/>
      <c r="Q196" s="1"/>
      <c r="R196" s="1"/>
      <c r="S196" s="1"/>
      <c r="T196" s="1"/>
      <c r="U196" s="1"/>
      <c r="V196" s="1"/>
      <c r="W196" s="1"/>
      <c r="X196" s="1"/>
      <c r="Y196" s="1"/>
      <c r="Z196" s="1"/>
    </row>
    <row r="197" ht="10.5" customHeight="1">
      <c r="A197" s="1"/>
      <c r="B197" s="238"/>
      <c r="C197" s="54"/>
      <c r="D197" s="169"/>
      <c r="E197" s="169"/>
      <c r="F197" s="252"/>
      <c r="G197" s="481"/>
      <c r="H197" s="481"/>
      <c r="I197" s="1"/>
      <c r="J197" s="1"/>
      <c r="K197" s="1"/>
      <c r="L197" s="1"/>
      <c r="M197" s="1"/>
      <c r="N197" s="1"/>
      <c r="O197" s="1"/>
      <c r="P197" s="1"/>
      <c r="Q197" s="1"/>
      <c r="R197" s="1"/>
      <c r="S197" s="1"/>
      <c r="T197" s="1"/>
      <c r="U197" s="1"/>
      <c r="V197" s="1"/>
      <c r="W197" s="1"/>
      <c r="X197" s="1"/>
      <c r="Y197" s="1"/>
      <c r="Z197" s="1"/>
    </row>
    <row r="198" ht="10.5" customHeight="1">
      <c r="A198" s="1"/>
      <c r="B198" s="238" t="s">
        <v>131</v>
      </c>
      <c r="C198" s="54">
        <v>808.1</v>
      </c>
      <c r="D198" s="169">
        <v>35.0</v>
      </c>
      <c r="E198" s="169">
        <v>825.0</v>
      </c>
      <c r="F198" s="252">
        <v>17.58</v>
      </c>
      <c r="G198" s="481"/>
      <c r="H198" s="481"/>
      <c r="I198" s="1"/>
      <c r="J198" s="1"/>
      <c r="K198" s="1"/>
      <c r="L198" s="1"/>
      <c r="M198" s="1"/>
      <c r="N198" s="1"/>
      <c r="O198" s="1"/>
      <c r="P198" s="1"/>
      <c r="Q198" s="1"/>
      <c r="R198" s="1"/>
      <c r="S198" s="1"/>
      <c r="T198" s="1"/>
      <c r="U198" s="1"/>
      <c r="V198" s="1"/>
      <c r="W198" s="1"/>
      <c r="X198" s="1"/>
      <c r="Y198" s="1"/>
      <c r="Z198" s="1"/>
    </row>
    <row r="199" ht="10.5" customHeight="1">
      <c r="A199" s="1"/>
      <c r="B199" s="238" t="s">
        <v>133</v>
      </c>
      <c r="C199" s="54">
        <v>861.4</v>
      </c>
      <c r="D199" s="169">
        <v>33.0</v>
      </c>
      <c r="E199" s="169">
        <v>865.0</v>
      </c>
      <c r="F199" s="252">
        <v>18.25</v>
      </c>
      <c r="G199" s="481"/>
      <c r="H199" s="481"/>
      <c r="I199" s="1"/>
      <c r="J199" s="1"/>
      <c r="K199" s="1"/>
      <c r="L199" s="1"/>
      <c r="M199" s="1"/>
      <c r="N199" s="1"/>
      <c r="O199" s="1"/>
      <c r="P199" s="1"/>
      <c r="Q199" s="1"/>
      <c r="R199" s="1"/>
      <c r="S199" s="1"/>
      <c r="T199" s="1"/>
      <c r="U199" s="1"/>
      <c r="V199" s="1"/>
      <c r="W199" s="1"/>
      <c r="X199" s="1"/>
      <c r="Y199" s="1"/>
      <c r="Z199" s="1"/>
    </row>
    <row r="200" ht="10.5" customHeight="1">
      <c r="A200" s="1"/>
      <c r="B200" s="238" t="s">
        <v>134</v>
      </c>
      <c r="C200" s="54">
        <v>770.2</v>
      </c>
      <c r="D200" s="169">
        <v>27.0</v>
      </c>
      <c r="E200" s="169">
        <v>767.0</v>
      </c>
      <c r="F200" s="252">
        <v>16.04</v>
      </c>
      <c r="G200" s="481"/>
      <c r="H200" s="481"/>
      <c r="I200" s="1"/>
      <c r="J200" s="1"/>
      <c r="K200" s="1"/>
      <c r="L200" s="1"/>
      <c r="M200" s="1"/>
      <c r="N200" s="1"/>
      <c r="O200" s="1"/>
      <c r="P200" s="1"/>
      <c r="Q200" s="1"/>
      <c r="R200" s="1"/>
      <c r="S200" s="1"/>
      <c r="T200" s="1"/>
      <c r="U200" s="1"/>
      <c r="V200" s="1"/>
      <c r="W200" s="1"/>
      <c r="X200" s="1"/>
      <c r="Y200" s="1"/>
      <c r="Z200" s="1"/>
    </row>
    <row r="201" ht="10.5" customHeight="1">
      <c r="A201" s="1"/>
      <c r="B201" s="293">
        <v>39692.0</v>
      </c>
      <c r="C201" s="54">
        <v>796.7</v>
      </c>
      <c r="D201" s="169">
        <v>23.0</v>
      </c>
      <c r="E201" s="169">
        <v>784.0</v>
      </c>
      <c r="F201" s="252">
        <v>16.09</v>
      </c>
      <c r="G201" s="481"/>
      <c r="H201" s="481"/>
      <c r="I201" s="1"/>
      <c r="J201" s="1"/>
      <c r="K201" s="1"/>
      <c r="L201" s="1"/>
      <c r="M201" s="1"/>
      <c r="N201" s="1"/>
      <c r="O201" s="1"/>
      <c r="P201" s="1"/>
      <c r="Q201" s="1"/>
      <c r="R201" s="1"/>
      <c r="S201" s="1"/>
      <c r="T201" s="1"/>
      <c r="U201" s="1"/>
      <c r="V201" s="1"/>
      <c r="W201" s="1"/>
      <c r="X201" s="1"/>
      <c r="Y201" s="1"/>
      <c r="Z201" s="1"/>
    </row>
    <row r="202" ht="10.5" customHeight="1">
      <c r="A202" s="1"/>
      <c r="B202" s="293">
        <v>40087.0</v>
      </c>
      <c r="C202" s="54">
        <v>885.8</v>
      </c>
      <c r="D202" s="169">
        <v>23.0</v>
      </c>
      <c r="E202" s="169">
        <v>880.0</v>
      </c>
      <c r="F202" s="252">
        <v>17.84</v>
      </c>
      <c r="G202" s="481"/>
      <c r="H202" s="481"/>
      <c r="I202" s="1"/>
      <c r="J202" s="1"/>
      <c r="K202" s="1"/>
      <c r="L202" s="1"/>
      <c r="M202" s="1"/>
      <c r="N202" s="1"/>
      <c r="O202" s="1"/>
      <c r="P202" s="1"/>
      <c r="Q202" s="1"/>
      <c r="R202" s="1"/>
      <c r="S202" s="1"/>
      <c r="T202" s="1"/>
      <c r="U202" s="1"/>
      <c r="V202" s="1"/>
      <c r="W202" s="1"/>
      <c r="X202" s="1"/>
      <c r="Y202" s="1"/>
      <c r="Z202" s="1"/>
    </row>
    <row r="203" ht="10.5" customHeight="1">
      <c r="A203" s="1"/>
      <c r="B203" s="293"/>
      <c r="C203" s="54"/>
      <c r="D203" s="169"/>
      <c r="E203" s="169"/>
      <c r="F203" s="252"/>
      <c r="G203" s="481"/>
      <c r="H203" s="481"/>
      <c r="I203" s="1"/>
      <c r="J203" s="1"/>
      <c r="K203" s="1"/>
      <c r="L203" s="1"/>
      <c r="M203" s="1"/>
      <c r="N203" s="1"/>
      <c r="O203" s="1"/>
      <c r="P203" s="1"/>
      <c r="Q203" s="1"/>
      <c r="R203" s="1"/>
      <c r="S203" s="1"/>
      <c r="T203" s="1"/>
      <c r="U203" s="1"/>
      <c r="V203" s="1"/>
      <c r="W203" s="1"/>
      <c r="X203" s="1"/>
      <c r="Y203" s="1"/>
      <c r="Z203" s="1"/>
    </row>
    <row r="204" ht="10.5" customHeight="1">
      <c r="A204" s="1"/>
      <c r="B204" s="293">
        <v>40483.0</v>
      </c>
      <c r="C204" s="54">
        <v>869.5</v>
      </c>
      <c r="D204" s="169">
        <v>22.0</v>
      </c>
      <c r="E204" s="169">
        <v>879.0</v>
      </c>
      <c r="F204" s="252">
        <v>17.59</v>
      </c>
      <c r="G204" s="481"/>
      <c r="H204" s="481"/>
      <c r="I204" s="1"/>
      <c r="J204" s="1"/>
      <c r="K204" s="1"/>
      <c r="L204" s="1"/>
      <c r="M204" s="1"/>
      <c r="N204" s="1"/>
      <c r="O204" s="1"/>
      <c r="P204" s="1"/>
      <c r="Q204" s="1"/>
      <c r="R204" s="1"/>
      <c r="S204" s="1"/>
      <c r="T204" s="1"/>
      <c r="U204" s="1"/>
      <c r="V204" s="1"/>
      <c r="W204" s="1"/>
      <c r="X204" s="1"/>
      <c r="Y204" s="1"/>
      <c r="Z204" s="1"/>
    </row>
    <row r="205" ht="10.5" customHeight="1">
      <c r="A205" s="1"/>
      <c r="B205" s="293">
        <v>40878.0</v>
      </c>
      <c r="C205" s="54">
        <v>852.1</v>
      </c>
      <c r="D205" s="169">
        <v>25.0</v>
      </c>
      <c r="E205" s="169">
        <v>865.0</v>
      </c>
      <c r="F205" s="252">
        <v>16.71</v>
      </c>
      <c r="G205" s="481"/>
      <c r="H205" s="481"/>
      <c r="I205" s="1"/>
      <c r="J205" s="1"/>
      <c r="K205" s="1"/>
      <c r="L205" s="1"/>
      <c r="M205" s="1"/>
      <c r="N205" s="1"/>
      <c r="O205" s="1"/>
      <c r="P205" s="1"/>
      <c r="Q205" s="1"/>
      <c r="R205" s="1"/>
      <c r="S205" s="1"/>
      <c r="T205" s="1"/>
      <c r="U205" s="1"/>
      <c r="V205" s="1"/>
      <c r="W205" s="1"/>
      <c r="X205" s="1"/>
      <c r="Y205" s="1"/>
      <c r="Z205" s="1"/>
    </row>
    <row r="206" ht="10.5" customHeight="1">
      <c r="A206" s="1"/>
      <c r="B206" s="293" t="s">
        <v>149</v>
      </c>
      <c r="C206" s="54">
        <v>904.5</v>
      </c>
      <c r="D206" s="169">
        <v>19.0</v>
      </c>
      <c r="E206" s="169">
        <v>910.0</v>
      </c>
      <c r="F206" s="252">
        <v>17.39</v>
      </c>
      <c r="G206" s="481"/>
      <c r="H206" s="481"/>
      <c r="I206" s="1"/>
      <c r="J206" s="1"/>
      <c r="K206" s="1"/>
      <c r="L206" s="1"/>
      <c r="M206" s="1"/>
      <c r="N206" s="1"/>
      <c r="O206" s="1"/>
      <c r="P206" s="1"/>
      <c r="Q206" s="1"/>
      <c r="R206" s="1"/>
      <c r="S206" s="1"/>
      <c r="T206" s="1"/>
      <c r="U206" s="1"/>
      <c r="V206" s="1"/>
      <c r="W206" s="1"/>
      <c r="X206" s="1"/>
      <c r="Y206" s="1"/>
      <c r="Z206" s="1"/>
    </row>
    <row r="207" ht="10.5" customHeight="1">
      <c r="A207" s="1"/>
      <c r="B207" s="293" t="s">
        <v>151</v>
      </c>
      <c r="C207" s="54">
        <v>982.6</v>
      </c>
      <c r="D207" s="169">
        <v>20.0</v>
      </c>
      <c r="E207" s="169">
        <v>981.0</v>
      </c>
      <c r="F207" s="252">
        <v>18.51</v>
      </c>
      <c r="G207" s="481"/>
      <c r="H207" s="481"/>
      <c r="I207" s="1"/>
      <c r="J207" s="1"/>
      <c r="K207" s="1"/>
      <c r="L207" s="1"/>
      <c r="M207" s="1"/>
      <c r="N207" s="1"/>
      <c r="O207" s="1"/>
      <c r="P207" s="1"/>
      <c r="Q207" s="1"/>
      <c r="R207" s="1"/>
      <c r="S207" s="1"/>
      <c r="T207" s="1"/>
      <c r="U207" s="1"/>
      <c r="V207" s="1"/>
      <c r="W207" s="1"/>
      <c r="X207" s="1"/>
      <c r="Y207" s="1"/>
      <c r="Z207" s="1"/>
    </row>
    <row r="208" ht="10.5" customHeight="1">
      <c r="A208" s="1"/>
      <c r="B208" s="293" t="s">
        <v>153</v>
      </c>
      <c r="C208" s="54">
        <v>1037.9</v>
      </c>
      <c r="D208" s="169">
        <v>19.0</v>
      </c>
      <c r="E208" s="169">
        <v>1023.0</v>
      </c>
      <c r="F208" s="252">
        <v>18.95</v>
      </c>
      <c r="G208" s="481"/>
      <c r="H208" s="481"/>
      <c r="I208" s="1"/>
      <c r="J208" s="1"/>
      <c r="K208" s="1"/>
      <c r="L208" s="1"/>
      <c r="M208" s="1"/>
      <c r="N208" s="1"/>
      <c r="O208" s="1"/>
      <c r="P208" s="1"/>
      <c r="Q208" s="1"/>
      <c r="R208" s="1"/>
      <c r="S208" s="1"/>
      <c r="T208" s="1"/>
      <c r="U208" s="1"/>
      <c r="V208" s="1"/>
      <c r="W208" s="1"/>
      <c r="X208" s="1"/>
      <c r="Y208" s="1"/>
      <c r="Z208" s="1"/>
    </row>
    <row r="209" ht="10.5" customHeight="1">
      <c r="A209" s="1"/>
      <c r="B209" s="293"/>
      <c r="C209" s="54"/>
      <c r="D209" s="169"/>
      <c r="E209" s="169"/>
      <c r="F209" s="252"/>
      <c r="G209" s="481"/>
      <c r="H209" s="481"/>
      <c r="I209" s="1"/>
      <c r="J209" s="1"/>
      <c r="K209" s="1"/>
      <c r="L209" s="1"/>
      <c r="M209" s="1"/>
      <c r="N209" s="1"/>
      <c r="O209" s="1"/>
      <c r="P209" s="1"/>
      <c r="Q209" s="1"/>
      <c r="R209" s="1"/>
      <c r="S209" s="1"/>
      <c r="T209" s="1"/>
      <c r="U209" s="1"/>
      <c r="V209" s="1"/>
      <c r="W209" s="1"/>
      <c r="X209" s="1"/>
      <c r="Y209" s="1"/>
      <c r="Z209" s="1"/>
    </row>
    <row r="210" ht="10.5" customHeight="1">
      <c r="A210" s="1"/>
      <c r="B210" s="293" t="s">
        <v>155</v>
      </c>
      <c r="C210" s="54">
        <v>1090.0</v>
      </c>
      <c r="D210" s="169">
        <v>22.0</v>
      </c>
      <c r="E210" s="169">
        <v>1072.0</v>
      </c>
      <c r="F210" s="252">
        <v>19.51</v>
      </c>
      <c r="G210" s="481"/>
      <c r="H210" s="481"/>
      <c r="I210" s="1"/>
      <c r="J210" s="1"/>
      <c r="K210" s="1"/>
      <c r="L210" s="1"/>
      <c r="M210" s="1"/>
      <c r="N210" s="1"/>
      <c r="O210" s="1"/>
      <c r="P210" s="1"/>
      <c r="Q210" s="1"/>
      <c r="R210" s="1"/>
      <c r="S210" s="1"/>
      <c r="T210" s="1"/>
      <c r="U210" s="1"/>
      <c r="V210" s="1"/>
      <c r="W210" s="1"/>
      <c r="X210" s="1"/>
      <c r="Y210" s="1"/>
      <c r="Z210" s="1"/>
    </row>
    <row r="211" ht="10.5" customHeight="1">
      <c r="A211" s="1"/>
      <c r="B211" s="293" t="s">
        <v>160</v>
      </c>
      <c r="C211" s="495">
        <v>1050.06</v>
      </c>
      <c r="D211" s="169">
        <v>19.0</v>
      </c>
      <c r="E211" s="169">
        <v>1032.0</v>
      </c>
      <c r="F211" s="252">
        <v>18.46</v>
      </c>
      <c r="G211" s="481"/>
      <c r="H211" s="481"/>
      <c r="I211" s="1"/>
      <c r="J211" s="1"/>
      <c r="K211" s="1"/>
      <c r="L211" s="1"/>
      <c r="M211" s="1"/>
      <c r="N211" s="1"/>
      <c r="O211" s="1"/>
      <c r="P211" s="1"/>
      <c r="Q211" s="1"/>
      <c r="R211" s="1"/>
      <c r="S211" s="1"/>
      <c r="T211" s="1"/>
      <c r="U211" s="1"/>
      <c r="V211" s="1"/>
      <c r="W211" s="1"/>
      <c r="X211" s="1"/>
      <c r="Y211" s="1"/>
      <c r="Z211" s="1"/>
    </row>
    <row r="212" ht="10.5" customHeight="1">
      <c r="A212" s="1"/>
      <c r="B212" s="52" t="s">
        <v>162</v>
      </c>
      <c r="C212" s="107">
        <v>1096.71</v>
      </c>
      <c r="D212" s="260">
        <v>23.0</v>
      </c>
      <c r="E212" s="260">
        <v>1086.0</v>
      </c>
      <c r="F212" s="263">
        <v>19.21</v>
      </c>
      <c r="G212" s="481"/>
      <c r="H212" s="481"/>
      <c r="I212" s="1"/>
      <c r="J212" s="1"/>
      <c r="K212" s="1"/>
      <c r="L212" s="1"/>
      <c r="M212" s="1"/>
      <c r="N212" s="1"/>
      <c r="O212" s="1"/>
      <c r="P212" s="1"/>
      <c r="Q212" s="1"/>
      <c r="R212" s="1"/>
      <c r="S212" s="1"/>
      <c r="T212" s="1"/>
      <c r="U212" s="1"/>
      <c r="V212" s="1"/>
      <c r="W212" s="1"/>
      <c r="X212" s="1"/>
      <c r="Y212" s="1"/>
      <c r="Z212" s="1"/>
    </row>
    <row r="213" ht="10.5" customHeight="1">
      <c r="A213" s="1"/>
      <c r="B213" s="678"/>
      <c r="C213" s="679"/>
      <c r="D213" s="679"/>
      <c r="E213" s="679"/>
      <c r="F213" s="679"/>
      <c r="G213" s="481"/>
      <c r="H213" s="481"/>
      <c r="I213" s="1"/>
      <c r="J213" s="1"/>
      <c r="K213" s="1"/>
      <c r="L213" s="1"/>
      <c r="M213" s="1"/>
      <c r="N213" s="1"/>
      <c r="O213" s="1"/>
      <c r="P213" s="1"/>
      <c r="Q213" s="1"/>
      <c r="R213" s="1"/>
      <c r="S213" s="1"/>
      <c r="T213" s="1"/>
      <c r="U213" s="1"/>
      <c r="V213" s="1"/>
      <c r="W213" s="1"/>
      <c r="X213" s="1"/>
      <c r="Y213" s="1"/>
      <c r="Z213" s="1"/>
    </row>
    <row r="214" ht="10.5" customHeight="1">
      <c r="A214" s="1"/>
      <c r="B214" s="678"/>
      <c r="C214" s="679"/>
      <c r="D214" s="679"/>
      <c r="E214" s="679"/>
      <c r="F214" s="679"/>
      <c r="G214" s="481"/>
      <c r="H214" s="481"/>
      <c r="I214" s="1"/>
      <c r="J214" s="1"/>
      <c r="K214" s="1"/>
      <c r="L214" s="1"/>
      <c r="M214" s="1"/>
      <c r="N214" s="1"/>
      <c r="O214" s="1"/>
      <c r="P214" s="1"/>
      <c r="Q214" s="1"/>
      <c r="R214" s="1"/>
      <c r="S214" s="1"/>
      <c r="T214" s="1"/>
      <c r="U214" s="1"/>
      <c r="V214" s="1"/>
      <c r="W214" s="1"/>
      <c r="X214" s="1"/>
      <c r="Y214" s="1"/>
      <c r="Z214" s="1"/>
    </row>
    <row r="215" ht="10.5" customHeight="1">
      <c r="A215" s="1"/>
      <c r="B215" s="678"/>
      <c r="C215" s="679"/>
      <c r="D215" s="680"/>
      <c r="E215" s="680"/>
      <c r="F215" s="681"/>
      <c r="G215" s="481"/>
      <c r="H215" s="481"/>
      <c r="I215" s="1"/>
      <c r="J215" s="1"/>
      <c r="K215" s="1"/>
      <c r="L215" s="1"/>
      <c r="M215" s="1"/>
      <c r="N215" s="1"/>
      <c r="O215" s="1"/>
      <c r="P215" s="1"/>
      <c r="Q215" s="1"/>
      <c r="R215" s="1"/>
      <c r="S215" s="1"/>
      <c r="T215" s="1"/>
      <c r="U215" s="1"/>
      <c r="V215" s="1"/>
      <c r="W215" s="1"/>
      <c r="X215" s="1"/>
      <c r="Y215" s="1"/>
      <c r="Z215" s="1"/>
    </row>
    <row r="216" ht="10.5" customHeight="1">
      <c r="A216" s="1"/>
      <c r="B216" s="678"/>
      <c r="C216" s="679"/>
      <c r="D216" s="680"/>
      <c r="E216" s="680"/>
      <c r="F216" s="681"/>
      <c r="G216" s="481"/>
      <c r="H216" s="481"/>
      <c r="I216" s="1"/>
      <c r="J216" s="1"/>
      <c r="K216" s="1"/>
      <c r="L216" s="1"/>
      <c r="M216" s="1"/>
      <c r="N216" s="1"/>
      <c r="O216" s="1"/>
      <c r="P216" s="1"/>
      <c r="Q216" s="1"/>
      <c r="R216" s="1"/>
      <c r="S216" s="1"/>
      <c r="T216" s="1"/>
      <c r="U216" s="1"/>
      <c r="V216" s="1"/>
      <c r="W216" s="1"/>
      <c r="X216" s="1"/>
      <c r="Y216" s="1"/>
      <c r="Z216" s="1"/>
    </row>
    <row r="217" ht="10.5" customHeight="1">
      <c r="A217" s="1"/>
      <c r="B217" s="678"/>
      <c r="C217" s="679"/>
      <c r="D217" s="680"/>
      <c r="E217" s="680"/>
      <c r="F217" s="681"/>
      <c r="G217" s="481"/>
      <c r="H217" s="481"/>
      <c r="I217" s="1"/>
      <c r="J217" s="1"/>
      <c r="K217" s="1"/>
      <c r="L217" s="1"/>
      <c r="M217" s="1"/>
      <c r="N217" s="1"/>
      <c r="O217" s="1"/>
      <c r="P217" s="1"/>
      <c r="Q217" s="1"/>
      <c r="R217" s="1"/>
      <c r="S217" s="1"/>
      <c r="T217" s="1"/>
      <c r="U217" s="1"/>
      <c r="V217" s="1"/>
      <c r="W217" s="1"/>
      <c r="X217" s="1"/>
      <c r="Y217" s="1"/>
      <c r="Z217" s="1"/>
    </row>
    <row r="218" ht="10.5" customHeight="1">
      <c r="A218" s="1"/>
      <c r="B218" s="678"/>
      <c r="C218" s="679"/>
      <c r="D218" s="680"/>
      <c r="E218" s="680"/>
      <c r="F218" s="681"/>
      <c r="G218" s="481"/>
      <c r="H218" s="481"/>
      <c r="I218" s="1"/>
      <c r="J218" s="1"/>
      <c r="K218" s="1"/>
      <c r="L218" s="1"/>
      <c r="M218" s="1"/>
      <c r="N218" s="1"/>
      <c r="O218" s="1"/>
      <c r="P218" s="1"/>
      <c r="Q218" s="1"/>
      <c r="R218" s="1"/>
      <c r="S218" s="1"/>
      <c r="T218" s="1"/>
      <c r="U218" s="1"/>
      <c r="V218" s="1"/>
      <c r="W218" s="1"/>
      <c r="X218" s="1"/>
      <c r="Y218" s="1"/>
      <c r="Z218" s="1"/>
    </row>
    <row r="219" ht="10.5" customHeight="1">
      <c r="A219" s="1"/>
      <c r="B219" s="678"/>
      <c r="C219" s="679"/>
      <c r="D219" s="680"/>
      <c r="E219" s="680"/>
      <c r="F219" s="681"/>
      <c r="G219" s="481"/>
      <c r="H219" s="481"/>
      <c r="I219" s="1"/>
      <c r="J219" s="1"/>
      <c r="K219" s="1"/>
      <c r="L219" s="1"/>
      <c r="M219" s="1"/>
      <c r="N219" s="1"/>
      <c r="O219" s="1"/>
      <c r="P219" s="1"/>
      <c r="Q219" s="1"/>
      <c r="R219" s="1"/>
      <c r="S219" s="1"/>
      <c r="T219" s="1"/>
      <c r="U219" s="1"/>
      <c r="V219" s="1"/>
      <c r="W219" s="1"/>
      <c r="X219" s="1"/>
      <c r="Y219" s="1"/>
      <c r="Z219" s="1"/>
    </row>
    <row r="220" ht="10.5" customHeight="1">
      <c r="A220" s="1"/>
      <c r="B220" s="678"/>
      <c r="C220" s="679"/>
      <c r="D220" s="680"/>
      <c r="E220" s="680"/>
      <c r="F220" s="681"/>
      <c r="G220" s="481"/>
      <c r="H220" s="481"/>
      <c r="I220" s="1"/>
      <c r="J220" s="1"/>
      <c r="K220" s="1"/>
      <c r="L220" s="1"/>
      <c r="M220" s="1"/>
      <c r="N220" s="1"/>
      <c r="O220" s="1"/>
      <c r="P220" s="1"/>
      <c r="Q220" s="1"/>
      <c r="R220" s="1"/>
      <c r="S220" s="1"/>
      <c r="T220" s="1"/>
      <c r="U220" s="1"/>
      <c r="V220" s="1"/>
      <c r="W220" s="1"/>
      <c r="X220" s="1"/>
      <c r="Y220" s="1"/>
      <c r="Z220" s="1"/>
    </row>
    <row r="221" ht="10.5" customHeight="1">
      <c r="A221" s="1"/>
      <c r="B221" s="678"/>
      <c r="C221" s="679"/>
      <c r="D221" s="680"/>
      <c r="E221" s="680"/>
      <c r="F221" s="681"/>
      <c r="G221" s="481"/>
      <c r="H221" s="481"/>
      <c r="I221" s="1"/>
      <c r="J221" s="1"/>
      <c r="K221" s="1"/>
      <c r="L221" s="1"/>
      <c r="M221" s="1"/>
      <c r="N221" s="1"/>
      <c r="O221" s="1"/>
      <c r="P221" s="1"/>
      <c r="Q221" s="1"/>
      <c r="R221" s="1"/>
      <c r="S221" s="1"/>
      <c r="T221" s="1"/>
      <c r="U221" s="1"/>
      <c r="V221" s="1"/>
      <c r="W221" s="1"/>
      <c r="X221" s="1"/>
      <c r="Y221" s="1"/>
      <c r="Z221" s="1"/>
    </row>
    <row r="222" ht="10.5" customHeight="1">
      <c r="A222" s="1"/>
      <c r="B222" s="678"/>
      <c r="C222" s="679"/>
      <c r="D222" s="680"/>
      <c r="E222" s="680"/>
      <c r="F222" s="681"/>
      <c r="G222" s="481"/>
      <c r="H222" s="481"/>
      <c r="I222" s="1"/>
      <c r="J222" s="1"/>
      <c r="K222" s="1"/>
      <c r="L222" s="1"/>
      <c r="M222" s="1"/>
      <c r="N222" s="1"/>
      <c r="O222" s="1"/>
      <c r="P222" s="1"/>
      <c r="Q222" s="1"/>
      <c r="R222" s="1"/>
      <c r="S222" s="1"/>
      <c r="T222" s="1"/>
      <c r="U222" s="1"/>
      <c r="V222" s="1"/>
      <c r="W222" s="1"/>
      <c r="X222" s="1"/>
      <c r="Y222" s="1"/>
      <c r="Z222" s="1"/>
    </row>
    <row r="223" ht="10.5" customHeight="1">
      <c r="A223" s="1"/>
      <c r="B223" s="678"/>
      <c r="C223" s="679"/>
      <c r="D223" s="680"/>
      <c r="E223" s="680"/>
      <c r="F223" s="681"/>
      <c r="G223" s="481"/>
      <c r="H223" s="481"/>
      <c r="I223" s="1"/>
      <c r="J223" s="1"/>
      <c r="K223" s="1"/>
      <c r="L223" s="1"/>
      <c r="M223" s="1"/>
      <c r="N223" s="1"/>
      <c r="O223" s="1"/>
      <c r="P223" s="1"/>
      <c r="Q223" s="1"/>
      <c r="R223" s="1"/>
      <c r="S223" s="1"/>
      <c r="T223" s="1"/>
      <c r="U223" s="1"/>
      <c r="V223" s="1"/>
      <c r="W223" s="1"/>
      <c r="X223" s="1"/>
      <c r="Y223" s="1"/>
      <c r="Z223" s="1"/>
    </row>
    <row r="224" ht="10.5" customHeight="1">
      <c r="A224" s="1"/>
      <c r="B224" s="678"/>
      <c r="C224" s="679"/>
      <c r="D224" s="680"/>
      <c r="E224" s="680"/>
      <c r="F224" s="681"/>
      <c r="G224" s="481"/>
      <c r="H224" s="481"/>
      <c r="I224" s="1"/>
      <c r="J224" s="1"/>
      <c r="K224" s="1"/>
      <c r="L224" s="1"/>
      <c r="M224" s="1"/>
      <c r="N224" s="1"/>
      <c r="O224" s="1"/>
      <c r="P224" s="1"/>
      <c r="Q224" s="1"/>
      <c r="R224" s="1"/>
      <c r="S224" s="1"/>
      <c r="T224" s="1"/>
      <c r="U224" s="1"/>
      <c r="V224" s="1"/>
      <c r="W224" s="1"/>
      <c r="X224" s="1"/>
      <c r="Y224" s="1"/>
      <c r="Z224" s="1"/>
    </row>
    <row r="225" ht="10.5" customHeight="1">
      <c r="A225" s="1"/>
      <c r="B225" s="1"/>
      <c r="C225" s="1"/>
      <c r="D225" s="1"/>
      <c r="E225" s="1"/>
      <c r="F225" s="1"/>
      <c r="G225" s="110">
        <v>60.0</v>
      </c>
      <c r="H225" s="1"/>
      <c r="I225" s="1"/>
      <c r="J225" s="1" t="s">
        <v>11</v>
      </c>
      <c r="K225" s="1"/>
      <c r="L225" s="1"/>
      <c r="M225" s="1"/>
      <c r="N225" s="1"/>
      <c r="O225" s="1"/>
      <c r="P225" s="1"/>
      <c r="Q225" s="1"/>
      <c r="R225" s="1"/>
      <c r="S225" s="1"/>
      <c r="T225" s="1"/>
      <c r="U225" s="1"/>
      <c r="V225" s="1"/>
      <c r="W225" s="1"/>
      <c r="X225" s="1"/>
      <c r="Y225" s="1"/>
      <c r="Z225" s="1"/>
    </row>
    <row r="226" ht="10.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1.25" customHeight="1">
      <c r="A227" s="1"/>
      <c r="B227" s="1" t="s">
        <v>1060</v>
      </c>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1.25" customHeight="1">
      <c r="A228" s="1"/>
      <c r="B228" s="29" t="s">
        <v>938</v>
      </c>
      <c r="C228" s="128" t="s">
        <v>1062</v>
      </c>
      <c r="D228" s="9"/>
      <c r="E228" s="9"/>
      <c r="F228" s="9"/>
      <c r="G228" s="9"/>
      <c r="H228" s="9"/>
      <c r="I228" s="10"/>
      <c r="J228" s="128" t="s">
        <v>1064</v>
      </c>
      <c r="K228" s="9"/>
      <c r="L228" s="9"/>
      <c r="M228" s="10"/>
      <c r="N228" s="3" t="s">
        <v>1065</v>
      </c>
      <c r="O228" s="1"/>
      <c r="P228" s="1"/>
      <c r="Q228" s="1"/>
      <c r="R228" s="1"/>
      <c r="S228" s="1"/>
      <c r="T228" s="1"/>
      <c r="U228" s="1"/>
      <c r="V228" s="1"/>
      <c r="W228" s="1"/>
      <c r="X228" s="1"/>
      <c r="Y228" s="1"/>
      <c r="Z228" s="1"/>
    </row>
    <row r="229" ht="11.25" customHeight="1">
      <c r="A229" s="1"/>
      <c r="B229" s="5"/>
      <c r="C229" s="31" t="s">
        <v>1066</v>
      </c>
      <c r="D229" s="128" t="s">
        <v>1068</v>
      </c>
      <c r="E229" s="10"/>
      <c r="F229" s="128" t="s">
        <v>1069</v>
      </c>
      <c r="G229" s="10"/>
      <c r="H229" s="128" t="s">
        <v>1070</v>
      </c>
      <c r="I229" s="10"/>
      <c r="J229" s="128" t="s">
        <v>1068</v>
      </c>
      <c r="K229" s="10"/>
      <c r="L229" s="128" t="s">
        <v>1069</v>
      </c>
      <c r="M229" s="10"/>
      <c r="N229" s="6"/>
      <c r="O229" s="1"/>
      <c r="P229" s="1"/>
      <c r="Q229" s="1"/>
      <c r="R229" s="1"/>
      <c r="S229" s="1"/>
      <c r="T229" s="1"/>
      <c r="U229" s="1"/>
      <c r="V229" s="1"/>
      <c r="W229" s="1"/>
      <c r="X229" s="1"/>
      <c r="Y229" s="1"/>
      <c r="Z229" s="1"/>
    </row>
    <row r="230" ht="22.5" customHeight="1">
      <c r="A230" s="1"/>
      <c r="B230" s="5"/>
      <c r="C230" s="6"/>
      <c r="D230" s="7" t="s">
        <v>1071</v>
      </c>
      <c r="E230" s="7" t="s">
        <v>1072</v>
      </c>
      <c r="F230" s="7" t="s">
        <v>1071</v>
      </c>
      <c r="G230" s="7" t="s">
        <v>1072</v>
      </c>
      <c r="H230" s="7" t="s">
        <v>1071</v>
      </c>
      <c r="I230" s="7" t="s">
        <v>1072</v>
      </c>
      <c r="J230" s="7" t="s">
        <v>1071</v>
      </c>
      <c r="K230" s="7" t="s">
        <v>1072</v>
      </c>
      <c r="L230" s="7" t="s">
        <v>1071</v>
      </c>
      <c r="M230" s="7" t="s">
        <v>1072</v>
      </c>
      <c r="N230" s="7" t="s">
        <v>1073</v>
      </c>
      <c r="O230" s="1"/>
      <c r="P230" s="1"/>
      <c r="Q230" s="1"/>
      <c r="R230" s="1"/>
      <c r="S230" s="1"/>
      <c r="T230" s="1"/>
      <c r="U230" s="1"/>
      <c r="V230" s="1"/>
      <c r="W230" s="1"/>
      <c r="X230" s="1"/>
      <c r="Y230" s="1"/>
      <c r="Z230" s="1"/>
    </row>
    <row r="231" ht="12.75" customHeight="1">
      <c r="A231" s="1"/>
      <c r="B231" s="6"/>
      <c r="C231" s="8" t="s">
        <v>520</v>
      </c>
      <c r="D231" s="9"/>
      <c r="E231" s="9"/>
      <c r="F231" s="9"/>
      <c r="G231" s="9"/>
      <c r="H231" s="9"/>
      <c r="I231" s="9"/>
      <c r="J231" s="9"/>
      <c r="K231" s="9"/>
      <c r="L231" s="9"/>
      <c r="M231" s="9"/>
      <c r="N231" s="9"/>
      <c r="O231" s="271"/>
      <c r="P231" s="1"/>
      <c r="Q231" s="1"/>
      <c r="R231" s="1"/>
      <c r="S231" s="1"/>
      <c r="T231" s="1"/>
      <c r="U231" s="1"/>
      <c r="V231" s="1"/>
      <c r="W231" s="1"/>
      <c r="X231" s="1"/>
      <c r="Y231" s="1"/>
      <c r="Z231" s="1"/>
    </row>
    <row r="232" ht="10.5" customHeight="1">
      <c r="A232" s="1"/>
      <c r="B232" s="48" t="s">
        <v>271</v>
      </c>
      <c r="C232" s="136" t="s">
        <v>40</v>
      </c>
      <c r="D232" s="136">
        <v>16059.0</v>
      </c>
      <c r="E232" s="136">
        <v>20033.0</v>
      </c>
      <c r="F232" s="136">
        <v>6875.0</v>
      </c>
      <c r="G232" s="136">
        <v>626.0</v>
      </c>
      <c r="H232" s="136">
        <v>512.0</v>
      </c>
      <c r="I232" s="136" t="s">
        <v>40</v>
      </c>
      <c r="J232" s="136">
        <v>205.0</v>
      </c>
      <c r="K232" s="136">
        <v>7.0</v>
      </c>
      <c r="L232" s="136">
        <v>195.0</v>
      </c>
      <c r="M232" s="136">
        <v>1.0</v>
      </c>
      <c r="N232" s="136">
        <v>31570.0</v>
      </c>
      <c r="O232" s="1"/>
      <c r="P232" s="1"/>
      <c r="Q232" s="1"/>
      <c r="R232" s="1"/>
      <c r="S232" s="1"/>
      <c r="T232" s="1"/>
      <c r="U232" s="1"/>
      <c r="V232" s="1"/>
      <c r="W232" s="1"/>
      <c r="X232" s="1"/>
      <c r="Y232" s="1"/>
      <c r="Z232" s="1"/>
    </row>
    <row r="233" ht="10.5" customHeight="1">
      <c r="A233" s="1"/>
      <c r="B233" s="48" t="s">
        <v>272</v>
      </c>
      <c r="C233" s="136" t="s">
        <v>40</v>
      </c>
      <c r="D233" s="136">
        <v>18513.0</v>
      </c>
      <c r="E233" s="136">
        <v>22183.0</v>
      </c>
      <c r="F233" s="136">
        <v>6589.0</v>
      </c>
      <c r="G233" s="136">
        <v>206.0</v>
      </c>
      <c r="H233" s="136">
        <v>1007.0</v>
      </c>
      <c r="I233" s="136">
        <v>14.0</v>
      </c>
      <c r="J233" s="136">
        <v>234.0</v>
      </c>
      <c r="K233" s="136">
        <v>4.0</v>
      </c>
      <c r="L233" s="136">
        <v>163.0</v>
      </c>
      <c r="M233" s="136">
        <v>2.0</v>
      </c>
      <c r="N233" s="136">
        <v>32380.0</v>
      </c>
      <c r="O233" s="1"/>
      <c r="P233" s="1"/>
      <c r="Q233" s="1"/>
      <c r="R233" s="1"/>
      <c r="S233" s="1"/>
      <c r="T233" s="1"/>
      <c r="U233" s="1"/>
      <c r="V233" s="1"/>
      <c r="W233" s="1"/>
      <c r="X233" s="1"/>
      <c r="Y233" s="1"/>
      <c r="Z233" s="1"/>
    </row>
    <row r="234" ht="10.5" customHeight="1">
      <c r="A234" s="1"/>
      <c r="B234" s="48" t="s">
        <v>274</v>
      </c>
      <c r="C234" s="136">
        <v>2424.0</v>
      </c>
      <c r="D234" s="136">
        <v>21680.0</v>
      </c>
      <c r="E234" s="136">
        <v>22071.0</v>
      </c>
      <c r="F234" s="136">
        <v>6669.0</v>
      </c>
      <c r="G234" s="136">
        <v>342.0</v>
      </c>
      <c r="H234" s="136">
        <v>989.0</v>
      </c>
      <c r="I234" s="136">
        <v>1.0</v>
      </c>
      <c r="J234" s="136">
        <v>258.0</v>
      </c>
      <c r="K234" s="136">
        <v>6.0</v>
      </c>
      <c r="L234" s="136">
        <v>126.0</v>
      </c>
      <c r="M234" s="136">
        <v>17.0</v>
      </c>
      <c r="N234" s="136">
        <v>40185.0</v>
      </c>
      <c r="O234" s="1"/>
      <c r="P234" s="1"/>
      <c r="Q234" s="1"/>
      <c r="R234" s="1"/>
      <c r="S234" s="1"/>
      <c r="T234" s="1"/>
      <c r="U234" s="1"/>
      <c r="V234" s="1"/>
      <c r="W234" s="1"/>
      <c r="X234" s="1"/>
      <c r="Y234" s="1"/>
      <c r="Z234" s="1"/>
    </row>
    <row r="235" ht="10.5" customHeight="1">
      <c r="A235" s="1"/>
      <c r="B235" s="48" t="s">
        <v>275</v>
      </c>
      <c r="C235" s="136">
        <v>6942.0</v>
      </c>
      <c r="D235" s="136">
        <v>23352.0</v>
      </c>
      <c r="E235" s="136">
        <v>20175.0</v>
      </c>
      <c r="F235" s="136">
        <v>7351.0</v>
      </c>
      <c r="G235" s="136">
        <v>133.0</v>
      </c>
      <c r="H235" s="136">
        <v>1475.0</v>
      </c>
      <c r="I235" s="136" t="s">
        <v>40</v>
      </c>
      <c r="J235" s="136">
        <v>257.0</v>
      </c>
      <c r="K235" s="136">
        <v>1.0</v>
      </c>
      <c r="L235" s="136">
        <v>226.0</v>
      </c>
      <c r="M235" s="136">
        <v>1.0</v>
      </c>
      <c r="N235" s="136">
        <v>43736.0</v>
      </c>
      <c r="O235" s="1"/>
      <c r="P235" s="1"/>
      <c r="Q235" s="1"/>
      <c r="R235" s="1"/>
      <c r="S235" s="1"/>
      <c r="T235" s="1"/>
      <c r="U235" s="1"/>
      <c r="V235" s="1"/>
      <c r="W235" s="1"/>
      <c r="X235" s="1"/>
      <c r="Y235" s="1"/>
      <c r="Z235" s="1"/>
    </row>
    <row r="236" ht="10.5" customHeight="1">
      <c r="A236" s="1"/>
      <c r="B236" s="48" t="s">
        <v>276</v>
      </c>
      <c r="C236" s="136">
        <v>8940.0</v>
      </c>
      <c r="D236" s="136">
        <v>23875.0</v>
      </c>
      <c r="E236" s="136">
        <v>21500.0</v>
      </c>
      <c r="F236" s="136">
        <v>8000.0</v>
      </c>
      <c r="G236" s="136">
        <v>65.0</v>
      </c>
      <c r="H236" s="136">
        <v>1157.0</v>
      </c>
      <c r="I236" s="136" t="s">
        <v>40</v>
      </c>
      <c r="J236" s="136">
        <v>339.0</v>
      </c>
      <c r="K236" s="136">
        <v>2.0</v>
      </c>
      <c r="L236" s="136">
        <v>177.0</v>
      </c>
      <c r="M236" s="136">
        <v>1.0</v>
      </c>
      <c r="N236" s="136">
        <v>32042.0</v>
      </c>
      <c r="O236" s="1"/>
      <c r="P236" s="1"/>
      <c r="Q236" s="1"/>
      <c r="R236" s="1"/>
      <c r="S236" s="1"/>
      <c r="T236" s="1"/>
      <c r="U236" s="1"/>
      <c r="V236" s="1"/>
      <c r="W236" s="1"/>
      <c r="X236" s="1"/>
      <c r="Y236" s="1"/>
      <c r="Z236" s="1"/>
    </row>
    <row r="237" ht="10.5" customHeight="1">
      <c r="A237" s="1"/>
      <c r="B237" s="48"/>
      <c r="C237" s="136"/>
      <c r="D237" s="136"/>
      <c r="E237" s="136"/>
      <c r="F237" s="136"/>
      <c r="G237" s="136"/>
      <c r="H237" s="136"/>
      <c r="I237" s="136"/>
      <c r="J237" s="136"/>
      <c r="K237" s="136"/>
      <c r="L237" s="136"/>
      <c r="M237" s="136"/>
      <c r="N237" s="136"/>
      <c r="O237" s="1"/>
      <c r="P237" s="1"/>
      <c r="Q237" s="1"/>
      <c r="R237" s="1"/>
      <c r="S237" s="1"/>
      <c r="T237" s="1"/>
      <c r="U237" s="1"/>
      <c r="V237" s="1"/>
      <c r="W237" s="1"/>
      <c r="X237" s="1"/>
      <c r="Y237" s="1"/>
      <c r="Z237" s="1"/>
    </row>
    <row r="238" ht="10.5" customHeight="1">
      <c r="A238" s="1"/>
      <c r="B238" s="48" t="s">
        <v>56</v>
      </c>
      <c r="C238" s="136">
        <v>10863.0</v>
      </c>
      <c r="D238" s="136">
        <v>12346.0</v>
      </c>
      <c r="E238" s="136">
        <v>26745.0</v>
      </c>
      <c r="F238" s="136">
        <v>6032.0</v>
      </c>
      <c r="G238" s="136">
        <v>131.0</v>
      </c>
      <c r="H238" s="136">
        <v>569.0</v>
      </c>
      <c r="I238" s="136">
        <v>2.0</v>
      </c>
      <c r="J238" s="136">
        <v>250.0</v>
      </c>
      <c r="K238" s="136">
        <v>2.0</v>
      </c>
      <c r="L238" s="136">
        <v>109.0</v>
      </c>
      <c r="M238" s="136" t="s">
        <v>40</v>
      </c>
      <c r="N238" s="136">
        <v>22466.0</v>
      </c>
      <c r="O238" s="1"/>
      <c r="P238" s="1"/>
      <c r="Q238" s="1"/>
      <c r="R238" s="1"/>
      <c r="S238" s="1"/>
      <c r="T238" s="1"/>
      <c r="U238" s="1"/>
      <c r="V238" s="1"/>
      <c r="W238" s="1"/>
      <c r="X238" s="1"/>
      <c r="Y238" s="1"/>
      <c r="Z238" s="1"/>
    </row>
    <row r="239" ht="10.5" customHeight="1">
      <c r="A239" s="1"/>
      <c r="B239" s="48" t="s">
        <v>81</v>
      </c>
      <c r="C239" s="136">
        <v>13975.0</v>
      </c>
      <c r="D239" s="136">
        <v>9046.0</v>
      </c>
      <c r="E239" s="136">
        <v>23787.0</v>
      </c>
      <c r="F239" s="136">
        <v>5476.0</v>
      </c>
      <c r="G239" s="136">
        <v>101.0</v>
      </c>
      <c r="H239" s="136">
        <v>638.0</v>
      </c>
      <c r="I239" s="136">
        <v>2.0</v>
      </c>
      <c r="J239" s="136">
        <v>214.0</v>
      </c>
      <c r="K239" s="136">
        <v>1.0</v>
      </c>
      <c r="L239" s="136">
        <v>143.0</v>
      </c>
      <c r="M239" s="136">
        <v>1.0</v>
      </c>
      <c r="N239" s="136">
        <v>35353.0</v>
      </c>
      <c r="O239" s="1"/>
      <c r="P239" s="1"/>
      <c r="Q239" s="1"/>
      <c r="R239" s="1"/>
      <c r="S239" s="1"/>
      <c r="T239" s="1"/>
      <c r="U239" s="1"/>
      <c r="V239" s="1"/>
      <c r="W239" s="1"/>
      <c r="X239" s="1"/>
      <c r="Y239" s="1"/>
      <c r="Z239" s="1"/>
    </row>
    <row r="240" ht="10.5" customHeight="1">
      <c r="A240" s="1"/>
      <c r="B240" s="48" t="s">
        <v>86</v>
      </c>
      <c r="C240" s="136">
        <v>16585.0</v>
      </c>
      <c r="D240" s="136">
        <v>17907.0</v>
      </c>
      <c r="E240" s="136">
        <v>17719.0</v>
      </c>
      <c r="F240" s="136">
        <v>5154.0</v>
      </c>
      <c r="G240" s="136">
        <v>546.0</v>
      </c>
      <c r="H240" s="136">
        <v>632.0</v>
      </c>
      <c r="I240" s="136" t="s">
        <v>40</v>
      </c>
      <c r="J240" s="136">
        <v>215.0</v>
      </c>
      <c r="K240" s="136">
        <v>15.0</v>
      </c>
      <c r="L240" s="136">
        <v>71.0</v>
      </c>
      <c r="M240" s="136" t="s">
        <v>40</v>
      </c>
      <c r="N240" s="136">
        <v>32173.0</v>
      </c>
      <c r="O240" s="1"/>
      <c r="P240" s="1"/>
      <c r="Q240" s="1"/>
      <c r="R240" s="1"/>
      <c r="S240" s="1"/>
      <c r="T240" s="1"/>
      <c r="U240" s="1"/>
      <c r="V240" s="1"/>
      <c r="W240" s="1"/>
      <c r="X240" s="1"/>
      <c r="Y240" s="1"/>
      <c r="Z240" s="1"/>
    </row>
    <row r="241" ht="10.5" customHeight="1">
      <c r="A241" s="1"/>
      <c r="B241" s="48" t="s">
        <v>87</v>
      </c>
      <c r="C241" s="136">
        <v>16537.0</v>
      </c>
      <c r="D241" s="136">
        <v>12180.0</v>
      </c>
      <c r="E241" s="136">
        <v>24555.0</v>
      </c>
      <c r="F241" s="136">
        <v>4695.0</v>
      </c>
      <c r="G241" s="136">
        <v>162.0</v>
      </c>
      <c r="H241" s="136">
        <v>800.0</v>
      </c>
      <c r="I241" s="136" t="s">
        <v>40</v>
      </c>
      <c r="J241" s="136">
        <v>221.0</v>
      </c>
      <c r="K241" s="136">
        <v>3.0</v>
      </c>
      <c r="L241" s="136">
        <v>97.0</v>
      </c>
      <c r="M241" s="136">
        <v>1.0</v>
      </c>
      <c r="N241" s="136">
        <v>33181.0</v>
      </c>
      <c r="O241" s="1"/>
      <c r="P241" s="1"/>
      <c r="Q241" s="1"/>
      <c r="R241" s="1"/>
      <c r="S241" s="1"/>
      <c r="T241" s="1"/>
      <c r="U241" s="1"/>
      <c r="V241" s="1"/>
      <c r="W241" s="1"/>
      <c r="X241" s="1"/>
      <c r="Y241" s="1"/>
      <c r="Z241" s="1"/>
    </row>
    <row r="242" ht="10.5" customHeight="1">
      <c r="A242" s="1"/>
      <c r="B242" s="48" t="s">
        <v>90</v>
      </c>
      <c r="C242" s="136">
        <v>13826.0</v>
      </c>
      <c r="D242" s="136">
        <v>14557.0</v>
      </c>
      <c r="E242" s="136">
        <v>27423.0</v>
      </c>
      <c r="F242" s="136">
        <v>4123.0</v>
      </c>
      <c r="G242" s="136">
        <v>2.0</v>
      </c>
      <c r="H242" s="136">
        <v>694.0</v>
      </c>
      <c r="I242" s="136">
        <v>2.0</v>
      </c>
      <c r="J242" s="136">
        <v>238.0</v>
      </c>
      <c r="K242" s="136" t="s">
        <v>40</v>
      </c>
      <c r="L242" s="136">
        <v>58.0</v>
      </c>
      <c r="M242" s="136">
        <v>1.0</v>
      </c>
      <c r="N242" s="136">
        <v>31066.0</v>
      </c>
      <c r="O242" s="1"/>
      <c r="P242" s="1"/>
      <c r="Q242" s="1"/>
      <c r="R242" s="1"/>
      <c r="S242" s="1"/>
      <c r="T242" s="1"/>
      <c r="U242" s="1"/>
      <c r="V242" s="1"/>
      <c r="W242" s="1"/>
      <c r="X242" s="1"/>
      <c r="Y242" s="1"/>
      <c r="Z242" s="1"/>
    </row>
    <row r="243" ht="10.5" customHeight="1">
      <c r="A243" s="1"/>
      <c r="B243" s="48"/>
      <c r="C243" s="136"/>
      <c r="D243" s="136"/>
      <c r="E243" s="136"/>
      <c r="F243" s="136"/>
      <c r="G243" s="136"/>
      <c r="H243" s="136"/>
      <c r="I243" s="136"/>
      <c r="J243" s="136"/>
      <c r="K243" s="136"/>
      <c r="L243" s="136"/>
      <c r="M243" s="136"/>
      <c r="N243" s="136"/>
      <c r="O243" s="1"/>
      <c r="P243" s="1"/>
      <c r="Q243" s="1"/>
      <c r="R243" s="1"/>
      <c r="S243" s="1"/>
      <c r="T243" s="1"/>
      <c r="U243" s="1"/>
      <c r="V243" s="1"/>
      <c r="W243" s="1"/>
      <c r="X243" s="1"/>
      <c r="Y243" s="1"/>
      <c r="Z243" s="1"/>
    </row>
    <row r="244" ht="10.5" customHeight="1">
      <c r="A244" s="1"/>
      <c r="B244" s="48" t="s">
        <v>93</v>
      </c>
      <c r="C244" s="136">
        <v>12449.0</v>
      </c>
      <c r="D244" s="136">
        <v>9447.0</v>
      </c>
      <c r="E244" s="136">
        <v>32130.0</v>
      </c>
      <c r="F244" s="136">
        <v>3949.0</v>
      </c>
      <c r="G244" s="136">
        <v>46.0</v>
      </c>
      <c r="H244" s="136">
        <v>743.0</v>
      </c>
      <c r="I244" s="136" t="s">
        <v>40</v>
      </c>
      <c r="J244" s="136">
        <v>205.0</v>
      </c>
      <c r="K244" s="136">
        <v>3.0</v>
      </c>
      <c r="L244" s="136">
        <v>81.0</v>
      </c>
      <c r="M244" s="136" t="s">
        <v>40</v>
      </c>
      <c r="N244" s="136">
        <v>21488.0</v>
      </c>
      <c r="O244" s="1"/>
      <c r="P244" s="1"/>
      <c r="Q244" s="1"/>
      <c r="R244" s="1"/>
      <c r="S244" s="1"/>
      <c r="T244" s="1"/>
      <c r="U244" s="1"/>
      <c r="V244" s="1"/>
      <c r="W244" s="1"/>
      <c r="X244" s="1"/>
      <c r="Y244" s="1"/>
      <c r="Z244" s="1"/>
    </row>
    <row r="245" ht="10.5" customHeight="1">
      <c r="A245" s="1"/>
      <c r="B245" s="48" t="s">
        <v>97</v>
      </c>
      <c r="C245" s="136">
        <v>14403.0</v>
      </c>
      <c r="D245" s="136">
        <v>6230.0</v>
      </c>
      <c r="E245" s="136">
        <v>36576.0</v>
      </c>
      <c r="F245" s="136">
        <v>3365.0</v>
      </c>
      <c r="G245" s="136">
        <v>50.0</v>
      </c>
      <c r="H245" s="136">
        <v>691.0</v>
      </c>
      <c r="I245" s="136">
        <v>2.0</v>
      </c>
      <c r="J245" s="136">
        <v>236.0</v>
      </c>
      <c r="K245" s="136">
        <v>7.0</v>
      </c>
      <c r="L245" s="136">
        <v>92.0</v>
      </c>
      <c r="M245" s="136">
        <v>1.0</v>
      </c>
      <c r="N245" s="136">
        <v>49466.0</v>
      </c>
      <c r="O245" s="1"/>
      <c r="P245" s="1"/>
      <c r="Q245" s="1"/>
      <c r="R245" s="1"/>
      <c r="S245" s="1"/>
      <c r="T245" s="1"/>
      <c r="U245" s="1"/>
      <c r="V245" s="1"/>
      <c r="W245" s="1"/>
      <c r="X245" s="1"/>
      <c r="Y245" s="1"/>
      <c r="Z245" s="1"/>
    </row>
    <row r="246" ht="10.5" customHeight="1">
      <c r="A246" s="1"/>
      <c r="B246" s="48" t="s">
        <v>101</v>
      </c>
      <c r="C246" s="136">
        <v>13461.0</v>
      </c>
      <c r="D246" s="136">
        <v>4838.0</v>
      </c>
      <c r="E246" s="136">
        <v>33622.0</v>
      </c>
      <c r="F246" s="136">
        <v>3243.0</v>
      </c>
      <c r="G246" s="136">
        <v>16.0</v>
      </c>
      <c r="H246" s="136">
        <v>753.0</v>
      </c>
      <c r="I246" s="136" t="s">
        <v>40</v>
      </c>
      <c r="J246" s="136">
        <v>183.0</v>
      </c>
      <c r="K246" s="136" t="s">
        <v>40</v>
      </c>
      <c r="L246" s="136">
        <v>113.0</v>
      </c>
      <c r="M246" s="136" t="s">
        <v>40</v>
      </c>
      <c r="N246" s="136">
        <v>39188.0</v>
      </c>
      <c r="O246" s="1"/>
      <c r="P246" s="1"/>
      <c r="Q246" s="1"/>
      <c r="R246" s="1"/>
      <c r="S246" s="1"/>
      <c r="T246" s="1"/>
      <c r="U246" s="1"/>
      <c r="V246" s="1"/>
      <c r="W246" s="1"/>
      <c r="X246" s="1"/>
      <c r="Y246" s="1"/>
      <c r="Z246" s="1"/>
    </row>
    <row r="247" ht="10.5" customHeight="1">
      <c r="A247" s="1"/>
      <c r="B247" s="48" t="s">
        <v>103</v>
      </c>
      <c r="C247" s="136">
        <v>10335.0</v>
      </c>
      <c r="D247" s="136">
        <v>2050.0</v>
      </c>
      <c r="E247" s="136">
        <v>36806.0</v>
      </c>
      <c r="F247" s="136">
        <v>2497.0</v>
      </c>
      <c r="G247" s="136">
        <v>86.0</v>
      </c>
      <c r="H247" s="136">
        <v>720.0</v>
      </c>
      <c r="I247" s="136" t="s">
        <v>40</v>
      </c>
      <c r="J247" s="136">
        <v>125.0</v>
      </c>
      <c r="K247" s="136" t="s">
        <v>40</v>
      </c>
      <c r="L247" s="136">
        <v>68.0</v>
      </c>
      <c r="M247" s="136" t="s">
        <v>40</v>
      </c>
      <c r="N247" s="136">
        <v>20719.0</v>
      </c>
      <c r="O247" s="1"/>
      <c r="P247" s="1"/>
      <c r="Q247" s="1"/>
      <c r="R247" s="1"/>
      <c r="S247" s="1"/>
      <c r="T247" s="1"/>
      <c r="U247" s="1"/>
      <c r="V247" s="1"/>
      <c r="W247" s="1"/>
      <c r="X247" s="1"/>
      <c r="Y247" s="1"/>
      <c r="Z247" s="1"/>
    </row>
    <row r="248" ht="10.5" customHeight="1">
      <c r="A248" s="496"/>
      <c r="B248" s="48" t="s">
        <v>104</v>
      </c>
      <c r="C248" s="136">
        <v>8806.0</v>
      </c>
      <c r="D248" s="136">
        <v>8497.0</v>
      </c>
      <c r="E248" s="136">
        <v>31731.0</v>
      </c>
      <c r="F248" s="136">
        <v>2890.0</v>
      </c>
      <c r="G248" s="136">
        <v>39.0</v>
      </c>
      <c r="H248" s="136">
        <v>763.0</v>
      </c>
      <c r="I248" s="136" t="s">
        <v>40</v>
      </c>
      <c r="J248" s="136">
        <v>135.0</v>
      </c>
      <c r="K248" s="136" t="s">
        <v>40</v>
      </c>
      <c r="L248" s="136">
        <v>68.0</v>
      </c>
      <c r="M248" s="136" t="s">
        <v>40</v>
      </c>
      <c r="N248" s="136">
        <v>20096.0</v>
      </c>
      <c r="O248" s="1"/>
      <c r="P248" s="1"/>
      <c r="Q248" s="1"/>
      <c r="R248" s="1"/>
      <c r="S248" s="1"/>
      <c r="T248" s="1"/>
      <c r="U248" s="1"/>
      <c r="V248" s="1"/>
      <c r="W248" s="1"/>
      <c r="X248" s="1"/>
      <c r="Y248" s="1"/>
      <c r="Z248" s="1"/>
    </row>
    <row r="249" ht="10.5" customHeight="1">
      <c r="A249" s="496"/>
      <c r="B249" s="48"/>
      <c r="C249" s="136"/>
      <c r="D249" s="136"/>
      <c r="E249" s="136"/>
      <c r="F249" s="136"/>
      <c r="G249" s="136"/>
      <c r="H249" s="136"/>
      <c r="I249" s="136"/>
      <c r="J249" s="136"/>
      <c r="K249" s="136"/>
      <c r="L249" s="136"/>
      <c r="M249" s="136"/>
      <c r="N249" s="136"/>
      <c r="O249" s="1"/>
      <c r="P249" s="1"/>
      <c r="Q249" s="1"/>
      <c r="R249" s="1"/>
      <c r="S249" s="1"/>
      <c r="T249" s="1"/>
      <c r="U249" s="1"/>
      <c r="V249" s="1"/>
      <c r="W249" s="1"/>
      <c r="X249" s="1"/>
      <c r="Y249" s="1"/>
      <c r="Z249" s="1"/>
    </row>
    <row r="250" ht="10.5" customHeight="1">
      <c r="A250" s="1"/>
      <c r="B250" s="48" t="s">
        <v>108</v>
      </c>
      <c r="C250" s="136">
        <v>7159.0</v>
      </c>
      <c r="D250" s="136">
        <v>8223.0</v>
      </c>
      <c r="E250" s="136">
        <v>36028.0</v>
      </c>
      <c r="F250" s="136">
        <v>2996.0</v>
      </c>
      <c r="G250" s="136">
        <v>98.0</v>
      </c>
      <c r="H250" s="136">
        <v>446.0</v>
      </c>
      <c r="I250" s="136" t="s">
        <v>40</v>
      </c>
      <c r="J250" s="136">
        <v>129.0</v>
      </c>
      <c r="K250" s="136" t="s">
        <v>40</v>
      </c>
      <c r="L250" s="136">
        <v>74.0</v>
      </c>
      <c r="M250" s="136" t="s">
        <v>40</v>
      </c>
      <c r="N250" s="136">
        <v>24627.0</v>
      </c>
      <c r="O250" s="1"/>
      <c r="P250" s="1"/>
      <c r="Q250" s="1"/>
      <c r="R250" s="1"/>
      <c r="S250" s="1"/>
      <c r="T250" s="1"/>
      <c r="U250" s="1"/>
      <c r="V250" s="1"/>
      <c r="W250" s="1"/>
      <c r="X250" s="1"/>
      <c r="Y250" s="1"/>
      <c r="Z250" s="1"/>
    </row>
    <row r="251" ht="10.5" customHeight="1">
      <c r="A251" s="1"/>
      <c r="B251" s="48" t="s">
        <v>111</v>
      </c>
      <c r="C251" s="136">
        <v>7848.0</v>
      </c>
      <c r="D251" s="136">
        <v>3956.0</v>
      </c>
      <c r="E251" s="136">
        <v>47687.0</v>
      </c>
      <c r="F251" s="136">
        <v>2024.0</v>
      </c>
      <c r="G251" s="136">
        <v>4.0</v>
      </c>
      <c r="H251" s="136">
        <v>232.0</v>
      </c>
      <c r="I251" s="136" t="s">
        <v>40</v>
      </c>
      <c r="J251" s="136">
        <v>154.0</v>
      </c>
      <c r="K251" s="136" t="s">
        <v>40</v>
      </c>
      <c r="L251" s="136">
        <v>47.0</v>
      </c>
      <c r="M251" s="136" t="s">
        <v>40</v>
      </c>
      <c r="N251" s="136">
        <v>19572.0</v>
      </c>
      <c r="O251" s="1"/>
      <c r="P251" s="1"/>
      <c r="Q251" s="1"/>
      <c r="R251" s="1"/>
      <c r="S251" s="1"/>
      <c r="T251" s="1"/>
      <c r="U251" s="1"/>
      <c r="V251" s="1"/>
      <c r="W251" s="1"/>
      <c r="X251" s="1"/>
      <c r="Y251" s="1"/>
      <c r="Z251" s="1"/>
    </row>
    <row r="252" ht="10.5" customHeight="1">
      <c r="A252" s="1"/>
      <c r="B252" s="48" t="s">
        <v>112</v>
      </c>
      <c r="C252" s="136">
        <v>8112.0</v>
      </c>
      <c r="D252" s="136">
        <v>4821.0</v>
      </c>
      <c r="E252" s="136">
        <v>41587.0</v>
      </c>
      <c r="F252" s="136">
        <v>1700.0</v>
      </c>
      <c r="G252" s="136">
        <v>1.0</v>
      </c>
      <c r="H252" s="136">
        <v>221.0</v>
      </c>
      <c r="I252" s="136">
        <v>1.0</v>
      </c>
      <c r="J252" s="136">
        <v>116.0</v>
      </c>
      <c r="K252" s="136" t="s">
        <v>40</v>
      </c>
      <c r="L252" s="136">
        <v>49.0</v>
      </c>
      <c r="M252" s="136" t="s">
        <v>40</v>
      </c>
      <c r="N252" s="136">
        <v>19890.0</v>
      </c>
      <c r="O252" s="1"/>
      <c r="P252" s="1"/>
      <c r="Q252" s="1"/>
      <c r="R252" s="1"/>
      <c r="S252" s="1"/>
      <c r="T252" s="1"/>
      <c r="U252" s="1"/>
      <c r="V252" s="1"/>
      <c r="W252" s="1"/>
      <c r="X252" s="1"/>
      <c r="Y252" s="1"/>
      <c r="Z252" s="1"/>
    </row>
    <row r="253" ht="10.5" customHeight="1">
      <c r="A253" s="1"/>
      <c r="B253" s="48" t="s">
        <v>113</v>
      </c>
      <c r="C253" s="136">
        <v>14358.0</v>
      </c>
      <c r="D253" s="136">
        <v>5358.0</v>
      </c>
      <c r="E253" s="136">
        <v>36521.0</v>
      </c>
      <c r="F253" s="136">
        <v>1900.0</v>
      </c>
      <c r="G253" s="136">
        <v>556.0</v>
      </c>
      <c r="H253" s="136">
        <v>327.0</v>
      </c>
      <c r="I253" s="136">
        <v>1.0</v>
      </c>
      <c r="J253" s="136">
        <v>117.0</v>
      </c>
      <c r="K253" s="136" t="s">
        <v>40</v>
      </c>
      <c r="L253" s="136">
        <v>33.0</v>
      </c>
      <c r="M253" s="136" t="s">
        <v>40</v>
      </c>
      <c r="N253" s="136">
        <v>24172.0</v>
      </c>
      <c r="O253" s="1"/>
      <c r="P253" s="1"/>
      <c r="Q253" s="1"/>
      <c r="R253" s="1"/>
      <c r="S253" s="1"/>
      <c r="T253" s="1"/>
      <c r="U253" s="1"/>
      <c r="V253" s="1"/>
      <c r="W253" s="1"/>
      <c r="X253" s="1"/>
      <c r="Y253" s="1"/>
      <c r="Z253" s="1"/>
    </row>
    <row r="254" ht="10.5" customHeight="1">
      <c r="A254" s="1"/>
      <c r="B254" s="48" t="s">
        <v>114</v>
      </c>
      <c r="C254" s="136">
        <v>18974.0</v>
      </c>
      <c r="D254" s="136">
        <v>3270.0</v>
      </c>
      <c r="E254" s="136">
        <v>26599.0</v>
      </c>
      <c r="F254" s="136">
        <v>1684.0</v>
      </c>
      <c r="G254" s="136" t="s">
        <v>40</v>
      </c>
      <c r="H254" s="136">
        <v>615.0</v>
      </c>
      <c r="I254" s="136" t="s">
        <v>40</v>
      </c>
      <c r="J254" s="136">
        <v>70.0</v>
      </c>
      <c r="K254" s="136" t="s">
        <v>40</v>
      </c>
      <c r="L254" s="136">
        <v>17.0</v>
      </c>
      <c r="M254" s="136">
        <v>1.0</v>
      </c>
      <c r="N254" s="136">
        <v>15575.0</v>
      </c>
      <c r="O254" s="1"/>
      <c r="P254" s="1"/>
      <c r="Q254" s="1"/>
      <c r="R254" s="1"/>
      <c r="S254" s="1"/>
      <c r="T254" s="1"/>
      <c r="U254" s="1"/>
      <c r="V254" s="1"/>
      <c r="W254" s="1"/>
      <c r="X254" s="1"/>
      <c r="Y254" s="1"/>
      <c r="Z254" s="1"/>
    </row>
    <row r="255" ht="10.5" customHeight="1">
      <c r="A255" s="1"/>
      <c r="B255" s="48"/>
      <c r="C255" s="136"/>
      <c r="D255" s="136"/>
      <c r="E255" s="136"/>
      <c r="F255" s="136"/>
      <c r="G255" s="136"/>
      <c r="H255" s="136"/>
      <c r="I255" s="136"/>
      <c r="J255" s="136"/>
      <c r="K255" s="136"/>
      <c r="L255" s="136"/>
      <c r="M255" s="136"/>
      <c r="N255" s="136"/>
      <c r="O255" s="1"/>
      <c r="P255" s="1"/>
      <c r="Q255" s="1"/>
      <c r="R255" s="1"/>
      <c r="S255" s="1"/>
      <c r="T255" s="1"/>
      <c r="U255" s="1"/>
      <c r="V255" s="1"/>
      <c r="W255" s="1"/>
      <c r="X255" s="1"/>
      <c r="Y255" s="1"/>
      <c r="Z255" s="1"/>
    </row>
    <row r="256" ht="10.5" customHeight="1">
      <c r="A256" s="1"/>
      <c r="B256" s="48" t="s">
        <v>115</v>
      </c>
      <c r="C256" s="136">
        <v>14732.0</v>
      </c>
      <c r="D256" s="136">
        <v>5385.0</v>
      </c>
      <c r="E256" s="136">
        <v>28951.0</v>
      </c>
      <c r="F256" s="136">
        <v>1746.0</v>
      </c>
      <c r="G256" s="136" t="s">
        <v>40</v>
      </c>
      <c r="H256" s="136">
        <v>506.0</v>
      </c>
      <c r="I256" s="136" t="s">
        <v>40</v>
      </c>
      <c r="J256" s="136">
        <v>47.0</v>
      </c>
      <c r="K256" s="136" t="s">
        <v>40</v>
      </c>
      <c r="L256" s="136">
        <v>13.0</v>
      </c>
      <c r="M256" s="136" t="s">
        <v>40</v>
      </c>
      <c r="N256" s="136">
        <v>15358.0</v>
      </c>
      <c r="O256" s="1"/>
      <c r="P256" s="1"/>
      <c r="Q256" s="1"/>
      <c r="R256" s="1"/>
      <c r="S256" s="1"/>
      <c r="T256" s="1"/>
      <c r="U256" s="1"/>
      <c r="V256" s="1"/>
      <c r="W256" s="1"/>
      <c r="X256" s="1"/>
      <c r="Y256" s="1"/>
      <c r="Z256" s="1"/>
    </row>
    <row r="257" ht="10.5" customHeight="1">
      <c r="A257" s="1"/>
      <c r="B257" s="48" t="s">
        <v>117</v>
      </c>
      <c r="C257" s="136">
        <v>7448.0</v>
      </c>
      <c r="D257" s="136">
        <v>6174.0</v>
      </c>
      <c r="E257" s="136">
        <v>21293.0</v>
      </c>
      <c r="F257" s="136">
        <v>1529.0</v>
      </c>
      <c r="G257" s="136">
        <v>11.0</v>
      </c>
      <c r="H257" s="136">
        <v>432.0</v>
      </c>
      <c r="I257" s="136" t="s">
        <v>40</v>
      </c>
      <c r="J257" s="136">
        <v>46.0</v>
      </c>
      <c r="K257" s="136" t="s">
        <v>40</v>
      </c>
      <c r="L257" s="136">
        <v>10.0</v>
      </c>
      <c r="M257" s="136" t="s">
        <v>40</v>
      </c>
      <c r="N257" s="136">
        <v>19717.0</v>
      </c>
      <c r="O257" s="1"/>
      <c r="P257" s="1"/>
      <c r="Q257" s="1"/>
      <c r="R257" s="1"/>
      <c r="S257" s="1"/>
      <c r="T257" s="1"/>
      <c r="U257" s="1"/>
      <c r="V257" s="1"/>
      <c r="W257" s="1"/>
      <c r="X257" s="1"/>
      <c r="Y257" s="1"/>
      <c r="Z257" s="1"/>
    </row>
    <row r="258" ht="10.5" customHeight="1">
      <c r="A258" s="1"/>
      <c r="B258" s="48" t="s">
        <v>121</v>
      </c>
      <c r="C258" s="136" t="s">
        <v>10</v>
      </c>
      <c r="D258" s="136" t="s">
        <v>10</v>
      </c>
      <c r="E258" s="136" t="s">
        <v>10</v>
      </c>
      <c r="F258" s="136" t="s">
        <v>10</v>
      </c>
      <c r="G258" s="136" t="s">
        <v>10</v>
      </c>
      <c r="H258" s="136" t="s">
        <v>10</v>
      </c>
      <c r="I258" s="136" t="s">
        <v>10</v>
      </c>
      <c r="J258" s="136" t="s">
        <v>10</v>
      </c>
      <c r="K258" s="136" t="s">
        <v>10</v>
      </c>
      <c r="L258" s="136" t="s">
        <v>10</v>
      </c>
      <c r="M258" s="136" t="s">
        <v>10</v>
      </c>
      <c r="N258" s="136">
        <v>20442.0</v>
      </c>
      <c r="O258" s="1"/>
      <c r="P258" s="1"/>
      <c r="Q258" s="1"/>
      <c r="R258" s="1"/>
      <c r="S258" s="1"/>
      <c r="T258" s="1"/>
      <c r="U258" s="1"/>
      <c r="V258" s="1"/>
      <c r="W258" s="1"/>
      <c r="X258" s="1"/>
      <c r="Y258" s="1"/>
      <c r="Z258" s="1"/>
    </row>
    <row r="259" ht="10.5" customHeight="1">
      <c r="A259" s="1"/>
      <c r="B259" s="48" t="s">
        <v>122</v>
      </c>
      <c r="C259" s="136" t="s">
        <v>10</v>
      </c>
      <c r="D259" s="136" t="s">
        <v>10</v>
      </c>
      <c r="E259" s="136" t="s">
        <v>10</v>
      </c>
      <c r="F259" s="136" t="s">
        <v>10</v>
      </c>
      <c r="G259" s="136" t="s">
        <v>10</v>
      </c>
      <c r="H259" s="136" t="s">
        <v>10</v>
      </c>
      <c r="I259" s="136" t="s">
        <v>10</v>
      </c>
      <c r="J259" s="136" t="s">
        <v>10</v>
      </c>
      <c r="K259" s="136" t="s">
        <v>10</v>
      </c>
      <c r="L259" s="136" t="s">
        <v>10</v>
      </c>
      <c r="M259" s="136" t="s">
        <v>10</v>
      </c>
      <c r="N259" s="136">
        <v>20554.0</v>
      </c>
      <c r="O259" s="1"/>
      <c r="P259" s="1"/>
      <c r="Q259" s="1"/>
      <c r="R259" s="1"/>
      <c r="S259" s="1"/>
      <c r="T259" s="1"/>
      <c r="U259" s="1"/>
      <c r="V259" s="1"/>
      <c r="W259" s="1"/>
      <c r="X259" s="1"/>
      <c r="Y259" s="1"/>
      <c r="Z259" s="1"/>
    </row>
    <row r="260" ht="10.5" customHeight="1">
      <c r="A260" s="1"/>
      <c r="B260" s="48" t="s">
        <v>123</v>
      </c>
      <c r="C260" s="136" t="s">
        <v>10</v>
      </c>
      <c r="D260" s="136" t="s">
        <v>10</v>
      </c>
      <c r="E260" s="136" t="s">
        <v>10</v>
      </c>
      <c r="F260" s="136" t="s">
        <v>10</v>
      </c>
      <c r="G260" s="136" t="s">
        <v>10</v>
      </c>
      <c r="H260" s="136" t="s">
        <v>10</v>
      </c>
      <c r="I260" s="136" t="s">
        <v>10</v>
      </c>
      <c r="J260" s="136" t="s">
        <v>10</v>
      </c>
      <c r="K260" s="136" t="s">
        <v>10</v>
      </c>
      <c r="L260" s="136" t="s">
        <v>10</v>
      </c>
      <c r="M260" s="136" t="s">
        <v>10</v>
      </c>
      <c r="N260" s="136">
        <v>11541.0</v>
      </c>
      <c r="O260" s="1"/>
      <c r="P260" s="1"/>
      <c r="Q260" s="1"/>
      <c r="R260" s="1"/>
      <c r="S260" s="1"/>
      <c r="T260" s="1"/>
      <c r="U260" s="1"/>
      <c r="V260" s="1"/>
      <c r="W260" s="1"/>
      <c r="X260" s="1"/>
      <c r="Y260" s="1"/>
      <c r="Z260" s="1"/>
    </row>
    <row r="261" ht="10.5" customHeight="1">
      <c r="A261" s="1"/>
      <c r="B261" s="48"/>
      <c r="C261" s="136"/>
      <c r="D261" s="136"/>
      <c r="E261" s="136"/>
      <c r="F261" s="136"/>
      <c r="G261" s="136"/>
      <c r="H261" s="136"/>
      <c r="I261" s="136"/>
      <c r="J261" s="136"/>
      <c r="K261" s="136"/>
      <c r="L261" s="136"/>
      <c r="M261" s="136"/>
      <c r="N261" s="136"/>
      <c r="O261" s="1"/>
      <c r="P261" s="1"/>
      <c r="Q261" s="1"/>
      <c r="R261" s="1"/>
      <c r="S261" s="1"/>
      <c r="T261" s="1"/>
      <c r="U261" s="1"/>
      <c r="V261" s="1"/>
      <c r="W261" s="1"/>
      <c r="X261" s="1"/>
      <c r="Y261" s="1"/>
      <c r="Z261" s="1"/>
    </row>
    <row r="262" ht="10.5" customHeight="1">
      <c r="A262" s="1"/>
      <c r="B262" s="48" t="s">
        <v>125</v>
      </c>
      <c r="C262" s="136" t="s">
        <v>10</v>
      </c>
      <c r="D262" s="136" t="s">
        <v>10</v>
      </c>
      <c r="E262" s="136" t="s">
        <v>10</v>
      </c>
      <c r="F262" s="136" t="s">
        <v>10</v>
      </c>
      <c r="G262" s="136" t="s">
        <v>10</v>
      </c>
      <c r="H262" s="136" t="s">
        <v>10</v>
      </c>
      <c r="I262" s="136" t="s">
        <v>10</v>
      </c>
      <c r="J262" s="136" t="s">
        <v>10</v>
      </c>
      <c r="K262" s="136" t="s">
        <v>10</v>
      </c>
      <c r="L262" s="136" t="s">
        <v>10</v>
      </c>
      <c r="M262" s="136" t="s">
        <v>10</v>
      </c>
      <c r="N262" s="136">
        <v>15343.0</v>
      </c>
      <c r="O262" s="1"/>
      <c r="P262" s="1"/>
      <c r="Q262" s="1"/>
      <c r="R262" s="1"/>
      <c r="S262" s="1"/>
      <c r="T262" s="1"/>
      <c r="U262" s="1"/>
      <c r="V262" s="1"/>
      <c r="W262" s="1"/>
      <c r="X262" s="1"/>
      <c r="Y262" s="1"/>
      <c r="Z262" s="1"/>
    </row>
    <row r="263" ht="10.5" customHeight="1">
      <c r="A263" s="1"/>
      <c r="B263" s="48" t="s">
        <v>127</v>
      </c>
      <c r="C263" s="136" t="s">
        <v>10</v>
      </c>
      <c r="D263" s="136" t="s">
        <v>10</v>
      </c>
      <c r="E263" s="136" t="s">
        <v>10</v>
      </c>
      <c r="F263" s="136" t="s">
        <v>10</v>
      </c>
      <c r="G263" s="136" t="s">
        <v>10</v>
      </c>
      <c r="H263" s="136" t="s">
        <v>10</v>
      </c>
      <c r="I263" s="136" t="s">
        <v>10</v>
      </c>
      <c r="J263" s="136" t="s">
        <v>10</v>
      </c>
      <c r="K263" s="136" t="s">
        <v>10</v>
      </c>
      <c r="L263" s="136" t="s">
        <v>10</v>
      </c>
      <c r="M263" s="136" t="s">
        <v>10</v>
      </c>
      <c r="N263" s="136">
        <v>14323.0</v>
      </c>
      <c r="O263" s="1"/>
      <c r="P263" s="1"/>
      <c r="Q263" s="1"/>
      <c r="R263" s="1"/>
      <c r="S263" s="1"/>
      <c r="T263" s="1"/>
      <c r="U263" s="1"/>
      <c r="V263" s="1"/>
      <c r="W263" s="1"/>
      <c r="X263" s="1"/>
      <c r="Y263" s="1"/>
      <c r="Z263" s="1"/>
    </row>
    <row r="264" ht="10.5" customHeight="1">
      <c r="A264" s="1"/>
      <c r="B264" s="225" t="s">
        <v>128</v>
      </c>
      <c r="C264" s="136" t="s">
        <v>10</v>
      </c>
      <c r="D264" s="136" t="s">
        <v>10</v>
      </c>
      <c r="E264" s="136" t="s">
        <v>10</v>
      </c>
      <c r="F264" s="136" t="s">
        <v>10</v>
      </c>
      <c r="G264" s="136" t="s">
        <v>10</v>
      </c>
      <c r="H264" s="136" t="s">
        <v>10</v>
      </c>
      <c r="I264" s="136" t="s">
        <v>10</v>
      </c>
      <c r="J264" s="136" t="s">
        <v>10</v>
      </c>
      <c r="K264" s="136" t="s">
        <v>10</v>
      </c>
      <c r="L264" s="136" t="s">
        <v>10</v>
      </c>
      <c r="M264" s="136" t="s">
        <v>10</v>
      </c>
      <c r="N264" s="136">
        <v>12174.0</v>
      </c>
      <c r="O264" s="1"/>
      <c r="P264" s="1"/>
      <c r="Q264" s="1"/>
      <c r="R264" s="1"/>
      <c r="S264" s="1"/>
      <c r="T264" s="1"/>
      <c r="U264" s="1"/>
      <c r="V264" s="1"/>
      <c r="W264" s="1"/>
      <c r="X264" s="1"/>
      <c r="Y264" s="1"/>
      <c r="Z264" s="1"/>
    </row>
    <row r="265" ht="10.5" customHeight="1">
      <c r="A265" s="1"/>
      <c r="B265" s="225" t="s">
        <v>129</v>
      </c>
      <c r="C265" s="169" t="s">
        <v>10</v>
      </c>
      <c r="D265" s="169" t="s">
        <v>10</v>
      </c>
      <c r="E265" s="169" t="s">
        <v>10</v>
      </c>
      <c r="F265" s="169" t="s">
        <v>10</v>
      </c>
      <c r="G265" s="169" t="s">
        <v>10</v>
      </c>
      <c r="H265" s="169" t="s">
        <v>10</v>
      </c>
      <c r="I265" s="169" t="s">
        <v>10</v>
      </c>
      <c r="J265" s="169" t="s">
        <v>10</v>
      </c>
      <c r="K265" s="169" t="s">
        <v>10</v>
      </c>
      <c r="L265" s="169" t="s">
        <v>10</v>
      </c>
      <c r="M265" s="169" t="s">
        <v>10</v>
      </c>
      <c r="N265" s="169">
        <v>18562.0</v>
      </c>
      <c r="O265" s="1"/>
      <c r="P265" s="1"/>
      <c r="Q265" s="1"/>
      <c r="R265" s="1"/>
      <c r="S265" s="1"/>
      <c r="T265" s="1"/>
      <c r="U265" s="1"/>
      <c r="V265" s="1"/>
      <c r="W265" s="1"/>
      <c r="X265" s="1"/>
      <c r="Y265" s="1"/>
      <c r="Z265" s="1"/>
    </row>
    <row r="266" ht="10.5" customHeight="1">
      <c r="A266" s="1"/>
      <c r="B266" s="225" t="s">
        <v>130</v>
      </c>
      <c r="C266" s="169" t="s">
        <v>10</v>
      </c>
      <c r="D266" s="169" t="s">
        <v>10</v>
      </c>
      <c r="E266" s="169" t="s">
        <v>10</v>
      </c>
      <c r="F266" s="169" t="s">
        <v>10</v>
      </c>
      <c r="G266" s="169" t="s">
        <v>10</v>
      </c>
      <c r="H266" s="169" t="s">
        <v>10</v>
      </c>
      <c r="I266" s="169" t="s">
        <v>10</v>
      </c>
      <c r="J266" s="169" t="s">
        <v>10</v>
      </c>
      <c r="K266" s="169" t="s">
        <v>10</v>
      </c>
      <c r="L266" s="169" t="s">
        <v>10</v>
      </c>
      <c r="M266" s="169" t="s">
        <v>10</v>
      </c>
      <c r="N266" s="169">
        <v>22163.0</v>
      </c>
      <c r="O266" s="1"/>
      <c r="P266" s="1"/>
      <c r="Q266" s="1"/>
      <c r="R266" s="1"/>
      <c r="S266" s="1"/>
      <c r="T266" s="1"/>
      <c r="U266" s="1"/>
      <c r="V266" s="1"/>
      <c r="W266" s="1"/>
      <c r="X266" s="1"/>
      <c r="Y266" s="1"/>
      <c r="Z266" s="1"/>
    </row>
    <row r="267" ht="10.5" customHeight="1">
      <c r="A267" s="1"/>
      <c r="B267" s="225"/>
      <c r="C267" s="169"/>
      <c r="D267" s="169"/>
      <c r="E267" s="169"/>
      <c r="F267" s="169"/>
      <c r="G267" s="169"/>
      <c r="H267" s="169"/>
      <c r="I267" s="169"/>
      <c r="J267" s="169"/>
      <c r="K267" s="169"/>
      <c r="L267" s="169"/>
      <c r="M267" s="169"/>
      <c r="N267" s="169"/>
      <c r="O267" s="1"/>
      <c r="P267" s="1"/>
      <c r="Q267" s="1"/>
      <c r="R267" s="1"/>
      <c r="S267" s="1"/>
      <c r="T267" s="1"/>
      <c r="U267" s="1"/>
      <c r="V267" s="1"/>
      <c r="W267" s="1"/>
      <c r="X267" s="1"/>
      <c r="Y267" s="1"/>
      <c r="Z267" s="1"/>
    </row>
    <row r="268" ht="10.5" customHeight="1">
      <c r="A268" s="1"/>
      <c r="B268" s="225" t="s">
        <v>131</v>
      </c>
      <c r="C268" s="169" t="s">
        <v>10</v>
      </c>
      <c r="D268" s="169" t="s">
        <v>10</v>
      </c>
      <c r="E268" s="169" t="s">
        <v>10</v>
      </c>
      <c r="F268" s="169" t="s">
        <v>10</v>
      </c>
      <c r="G268" s="169" t="s">
        <v>10</v>
      </c>
      <c r="H268" s="169" t="s">
        <v>10</v>
      </c>
      <c r="I268" s="169" t="s">
        <v>10</v>
      </c>
      <c r="J268" s="169" t="s">
        <v>10</v>
      </c>
      <c r="K268" s="169" t="s">
        <v>10</v>
      </c>
      <c r="L268" s="169" t="s">
        <v>10</v>
      </c>
      <c r="M268" s="169" t="s">
        <v>10</v>
      </c>
      <c r="N268" s="169">
        <v>19932.0</v>
      </c>
      <c r="O268" s="1"/>
      <c r="P268" s="1"/>
      <c r="Q268" s="1"/>
      <c r="R268" s="1"/>
      <c r="S268" s="1"/>
      <c r="T268" s="1"/>
      <c r="U268" s="1"/>
      <c r="V268" s="1"/>
      <c r="W268" s="1"/>
      <c r="X268" s="1"/>
      <c r="Y268" s="1"/>
      <c r="Z268" s="1"/>
    </row>
    <row r="269" ht="10.5" customHeight="1">
      <c r="A269" s="1"/>
      <c r="B269" s="225" t="s">
        <v>133</v>
      </c>
      <c r="C269" s="169" t="s">
        <v>10</v>
      </c>
      <c r="D269" s="169" t="s">
        <v>10</v>
      </c>
      <c r="E269" s="169" t="s">
        <v>10</v>
      </c>
      <c r="F269" s="169" t="s">
        <v>10</v>
      </c>
      <c r="G269" s="169" t="s">
        <v>10</v>
      </c>
      <c r="H269" s="169" t="s">
        <v>10</v>
      </c>
      <c r="I269" s="169" t="s">
        <v>10</v>
      </c>
      <c r="J269" s="169" t="s">
        <v>10</v>
      </c>
      <c r="K269" s="169" t="s">
        <v>10</v>
      </c>
      <c r="L269" s="169" t="s">
        <v>10</v>
      </c>
      <c r="M269" s="169" t="s">
        <v>10</v>
      </c>
      <c r="N269" s="169">
        <v>11429.0</v>
      </c>
      <c r="O269" s="1"/>
      <c r="P269" s="1"/>
      <c r="Q269" s="1"/>
      <c r="R269" s="1"/>
      <c r="S269" s="1"/>
      <c r="T269" s="1"/>
      <c r="U269" s="1"/>
      <c r="V269" s="1"/>
      <c r="W269" s="1"/>
      <c r="X269" s="1"/>
      <c r="Y269" s="1"/>
      <c r="Z269" s="1"/>
    </row>
    <row r="270" ht="10.5" customHeight="1">
      <c r="A270" s="1"/>
      <c r="B270" s="225" t="s">
        <v>134</v>
      </c>
      <c r="C270" s="169" t="s">
        <v>10</v>
      </c>
      <c r="D270" s="169" t="s">
        <v>10</v>
      </c>
      <c r="E270" s="169" t="s">
        <v>10</v>
      </c>
      <c r="F270" s="169" t="s">
        <v>10</v>
      </c>
      <c r="G270" s="169" t="s">
        <v>10</v>
      </c>
      <c r="H270" s="169" t="s">
        <v>10</v>
      </c>
      <c r="I270" s="169" t="s">
        <v>10</v>
      </c>
      <c r="J270" s="169" t="s">
        <v>10</v>
      </c>
      <c r="K270" s="169" t="s">
        <v>10</v>
      </c>
      <c r="L270" s="169" t="s">
        <v>10</v>
      </c>
      <c r="M270" s="169" t="s">
        <v>10</v>
      </c>
      <c r="N270" s="169">
        <v>11062.0</v>
      </c>
      <c r="O270" s="1"/>
      <c r="P270" s="1"/>
      <c r="Q270" s="1"/>
      <c r="R270" s="1"/>
      <c r="S270" s="1"/>
      <c r="T270" s="1"/>
      <c r="U270" s="1"/>
      <c r="V270" s="1"/>
      <c r="W270" s="1"/>
      <c r="X270" s="1"/>
      <c r="Y270" s="1"/>
      <c r="Z270" s="1"/>
    </row>
    <row r="271" ht="10.5" customHeight="1">
      <c r="A271" s="1"/>
      <c r="B271" s="293">
        <v>39692.0</v>
      </c>
      <c r="C271" s="169" t="s">
        <v>10</v>
      </c>
      <c r="D271" s="169" t="s">
        <v>10</v>
      </c>
      <c r="E271" s="169" t="s">
        <v>10</v>
      </c>
      <c r="F271" s="169" t="s">
        <v>10</v>
      </c>
      <c r="G271" s="169" t="s">
        <v>10</v>
      </c>
      <c r="H271" s="169" t="s">
        <v>10</v>
      </c>
      <c r="I271" s="169" t="s">
        <v>10</v>
      </c>
      <c r="J271" s="169" t="s">
        <v>10</v>
      </c>
      <c r="K271" s="169" t="s">
        <v>10</v>
      </c>
      <c r="L271" s="169" t="s">
        <v>10</v>
      </c>
      <c r="M271" s="169" t="s">
        <v>10</v>
      </c>
      <c r="N271" s="169">
        <v>16345.0</v>
      </c>
      <c r="O271" s="1"/>
      <c r="P271" s="1"/>
      <c r="Q271" s="1"/>
      <c r="R271" s="1"/>
      <c r="S271" s="1"/>
      <c r="T271" s="1"/>
      <c r="U271" s="1"/>
      <c r="V271" s="1"/>
      <c r="W271" s="1"/>
      <c r="X271" s="1"/>
      <c r="Y271" s="1"/>
      <c r="Z271" s="1"/>
    </row>
    <row r="272" ht="10.5" customHeight="1">
      <c r="A272" s="1"/>
      <c r="B272" s="11" t="s">
        <v>138</v>
      </c>
      <c r="C272" s="169" t="s">
        <v>10</v>
      </c>
      <c r="D272" s="169" t="s">
        <v>10</v>
      </c>
      <c r="E272" s="169" t="s">
        <v>10</v>
      </c>
      <c r="F272" s="169" t="s">
        <v>10</v>
      </c>
      <c r="G272" s="169" t="s">
        <v>10</v>
      </c>
      <c r="H272" s="169" t="s">
        <v>10</v>
      </c>
      <c r="I272" s="169" t="s">
        <v>10</v>
      </c>
      <c r="J272" s="169" t="s">
        <v>10</v>
      </c>
      <c r="K272" s="169" t="s">
        <v>10</v>
      </c>
      <c r="L272" s="169" t="s">
        <v>10</v>
      </c>
      <c r="M272" s="169" t="s">
        <v>10</v>
      </c>
      <c r="N272" s="169">
        <v>20655.0</v>
      </c>
      <c r="O272" s="1"/>
      <c r="P272" s="1"/>
      <c r="Q272" s="1"/>
      <c r="R272" s="1"/>
      <c r="S272" s="1"/>
      <c r="T272" s="1"/>
      <c r="U272" s="1"/>
      <c r="V272" s="1"/>
      <c r="W272" s="1"/>
      <c r="X272" s="1"/>
      <c r="Y272" s="1"/>
      <c r="Z272" s="1"/>
    </row>
    <row r="273" ht="10.5" customHeight="1">
      <c r="A273" s="1"/>
      <c r="B273" s="11"/>
      <c r="C273" s="169"/>
      <c r="D273" s="169"/>
      <c r="E273" s="169"/>
      <c r="F273" s="169"/>
      <c r="G273" s="169"/>
      <c r="H273" s="169"/>
      <c r="I273" s="169"/>
      <c r="J273" s="169"/>
      <c r="K273" s="169"/>
      <c r="L273" s="169"/>
      <c r="M273" s="169"/>
      <c r="N273" s="169"/>
      <c r="O273" s="1"/>
      <c r="P273" s="1"/>
      <c r="Q273" s="1"/>
      <c r="R273" s="1"/>
      <c r="S273" s="1"/>
      <c r="T273" s="1"/>
      <c r="U273" s="1"/>
      <c r="V273" s="1"/>
      <c r="W273" s="1"/>
      <c r="X273" s="1"/>
      <c r="Y273" s="1"/>
      <c r="Z273" s="1"/>
    </row>
    <row r="274" ht="10.5" customHeight="1">
      <c r="A274" s="1"/>
      <c r="B274" s="11" t="s">
        <v>139</v>
      </c>
      <c r="C274" s="169" t="s">
        <v>10</v>
      </c>
      <c r="D274" s="169" t="s">
        <v>10</v>
      </c>
      <c r="E274" s="169" t="s">
        <v>10</v>
      </c>
      <c r="F274" s="169" t="s">
        <v>10</v>
      </c>
      <c r="G274" s="169" t="s">
        <v>10</v>
      </c>
      <c r="H274" s="169" t="s">
        <v>10</v>
      </c>
      <c r="I274" s="169" t="s">
        <v>10</v>
      </c>
      <c r="J274" s="169" t="s">
        <v>10</v>
      </c>
      <c r="K274" s="169" t="s">
        <v>10</v>
      </c>
      <c r="L274" s="169" t="s">
        <v>10</v>
      </c>
      <c r="M274" s="169" t="s">
        <v>10</v>
      </c>
      <c r="N274" s="136">
        <v>17031.0</v>
      </c>
      <c r="O274" s="1"/>
      <c r="P274" s="1"/>
      <c r="Q274" s="1"/>
      <c r="R274" s="1"/>
      <c r="S274" s="1"/>
      <c r="T274" s="1"/>
      <c r="U274" s="1"/>
      <c r="V274" s="1"/>
      <c r="W274" s="1"/>
      <c r="X274" s="1"/>
      <c r="Y274" s="1"/>
      <c r="Z274" s="1"/>
    </row>
    <row r="275" ht="10.5" customHeight="1">
      <c r="A275" s="1"/>
      <c r="B275" s="11" t="s">
        <v>143</v>
      </c>
      <c r="C275" s="169" t="s">
        <v>10</v>
      </c>
      <c r="D275" s="169" t="s">
        <v>10</v>
      </c>
      <c r="E275" s="169" t="s">
        <v>10</v>
      </c>
      <c r="F275" s="169" t="s">
        <v>10</v>
      </c>
      <c r="G275" s="169" t="s">
        <v>10</v>
      </c>
      <c r="H275" s="169" t="s">
        <v>10</v>
      </c>
      <c r="I275" s="169" t="s">
        <v>10</v>
      </c>
      <c r="J275" s="169" t="s">
        <v>10</v>
      </c>
      <c r="K275" s="169" t="s">
        <v>10</v>
      </c>
      <c r="L275" s="169" t="s">
        <v>10</v>
      </c>
      <c r="M275" s="169" t="s">
        <v>10</v>
      </c>
      <c r="N275" s="136">
        <v>13507.0</v>
      </c>
      <c r="O275" s="1"/>
      <c r="P275" s="1"/>
      <c r="Q275" s="1"/>
      <c r="R275" s="1"/>
      <c r="S275" s="1"/>
      <c r="T275" s="1"/>
      <c r="U275" s="1"/>
      <c r="V275" s="1"/>
      <c r="W275" s="1"/>
      <c r="X275" s="1"/>
      <c r="Y275" s="1"/>
      <c r="Z275" s="1"/>
    </row>
    <row r="276" ht="10.5" customHeight="1">
      <c r="A276" s="1"/>
      <c r="B276" s="11" t="s">
        <v>149</v>
      </c>
      <c r="C276" s="169" t="s">
        <v>10</v>
      </c>
      <c r="D276" s="169" t="s">
        <v>10</v>
      </c>
      <c r="E276" s="169" t="s">
        <v>10</v>
      </c>
      <c r="F276" s="169" t="s">
        <v>10</v>
      </c>
      <c r="G276" s="169" t="s">
        <v>10</v>
      </c>
      <c r="H276" s="169" t="s">
        <v>10</v>
      </c>
      <c r="I276" s="169" t="s">
        <v>10</v>
      </c>
      <c r="J276" s="169" t="s">
        <v>10</v>
      </c>
      <c r="K276" s="169" t="s">
        <v>10</v>
      </c>
      <c r="L276" s="169" t="s">
        <v>10</v>
      </c>
      <c r="M276" s="169" t="s">
        <v>10</v>
      </c>
      <c r="N276" s="136">
        <v>21717.0</v>
      </c>
      <c r="O276" s="1"/>
      <c r="P276" s="1"/>
      <c r="Q276" s="1"/>
      <c r="R276" s="1"/>
      <c r="S276" s="1"/>
      <c r="T276" s="1"/>
      <c r="U276" s="1"/>
      <c r="V276" s="1"/>
      <c r="W276" s="1"/>
      <c r="X276" s="1"/>
      <c r="Y276" s="1"/>
      <c r="Z276" s="1"/>
    </row>
    <row r="277" ht="10.5" customHeight="1">
      <c r="A277" s="1"/>
      <c r="B277" s="11" t="s">
        <v>151</v>
      </c>
      <c r="C277" s="169" t="s">
        <v>10</v>
      </c>
      <c r="D277" s="169" t="s">
        <v>10</v>
      </c>
      <c r="E277" s="169" t="s">
        <v>10</v>
      </c>
      <c r="F277" s="169" t="s">
        <v>10</v>
      </c>
      <c r="G277" s="169" t="s">
        <v>10</v>
      </c>
      <c r="H277" s="169" t="s">
        <v>10</v>
      </c>
      <c r="I277" s="169" t="s">
        <v>10</v>
      </c>
      <c r="J277" s="169" t="s">
        <v>10</v>
      </c>
      <c r="K277" s="169" t="s">
        <v>10</v>
      </c>
      <c r="L277" s="169" t="s">
        <v>10</v>
      </c>
      <c r="M277" s="169" t="s">
        <v>10</v>
      </c>
      <c r="N277" s="136">
        <v>23068.0</v>
      </c>
      <c r="O277" s="1"/>
      <c r="P277" s="1"/>
      <c r="Q277" s="1"/>
      <c r="R277" s="1"/>
      <c r="S277" s="1"/>
      <c r="T277" s="1"/>
      <c r="U277" s="1"/>
      <c r="V277" s="1"/>
      <c r="W277" s="1"/>
      <c r="X277" s="1"/>
      <c r="Y277" s="1"/>
      <c r="Z277" s="1"/>
    </row>
    <row r="278" ht="10.5" customHeight="1">
      <c r="A278" s="1"/>
      <c r="B278" s="11" t="s">
        <v>153</v>
      </c>
      <c r="C278" s="169" t="s">
        <v>10</v>
      </c>
      <c r="D278" s="169" t="s">
        <v>10</v>
      </c>
      <c r="E278" s="169" t="s">
        <v>10</v>
      </c>
      <c r="F278" s="169" t="s">
        <v>10</v>
      </c>
      <c r="G278" s="169" t="s">
        <v>10</v>
      </c>
      <c r="H278" s="169" t="s">
        <v>10</v>
      </c>
      <c r="I278" s="169" t="s">
        <v>10</v>
      </c>
      <c r="J278" s="169" t="s">
        <v>10</v>
      </c>
      <c r="K278" s="169" t="s">
        <v>10</v>
      </c>
      <c r="L278" s="169" t="s">
        <v>10</v>
      </c>
      <c r="M278" s="169" t="s">
        <v>10</v>
      </c>
      <c r="N278" s="136">
        <v>23313.0</v>
      </c>
      <c r="O278" s="1"/>
      <c r="P278" s="1"/>
      <c r="Q278" s="1"/>
      <c r="R278" s="1"/>
      <c r="S278" s="1"/>
      <c r="T278" s="1"/>
      <c r="U278" s="1"/>
      <c r="V278" s="1"/>
      <c r="W278" s="1"/>
      <c r="X278" s="1"/>
      <c r="Y278" s="1"/>
      <c r="Z278" s="1"/>
    </row>
    <row r="279" ht="10.5" customHeight="1">
      <c r="A279" s="1"/>
      <c r="B279" s="11"/>
      <c r="C279" s="169"/>
      <c r="D279" s="169"/>
      <c r="E279" s="169"/>
      <c r="F279" s="169"/>
      <c r="G279" s="169"/>
      <c r="H279" s="169"/>
      <c r="I279" s="169"/>
      <c r="J279" s="169"/>
      <c r="K279" s="169"/>
      <c r="L279" s="169"/>
      <c r="M279" s="169"/>
      <c r="N279" s="136"/>
      <c r="O279" s="1"/>
      <c r="P279" s="1"/>
      <c r="Q279" s="1"/>
      <c r="R279" s="1"/>
      <c r="S279" s="1"/>
      <c r="T279" s="1"/>
      <c r="U279" s="1"/>
      <c r="V279" s="1"/>
      <c r="W279" s="1"/>
      <c r="X279" s="1"/>
      <c r="Y279" s="1"/>
      <c r="Z279" s="1"/>
    </row>
    <row r="280" ht="10.5" customHeight="1">
      <c r="A280" s="1"/>
      <c r="B280" s="11" t="s">
        <v>155</v>
      </c>
      <c r="C280" s="169" t="s">
        <v>10</v>
      </c>
      <c r="D280" s="169" t="s">
        <v>10</v>
      </c>
      <c r="E280" s="169" t="s">
        <v>10</v>
      </c>
      <c r="F280" s="169" t="s">
        <v>10</v>
      </c>
      <c r="G280" s="169" t="s">
        <v>10</v>
      </c>
      <c r="H280" s="169" t="s">
        <v>10</v>
      </c>
      <c r="I280" s="169" t="s">
        <v>10</v>
      </c>
      <c r="J280" s="169" t="s">
        <v>10</v>
      </c>
      <c r="K280" s="169" t="s">
        <v>10</v>
      </c>
      <c r="L280" s="169" t="s">
        <v>10</v>
      </c>
      <c r="M280" s="169" t="s">
        <v>10</v>
      </c>
      <c r="N280" s="136">
        <v>22788.0</v>
      </c>
      <c r="O280" s="1"/>
      <c r="P280" s="1"/>
      <c r="Q280" s="1"/>
      <c r="R280" s="1"/>
      <c r="S280" s="1"/>
      <c r="T280" s="1"/>
      <c r="U280" s="1"/>
      <c r="V280" s="1"/>
      <c r="W280" s="1"/>
      <c r="X280" s="1"/>
      <c r="Y280" s="1"/>
      <c r="Z280" s="1"/>
    </row>
    <row r="281" ht="10.5" customHeight="1">
      <c r="A281" s="1"/>
      <c r="B281" s="52" t="s">
        <v>160</v>
      </c>
      <c r="C281" s="260" t="s">
        <v>10</v>
      </c>
      <c r="D281" s="260" t="s">
        <v>10</v>
      </c>
      <c r="E281" s="260" t="s">
        <v>10</v>
      </c>
      <c r="F281" s="260" t="s">
        <v>10</v>
      </c>
      <c r="G281" s="260" t="s">
        <v>10</v>
      </c>
      <c r="H281" s="260" t="s">
        <v>10</v>
      </c>
      <c r="I281" s="260" t="s">
        <v>10</v>
      </c>
      <c r="J281" s="260" t="s">
        <v>10</v>
      </c>
      <c r="K281" s="260" t="s">
        <v>10</v>
      </c>
      <c r="L281" s="260" t="s">
        <v>10</v>
      </c>
      <c r="M281" s="260" t="s">
        <v>10</v>
      </c>
      <c r="N281" s="260">
        <v>18189.0</v>
      </c>
      <c r="O281" s="1"/>
      <c r="P281" s="1"/>
      <c r="Q281" s="1"/>
      <c r="R281" s="1"/>
      <c r="S281" s="1"/>
      <c r="T281" s="1"/>
      <c r="U281" s="1"/>
      <c r="V281" s="1"/>
      <c r="W281" s="1"/>
      <c r="X281" s="1"/>
      <c r="Y281" s="1"/>
      <c r="Z281" s="1"/>
    </row>
    <row r="282" ht="6.0" customHeight="1">
      <c r="A282" s="1"/>
      <c r="B282" s="242"/>
      <c r="C282" s="267"/>
      <c r="D282" s="267"/>
      <c r="E282" s="267"/>
      <c r="F282" s="267"/>
      <c r="G282" s="267"/>
      <c r="H282" s="267"/>
      <c r="I282" s="267"/>
      <c r="J282" s="267"/>
      <c r="K282" s="267"/>
      <c r="L282" s="267"/>
      <c r="M282" s="267"/>
      <c r="N282" s="267"/>
      <c r="O282" s="1"/>
      <c r="P282" s="1"/>
      <c r="Q282" s="1"/>
      <c r="R282" s="1"/>
      <c r="S282" s="1"/>
      <c r="T282" s="1"/>
      <c r="U282" s="1"/>
      <c r="V282" s="1"/>
      <c r="W282" s="1"/>
      <c r="X282" s="1"/>
      <c r="Y282" s="1"/>
      <c r="Z282" s="1"/>
    </row>
    <row r="283" ht="9.75" customHeight="1">
      <c r="A283" s="1"/>
      <c r="B283" s="185" t="s">
        <v>1079</v>
      </c>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0.5" customHeight="1">
      <c r="A284" s="1"/>
      <c r="B284" s="185" t="s">
        <v>1080</v>
      </c>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0.5" customHeight="1">
      <c r="A285" s="1"/>
      <c r="B285" s="60"/>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0.5" customHeight="1">
      <c r="A286" s="1"/>
      <c r="B286" s="60"/>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0.5" customHeight="1">
      <c r="A287" s="1"/>
      <c r="B287" s="60"/>
      <c r="C287" s="1"/>
      <c r="D287" s="1"/>
      <c r="E287" s="1"/>
      <c r="F287" s="1"/>
      <c r="G287" s="110"/>
      <c r="H287" s="1"/>
      <c r="I287" s="1"/>
      <c r="J287" s="1"/>
      <c r="K287" s="1"/>
      <c r="L287" s="1"/>
      <c r="M287" s="1"/>
      <c r="N287" s="1"/>
      <c r="O287" s="1"/>
      <c r="P287" s="1"/>
      <c r="Q287" s="1"/>
      <c r="R287" s="1"/>
      <c r="S287" s="1"/>
      <c r="T287" s="1"/>
      <c r="U287" s="1"/>
      <c r="V287" s="1"/>
      <c r="W287" s="1"/>
      <c r="X287" s="1"/>
      <c r="Y287" s="1"/>
      <c r="Z287" s="1"/>
    </row>
    <row r="288" ht="10.5" customHeight="1">
      <c r="A288" s="1"/>
      <c r="B288" s="1"/>
      <c r="C288" s="1"/>
      <c r="D288" s="1"/>
      <c r="E288" s="1"/>
      <c r="F288" s="1"/>
      <c r="G288" s="110">
        <v>61.0</v>
      </c>
      <c r="H288" s="1"/>
      <c r="I288" s="1"/>
      <c r="J288" s="1"/>
      <c r="K288" s="1"/>
      <c r="L288" s="1"/>
      <c r="M288" s="1"/>
      <c r="N288" s="1"/>
      <c r="O288" s="1"/>
      <c r="P288" s="1"/>
      <c r="Q288" s="1"/>
      <c r="R288" s="1"/>
      <c r="S288" s="1"/>
      <c r="T288" s="1"/>
      <c r="U288" s="1"/>
      <c r="V288" s="1"/>
      <c r="W288" s="1"/>
      <c r="X288" s="1"/>
      <c r="Y288" s="1"/>
      <c r="Z288" s="1"/>
    </row>
    <row r="289" ht="10.5" customHeight="1">
      <c r="A289" s="1"/>
      <c r="B289" s="1"/>
      <c r="C289" s="113"/>
      <c r="D289" s="113"/>
      <c r="E289" s="113"/>
      <c r="F289" s="113"/>
      <c r="G289" s="113"/>
      <c r="H289" s="113"/>
      <c r="I289" s="113"/>
      <c r="J289" s="113"/>
      <c r="K289" s="113"/>
      <c r="L289" s="113"/>
      <c r="M289" s="113"/>
      <c r="N289" s="113"/>
      <c r="O289" s="1"/>
      <c r="P289" s="1"/>
      <c r="Q289" s="1"/>
      <c r="R289" s="1"/>
      <c r="S289" s="1"/>
      <c r="T289" s="1"/>
      <c r="U289" s="1"/>
      <c r="V289" s="1"/>
      <c r="W289" s="1"/>
      <c r="X289" s="1"/>
      <c r="Y289" s="1"/>
      <c r="Z289" s="1"/>
    </row>
    <row r="290" ht="11.25" customHeight="1">
      <c r="A290" s="1"/>
      <c r="B290" s="1" t="s">
        <v>1083</v>
      </c>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2.5" customHeight="1">
      <c r="A291" s="1"/>
      <c r="B291" s="29" t="s">
        <v>938</v>
      </c>
      <c r="C291" s="3" t="s">
        <v>1084</v>
      </c>
      <c r="D291" s="3" t="s">
        <v>1085</v>
      </c>
      <c r="E291" s="3" t="s">
        <v>1086</v>
      </c>
      <c r="F291" s="3" t="s">
        <v>926</v>
      </c>
      <c r="G291" s="128" t="s">
        <v>524</v>
      </c>
      <c r="H291" s="10"/>
      <c r="I291" s="1"/>
      <c r="J291" s="1"/>
      <c r="K291" s="1"/>
      <c r="L291" s="1"/>
      <c r="M291" s="1"/>
      <c r="N291" s="1"/>
      <c r="O291" s="1"/>
      <c r="P291" s="1"/>
      <c r="Q291" s="1"/>
      <c r="R291" s="1"/>
      <c r="S291" s="1"/>
      <c r="T291" s="1"/>
      <c r="U291" s="1"/>
      <c r="V291" s="1"/>
      <c r="W291" s="1"/>
      <c r="X291" s="1"/>
      <c r="Y291" s="1"/>
      <c r="Z291" s="1"/>
    </row>
    <row r="292" ht="11.25" customHeight="1">
      <c r="A292" s="1"/>
      <c r="B292" s="5"/>
      <c r="C292" s="6"/>
      <c r="D292" s="6"/>
      <c r="E292" s="6"/>
      <c r="F292" s="6"/>
      <c r="G292" s="7" t="s">
        <v>2</v>
      </c>
      <c r="H292" s="7" t="s">
        <v>1040</v>
      </c>
      <c r="I292" s="1"/>
      <c r="J292" s="1"/>
      <c r="K292" s="1"/>
      <c r="L292" s="1"/>
      <c r="M292" s="1"/>
      <c r="N292" s="1"/>
      <c r="O292" s="1"/>
      <c r="P292" s="1"/>
      <c r="Q292" s="1"/>
      <c r="R292" s="1"/>
      <c r="S292" s="1"/>
      <c r="T292" s="1"/>
      <c r="U292" s="1"/>
      <c r="V292" s="1"/>
      <c r="W292" s="1"/>
      <c r="X292" s="1"/>
      <c r="Y292" s="1"/>
      <c r="Z292" s="1"/>
    </row>
    <row r="293" ht="11.25" customHeight="1">
      <c r="A293" s="1"/>
      <c r="B293" s="6"/>
      <c r="C293" s="8" t="s">
        <v>9</v>
      </c>
      <c r="D293" s="9"/>
      <c r="E293" s="8" t="s">
        <v>933</v>
      </c>
      <c r="F293" s="8" t="s">
        <v>49</v>
      </c>
      <c r="G293" s="10"/>
      <c r="H293" s="134" t="s">
        <v>71</v>
      </c>
      <c r="I293" s="1"/>
      <c r="J293" s="1"/>
      <c r="K293" s="1"/>
      <c r="L293" s="1"/>
      <c r="M293" s="1"/>
      <c r="N293" s="1"/>
      <c r="O293" s="1"/>
      <c r="P293" s="1"/>
      <c r="Q293" s="1"/>
      <c r="R293" s="1"/>
      <c r="S293" s="1"/>
      <c r="T293" s="1"/>
      <c r="U293" s="1"/>
      <c r="V293" s="1"/>
      <c r="W293" s="1"/>
      <c r="X293" s="1"/>
      <c r="Y293" s="1"/>
      <c r="Z293" s="1"/>
    </row>
    <row r="294" ht="10.5" customHeight="1">
      <c r="A294" s="1"/>
      <c r="B294" s="48" t="s">
        <v>264</v>
      </c>
      <c r="C294" s="228">
        <v>930.0</v>
      </c>
      <c r="D294" s="244">
        <v>1566.0</v>
      </c>
      <c r="E294" s="570">
        <v>43.8</v>
      </c>
      <c r="F294" s="250">
        <v>80.9</v>
      </c>
      <c r="G294" s="228">
        <v>76.0</v>
      </c>
      <c r="H294" s="250">
        <v>3.4</v>
      </c>
      <c r="I294" s="1"/>
      <c r="J294" s="1"/>
      <c r="K294" s="1"/>
      <c r="L294" s="1"/>
      <c r="M294" s="1"/>
      <c r="N294" s="1"/>
      <c r="O294" s="1"/>
      <c r="P294" s="1"/>
      <c r="Q294" s="1"/>
      <c r="R294" s="1"/>
      <c r="S294" s="1"/>
      <c r="T294" s="1"/>
      <c r="U294" s="1"/>
      <c r="V294" s="1"/>
      <c r="W294" s="1"/>
      <c r="X294" s="1"/>
      <c r="Y294" s="1"/>
      <c r="Z294" s="1"/>
    </row>
    <row r="295" ht="10.5" customHeight="1">
      <c r="A295" s="1"/>
      <c r="B295" s="48" t="s">
        <v>267</v>
      </c>
      <c r="C295" s="228">
        <v>915.0</v>
      </c>
      <c r="D295" s="244">
        <v>1518.0</v>
      </c>
      <c r="E295" s="54">
        <v>51.4</v>
      </c>
      <c r="F295" s="250">
        <v>78.8</v>
      </c>
      <c r="G295" s="228">
        <v>79.0</v>
      </c>
      <c r="H295" s="250">
        <v>3.4</v>
      </c>
      <c r="I295" s="1"/>
      <c r="J295" s="1"/>
      <c r="K295" s="1"/>
      <c r="L295" s="1"/>
      <c r="M295" s="1"/>
      <c r="N295" s="1"/>
      <c r="O295" s="1"/>
      <c r="P295" s="1"/>
      <c r="Q295" s="1"/>
      <c r="R295" s="1"/>
      <c r="S295" s="1"/>
      <c r="T295" s="1"/>
      <c r="U295" s="1"/>
      <c r="V295" s="1"/>
      <c r="W295" s="1"/>
      <c r="X295" s="1"/>
      <c r="Y295" s="1"/>
      <c r="Z295" s="1"/>
    </row>
    <row r="296" ht="10.5" customHeight="1">
      <c r="A296" s="1"/>
      <c r="B296" s="48" t="s">
        <v>268</v>
      </c>
      <c r="C296" s="228">
        <v>824.0</v>
      </c>
      <c r="D296" s="244">
        <v>1795.0</v>
      </c>
      <c r="E296" s="54">
        <v>51.5</v>
      </c>
      <c r="F296" s="250">
        <v>89.8</v>
      </c>
      <c r="G296" s="228">
        <v>88.0</v>
      </c>
      <c r="H296" s="250">
        <v>3.7</v>
      </c>
      <c r="I296" s="1"/>
      <c r="J296" s="1"/>
      <c r="K296" s="1"/>
      <c r="L296" s="1"/>
      <c r="M296" s="1"/>
      <c r="N296" s="1"/>
      <c r="O296" s="1"/>
      <c r="P296" s="1"/>
      <c r="Q296" s="1"/>
      <c r="R296" s="1"/>
      <c r="S296" s="1"/>
      <c r="T296" s="1"/>
      <c r="U296" s="1"/>
      <c r="V296" s="1"/>
      <c r="W296" s="1"/>
      <c r="X296" s="1"/>
      <c r="Y296" s="1"/>
      <c r="Z296" s="1"/>
    </row>
    <row r="297" ht="10.5" customHeight="1">
      <c r="A297" s="1"/>
      <c r="B297" s="48" t="s">
        <v>269</v>
      </c>
      <c r="C297" s="228">
        <v>865.0</v>
      </c>
      <c r="D297" s="244">
        <v>1997.0</v>
      </c>
      <c r="E297" s="54">
        <v>56.4</v>
      </c>
      <c r="F297" s="250">
        <v>99.9</v>
      </c>
      <c r="G297" s="228">
        <v>94.0</v>
      </c>
      <c r="H297" s="250">
        <v>3.9</v>
      </c>
      <c r="I297" s="1"/>
      <c r="J297" s="1"/>
      <c r="K297" s="1"/>
      <c r="L297" s="1"/>
      <c r="M297" s="1"/>
      <c r="N297" s="1"/>
      <c r="O297" s="1"/>
      <c r="P297" s="1"/>
      <c r="Q297" s="1"/>
      <c r="R297" s="1"/>
      <c r="S297" s="1"/>
      <c r="T297" s="1"/>
      <c r="U297" s="1"/>
      <c r="V297" s="1"/>
      <c r="W297" s="1"/>
      <c r="X297" s="1"/>
      <c r="Y297" s="1"/>
      <c r="Z297" s="1"/>
    </row>
    <row r="298" ht="10.5" customHeight="1">
      <c r="A298" s="1"/>
      <c r="B298" s="48" t="s">
        <v>270</v>
      </c>
      <c r="C298" s="228">
        <v>859.0</v>
      </c>
      <c r="D298" s="244">
        <v>1841.0</v>
      </c>
      <c r="E298" s="54">
        <v>78.9</v>
      </c>
      <c r="F298" s="250">
        <v>90.7</v>
      </c>
      <c r="G298" s="228">
        <v>87.0</v>
      </c>
      <c r="H298" s="250">
        <v>3.5</v>
      </c>
      <c r="I298" s="1"/>
      <c r="J298" s="1"/>
      <c r="K298" s="1"/>
      <c r="L298" s="1"/>
      <c r="M298" s="1"/>
      <c r="N298" s="1"/>
      <c r="O298" s="1"/>
      <c r="P298" s="1"/>
      <c r="Q298" s="1"/>
      <c r="R298" s="1"/>
      <c r="S298" s="1"/>
      <c r="T298" s="1"/>
      <c r="U298" s="1"/>
      <c r="V298" s="1"/>
      <c r="W298" s="1"/>
      <c r="X298" s="1"/>
      <c r="Y298" s="1"/>
      <c r="Z298" s="1"/>
    </row>
    <row r="299" ht="10.5" customHeight="1">
      <c r="A299" s="1"/>
      <c r="B299" s="48"/>
      <c r="C299" s="228"/>
      <c r="D299" s="244"/>
      <c r="E299" s="54"/>
      <c r="F299" s="250"/>
      <c r="G299" s="228"/>
      <c r="H299" s="250"/>
      <c r="I299" s="1"/>
      <c r="J299" s="1"/>
      <c r="K299" s="1"/>
      <c r="L299" s="1"/>
      <c r="M299" s="1"/>
      <c r="N299" s="1"/>
      <c r="O299" s="1"/>
      <c r="P299" s="1"/>
      <c r="Q299" s="1"/>
      <c r="R299" s="1"/>
      <c r="S299" s="1"/>
      <c r="T299" s="1"/>
      <c r="U299" s="1"/>
      <c r="V299" s="1"/>
      <c r="W299" s="1"/>
      <c r="X299" s="1"/>
      <c r="Y299" s="1"/>
      <c r="Z299" s="1"/>
    </row>
    <row r="300" ht="10.5" customHeight="1">
      <c r="A300" s="1"/>
      <c r="B300" s="48" t="s">
        <v>271</v>
      </c>
      <c r="C300" s="228">
        <v>882.0</v>
      </c>
      <c r="D300" s="244">
        <v>1760.0</v>
      </c>
      <c r="E300" s="54">
        <v>84.5</v>
      </c>
      <c r="F300" s="250">
        <v>87.2</v>
      </c>
      <c r="G300" s="228">
        <v>86.0</v>
      </c>
      <c r="H300" s="250">
        <v>3.4</v>
      </c>
      <c r="I300" s="1"/>
      <c r="J300" s="1"/>
      <c r="K300" s="1"/>
      <c r="L300" s="1"/>
      <c r="M300" s="1"/>
      <c r="N300" s="1"/>
      <c r="O300" s="1"/>
      <c r="P300" s="1"/>
      <c r="Q300" s="1"/>
      <c r="R300" s="1"/>
      <c r="S300" s="1"/>
      <c r="T300" s="1"/>
      <c r="U300" s="1"/>
      <c r="V300" s="1"/>
      <c r="W300" s="1"/>
      <c r="X300" s="1"/>
      <c r="Y300" s="1"/>
      <c r="Z300" s="1"/>
    </row>
    <row r="301" ht="10.5" customHeight="1">
      <c r="A301" s="1"/>
      <c r="B301" s="48" t="s">
        <v>272</v>
      </c>
      <c r="C301" s="228">
        <v>891.0</v>
      </c>
      <c r="D301" s="244">
        <v>1912.0</v>
      </c>
      <c r="E301" s="54">
        <v>85.6</v>
      </c>
      <c r="F301" s="250">
        <v>92.6</v>
      </c>
      <c r="G301" s="228">
        <v>91.0</v>
      </c>
      <c r="H301" s="250">
        <v>3.5</v>
      </c>
      <c r="I301" s="1"/>
      <c r="J301" s="1"/>
      <c r="K301" s="1"/>
      <c r="L301" s="1"/>
      <c r="M301" s="1"/>
      <c r="N301" s="1"/>
      <c r="O301" s="1"/>
      <c r="P301" s="1"/>
      <c r="Q301" s="1"/>
      <c r="R301" s="1"/>
      <c r="S301" s="1"/>
      <c r="T301" s="1"/>
      <c r="U301" s="1"/>
      <c r="V301" s="1"/>
      <c r="W301" s="1"/>
      <c r="X301" s="1"/>
      <c r="Y301" s="1"/>
      <c r="Z301" s="1"/>
    </row>
    <row r="302" ht="10.5" customHeight="1">
      <c r="A302" s="1"/>
      <c r="B302" s="48" t="s">
        <v>274</v>
      </c>
      <c r="C302" s="228">
        <v>917.0</v>
      </c>
      <c r="D302" s="244">
        <v>1888.0</v>
      </c>
      <c r="E302" s="54">
        <v>83.2</v>
      </c>
      <c r="F302" s="250">
        <v>93.4</v>
      </c>
      <c r="G302" s="228">
        <v>89.0</v>
      </c>
      <c r="H302" s="250">
        <v>3.4</v>
      </c>
      <c r="I302" s="1"/>
      <c r="J302" s="1"/>
      <c r="K302" s="1"/>
      <c r="L302" s="1"/>
      <c r="M302" s="1"/>
      <c r="N302" s="1"/>
      <c r="O302" s="1"/>
      <c r="P302" s="1"/>
      <c r="Q302" s="1"/>
      <c r="R302" s="1"/>
      <c r="S302" s="1"/>
      <c r="T302" s="1"/>
      <c r="U302" s="1"/>
      <c r="V302" s="1"/>
      <c r="W302" s="1"/>
      <c r="X302" s="1"/>
      <c r="Y302" s="1"/>
      <c r="Z302" s="1"/>
    </row>
    <row r="303" ht="10.5" customHeight="1">
      <c r="A303" s="1"/>
      <c r="B303" s="48" t="s">
        <v>275</v>
      </c>
      <c r="C303" s="228">
        <v>921.0</v>
      </c>
      <c r="D303" s="244">
        <v>1717.0</v>
      </c>
      <c r="E303" s="54">
        <v>99.6</v>
      </c>
      <c r="F303" s="250">
        <v>87.9</v>
      </c>
      <c r="G303" s="228">
        <v>83.0</v>
      </c>
      <c r="H303" s="250">
        <v>3.1</v>
      </c>
      <c r="I303" s="1"/>
      <c r="J303" s="1"/>
      <c r="K303" s="1"/>
      <c r="L303" s="1"/>
      <c r="M303" s="1"/>
      <c r="N303" s="1"/>
      <c r="O303" s="1"/>
      <c r="P303" s="1"/>
      <c r="Q303" s="1"/>
      <c r="R303" s="1"/>
      <c r="S303" s="1"/>
      <c r="T303" s="1"/>
      <c r="U303" s="1"/>
      <c r="V303" s="1"/>
      <c r="W303" s="1"/>
      <c r="X303" s="1"/>
      <c r="Y303" s="1"/>
      <c r="Z303" s="1"/>
    </row>
    <row r="304" ht="10.5" customHeight="1">
      <c r="A304" s="1"/>
      <c r="B304" s="48" t="s">
        <v>276</v>
      </c>
      <c r="C304" s="228">
        <v>913.0</v>
      </c>
      <c r="D304" s="244">
        <v>1673.0</v>
      </c>
      <c r="E304" s="54">
        <v>128.6</v>
      </c>
      <c r="F304" s="250">
        <v>87.7</v>
      </c>
      <c r="G304" s="228">
        <v>84.0</v>
      </c>
      <c r="H304" s="250">
        <v>3.0</v>
      </c>
      <c r="I304" s="1"/>
      <c r="J304" s="1"/>
      <c r="K304" s="1"/>
      <c r="L304" s="1"/>
      <c r="M304" s="1"/>
      <c r="N304" s="1"/>
      <c r="O304" s="1"/>
      <c r="P304" s="1"/>
      <c r="Q304" s="1"/>
      <c r="R304" s="1"/>
      <c r="S304" s="1"/>
      <c r="T304" s="1"/>
      <c r="U304" s="1"/>
      <c r="V304" s="1"/>
      <c r="W304" s="1"/>
      <c r="X304" s="1"/>
      <c r="Y304" s="1"/>
      <c r="Z304" s="1"/>
    </row>
    <row r="305" ht="10.5" customHeight="1">
      <c r="A305" s="1"/>
      <c r="B305" s="48"/>
      <c r="C305" s="228"/>
      <c r="D305" s="244"/>
      <c r="E305" s="54"/>
      <c r="F305" s="250"/>
      <c r="G305" s="228"/>
      <c r="H305" s="250"/>
      <c r="I305" s="1"/>
      <c r="J305" s="1"/>
      <c r="K305" s="1"/>
      <c r="L305" s="1"/>
      <c r="M305" s="1"/>
      <c r="N305" s="1"/>
      <c r="O305" s="1"/>
      <c r="P305" s="1"/>
      <c r="Q305" s="1"/>
      <c r="R305" s="1"/>
      <c r="S305" s="1"/>
      <c r="T305" s="1"/>
      <c r="U305" s="1"/>
      <c r="V305" s="1"/>
      <c r="W305" s="1"/>
      <c r="X305" s="1"/>
      <c r="Y305" s="1"/>
      <c r="Z305" s="1"/>
    </row>
    <row r="306" ht="10.5" customHeight="1">
      <c r="A306" s="1"/>
      <c r="B306" s="48" t="s">
        <v>56</v>
      </c>
      <c r="C306" s="228">
        <v>1286.0</v>
      </c>
      <c r="D306" s="244">
        <v>1677.0</v>
      </c>
      <c r="E306" s="54">
        <v>153.8</v>
      </c>
      <c r="F306" s="250">
        <v>88.7</v>
      </c>
      <c r="G306" s="228">
        <v>88.0</v>
      </c>
      <c r="H306" s="250">
        <v>3.1</v>
      </c>
      <c r="I306" s="1"/>
      <c r="J306" s="1"/>
      <c r="K306" s="1"/>
      <c r="L306" s="1"/>
      <c r="M306" s="1"/>
      <c r="N306" s="1"/>
      <c r="O306" s="1"/>
      <c r="P306" s="1"/>
      <c r="Q306" s="1"/>
      <c r="R306" s="1"/>
      <c r="S306" s="1"/>
      <c r="T306" s="1"/>
      <c r="U306" s="1"/>
      <c r="V306" s="1"/>
      <c r="W306" s="1"/>
      <c r="X306" s="1"/>
      <c r="Y306" s="1"/>
      <c r="Z306" s="1"/>
    </row>
    <row r="307" ht="10.5" customHeight="1">
      <c r="A307" s="1"/>
      <c r="B307" s="48" t="s">
        <v>81</v>
      </c>
      <c r="C307" s="228">
        <v>1323.0</v>
      </c>
      <c r="D307" s="244">
        <v>1787.0</v>
      </c>
      <c r="E307" s="54">
        <v>164.8</v>
      </c>
      <c r="F307" s="250">
        <v>95.7</v>
      </c>
      <c r="G307" s="228">
        <v>94.0</v>
      </c>
      <c r="H307" s="250">
        <v>3.3</v>
      </c>
      <c r="I307" s="1"/>
      <c r="J307" s="1"/>
      <c r="K307" s="1"/>
      <c r="L307" s="1"/>
      <c r="M307" s="1"/>
      <c r="N307" s="1"/>
      <c r="O307" s="1"/>
      <c r="P307" s="1"/>
      <c r="Q307" s="1"/>
      <c r="R307" s="1"/>
      <c r="S307" s="1"/>
      <c r="T307" s="1"/>
      <c r="U307" s="1"/>
      <c r="V307" s="1"/>
      <c r="W307" s="1"/>
      <c r="X307" s="1"/>
      <c r="Y307" s="1"/>
      <c r="Z307" s="1"/>
    </row>
    <row r="308" ht="10.5" customHeight="1">
      <c r="A308" s="1"/>
      <c r="B308" s="48" t="s">
        <v>86</v>
      </c>
      <c r="C308" s="228">
        <v>1401.0</v>
      </c>
      <c r="D308" s="244">
        <v>2081.0</v>
      </c>
      <c r="E308" s="54">
        <v>147.4</v>
      </c>
      <c r="F308" s="250">
        <v>112.0</v>
      </c>
      <c r="G308" s="228">
        <v>109.0</v>
      </c>
      <c r="H308" s="250">
        <v>3.7</v>
      </c>
      <c r="I308" s="1"/>
      <c r="J308" s="1"/>
      <c r="K308" s="1"/>
      <c r="L308" s="1"/>
      <c r="M308" s="1"/>
      <c r="N308" s="1"/>
      <c r="O308" s="1"/>
      <c r="P308" s="1"/>
      <c r="Q308" s="1"/>
      <c r="R308" s="1"/>
      <c r="S308" s="1"/>
      <c r="T308" s="1"/>
      <c r="U308" s="1"/>
      <c r="V308" s="1"/>
      <c r="W308" s="1"/>
      <c r="X308" s="1"/>
      <c r="Y308" s="1"/>
      <c r="Z308" s="1"/>
    </row>
    <row r="309" ht="10.5" customHeight="1">
      <c r="A309" s="1"/>
      <c r="B309" s="48" t="s">
        <v>87</v>
      </c>
      <c r="C309" s="228">
        <v>1478.0</v>
      </c>
      <c r="D309" s="244">
        <v>2019.0</v>
      </c>
      <c r="E309" s="54">
        <v>189.9</v>
      </c>
      <c r="F309" s="250">
        <v>113.6</v>
      </c>
      <c r="G309" s="228">
        <v>111.0</v>
      </c>
      <c r="H309" s="250">
        <v>3.7</v>
      </c>
      <c r="I309" s="1"/>
      <c r="J309" s="1"/>
      <c r="K309" s="1"/>
      <c r="L309" s="1"/>
      <c r="M309" s="1"/>
      <c r="N309" s="1"/>
      <c r="O309" s="1"/>
      <c r="P309" s="1"/>
      <c r="Q309" s="1"/>
      <c r="R309" s="1"/>
      <c r="S309" s="1"/>
      <c r="T309" s="1"/>
      <c r="U309" s="1"/>
      <c r="V309" s="1"/>
      <c r="W309" s="1"/>
      <c r="X309" s="1"/>
      <c r="Y309" s="1"/>
      <c r="Z309" s="1"/>
    </row>
    <row r="310" ht="10.5" customHeight="1">
      <c r="A310" s="1"/>
      <c r="B310" s="48" t="s">
        <v>90</v>
      </c>
      <c r="C310" s="228">
        <v>1346.0</v>
      </c>
      <c r="D310" s="244">
        <v>1912.0</v>
      </c>
      <c r="E310" s="54">
        <v>214.5</v>
      </c>
      <c r="F310" s="250">
        <v>110.5</v>
      </c>
      <c r="G310" s="228">
        <v>108.0</v>
      </c>
      <c r="H310" s="250">
        <v>3.5</v>
      </c>
      <c r="I310" s="1"/>
      <c r="J310" s="1"/>
      <c r="K310" s="1"/>
      <c r="L310" s="1"/>
      <c r="M310" s="1"/>
      <c r="N310" s="1"/>
      <c r="O310" s="1"/>
      <c r="P310" s="1"/>
      <c r="Q310" s="1"/>
      <c r="R310" s="1"/>
      <c r="S310" s="1"/>
      <c r="T310" s="1"/>
      <c r="U310" s="1"/>
      <c r="V310" s="1"/>
      <c r="W310" s="1"/>
      <c r="X310" s="1"/>
      <c r="Y310" s="1"/>
      <c r="Z310" s="1"/>
    </row>
    <row r="311" ht="10.5" customHeight="1">
      <c r="A311" s="1"/>
      <c r="B311" s="48"/>
      <c r="C311" s="228"/>
      <c r="D311" s="244"/>
      <c r="E311" s="54"/>
      <c r="F311" s="250"/>
      <c r="G311" s="228"/>
      <c r="H311" s="250"/>
      <c r="I311" s="1"/>
      <c r="J311" s="1"/>
      <c r="K311" s="1"/>
      <c r="L311" s="1"/>
      <c r="M311" s="1"/>
      <c r="N311" s="1"/>
      <c r="O311" s="1"/>
      <c r="P311" s="1"/>
      <c r="Q311" s="1"/>
      <c r="R311" s="1"/>
      <c r="S311" s="1"/>
      <c r="T311" s="1"/>
      <c r="U311" s="1"/>
      <c r="V311" s="1"/>
      <c r="W311" s="1"/>
      <c r="X311" s="1"/>
      <c r="Y311" s="1"/>
      <c r="Z311" s="1"/>
    </row>
    <row r="312" ht="10.5" customHeight="1">
      <c r="A312" s="1"/>
      <c r="B312" s="48" t="s">
        <v>93</v>
      </c>
      <c r="C312" s="228">
        <v>1361.0</v>
      </c>
      <c r="D312" s="244">
        <v>1899.0</v>
      </c>
      <c r="E312" s="54">
        <v>222.4</v>
      </c>
      <c r="F312" s="250">
        <v>107.4</v>
      </c>
      <c r="G312" s="228">
        <v>105.0</v>
      </c>
      <c r="H312" s="250">
        <v>3.3</v>
      </c>
      <c r="I312" s="1"/>
      <c r="J312" s="1"/>
      <c r="K312" s="1"/>
      <c r="L312" s="1"/>
      <c r="M312" s="1"/>
      <c r="N312" s="1"/>
      <c r="O312" s="1"/>
      <c r="P312" s="1"/>
      <c r="Q312" s="1"/>
      <c r="R312" s="1"/>
      <c r="S312" s="1"/>
      <c r="T312" s="1"/>
      <c r="U312" s="1"/>
      <c r="V312" s="1"/>
      <c r="W312" s="1"/>
      <c r="X312" s="1"/>
      <c r="Y312" s="1"/>
      <c r="Z312" s="1"/>
    </row>
    <row r="313" ht="10.5" customHeight="1">
      <c r="A313" s="1"/>
      <c r="B313" s="48" t="s">
        <v>97</v>
      </c>
      <c r="C313" s="228">
        <v>1366.0</v>
      </c>
      <c r="D313" s="244">
        <v>1879.0</v>
      </c>
      <c r="E313" s="54">
        <v>284.7</v>
      </c>
      <c r="F313" s="250">
        <v>104.2</v>
      </c>
      <c r="G313" s="228">
        <v>101.0</v>
      </c>
      <c r="H313" s="250">
        <v>3.1</v>
      </c>
      <c r="I313" s="1"/>
      <c r="J313" s="1"/>
      <c r="K313" s="1"/>
      <c r="L313" s="1"/>
      <c r="M313" s="1"/>
      <c r="N313" s="1"/>
      <c r="O313" s="1"/>
      <c r="P313" s="1"/>
      <c r="Q313" s="1"/>
      <c r="R313" s="1"/>
      <c r="S313" s="1"/>
      <c r="T313" s="1"/>
      <c r="U313" s="1"/>
      <c r="V313" s="1"/>
      <c r="W313" s="1"/>
      <c r="X313" s="1"/>
      <c r="Y313" s="1"/>
      <c r="Z313" s="1"/>
    </row>
    <row r="314" ht="10.5" customHeight="1">
      <c r="A314" s="1"/>
      <c r="B314" s="48" t="s">
        <v>101</v>
      </c>
      <c r="C314" s="228">
        <v>1360.0</v>
      </c>
      <c r="D314" s="244">
        <v>1941.0</v>
      </c>
      <c r="E314" s="54">
        <v>324.4</v>
      </c>
      <c r="F314" s="250">
        <v>107.5</v>
      </c>
      <c r="G314" s="228">
        <v>106.0</v>
      </c>
      <c r="H314" s="250">
        <v>3.2</v>
      </c>
      <c r="I314" s="1"/>
      <c r="J314" s="1"/>
      <c r="K314" s="1"/>
      <c r="L314" s="1"/>
      <c r="M314" s="1"/>
      <c r="N314" s="1"/>
      <c r="O314" s="1"/>
      <c r="P314" s="1"/>
      <c r="Q314" s="1"/>
      <c r="R314" s="1"/>
      <c r="S314" s="1"/>
      <c r="T314" s="1"/>
      <c r="U314" s="1"/>
      <c r="V314" s="1"/>
      <c r="W314" s="1"/>
      <c r="X314" s="1"/>
      <c r="Y314" s="1"/>
      <c r="Z314" s="1"/>
    </row>
    <row r="315" ht="10.5" customHeight="1">
      <c r="A315" s="1"/>
      <c r="B315" s="48" t="s">
        <v>103</v>
      </c>
      <c r="C315" s="228">
        <v>1427.0</v>
      </c>
      <c r="D315" s="244">
        <v>2075.0</v>
      </c>
      <c r="E315" s="54">
        <v>362.2</v>
      </c>
      <c r="F315" s="250">
        <v>114.6</v>
      </c>
      <c r="G315" s="228">
        <v>113.0</v>
      </c>
      <c r="H315" s="250">
        <v>3.3</v>
      </c>
      <c r="I315" s="1"/>
      <c r="J315" s="1"/>
      <c r="K315" s="1"/>
      <c r="L315" s="1"/>
      <c r="M315" s="1"/>
      <c r="N315" s="1"/>
      <c r="O315" s="1"/>
      <c r="P315" s="1"/>
      <c r="Q315" s="1"/>
      <c r="R315" s="1"/>
      <c r="S315" s="1"/>
      <c r="T315" s="1"/>
      <c r="U315" s="1"/>
      <c r="V315" s="1"/>
      <c r="W315" s="1"/>
      <c r="X315" s="1"/>
      <c r="Y315" s="1"/>
      <c r="Z315" s="1"/>
    </row>
    <row r="316" ht="10.5" customHeight="1">
      <c r="A316" s="1"/>
      <c r="B316" s="48" t="s">
        <v>104</v>
      </c>
      <c r="C316" s="228">
        <v>1524.0</v>
      </c>
      <c r="D316" s="244">
        <v>2275.0</v>
      </c>
      <c r="E316" s="54">
        <v>340.2</v>
      </c>
      <c r="F316" s="250">
        <v>126.2</v>
      </c>
      <c r="G316" s="228">
        <v>125.0</v>
      </c>
      <c r="H316" s="250">
        <v>3.6</v>
      </c>
      <c r="I316" s="1"/>
      <c r="J316" s="1"/>
      <c r="K316" s="1"/>
      <c r="L316" s="1"/>
      <c r="M316" s="1"/>
      <c r="N316" s="1"/>
      <c r="O316" s="1"/>
      <c r="P316" s="1"/>
      <c r="Q316" s="1"/>
      <c r="R316" s="1"/>
      <c r="S316" s="1"/>
      <c r="T316" s="1"/>
      <c r="U316" s="1"/>
      <c r="V316" s="1"/>
      <c r="W316" s="1"/>
      <c r="X316" s="1"/>
      <c r="Y316" s="1"/>
      <c r="Z316" s="1"/>
    </row>
    <row r="317" ht="10.5" customHeight="1">
      <c r="A317" s="1"/>
      <c r="B317" s="48"/>
      <c r="C317" s="228"/>
      <c r="D317" s="244"/>
      <c r="E317" s="54"/>
      <c r="F317" s="250"/>
      <c r="G317" s="228"/>
      <c r="H317" s="250"/>
      <c r="I317" s="1"/>
      <c r="J317" s="1"/>
      <c r="K317" s="1"/>
      <c r="L317" s="1"/>
      <c r="M317" s="1"/>
      <c r="N317" s="1"/>
      <c r="O317" s="1"/>
      <c r="P317" s="1"/>
      <c r="Q317" s="1"/>
      <c r="R317" s="1"/>
      <c r="S317" s="1"/>
      <c r="T317" s="1"/>
      <c r="U317" s="1"/>
      <c r="V317" s="1"/>
      <c r="W317" s="1"/>
      <c r="X317" s="1"/>
      <c r="Y317" s="1"/>
      <c r="Z317" s="1"/>
    </row>
    <row r="318" ht="10.5" customHeight="1">
      <c r="A318" s="1"/>
      <c r="B318" s="48" t="s">
        <v>108</v>
      </c>
      <c r="C318" s="228">
        <v>1665.0</v>
      </c>
      <c r="D318" s="244">
        <v>2360.0</v>
      </c>
      <c r="E318" s="54">
        <v>338.1</v>
      </c>
      <c r="F318" s="250">
        <v>130.8</v>
      </c>
      <c r="G318" s="228">
        <v>130.0</v>
      </c>
      <c r="H318" s="250">
        <v>3.7</v>
      </c>
      <c r="I318" s="1"/>
      <c r="J318" s="1"/>
      <c r="K318" s="1"/>
      <c r="L318" s="1"/>
      <c r="M318" s="1"/>
      <c r="N318" s="1"/>
      <c r="O318" s="1"/>
      <c r="P318" s="1"/>
      <c r="Q318" s="1"/>
      <c r="R318" s="1"/>
      <c r="S318" s="1"/>
      <c r="T318" s="1"/>
      <c r="U318" s="1"/>
      <c r="V318" s="1"/>
      <c r="W318" s="1"/>
      <c r="X318" s="1"/>
      <c r="Y318" s="1"/>
      <c r="Z318" s="1"/>
    </row>
    <row r="319" ht="10.5" customHeight="1">
      <c r="A319" s="1"/>
      <c r="B319" s="48" t="s">
        <v>111</v>
      </c>
      <c r="C319" s="228">
        <v>1654.0</v>
      </c>
      <c r="D319" s="244">
        <v>2189.0</v>
      </c>
      <c r="E319" s="54">
        <v>399.0</v>
      </c>
      <c r="F319" s="250">
        <v>112.7</v>
      </c>
      <c r="G319" s="228">
        <v>112.0</v>
      </c>
      <c r="H319" s="250">
        <v>3.1</v>
      </c>
      <c r="I319" s="1"/>
      <c r="J319" s="1"/>
      <c r="K319" s="1"/>
      <c r="L319" s="1"/>
      <c r="M319" s="1"/>
      <c r="N319" s="1"/>
      <c r="O319" s="1"/>
      <c r="P319" s="1"/>
      <c r="Q319" s="1"/>
      <c r="R319" s="1"/>
      <c r="S319" s="1"/>
      <c r="T319" s="1"/>
      <c r="U319" s="1"/>
      <c r="V319" s="1"/>
      <c r="W319" s="1"/>
      <c r="X319" s="1"/>
      <c r="Y319" s="1"/>
      <c r="Z319" s="1"/>
    </row>
    <row r="320" ht="10.5" customHeight="1">
      <c r="A320" s="1"/>
      <c r="B320" s="48" t="s">
        <v>112</v>
      </c>
      <c r="C320" s="228">
        <v>1653.0</v>
      </c>
      <c r="D320" s="244">
        <v>2267.0</v>
      </c>
      <c r="E320" s="54">
        <v>448.3</v>
      </c>
      <c r="F320" s="250">
        <v>129.6</v>
      </c>
      <c r="G320" s="228">
        <v>129.0</v>
      </c>
      <c r="H320" s="250">
        <v>3.5</v>
      </c>
      <c r="I320" s="1"/>
      <c r="J320" s="1"/>
      <c r="K320" s="1"/>
      <c r="L320" s="1"/>
      <c r="M320" s="1"/>
      <c r="N320" s="1"/>
      <c r="O320" s="1"/>
      <c r="P320" s="1"/>
      <c r="Q320" s="1"/>
      <c r="R320" s="1"/>
      <c r="S320" s="1"/>
      <c r="T320" s="1"/>
      <c r="U320" s="1"/>
      <c r="V320" s="1"/>
      <c r="W320" s="1"/>
      <c r="X320" s="1"/>
      <c r="Y320" s="1"/>
      <c r="Z320" s="1"/>
    </row>
    <row r="321" ht="10.5" customHeight="1">
      <c r="A321" s="1"/>
      <c r="B321" s="48" t="s">
        <v>113</v>
      </c>
      <c r="C321" s="228">
        <v>1570.0</v>
      </c>
      <c r="D321" s="244">
        <v>2101.0</v>
      </c>
      <c r="E321" s="54">
        <v>483.1</v>
      </c>
      <c r="F321" s="250">
        <v>119.6</v>
      </c>
      <c r="G321" s="228">
        <v>122.0</v>
      </c>
      <c r="H321" s="250">
        <v>3.2</v>
      </c>
      <c r="I321" s="1"/>
      <c r="J321" s="1"/>
      <c r="K321" s="1"/>
      <c r="L321" s="1"/>
      <c r="M321" s="1"/>
      <c r="N321" s="1"/>
      <c r="O321" s="1"/>
      <c r="P321" s="1"/>
      <c r="Q321" s="1"/>
      <c r="R321" s="1"/>
      <c r="S321" s="1"/>
      <c r="T321" s="1"/>
      <c r="U321" s="1"/>
      <c r="V321" s="1"/>
      <c r="W321" s="1"/>
      <c r="X321" s="1"/>
      <c r="Y321" s="1"/>
      <c r="Z321" s="1"/>
    </row>
    <row r="322" ht="10.5" customHeight="1">
      <c r="A322" s="1"/>
      <c r="B322" s="48" t="s">
        <v>114</v>
      </c>
      <c r="C322" s="228">
        <v>1585.0</v>
      </c>
      <c r="D322" s="244">
        <v>1973.0</v>
      </c>
      <c r="E322" s="54">
        <v>623.2</v>
      </c>
      <c r="F322" s="250">
        <v>119.0</v>
      </c>
      <c r="G322" s="228">
        <v>124.0</v>
      </c>
      <c r="H322" s="250">
        <v>3.2</v>
      </c>
      <c r="I322" s="1"/>
      <c r="J322" s="1"/>
      <c r="K322" s="1"/>
      <c r="L322" s="1"/>
      <c r="M322" s="1"/>
      <c r="N322" s="1"/>
      <c r="O322" s="1"/>
      <c r="P322" s="1"/>
      <c r="Q322" s="1"/>
      <c r="R322" s="1"/>
      <c r="S322" s="1"/>
      <c r="T322" s="1"/>
      <c r="U322" s="1"/>
      <c r="V322" s="1"/>
      <c r="W322" s="1"/>
      <c r="X322" s="1"/>
      <c r="Y322" s="1"/>
      <c r="Z322" s="1"/>
    </row>
    <row r="323" ht="10.5" customHeight="1">
      <c r="A323" s="1"/>
      <c r="B323" s="48"/>
      <c r="C323" s="228"/>
      <c r="D323" s="244"/>
      <c r="E323" s="54"/>
      <c r="F323" s="250"/>
      <c r="G323" s="228"/>
      <c r="H323" s="250"/>
      <c r="I323" s="1"/>
      <c r="J323" s="1"/>
      <c r="K323" s="1"/>
      <c r="L323" s="1"/>
      <c r="M323" s="1"/>
      <c r="N323" s="1"/>
      <c r="O323" s="1"/>
      <c r="P323" s="1"/>
      <c r="Q323" s="1"/>
      <c r="R323" s="1"/>
      <c r="S323" s="1"/>
      <c r="T323" s="1"/>
      <c r="U323" s="1"/>
      <c r="V323" s="1"/>
      <c r="W323" s="1"/>
      <c r="X323" s="1"/>
      <c r="Y323" s="1"/>
      <c r="Z323" s="1"/>
    </row>
    <row r="324" ht="10.5" customHeight="1">
      <c r="A324" s="1"/>
      <c r="B324" s="48" t="s">
        <v>115</v>
      </c>
      <c r="C324" s="228">
        <v>1707.0</v>
      </c>
      <c r="D324" s="244">
        <v>2194.0</v>
      </c>
      <c r="E324" s="54">
        <v>523.0</v>
      </c>
      <c r="F324" s="250">
        <v>126.5</v>
      </c>
      <c r="G324" s="228">
        <v>131.0</v>
      </c>
      <c r="H324" s="250">
        <v>3.3</v>
      </c>
      <c r="I324" s="1"/>
      <c r="J324" s="1"/>
      <c r="K324" s="1"/>
      <c r="L324" s="1"/>
      <c r="M324" s="1"/>
      <c r="N324" s="1"/>
      <c r="O324" s="1"/>
      <c r="P324" s="1"/>
      <c r="Q324" s="1"/>
      <c r="R324" s="1"/>
      <c r="S324" s="1"/>
      <c r="T324" s="1"/>
      <c r="U324" s="1"/>
      <c r="V324" s="1"/>
      <c r="W324" s="1"/>
      <c r="X324" s="1"/>
      <c r="Y324" s="1"/>
      <c r="Z324" s="1"/>
    </row>
    <row r="325" ht="10.5" customHeight="1">
      <c r="A325" s="1"/>
      <c r="B325" s="48" t="s">
        <v>117</v>
      </c>
      <c r="C325" s="228">
        <v>1699.0</v>
      </c>
      <c r="D325" s="244">
        <v>2172.0</v>
      </c>
      <c r="E325" s="54">
        <v>632.2</v>
      </c>
      <c r="F325" s="250">
        <v>127.9</v>
      </c>
      <c r="G325" s="228">
        <v>133.0</v>
      </c>
      <c r="H325" s="250">
        <v>3.3</v>
      </c>
      <c r="I325" s="1"/>
      <c r="J325" s="1"/>
      <c r="K325" s="1"/>
      <c r="L325" s="1"/>
      <c r="M325" s="1"/>
      <c r="N325" s="1"/>
      <c r="O325" s="1"/>
      <c r="P325" s="1"/>
      <c r="Q325" s="1"/>
      <c r="R325" s="1"/>
      <c r="S325" s="1"/>
      <c r="T325" s="1"/>
      <c r="U325" s="1"/>
      <c r="V325" s="1"/>
      <c r="W325" s="1"/>
      <c r="X325" s="1"/>
      <c r="Y325" s="1"/>
      <c r="Z325" s="1"/>
    </row>
    <row r="326" ht="10.5" customHeight="1">
      <c r="A326" s="1"/>
      <c r="B326" s="48" t="s">
        <v>121</v>
      </c>
      <c r="C326" s="228">
        <v>1736.0</v>
      </c>
      <c r="D326" s="244">
        <v>2061.0</v>
      </c>
      <c r="E326" s="54">
        <v>752.1</v>
      </c>
      <c r="F326" s="250">
        <v>125.0</v>
      </c>
      <c r="G326" s="228">
        <v>130.0</v>
      </c>
      <c r="H326" s="250">
        <v>3.2</v>
      </c>
      <c r="I326" s="1"/>
      <c r="J326" s="1"/>
      <c r="K326" s="1"/>
      <c r="L326" s="1"/>
      <c r="M326" s="1"/>
      <c r="N326" s="1"/>
      <c r="O326" s="1"/>
      <c r="P326" s="1"/>
      <c r="Q326" s="1"/>
      <c r="R326" s="1"/>
      <c r="S326" s="1"/>
      <c r="T326" s="1"/>
      <c r="U326" s="1"/>
      <c r="V326" s="1"/>
      <c r="W326" s="1"/>
      <c r="X326" s="1"/>
      <c r="Y326" s="1"/>
      <c r="Z326" s="1"/>
    </row>
    <row r="327" ht="10.5" customHeight="1">
      <c r="A327" s="1"/>
      <c r="B327" s="48" t="s">
        <v>122</v>
      </c>
      <c r="C327" s="228">
        <v>1780.0</v>
      </c>
      <c r="D327" s="244">
        <v>2006.0</v>
      </c>
      <c r="E327" s="54">
        <v>724.9</v>
      </c>
      <c r="F327" s="250">
        <v>119.2</v>
      </c>
      <c r="G327" s="228">
        <v>126.0</v>
      </c>
      <c r="H327" s="250">
        <v>3.0</v>
      </c>
      <c r="I327" s="1"/>
      <c r="J327" s="1"/>
      <c r="K327" s="1"/>
      <c r="L327" s="1"/>
      <c r="M327" s="1"/>
      <c r="N327" s="1"/>
      <c r="O327" s="1"/>
      <c r="P327" s="1"/>
      <c r="Q327" s="1"/>
      <c r="R327" s="1"/>
      <c r="S327" s="1"/>
      <c r="T327" s="1"/>
      <c r="U327" s="1"/>
      <c r="V327" s="1"/>
      <c r="W327" s="1"/>
      <c r="X327" s="1"/>
      <c r="Y327" s="1"/>
      <c r="Z327" s="1"/>
    </row>
    <row r="328" ht="10.5" customHeight="1">
      <c r="A328" s="1"/>
      <c r="B328" s="48" t="s">
        <v>123</v>
      </c>
      <c r="C328" s="228">
        <v>1647.0</v>
      </c>
      <c r="D328" s="244">
        <v>2145.0</v>
      </c>
      <c r="E328" s="54">
        <v>779.0</v>
      </c>
      <c r="F328" s="250">
        <v>123.0</v>
      </c>
      <c r="G328" s="228">
        <v>131.0</v>
      </c>
      <c r="H328" s="250">
        <v>3.0</v>
      </c>
      <c r="I328" s="1"/>
      <c r="J328" s="1"/>
      <c r="K328" s="1"/>
      <c r="L328" s="1"/>
      <c r="M328" s="1"/>
      <c r="N328" s="1"/>
      <c r="O328" s="1"/>
      <c r="P328" s="1"/>
      <c r="Q328" s="1"/>
      <c r="R328" s="1"/>
      <c r="S328" s="1"/>
      <c r="T328" s="1"/>
      <c r="U328" s="1"/>
      <c r="V328" s="1"/>
      <c r="W328" s="1"/>
      <c r="X328" s="1"/>
      <c r="Y328" s="1"/>
      <c r="Z328" s="1"/>
    </row>
    <row r="329" ht="10.5" customHeight="1">
      <c r="A329" s="1"/>
      <c r="B329" s="48"/>
      <c r="C329" s="228"/>
      <c r="D329" s="244"/>
      <c r="E329" s="54"/>
      <c r="F329" s="250"/>
      <c r="G329" s="228"/>
      <c r="H329" s="250"/>
      <c r="I329" s="1"/>
      <c r="J329" s="1"/>
      <c r="K329" s="1"/>
      <c r="L329" s="1"/>
      <c r="M329" s="1"/>
      <c r="N329" s="1"/>
      <c r="O329" s="1"/>
      <c r="P329" s="1"/>
      <c r="Q329" s="1"/>
      <c r="R329" s="1"/>
      <c r="S329" s="1"/>
      <c r="T329" s="1"/>
      <c r="U329" s="1"/>
      <c r="V329" s="1"/>
      <c r="W329" s="1"/>
      <c r="X329" s="1"/>
      <c r="Y329" s="1"/>
      <c r="Z329" s="1"/>
    </row>
    <row r="330" ht="10.5" customHeight="1">
      <c r="A330" s="1"/>
      <c r="B330" s="48" t="s">
        <v>125</v>
      </c>
      <c r="C330" s="228">
        <v>1678.0</v>
      </c>
      <c r="D330" s="692">
        <v>1864.0</v>
      </c>
      <c r="E330" s="54">
        <v>899.4</v>
      </c>
      <c r="F330" s="250">
        <v>106.9</v>
      </c>
      <c r="G330" s="228">
        <v>115.0</v>
      </c>
      <c r="H330" s="250">
        <v>2.6</v>
      </c>
      <c r="I330" s="1"/>
      <c r="J330" s="1"/>
      <c r="K330" s="1"/>
      <c r="L330" s="1"/>
      <c r="M330" s="1"/>
      <c r="N330" s="1"/>
      <c r="O330" s="1"/>
      <c r="P330" s="1"/>
      <c r="Q330" s="1"/>
      <c r="R330" s="1"/>
      <c r="S330" s="1"/>
      <c r="T330" s="1"/>
      <c r="U330" s="1"/>
      <c r="V330" s="1"/>
      <c r="W330" s="1"/>
      <c r="X330" s="1"/>
      <c r="Y330" s="1"/>
      <c r="Z330" s="1"/>
    </row>
    <row r="331" ht="10.5" customHeight="1">
      <c r="A331" s="1"/>
      <c r="B331" s="48" t="s">
        <v>127</v>
      </c>
      <c r="C331" s="228">
        <v>1710.0</v>
      </c>
      <c r="D331" s="692">
        <v>2017.0</v>
      </c>
      <c r="E331" s="54">
        <v>933.9</v>
      </c>
      <c r="F331" s="250">
        <v>116.6</v>
      </c>
      <c r="G331" s="228">
        <v>123.0</v>
      </c>
      <c r="H331" s="250">
        <v>2.8</v>
      </c>
      <c r="I331" s="1"/>
      <c r="J331" s="1"/>
      <c r="K331" s="1"/>
      <c r="L331" s="1"/>
      <c r="M331" s="1"/>
      <c r="N331" s="1"/>
      <c r="O331" s="1"/>
      <c r="P331" s="1"/>
      <c r="Q331" s="1"/>
      <c r="R331" s="1"/>
      <c r="S331" s="1"/>
      <c r="T331" s="1"/>
      <c r="U331" s="1"/>
      <c r="V331" s="1"/>
      <c r="W331" s="1"/>
      <c r="X331" s="1"/>
      <c r="Y331" s="1"/>
      <c r="Z331" s="1"/>
    </row>
    <row r="332" ht="10.5" customHeight="1">
      <c r="A332" s="1"/>
      <c r="B332" s="48" t="s">
        <v>128</v>
      </c>
      <c r="C332" s="217">
        <v>1663.0</v>
      </c>
      <c r="D332" s="164">
        <v>2079.0</v>
      </c>
      <c r="E332" s="284">
        <v>1219.8</v>
      </c>
      <c r="F332" s="54">
        <v>135.0</v>
      </c>
      <c r="G332" s="217">
        <v>146.0</v>
      </c>
      <c r="H332" s="250">
        <v>3.2</v>
      </c>
      <c r="I332" s="1"/>
      <c r="J332" s="1"/>
      <c r="K332" s="1"/>
      <c r="L332" s="1"/>
      <c r="M332" s="1"/>
      <c r="N332" s="1"/>
      <c r="O332" s="1"/>
      <c r="P332" s="1"/>
      <c r="Q332" s="1"/>
      <c r="R332" s="1"/>
      <c r="S332" s="1"/>
      <c r="T332" s="1"/>
      <c r="U332" s="1"/>
      <c r="V332" s="1"/>
      <c r="W332" s="1"/>
      <c r="X332" s="1"/>
      <c r="Y332" s="1"/>
      <c r="Z332" s="1"/>
    </row>
    <row r="333" ht="10.5" customHeight="1">
      <c r="A333" s="1"/>
      <c r="B333" s="48" t="s">
        <v>129</v>
      </c>
      <c r="C333" s="217">
        <v>1663.0</v>
      </c>
      <c r="D333" s="164">
        <v>2131.0</v>
      </c>
      <c r="E333" s="284">
        <v>1020.1</v>
      </c>
      <c r="F333" s="54">
        <v>156.8</v>
      </c>
      <c r="G333" s="217">
        <v>174.0</v>
      </c>
      <c r="H333" s="250">
        <v>3.8</v>
      </c>
      <c r="I333" s="1"/>
      <c r="J333" s="1"/>
      <c r="K333" s="1"/>
      <c r="L333" s="1"/>
      <c r="M333" s="1"/>
      <c r="N333" s="1"/>
      <c r="O333" s="1"/>
      <c r="P333" s="1"/>
      <c r="Q333" s="1"/>
      <c r="R333" s="1"/>
      <c r="S333" s="1"/>
      <c r="T333" s="1"/>
      <c r="U333" s="1"/>
      <c r="V333" s="1"/>
      <c r="W333" s="1"/>
      <c r="X333" s="1"/>
      <c r="Y333" s="1"/>
      <c r="Z333" s="1"/>
    </row>
    <row r="334" ht="10.5" customHeight="1">
      <c r="A334" s="1"/>
      <c r="B334" s="48" t="s">
        <v>130</v>
      </c>
      <c r="C334" s="217">
        <v>1651.0</v>
      </c>
      <c r="D334" s="692">
        <v>2158.0</v>
      </c>
      <c r="E334" s="284">
        <v>1075.4</v>
      </c>
      <c r="F334" s="54">
        <v>159.7</v>
      </c>
      <c r="G334" s="217">
        <v>182.0</v>
      </c>
      <c r="H334" s="54">
        <v>3.9</v>
      </c>
      <c r="I334" s="1"/>
      <c r="J334" s="1"/>
      <c r="K334" s="1"/>
      <c r="L334" s="1"/>
      <c r="M334" s="1"/>
      <c r="N334" s="1"/>
      <c r="O334" s="1"/>
      <c r="P334" s="1"/>
      <c r="Q334" s="1"/>
      <c r="R334" s="1"/>
      <c r="S334" s="1"/>
      <c r="T334" s="1"/>
      <c r="U334" s="1"/>
      <c r="V334" s="1"/>
      <c r="W334" s="1"/>
      <c r="X334" s="1"/>
      <c r="Y334" s="1"/>
      <c r="Z334" s="1"/>
    </row>
    <row r="335" ht="10.5" customHeight="1">
      <c r="A335" s="1"/>
      <c r="B335" s="48"/>
      <c r="C335" s="217"/>
      <c r="D335" s="692"/>
      <c r="E335" s="284"/>
      <c r="F335" s="54"/>
      <c r="G335" s="217"/>
      <c r="H335" s="54"/>
      <c r="I335" s="1"/>
      <c r="J335" s="1"/>
      <c r="K335" s="1"/>
      <c r="L335" s="1"/>
      <c r="M335" s="1"/>
      <c r="N335" s="1"/>
      <c r="O335" s="1"/>
      <c r="P335" s="1"/>
      <c r="Q335" s="1"/>
      <c r="R335" s="1"/>
      <c r="S335" s="1"/>
      <c r="T335" s="1"/>
      <c r="U335" s="1"/>
      <c r="V335" s="1"/>
      <c r="W335" s="1"/>
      <c r="X335" s="1"/>
      <c r="Y335" s="1"/>
      <c r="Z335" s="1"/>
    </row>
    <row r="336" ht="10.5" customHeight="1">
      <c r="A336" s="1"/>
      <c r="B336" s="48" t="s">
        <v>131</v>
      </c>
      <c r="C336" s="217">
        <v>1622.0</v>
      </c>
      <c r="D336" s="164">
        <v>2290.0</v>
      </c>
      <c r="E336" s="284">
        <v>995.4</v>
      </c>
      <c r="F336" s="54">
        <v>171.4</v>
      </c>
      <c r="G336" s="217">
        <v>193.0</v>
      </c>
      <c r="H336" s="54">
        <v>4.1</v>
      </c>
      <c r="I336" s="1"/>
      <c r="J336" s="1"/>
      <c r="K336" s="1"/>
      <c r="L336" s="1"/>
      <c r="M336" s="1"/>
      <c r="N336" s="1"/>
      <c r="O336" s="1"/>
      <c r="P336" s="1"/>
      <c r="Q336" s="1"/>
      <c r="R336" s="1"/>
      <c r="S336" s="1"/>
      <c r="T336" s="1"/>
      <c r="U336" s="1"/>
      <c r="V336" s="1"/>
      <c r="W336" s="1"/>
      <c r="X336" s="1"/>
      <c r="Y336" s="1"/>
      <c r="Z336" s="1"/>
    </row>
    <row r="337" ht="10.5" customHeight="1">
      <c r="A337" s="1"/>
      <c r="B337" s="48" t="s">
        <v>133</v>
      </c>
      <c r="C337" s="217">
        <v>1651.0</v>
      </c>
      <c r="D337" s="164">
        <v>2497.0</v>
      </c>
      <c r="E337" s="284">
        <v>1299.5</v>
      </c>
      <c r="F337" s="54">
        <v>187.1</v>
      </c>
      <c r="G337" s="217">
        <v>206.0</v>
      </c>
      <c r="H337" s="54">
        <v>4.4</v>
      </c>
      <c r="I337" s="1"/>
      <c r="J337" s="1"/>
      <c r="K337" s="1"/>
      <c r="L337" s="1"/>
      <c r="M337" s="1"/>
      <c r="N337" s="1"/>
      <c r="O337" s="1"/>
      <c r="P337" s="1"/>
      <c r="Q337" s="1"/>
      <c r="R337" s="1"/>
      <c r="S337" s="1"/>
      <c r="T337" s="1"/>
      <c r="U337" s="1"/>
      <c r="V337" s="1"/>
      <c r="W337" s="1"/>
      <c r="X337" s="1"/>
      <c r="Y337" s="1"/>
      <c r="Z337" s="1"/>
    </row>
    <row r="338" ht="10.5" customHeight="1">
      <c r="A338" s="1"/>
      <c r="B338" s="48" t="s">
        <v>134</v>
      </c>
      <c r="C338" s="217">
        <v>1615.0</v>
      </c>
      <c r="D338" s="164">
        <v>2441.0</v>
      </c>
      <c r="E338" s="284">
        <v>1414.9</v>
      </c>
      <c r="F338" s="54">
        <v>181.7</v>
      </c>
      <c r="G338" s="217">
        <v>198.0</v>
      </c>
      <c r="H338" s="54">
        <v>4.1</v>
      </c>
      <c r="I338" s="1"/>
      <c r="J338" s="1"/>
      <c r="K338" s="1"/>
      <c r="L338" s="1"/>
      <c r="M338" s="1"/>
      <c r="N338" s="1"/>
      <c r="O338" s="1"/>
      <c r="P338" s="1"/>
      <c r="Q338" s="1"/>
      <c r="R338" s="1"/>
      <c r="S338" s="1"/>
      <c r="T338" s="1"/>
      <c r="U338" s="1"/>
      <c r="V338" s="1"/>
      <c r="W338" s="1"/>
      <c r="X338" s="1"/>
      <c r="Y338" s="1"/>
      <c r="Z338" s="1"/>
    </row>
    <row r="339" ht="10.5" customHeight="1">
      <c r="A339" s="1"/>
      <c r="B339" s="293">
        <v>39692.0</v>
      </c>
      <c r="C339" s="217">
        <v>1613.0</v>
      </c>
      <c r="D339" s="164">
        <v>2383.0</v>
      </c>
      <c r="E339" s="284">
        <v>1585.4</v>
      </c>
      <c r="F339" s="54">
        <v>180.7</v>
      </c>
      <c r="G339" s="217">
        <v>199.0</v>
      </c>
      <c r="H339" s="54">
        <v>4.1</v>
      </c>
      <c r="I339" s="1"/>
      <c r="J339" s="1"/>
      <c r="K339" s="1"/>
      <c r="L339" s="1"/>
      <c r="M339" s="1"/>
      <c r="N339" s="1"/>
      <c r="O339" s="1"/>
      <c r="P339" s="1"/>
      <c r="Q339" s="1"/>
      <c r="R339" s="1"/>
      <c r="S339" s="1"/>
      <c r="T339" s="1"/>
      <c r="U339" s="1"/>
      <c r="V339" s="1"/>
      <c r="W339" s="1"/>
      <c r="X339" s="1"/>
      <c r="Y339" s="1"/>
      <c r="Z339" s="1"/>
    </row>
    <row r="340" ht="10.5" customHeight="1">
      <c r="A340" s="1"/>
      <c r="B340" s="293">
        <v>40087.0</v>
      </c>
      <c r="C340" s="217">
        <v>1594.0</v>
      </c>
      <c r="D340" s="164">
        <v>2474.0</v>
      </c>
      <c r="E340" s="284">
        <v>1496.8</v>
      </c>
      <c r="F340" s="54">
        <v>191.9</v>
      </c>
      <c r="G340" s="217">
        <v>215.0</v>
      </c>
      <c r="H340" s="54">
        <v>4.4</v>
      </c>
      <c r="I340" s="1"/>
      <c r="J340" s="1"/>
      <c r="K340" s="1"/>
      <c r="L340" s="1"/>
      <c r="M340" s="1"/>
      <c r="N340" s="1"/>
      <c r="O340" s="1"/>
      <c r="P340" s="1"/>
      <c r="Q340" s="1"/>
      <c r="R340" s="1"/>
      <c r="S340" s="1"/>
      <c r="T340" s="1"/>
      <c r="U340" s="1"/>
      <c r="V340" s="1"/>
      <c r="W340" s="1"/>
      <c r="X340" s="1"/>
      <c r="Y340" s="1"/>
      <c r="Z340" s="1"/>
    </row>
    <row r="341" ht="10.5" customHeight="1">
      <c r="A341" s="1"/>
      <c r="B341" s="293"/>
      <c r="C341" s="217"/>
      <c r="D341" s="164"/>
      <c r="E341" s="284"/>
      <c r="F341" s="54"/>
      <c r="G341" s="217"/>
      <c r="H341" s="54"/>
      <c r="I341" s="1"/>
      <c r="J341" s="1"/>
      <c r="K341" s="1"/>
      <c r="L341" s="1"/>
      <c r="M341" s="1"/>
      <c r="N341" s="1"/>
      <c r="O341" s="1"/>
      <c r="P341" s="1"/>
      <c r="Q341" s="1"/>
      <c r="R341" s="1"/>
      <c r="S341" s="1"/>
      <c r="T341" s="1"/>
      <c r="U341" s="1"/>
      <c r="V341" s="1"/>
      <c r="W341" s="1"/>
      <c r="X341" s="1"/>
      <c r="Y341" s="1"/>
      <c r="Z341" s="1"/>
    </row>
    <row r="342" ht="10.5" customHeight="1">
      <c r="A342" s="1"/>
      <c r="B342" s="11" t="s">
        <v>139</v>
      </c>
      <c r="C342" s="217">
        <v>1584.0</v>
      </c>
      <c r="D342" s="164">
        <v>2601.0</v>
      </c>
      <c r="E342" s="284">
        <v>1526.2</v>
      </c>
      <c r="F342" s="54">
        <v>205.1</v>
      </c>
      <c r="G342" s="217">
        <v>231.0</v>
      </c>
      <c r="H342" s="54">
        <v>4.6</v>
      </c>
      <c r="I342" s="1"/>
      <c r="J342" s="1"/>
      <c r="K342" s="1"/>
      <c r="L342" s="1"/>
      <c r="M342" s="1"/>
      <c r="N342" s="1"/>
      <c r="O342" s="1"/>
      <c r="P342" s="1"/>
      <c r="Q342" s="1"/>
      <c r="R342" s="1"/>
      <c r="S342" s="1"/>
      <c r="T342" s="1"/>
      <c r="U342" s="1"/>
      <c r="V342" s="1"/>
      <c r="W342" s="1"/>
      <c r="X342" s="1"/>
      <c r="Y342" s="1"/>
      <c r="Z342" s="1"/>
    </row>
    <row r="343" ht="10.5" customHeight="1">
      <c r="A343" s="1"/>
      <c r="B343" s="11" t="s">
        <v>143</v>
      </c>
      <c r="C343" s="217">
        <v>1579.0</v>
      </c>
      <c r="D343" s="164">
        <v>2651.0</v>
      </c>
      <c r="E343" s="284">
        <v>1789.3</v>
      </c>
      <c r="F343" s="54">
        <v>206.0</v>
      </c>
      <c r="G343" s="217">
        <v>237.0</v>
      </c>
      <c r="H343" s="54">
        <v>4.6</v>
      </c>
      <c r="I343" s="1"/>
      <c r="J343" s="1"/>
      <c r="K343" s="1"/>
      <c r="L343" s="1"/>
      <c r="M343" s="1"/>
      <c r="N343" s="1"/>
      <c r="O343" s="1"/>
      <c r="P343" s="1"/>
      <c r="Q343" s="1"/>
      <c r="R343" s="1"/>
      <c r="S343" s="1"/>
      <c r="T343" s="1"/>
      <c r="U343" s="1"/>
      <c r="V343" s="1"/>
      <c r="W343" s="1"/>
      <c r="X343" s="1"/>
      <c r="Y343" s="1"/>
      <c r="Z343" s="1"/>
    </row>
    <row r="344" ht="10.5" customHeight="1">
      <c r="A344" s="1"/>
      <c r="B344" s="11" t="s">
        <v>149</v>
      </c>
      <c r="C344" s="217">
        <v>1574.0</v>
      </c>
      <c r="D344" s="164">
        <v>2734.0</v>
      </c>
      <c r="E344" s="284">
        <v>1807.2</v>
      </c>
      <c r="F344" s="54">
        <v>213.5</v>
      </c>
      <c r="G344" s="217">
        <v>245.0</v>
      </c>
      <c r="H344" s="54">
        <v>4.7</v>
      </c>
      <c r="I344" s="1"/>
      <c r="J344" s="1"/>
      <c r="K344" s="1"/>
      <c r="L344" s="1"/>
      <c r="M344" s="1"/>
      <c r="N344" s="1"/>
      <c r="O344" s="1"/>
      <c r="P344" s="1"/>
      <c r="Q344" s="1"/>
      <c r="R344" s="1"/>
      <c r="S344" s="1"/>
      <c r="T344" s="1"/>
      <c r="U344" s="1"/>
      <c r="V344" s="1"/>
      <c r="W344" s="1"/>
      <c r="X344" s="1"/>
      <c r="Y344" s="1"/>
      <c r="Z344" s="1"/>
    </row>
    <row r="345" ht="10.5" customHeight="1">
      <c r="A345" s="1"/>
      <c r="B345" s="11" t="s">
        <v>151</v>
      </c>
      <c r="C345" s="217">
        <v>1562.0</v>
      </c>
      <c r="D345" s="164">
        <v>2844.0</v>
      </c>
      <c r="E345" s="284">
        <v>2045.3</v>
      </c>
      <c r="F345" s="54">
        <v>224.2</v>
      </c>
      <c r="G345" s="217">
        <v>236.0</v>
      </c>
      <c r="H345" s="54">
        <v>4.5</v>
      </c>
      <c r="I345" s="1"/>
      <c r="J345" s="1"/>
      <c r="K345" s="1"/>
      <c r="L345" s="1"/>
      <c r="M345" s="1"/>
      <c r="N345" s="1"/>
      <c r="O345" s="1"/>
      <c r="P345" s="1"/>
      <c r="Q345" s="1"/>
      <c r="R345" s="1"/>
      <c r="S345" s="1"/>
      <c r="T345" s="1"/>
      <c r="U345" s="1"/>
      <c r="V345" s="1"/>
      <c r="W345" s="1"/>
      <c r="X345" s="1"/>
      <c r="Y345" s="1"/>
      <c r="Z345" s="1"/>
    </row>
    <row r="346" ht="10.5" customHeight="1">
      <c r="A346" s="1"/>
      <c r="B346" s="11" t="s">
        <v>153</v>
      </c>
      <c r="C346" s="217">
        <v>1523.0</v>
      </c>
      <c r="D346" s="164">
        <v>2926.0</v>
      </c>
      <c r="E346" s="284">
        <v>2232.9</v>
      </c>
      <c r="F346" s="54">
        <v>233.0</v>
      </c>
      <c r="G346" s="217">
        <v>254.0</v>
      </c>
      <c r="H346" s="54">
        <v>4.7</v>
      </c>
      <c r="I346" s="1"/>
      <c r="J346" s="1"/>
      <c r="K346" s="1"/>
      <c r="L346" s="1"/>
      <c r="M346" s="1"/>
      <c r="N346" s="1"/>
      <c r="O346" s="1"/>
      <c r="P346" s="1"/>
      <c r="Q346" s="1"/>
      <c r="R346" s="1"/>
      <c r="S346" s="1"/>
      <c r="T346" s="1"/>
      <c r="U346" s="1"/>
      <c r="V346" s="1"/>
      <c r="W346" s="1"/>
      <c r="X346" s="1"/>
      <c r="Y346" s="1"/>
      <c r="Z346" s="1"/>
    </row>
    <row r="347" ht="10.5" customHeight="1">
      <c r="A347" s="1"/>
      <c r="B347" s="11"/>
      <c r="C347" s="217"/>
      <c r="D347" s="164"/>
      <c r="E347" s="284"/>
      <c r="F347" s="54"/>
      <c r="G347" s="217"/>
      <c r="H347" s="54"/>
      <c r="I347" s="1"/>
      <c r="J347" s="1"/>
      <c r="K347" s="1"/>
      <c r="L347" s="1"/>
      <c r="M347" s="1"/>
      <c r="N347" s="1"/>
      <c r="O347" s="1"/>
      <c r="P347" s="1"/>
      <c r="Q347" s="1"/>
      <c r="R347" s="1"/>
      <c r="S347" s="1"/>
      <c r="T347" s="1"/>
      <c r="U347" s="1"/>
      <c r="V347" s="1"/>
      <c r="W347" s="1"/>
      <c r="X347" s="1"/>
      <c r="Y347" s="1"/>
      <c r="Z347" s="1"/>
    </row>
    <row r="348" ht="10.5" customHeight="1">
      <c r="A348" s="1"/>
      <c r="B348" s="11" t="s">
        <v>155</v>
      </c>
      <c r="C348" s="217">
        <v>1512.0</v>
      </c>
      <c r="D348" s="164">
        <v>3011.0</v>
      </c>
      <c r="E348" s="284">
        <v>2225.7</v>
      </c>
      <c r="F348" s="54">
        <v>243.1</v>
      </c>
      <c r="G348" s="217">
        <v>263.0</v>
      </c>
      <c r="H348" s="54">
        <v>4.8</v>
      </c>
      <c r="I348" s="1"/>
      <c r="J348" s="1"/>
      <c r="K348" s="1"/>
      <c r="L348" s="1"/>
      <c r="M348" s="1"/>
      <c r="N348" s="1"/>
      <c r="O348" s="1"/>
      <c r="P348" s="1"/>
      <c r="Q348" s="1"/>
      <c r="R348" s="1"/>
      <c r="S348" s="1"/>
      <c r="T348" s="1"/>
      <c r="U348" s="1"/>
      <c r="V348" s="1"/>
      <c r="W348" s="1"/>
      <c r="X348" s="1"/>
      <c r="Y348" s="1"/>
      <c r="Z348" s="1"/>
    </row>
    <row r="349" ht="10.5" customHeight="1">
      <c r="A349" s="1"/>
      <c r="B349" s="52" t="s">
        <v>160</v>
      </c>
      <c r="C349" s="241">
        <v>1481.0</v>
      </c>
      <c r="D349" s="210">
        <v>2906.0</v>
      </c>
      <c r="E349" s="107">
        <v>2499.5</v>
      </c>
      <c r="F349" s="107">
        <v>232.5</v>
      </c>
      <c r="G349" s="241">
        <v>255.0</v>
      </c>
      <c r="H349" s="107">
        <v>4.6</v>
      </c>
      <c r="I349" s="1"/>
      <c r="J349" s="1"/>
      <c r="K349" s="1"/>
      <c r="L349" s="1"/>
      <c r="M349" s="1"/>
      <c r="N349" s="1"/>
      <c r="O349" s="1"/>
      <c r="P349" s="1"/>
      <c r="Q349" s="1"/>
      <c r="R349" s="1"/>
      <c r="S349" s="1"/>
      <c r="T349" s="1"/>
      <c r="U349" s="1"/>
      <c r="V349" s="1"/>
      <c r="W349" s="1"/>
      <c r="X349" s="1"/>
      <c r="Y349" s="1"/>
      <c r="Z349" s="1"/>
    </row>
    <row r="350" ht="6.0" customHeight="1">
      <c r="A350" s="1"/>
      <c r="B350" s="242"/>
      <c r="C350" s="244"/>
      <c r="D350" s="692"/>
      <c r="E350" s="285"/>
      <c r="F350" s="285"/>
      <c r="G350" s="244"/>
      <c r="H350" s="285"/>
      <c r="I350" s="1"/>
      <c r="J350" s="1"/>
      <c r="K350" s="1"/>
      <c r="L350" s="1"/>
      <c r="M350" s="1"/>
      <c r="N350" s="1"/>
      <c r="O350" s="1"/>
      <c r="P350" s="1"/>
      <c r="Q350" s="1"/>
      <c r="R350" s="1"/>
      <c r="S350" s="1"/>
      <c r="T350" s="1"/>
      <c r="U350" s="1"/>
      <c r="V350" s="1"/>
      <c r="W350" s="1"/>
      <c r="X350" s="1"/>
      <c r="Y350" s="1"/>
      <c r="Z350" s="1"/>
    </row>
    <row r="351" ht="9.75" customHeight="1">
      <c r="A351" s="1"/>
      <c r="B351" s="185" t="s">
        <v>1105</v>
      </c>
      <c r="C351" s="186"/>
      <c r="D351" s="1"/>
      <c r="E351" s="1"/>
      <c r="F351" s="1"/>
      <c r="G351" s="1"/>
      <c r="H351" s="1"/>
      <c r="I351" s="1"/>
      <c r="J351" s="1"/>
      <c r="K351" s="1"/>
      <c r="L351" s="1"/>
      <c r="M351" s="1"/>
      <c r="N351" s="1"/>
      <c r="O351" s="1"/>
      <c r="P351" s="1"/>
      <c r="Q351" s="1"/>
      <c r="R351" s="1"/>
      <c r="S351" s="1"/>
      <c r="T351" s="1"/>
      <c r="U351" s="1"/>
      <c r="V351" s="1"/>
      <c r="W351" s="1"/>
      <c r="X351" s="1"/>
      <c r="Y351" s="1"/>
      <c r="Z351" s="1"/>
    </row>
    <row r="352" ht="10.5" customHeight="1">
      <c r="A352" s="1"/>
      <c r="B352" s="185" t="s">
        <v>1107</v>
      </c>
      <c r="C352" s="186"/>
      <c r="D352" s="1"/>
      <c r="E352" s="1"/>
      <c r="F352" s="1"/>
      <c r="G352" s="1"/>
      <c r="H352" s="1"/>
      <c r="I352" s="1"/>
      <c r="J352" s="1"/>
      <c r="K352" s="1"/>
      <c r="L352" s="1"/>
      <c r="M352" s="1"/>
      <c r="N352" s="1"/>
      <c r="O352" s="1"/>
      <c r="P352" s="1"/>
      <c r="Q352" s="1"/>
      <c r="R352" s="1"/>
      <c r="S352" s="1"/>
      <c r="T352" s="1"/>
      <c r="U352" s="1"/>
      <c r="V352" s="1"/>
      <c r="W352" s="1"/>
      <c r="X352" s="1"/>
      <c r="Y352" s="1"/>
      <c r="Z352" s="1"/>
    </row>
    <row r="353" ht="10.5" customHeight="1">
      <c r="A353" s="1"/>
      <c r="B353" s="185" t="s">
        <v>1109</v>
      </c>
      <c r="C353" s="186"/>
      <c r="D353" s="1"/>
      <c r="E353" s="1"/>
      <c r="F353" s="1"/>
      <c r="G353" s="1"/>
      <c r="H353" s="1"/>
      <c r="I353" s="1"/>
      <c r="J353" s="1"/>
      <c r="K353" s="1"/>
      <c r="L353" s="1"/>
      <c r="M353" s="1"/>
      <c r="N353" s="1"/>
      <c r="O353" s="1"/>
      <c r="P353" s="1"/>
      <c r="Q353" s="1"/>
      <c r="R353" s="1"/>
      <c r="S353" s="1"/>
      <c r="T353" s="1"/>
      <c r="U353" s="1"/>
      <c r="V353" s="1"/>
      <c r="W353" s="1"/>
      <c r="X353" s="1"/>
      <c r="Y353" s="1"/>
      <c r="Z353" s="1"/>
    </row>
    <row r="354" ht="10.5" customHeight="1">
      <c r="A354" s="1"/>
      <c r="B354" s="185" t="s">
        <v>1111</v>
      </c>
      <c r="C354" s="186"/>
      <c r="D354" s="1"/>
      <c r="E354" s="1"/>
      <c r="F354" s="1"/>
      <c r="G354" s="1"/>
      <c r="H354" s="1"/>
      <c r="I354" s="1"/>
      <c r="J354" s="1"/>
      <c r="K354" s="1"/>
      <c r="L354" s="1"/>
      <c r="M354" s="1"/>
      <c r="N354" s="1"/>
      <c r="O354" s="1"/>
      <c r="P354" s="1"/>
      <c r="Q354" s="1"/>
      <c r="R354" s="1"/>
      <c r="S354" s="1"/>
      <c r="T354" s="1"/>
      <c r="U354" s="1"/>
      <c r="V354" s="1"/>
      <c r="W354" s="1"/>
      <c r="X354" s="1"/>
      <c r="Y354" s="1"/>
      <c r="Z354" s="1"/>
    </row>
    <row r="355" ht="10.5" customHeight="1">
      <c r="A355" s="1"/>
      <c r="B355" s="185" t="s">
        <v>1112</v>
      </c>
      <c r="C355" s="186"/>
      <c r="D355" s="1"/>
      <c r="E355" s="1"/>
      <c r="F355" s="1"/>
      <c r="G355" s="1"/>
      <c r="H355" s="1"/>
      <c r="I355" s="1"/>
      <c r="J355" s="1"/>
      <c r="K355" s="1"/>
      <c r="L355" s="1"/>
      <c r="M355" s="1"/>
      <c r="N355" s="1"/>
      <c r="O355" s="1"/>
      <c r="P355" s="1"/>
      <c r="Q355" s="1"/>
      <c r="R355" s="1"/>
      <c r="S355" s="1"/>
      <c r="T355" s="1"/>
      <c r="U355" s="1"/>
      <c r="V355" s="1"/>
      <c r="W355" s="1"/>
      <c r="X355" s="1"/>
      <c r="Y355" s="1"/>
      <c r="Z355" s="1"/>
    </row>
    <row r="356" ht="10.5" customHeight="1">
      <c r="A356" s="1"/>
      <c r="B356" s="185" t="s">
        <v>1113</v>
      </c>
      <c r="C356" s="186"/>
      <c r="D356" s="1"/>
      <c r="E356" s="1"/>
      <c r="F356" s="1"/>
      <c r="G356" s="1"/>
      <c r="H356" s="1"/>
      <c r="I356" s="1"/>
      <c r="J356" s="1"/>
      <c r="K356" s="1"/>
      <c r="L356" s="1"/>
      <c r="M356" s="1"/>
      <c r="N356" s="1"/>
      <c r="O356" s="1"/>
      <c r="P356" s="1"/>
      <c r="Q356" s="1"/>
      <c r="R356" s="1"/>
      <c r="S356" s="1"/>
      <c r="T356" s="1"/>
      <c r="U356" s="1"/>
      <c r="V356" s="1"/>
      <c r="W356" s="1"/>
      <c r="X356" s="1"/>
      <c r="Y356" s="1"/>
      <c r="Z356" s="1"/>
    </row>
    <row r="357" ht="10.5" customHeight="1">
      <c r="A357" s="1"/>
      <c r="B357" s="1"/>
      <c r="C357" s="59"/>
      <c r="D357" s="59"/>
      <c r="E357" s="59"/>
      <c r="F357" s="59"/>
      <c r="G357" s="59"/>
      <c r="H357" s="59"/>
      <c r="I357" s="59"/>
      <c r="J357" s="1"/>
      <c r="K357" s="1"/>
      <c r="L357" s="1"/>
      <c r="M357" s="1"/>
      <c r="N357" s="1"/>
      <c r="O357" s="1"/>
      <c r="P357" s="1"/>
      <c r="Q357" s="1"/>
      <c r="R357" s="1"/>
      <c r="S357" s="1"/>
      <c r="T357" s="1"/>
      <c r="U357" s="1"/>
      <c r="V357" s="1"/>
      <c r="W357" s="1"/>
      <c r="X357" s="1"/>
      <c r="Y357" s="1"/>
      <c r="Z357" s="1"/>
    </row>
    <row r="358" ht="10.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0.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0.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0.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0.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0.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0.5" customHeight="1">
      <c r="A364" s="1"/>
      <c r="B364" s="1"/>
      <c r="C364" s="1"/>
      <c r="D364" s="1"/>
      <c r="E364" s="1"/>
      <c r="F364" s="1"/>
      <c r="G364" s="110">
        <v>62.0</v>
      </c>
      <c r="H364" s="1"/>
      <c r="I364" s="1"/>
      <c r="J364" s="1"/>
      <c r="K364" s="1"/>
      <c r="L364" s="1"/>
      <c r="M364" s="1"/>
      <c r="N364" s="1"/>
      <c r="O364" s="1"/>
      <c r="P364" s="1"/>
      <c r="Q364" s="1"/>
      <c r="R364" s="1"/>
      <c r="S364" s="1"/>
      <c r="T364" s="1"/>
      <c r="U364" s="1"/>
      <c r="V364" s="1"/>
      <c r="W364" s="1"/>
      <c r="X364" s="1"/>
      <c r="Y364" s="1"/>
      <c r="Z364" s="1"/>
    </row>
    <row r="365" ht="10.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1.25" customHeight="1">
      <c r="A366" s="1"/>
      <c r="B366" s="1" t="s">
        <v>1115</v>
      </c>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1.25" customHeight="1">
      <c r="A367" s="1"/>
      <c r="B367" s="2" t="s">
        <v>1117</v>
      </c>
      <c r="C367" s="128" t="s">
        <v>1118</v>
      </c>
      <c r="D367" s="9"/>
      <c r="E367" s="9"/>
      <c r="F367" s="9"/>
      <c r="G367" s="10"/>
      <c r="H367" s="128" t="s">
        <v>1119</v>
      </c>
      <c r="I367" s="9"/>
      <c r="J367" s="10"/>
      <c r="K367" s="1"/>
      <c r="L367" s="1"/>
      <c r="M367" s="1"/>
      <c r="N367" s="1"/>
      <c r="O367" s="1"/>
      <c r="P367" s="1"/>
      <c r="Q367" s="1"/>
      <c r="R367" s="1"/>
      <c r="S367" s="1"/>
      <c r="T367" s="1"/>
      <c r="U367" s="1"/>
      <c r="V367" s="1"/>
      <c r="W367" s="1"/>
      <c r="X367" s="1"/>
      <c r="Y367" s="1"/>
      <c r="Z367" s="1"/>
    </row>
    <row r="368" ht="35.25" customHeight="1">
      <c r="A368" s="1"/>
      <c r="B368" s="5"/>
      <c r="C368" s="7" t="s">
        <v>1120</v>
      </c>
      <c r="D368" s="7" t="s">
        <v>1121</v>
      </c>
      <c r="E368" s="7" t="s">
        <v>1122</v>
      </c>
      <c r="F368" s="7" t="s">
        <v>1123</v>
      </c>
      <c r="G368" s="7" t="s">
        <v>2</v>
      </c>
      <c r="H368" s="7" t="s">
        <v>1124</v>
      </c>
      <c r="I368" s="7" t="s">
        <v>1125</v>
      </c>
      <c r="J368" s="7" t="s">
        <v>2</v>
      </c>
      <c r="K368" s="1"/>
      <c r="L368" s="1"/>
      <c r="M368" s="1"/>
      <c r="N368" s="1"/>
      <c r="O368" s="1"/>
      <c r="P368" s="1"/>
      <c r="Q368" s="1"/>
      <c r="R368" s="1"/>
      <c r="S368" s="1"/>
      <c r="T368" s="1"/>
      <c r="U368" s="1"/>
      <c r="V368" s="1"/>
      <c r="W368" s="1"/>
      <c r="X368" s="1"/>
      <c r="Y368" s="1"/>
      <c r="Z368" s="1"/>
    </row>
    <row r="369" ht="11.25" customHeight="1">
      <c r="A369" s="1"/>
      <c r="B369" s="6"/>
      <c r="C369" s="128" t="s">
        <v>9</v>
      </c>
      <c r="D369" s="9"/>
      <c r="E369" s="9"/>
      <c r="F369" s="9"/>
      <c r="G369" s="9"/>
      <c r="H369" s="9"/>
      <c r="I369" s="9"/>
      <c r="J369" s="10"/>
      <c r="K369" s="1"/>
      <c r="L369" s="1"/>
      <c r="M369" s="1"/>
      <c r="N369" s="1"/>
      <c r="O369" s="1"/>
      <c r="P369" s="1"/>
      <c r="Q369" s="1"/>
      <c r="R369" s="1"/>
      <c r="S369" s="1"/>
      <c r="T369" s="1"/>
      <c r="U369" s="1"/>
      <c r="V369" s="1"/>
      <c r="W369" s="1"/>
      <c r="X369" s="1"/>
      <c r="Y369" s="1"/>
      <c r="Z369" s="1"/>
    </row>
    <row r="370" ht="10.5" customHeight="1">
      <c r="A370" s="1"/>
      <c r="B370" s="238">
        <v>1970.0</v>
      </c>
      <c r="C370" s="136">
        <v>25257.0</v>
      </c>
      <c r="D370" s="136">
        <v>1700.0</v>
      </c>
      <c r="E370" s="136">
        <v>2508.0</v>
      </c>
      <c r="F370" s="136">
        <v>3671.0</v>
      </c>
      <c r="G370" s="136">
        <f t="shared" ref="G370:G374" si="9">SUM(C370:F370)</f>
        <v>33136</v>
      </c>
      <c r="H370" s="136" t="s">
        <v>10</v>
      </c>
      <c r="I370" s="136" t="s">
        <v>10</v>
      </c>
      <c r="J370" s="136">
        <v>2546.0</v>
      </c>
      <c r="K370" s="1"/>
      <c r="L370" s="1"/>
      <c r="M370" s="1"/>
      <c r="N370" s="1"/>
      <c r="O370" s="1"/>
      <c r="P370" s="1"/>
      <c r="Q370" s="1"/>
      <c r="R370" s="1"/>
      <c r="S370" s="1"/>
      <c r="T370" s="1"/>
      <c r="U370" s="1"/>
      <c r="V370" s="1"/>
      <c r="W370" s="1"/>
      <c r="X370" s="1"/>
      <c r="Y370" s="1"/>
      <c r="Z370" s="1"/>
    </row>
    <row r="371" ht="10.5" customHeight="1">
      <c r="A371" s="1"/>
      <c r="B371" s="238">
        <v>1971.0</v>
      </c>
      <c r="C371" s="136">
        <v>20572.0</v>
      </c>
      <c r="D371" s="136">
        <v>2151.0</v>
      </c>
      <c r="E371" s="136">
        <v>2569.0</v>
      </c>
      <c r="F371" s="136">
        <v>4132.0</v>
      </c>
      <c r="G371" s="136">
        <f t="shared" si="9"/>
        <v>29424</v>
      </c>
      <c r="H371" s="136" t="s">
        <v>10</v>
      </c>
      <c r="I371" s="136" t="s">
        <v>10</v>
      </c>
      <c r="J371" s="136">
        <v>2135.0</v>
      </c>
      <c r="K371" s="1"/>
      <c r="L371" s="1"/>
      <c r="M371" s="1"/>
      <c r="N371" s="1"/>
      <c r="O371" s="1"/>
      <c r="P371" s="1"/>
      <c r="Q371" s="1"/>
      <c r="R371" s="1"/>
      <c r="S371" s="1"/>
      <c r="T371" s="1"/>
      <c r="U371" s="1"/>
      <c r="V371" s="1"/>
      <c r="W371" s="1"/>
      <c r="X371" s="1"/>
      <c r="Y371" s="1"/>
      <c r="Z371" s="1"/>
    </row>
    <row r="372" ht="10.5" customHeight="1">
      <c r="A372" s="1"/>
      <c r="B372" s="238">
        <v>1972.0</v>
      </c>
      <c r="C372" s="136">
        <v>20110.0</v>
      </c>
      <c r="D372" s="136">
        <v>1830.0</v>
      </c>
      <c r="E372" s="136">
        <v>2419.0</v>
      </c>
      <c r="F372" s="136">
        <v>4742.0</v>
      </c>
      <c r="G372" s="136">
        <f t="shared" si="9"/>
        <v>29101</v>
      </c>
      <c r="H372" s="136">
        <v>954.0</v>
      </c>
      <c r="I372" s="136">
        <v>1195.0</v>
      </c>
      <c r="J372" s="136">
        <f t="shared" ref="J372:J374" si="10">+I372+H372</f>
        <v>2149</v>
      </c>
      <c r="K372" s="1"/>
      <c r="L372" s="1"/>
      <c r="M372" s="1"/>
      <c r="N372" s="1"/>
      <c r="O372" s="1"/>
      <c r="P372" s="1"/>
      <c r="Q372" s="1"/>
      <c r="R372" s="1"/>
      <c r="S372" s="1"/>
      <c r="T372" s="1"/>
      <c r="U372" s="1"/>
      <c r="V372" s="1"/>
      <c r="W372" s="1"/>
      <c r="X372" s="1"/>
      <c r="Y372" s="1"/>
      <c r="Z372" s="1"/>
    </row>
    <row r="373" ht="10.5" customHeight="1">
      <c r="A373" s="1"/>
      <c r="B373" s="238">
        <v>1973.0</v>
      </c>
      <c r="C373" s="136">
        <v>19711.0</v>
      </c>
      <c r="D373" s="136">
        <v>2215.0</v>
      </c>
      <c r="E373" s="136">
        <v>3161.0</v>
      </c>
      <c r="F373" s="136">
        <v>4520.0</v>
      </c>
      <c r="G373" s="136">
        <f t="shared" si="9"/>
        <v>29607</v>
      </c>
      <c r="H373" s="136">
        <v>925.0</v>
      </c>
      <c r="I373" s="136">
        <v>1263.0</v>
      </c>
      <c r="J373" s="136">
        <f t="shared" si="10"/>
        <v>2188</v>
      </c>
      <c r="K373" s="1"/>
      <c r="L373" s="1"/>
      <c r="M373" s="1"/>
      <c r="N373" s="1"/>
      <c r="O373" s="1"/>
      <c r="P373" s="1"/>
      <c r="Q373" s="1"/>
      <c r="R373" s="1"/>
      <c r="S373" s="1"/>
      <c r="T373" s="1"/>
      <c r="U373" s="1"/>
      <c r="V373" s="1"/>
      <c r="W373" s="1"/>
      <c r="X373" s="1"/>
      <c r="Y373" s="1"/>
      <c r="Z373" s="1"/>
    </row>
    <row r="374" ht="10.5" customHeight="1">
      <c r="A374" s="1"/>
      <c r="B374" s="238">
        <v>1974.0</v>
      </c>
      <c r="C374" s="136">
        <v>20874.0</v>
      </c>
      <c r="D374" s="136">
        <v>1767.0</v>
      </c>
      <c r="E374" s="136">
        <v>2920.0</v>
      </c>
      <c r="F374" s="136">
        <v>4735.0</v>
      </c>
      <c r="G374" s="136">
        <f t="shared" si="9"/>
        <v>30296</v>
      </c>
      <c r="H374" s="136">
        <v>992.0</v>
      </c>
      <c r="I374" s="136">
        <v>1278.0</v>
      </c>
      <c r="J374" s="136">
        <f t="shared" si="10"/>
        <v>2270</v>
      </c>
      <c r="K374" s="1"/>
      <c r="L374" s="1"/>
      <c r="M374" s="1"/>
      <c r="N374" s="1"/>
      <c r="O374" s="1"/>
      <c r="P374" s="1"/>
      <c r="Q374" s="1"/>
      <c r="R374" s="1"/>
      <c r="S374" s="1"/>
      <c r="T374" s="1"/>
      <c r="U374" s="1"/>
      <c r="V374" s="1"/>
      <c r="W374" s="1"/>
      <c r="X374" s="1"/>
      <c r="Y374" s="1"/>
      <c r="Z374" s="1"/>
    </row>
    <row r="375" ht="10.5" customHeight="1">
      <c r="A375" s="1"/>
      <c r="B375" s="238"/>
      <c r="C375" s="136"/>
      <c r="D375" s="136"/>
      <c r="E375" s="136"/>
      <c r="F375" s="136"/>
      <c r="G375" s="136"/>
      <c r="H375" s="136"/>
      <c r="I375" s="136"/>
      <c r="J375" s="136"/>
      <c r="K375" s="1"/>
      <c r="L375" s="1"/>
      <c r="M375" s="1"/>
      <c r="N375" s="1"/>
      <c r="O375" s="1"/>
      <c r="P375" s="1"/>
      <c r="Q375" s="1"/>
      <c r="R375" s="1"/>
      <c r="S375" s="1"/>
      <c r="T375" s="1"/>
      <c r="U375" s="1"/>
      <c r="V375" s="1"/>
      <c r="W375" s="1"/>
      <c r="X375" s="1"/>
      <c r="Y375" s="1"/>
      <c r="Z375" s="1"/>
    </row>
    <row r="376" ht="10.5" customHeight="1">
      <c r="A376" s="1"/>
      <c r="B376" s="238">
        <v>1975.0</v>
      </c>
      <c r="C376" s="136">
        <v>20823.0</v>
      </c>
      <c r="D376" s="136">
        <v>1937.0</v>
      </c>
      <c r="E376" s="136">
        <v>3454.0</v>
      </c>
      <c r="F376" s="136">
        <v>4775.0</v>
      </c>
      <c r="G376" s="136">
        <f t="shared" ref="G376:G380" si="11">SUM(C376:F376)</f>
        <v>30989</v>
      </c>
      <c r="H376" s="136">
        <v>1046.0</v>
      </c>
      <c r="I376" s="136">
        <v>1269.0</v>
      </c>
      <c r="J376" s="136">
        <f t="shared" ref="J376:J380" si="12">+I376+H376</f>
        <v>2315</v>
      </c>
      <c r="K376" s="1"/>
      <c r="L376" s="1"/>
      <c r="M376" s="1"/>
      <c r="N376" s="1"/>
      <c r="O376" s="1"/>
      <c r="P376" s="1"/>
      <c r="Q376" s="1"/>
      <c r="R376" s="1"/>
      <c r="S376" s="1"/>
      <c r="T376" s="1"/>
      <c r="U376" s="1"/>
      <c r="V376" s="1"/>
      <c r="W376" s="1"/>
      <c r="X376" s="1"/>
      <c r="Y376" s="1"/>
      <c r="Z376" s="1"/>
    </row>
    <row r="377" ht="10.5" customHeight="1">
      <c r="A377" s="1"/>
      <c r="B377" s="238">
        <v>1976.0</v>
      </c>
      <c r="C377" s="136">
        <v>20450.0</v>
      </c>
      <c r="D377" s="136">
        <v>2169.0</v>
      </c>
      <c r="E377" s="136">
        <v>3408.0</v>
      </c>
      <c r="F377" s="136">
        <v>4958.0</v>
      </c>
      <c r="G377" s="136">
        <f t="shared" si="11"/>
        <v>30985</v>
      </c>
      <c r="H377" s="136">
        <v>1142.0</v>
      </c>
      <c r="I377" s="136">
        <v>1211.0</v>
      </c>
      <c r="J377" s="136">
        <f t="shared" si="12"/>
        <v>2353</v>
      </c>
      <c r="K377" s="1"/>
      <c r="L377" s="1"/>
      <c r="M377" s="1"/>
      <c r="N377" s="1"/>
      <c r="O377" s="1"/>
      <c r="P377" s="1"/>
      <c r="Q377" s="1"/>
      <c r="R377" s="1"/>
      <c r="S377" s="1"/>
      <c r="T377" s="1"/>
      <c r="U377" s="1"/>
      <c r="V377" s="1"/>
      <c r="W377" s="1"/>
      <c r="X377" s="1"/>
      <c r="Y377" s="1"/>
      <c r="Z377" s="1"/>
    </row>
    <row r="378" ht="10.5" customHeight="1">
      <c r="A378" s="1"/>
      <c r="B378" s="238">
        <v>1977.0</v>
      </c>
      <c r="C378" s="136">
        <v>20873.0</v>
      </c>
      <c r="D378" s="136">
        <v>2156.0</v>
      </c>
      <c r="E378" s="136">
        <v>3813.0</v>
      </c>
      <c r="F378" s="136">
        <v>5119.0</v>
      </c>
      <c r="G378" s="136">
        <f t="shared" si="11"/>
        <v>31961</v>
      </c>
      <c r="H378" s="136">
        <v>1199.0</v>
      </c>
      <c r="I378" s="136">
        <v>1261.0</v>
      </c>
      <c r="J378" s="136">
        <f t="shared" si="12"/>
        <v>2460</v>
      </c>
      <c r="K378" s="1"/>
      <c r="L378" s="1"/>
      <c r="M378" s="1"/>
      <c r="N378" s="1"/>
      <c r="O378" s="1"/>
      <c r="P378" s="1"/>
      <c r="Q378" s="1"/>
      <c r="R378" s="1"/>
      <c r="S378" s="1"/>
      <c r="T378" s="1"/>
      <c r="U378" s="1"/>
      <c r="V378" s="1"/>
      <c r="W378" s="1"/>
      <c r="X378" s="1"/>
      <c r="Y378" s="1"/>
      <c r="Z378" s="1"/>
    </row>
    <row r="379" ht="10.5" customHeight="1">
      <c r="A379" s="1"/>
      <c r="B379" s="238">
        <v>1978.0</v>
      </c>
      <c r="C379" s="136">
        <v>20599.0</v>
      </c>
      <c r="D379" s="136">
        <v>2034.0</v>
      </c>
      <c r="E379" s="136">
        <v>3815.0</v>
      </c>
      <c r="F379" s="136">
        <v>5340.0</v>
      </c>
      <c r="G379" s="136">
        <f t="shared" si="11"/>
        <v>31788</v>
      </c>
      <c r="H379" s="136">
        <v>1379.0</v>
      </c>
      <c r="I379" s="136">
        <v>1273.0</v>
      </c>
      <c r="J379" s="136">
        <f t="shared" si="12"/>
        <v>2652</v>
      </c>
      <c r="K379" s="1"/>
      <c r="L379" s="1"/>
      <c r="M379" s="1"/>
      <c r="N379" s="1"/>
      <c r="O379" s="1"/>
      <c r="P379" s="1"/>
      <c r="Q379" s="1"/>
      <c r="R379" s="1"/>
      <c r="S379" s="1"/>
      <c r="T379" s="1"/>
      <c r="U379" s="1"/>
      <c r="V379" s="1"/>
      <c r="W379" s="1"/>
      <c r="X379" s="1"/>
      <c r="Y379" s="1"/>
      <c r="Z379" s="1"/>
    </row>
    <row r="380" ht="10.5" customHeight="1">
      <c r="A380" s="1"/>
      <c r="B380" s="238">
        <v>1979.0</v>
      </c>
      <c r="C380" s="136">
        <v>20594.0</v>
      </c>
      <c r="D380" s="136">
        <v>1779.0</v>
      </c>
      <c r="E380" s="136">
        <v>3526.0</v>
      </c>
      <c r="F380" s="136">
        <v>5304.0</v>
      </c>
      <c r="G380" s="136">
        <f t="shared" si="11"/>
        <v>31203</v>
      </c>
      <c r="H380" s="136">
        <v>1509.0</v>
      </c>
      <c r="I380" s="136">
        <v>1183.0</v>
      </c>
      <c r="J380" s="136">
        <f t="shared" si="12"/>
        <v>2692</v>
      </c>
      <c r="K380" s="1"/>
      <c r="L380" s="1"/>
      <c r="M380" s="1"/>
      <c r="N380" s="1"/>
      <c r="O380" s="1"/>
      <c r="P380" s="1"/>
      <c r="Q380" s="1"/>
      <c r="R380" s="1"/>
      <c r="S380" s="1"/>
      <c r="T380" s="1"/>
      <c r="U380" s="1"/>
      <c r="V380" s="1"/>
      <c r="W380" s="1"/>
      <c r="X380" s="1"/>
      <c r="Y380" s="1"/>
      <c r="Z380" s="1"/>
    </row>
    <row r="381" ht="10.5" customHeight="1">
      <c r="A381" s="1"/>
      <c r="B381" s="238"/>
      <c r="C381" s="136"/>
      <c r="D381" s="136"/>
      <c r="E381" s="136"/>
      <c r="F381" s="136"/>
      <c r="G381" s="136"/>
      <c r="H381" s="136"/>
      <c r="I381" s="136"/>
      <c r="J381" s="136"/>
      <c r="K381" s="1"/>
      <c r="L381" s="1"/>
      <c r="M381" s="1"/>
      <c r="N381" s="1"/>
      <c r="O381" s="1"/>
      <c r="P381" s="1"/>
      <c r="Q381" s="1"/>
      <c r="R381" s="1"/>
      <c r="S381" s="1"/>
      <c r="T381" s="1"/>
      <c r="U381" s="1"/>
      <c r="V381" s="1"/>
      <c r="W381" s="1"/>
      <c r="X381" s="1"/>
      <c r="Y381" s="1"/>
      <c r="Z381" s="1"/>
    </row>
    <row r="382" ht="10.5" customHeight="1">
      <c r="A382" s="1"/>
      <c r="B382" s="238">
        <v>1980.0</v>
      </c>
      <c r="C382" s="136">
        <v>20009.0</v>
      </c>
      <c r="D382" s="136">
        <v>2145.0</v>
      </c>
      <c r="E382" s="136">
        <v>3588.0</v>
      </c>
      <c r="F382" s="136">
        <v>5011.0</v>
      </c>
      <c r="G382" s="136">
        <f t="shared" ref="G382:G386" si="13">SUM(C382:F382)</f>
        <v>30753</v>
      </c>
      <c r="H382" s="136">
        <v>1614.0</v>
      </c>
      <c r="I382" s="136">
        <v>1115.0</v>
      </c>
      <c r="J382" s="136">
        <f t="shared" ref="J382:J386" si="14">+I382+H382</f>
        <v>2729</v>
      </c>
      <c r="K382" s="1"/>
      <c r="L382" s="1"/>
      <c r="M382" s="1"/>
      <c r="N382" s="1"/>
      <c r="O382" s="1"/>
      <c r="P382" s="1"/>
      <c r="Q382" s="1"/>
      <c r="R382" s="1"/>
      <c r="S382" s="1"/>
      <c r="T382" s="1"/>
      <c r="U382" s="1"/>
      <c r="V382" s="1"/>
      <c r="W382" s="1"/>
      <c r="X382" s="1"/>
      <c r="Y382" s="1"/>
      <c r="Z382" s="1"/>
    </row>
    <row r="383" ht="10.5" customHeight="1">
      <c r="A383" s="1"/>
      <c r="B383" s="238">
        <v>1981.0</v>
      </c>
      <c r="C383" s="136">
        <v>19335.0</v>
      </c>
      <c r="D383" s="136">
        <v>1936.0</v>
      </c>
      <c r="E383" s="136">
        <v>3824.0</v>
      </c>
      <c r="F383" s="136">
        <v>5648.0</v>
      </c>
      <c r="G383" s="136">
        <f t="shared" si="13"/>
        <v>30743</v>
      </c>
      <c r="H383" s="136">
        <v>1676.0</v>
      </c>
      <c r="I383" s="136">
        <v>1082.0</v>
      </c>
      <c r="J383" s="136">
        <f t="shared" si="14"/>
        <v>2758</v>
      </c>
      <c r="K383" s="1"/>
      <c r="L383" s="1"/>
      <c r="M383" s="1"/>
      <c r="N383" s="1"/>
      <c r="O383" s="1"/>
      <c r="P383" s="1"/>
      <c r="Q383" s="1"/>
      <c r="R383" s="1"/>
      <c r="S383" s="1"/>
      <c r="T383" s="1"/>
      <c r="U383" s="1"/>
      <c r="V383" s="1"/>
      <c r="W383" s="1"/>
      <c r="X383" s="1"/>
      <c r="Y383" s="1"/>
      <c r="Z383" s="1"/>
    </row>
    <row r="384" ht="10.5" customHeight="1">
      <c r="A384" s="1"/>
      <c r="B384" s="238">
        <v>1982.0</v>
      </c>
      <c r="C384" s="136">
        <v>19036.0</v>
      </c>
      <c r="D384" s="136">
        <v>1718.0</v>
      </c>
      <c r="E384" s="136">
        <v>4258.0</v>
      </c>
      <c r="F384" s="136">
        <v>5660.0</v>
      </c>
      <c r="G384" s="136">
        <f t="shared" si="13"/>
        <v>30672</v>
      </c>
      <c r="H384" s="136">
        <v>1772.0</v>
      </c>
      <c r="I384" s="136">
        <v>1090.0</v>
      </c>
      <c r="J384" s="136">
        <f t="shared" si="14"/>
        <v>2862</v>
      </c>
      <c r="K384" s="1"/>
      <c r="L384" s="1"/>
      <c r="M384" s="1"/>
      <c r="N384" s="1"/>
      <c r="O384" s="1"/>
      <c r="P384" s="1"/>
      <c r="Q384" s="1"/>
      <c r="R384" s="1"/>
      <c r="S384" s="1"/>
      <c r="T384" s="1"/>
      <c r="U384" s="1"/>
      <c r="V384" s="1"/>
      <c r="W384" s="1"/>
      <c r="X384" s="1"/>
      <c r="Y384" s="1"/>
      <c r="Z384" s="1"/>
    </row>
    <row r="385" ht="10.5" customHeight="1">
      <c r="A385" s="1"/>
      <c r="B385" s="238">
        <v>1983.0</v>
      </c>
      <c r="C385" s="136">
        <v>17660.0</v>
      </c>
      <c r="D385" s="136">
        <v>1040.0</v>
      </c>
      <c r="E385" s="136">
        <v>4429.0</v>
      </c>
      <c r="F385" s="136">
        <v>5993.0</v>
      </c>
      <c r="G385" s="136">
        <f t="shared" si="13"/>
        <v>29122</v>
      </c>
      <c r="H385" s="136">
        <v>1748.0</v>
      </c>
      <c r="I385" s="136">
        <v>1026.0</v>
      </c>
      <c r="J385" s="136">
        <f t="shared" si="14"/>
        <v>2774</v>
      </c>
      <c r="K385" s="1"/>
      <c r="L385" s="1"/>
      <c r="M385" s="1"/>
      <c r="N385" s="1"/>
      <c r="O385" s="1"/>
      <c r="P385" s="1"/>
      <c r="Q385" s="1"/>
      <c r="R385" s="1"/>
      <c r="S385" s="1"/>
      <c r="T385" s="1"/>
      <c r="U385" s="1"/>
      <c r="V385" s="1"/>
      <c r="W385" s="1"/>
      <c r="X385" s="1"/>
      <c r="Y385" s="1"/>
      <c r="Z385" s="1"/>
    </row>
    <row r="386" ht="10.5" customHeight="1">
      <c r="A386" s="1"/>
      <c r="B386" s="238">
        <v>1984.0</v>
      </c>
      <c r="C386" s="136">
        <v>16551.0</v>
      </c>
      <c r="D386" s="136">
        <v>881.0</v>
      </c>
      <c r="E386" s="136">
        <v>4495.0</v>
      </c>
      <c r="F386" s="136">
        <v>5862.0</v>
      </c>
      <c r="G386" s="136">
        <f t="shared" si="13"/>
        <v>27789</v>
      </c>
      <c r="H386" s="136">
        <v>1673.0</v>
      </c>
      <c r="I386" s="136">
        <v>1105.0</v>
      </c>
      <c r="J386" s="136">
        <f t="shared" si="14"/>
        <v>2778</v>
      </c>
      <c r="K386" s="1"/>
      <c r="L386" s="1"/>
      <c r="M386" s="1"/>
      <c r="N386" s="1"/>
      <c r="O386" s="1"/>
      <c r="P386" s="1"/>
      <c r="Q386" s="1"/>
      <c r="R386" s="1"/>
      <c r="S386" s="1"/>
      <c r="T386" s="1"/>
      <c r="U386" s="1"/>
      <c r="V386" s="1"/>
      <c r="W386" s="1"/>
      <c r="X386" s="1"/>
      <c r="Y386" s="1"/>
      <c r="Z386" s="1"/>
    </row>
    <row r="387" ht="10.5" customHeight="1">
      <c r="A387" s="1"/>
      <c r="B387" s="238"/>
      <c r="C387" s="136"/>
      <c r="D387" s="136"/>
      <c r="E387" s="136"/>
      <c r="F387" s="136"/>
      <c r="G387" s="136"/>
      <c r="H387" s="136"/>
      <c r="I387" s="136"/>
      <c r="J387" s="136"/>
      <c r="K387" s="1"/>
      <c r="L387" s="1"/>
      <c r="M387" s="1"/>
      <c r="N387" s="1"/>
      <c r="O387" s="1"/>
      <c r="P387" s="1"/>
      <c r="Q387" s="1"/>
      <c r="R387" s="1"/>
      <c r="S387" s="1"/>
      <c r="T387" s="1"/>
      <c r="U387" s="1"/>
      <c r="V387" s="1"/>
      <c r="W387" s="1"/>
      <c r="X387" s="1"/>
      <c r="Y387" s="1"/>
      <c r="Z387" s="1"/>
    </row>
    <row r="388" ht="10.5" customHeight="1">
      <c r="A388" s="1"/>
      <c r="B388" s="238">
        <v>1985.0</v>
      </c>
      <c r="C388" s="136">
        <v>16045.0</v>
      </c>
      <c r="D388" s="136">
        <v>691.0</v>
      </c>
      <c r="E388" s="136">
        <v>4586.0</v>
      </c>
      <c r="F388" s="136">
        <v>5787.0</v>
      </c>
      <c r="G388" s="136">
        <f t="shared" ref="G388:G392" si="15">SUM(C388:F388)</f>
        <v>27109</v>
      </c>
      <c r="H388" s="136">
        <v>1961.0</v>
      </c>
      <c r="I388" s="136">
        <v>833.0</v>
      </c>
      <c r="J388" s="136">
        <f t="shared" ref="J388:J390" si="16">+I388+H388</f>
        <v>2794</v>
      </c>
      <c r="K388" s="1"/>
      <c r="L388" s="1"/>
      <c r="M388" s="1"/>
      <c r="N388" s="1"/>
      <c r="O388" s="1"/>
      <c r="P388" s="1"/>
      <c r="Q388" s="1"/>
      <c r="R388" s="1"/>
      <c r="S388" s="1"/>
      <c r="T388" s="1"/>
      <c r="U388" s="1"/>
      <c r="V388" s="1"/>
      <c r="W388" s="1"/>
      <c r="X388" s="1"/>
      <c r="Y388" s="1"/>
      <c r="Z388" s="1"/>
    </row>
    <row r="389" ht="10.5" customHeight="1">
      <c r="A389" s="1"/>
      <c r="B389" s="238">
        <v>1986.0</v>
      </c>
      <c r="C389" s="136">
        <v>16353.0</v>
      </c>
      <c r="D389" s="136">
        <v>532.0</v>
      </c>
      <c r="E389" s="136">
        <v>4232.0</v>
      </c>
      <c r="F389" s="136">
        <v>5872.0</v>
      </c>
      <c r="G389" s="136">
        <f t="shared" si="15"/>
        <v>26989</v>
      </c>
      <c r="H389" s="136">
        <v>2062.0</v>
      </c>
      <c r="I389" s="136">
        <v>818.0</v>
      </c>
      <c r="J389" s="136">
        <f t="shared" si="16"/>
        <v>2880</v>
      </c>
      <c r="K389" s="1"/>
      <c r="L389" s="1"/>
      <c r="M389" s="1"/>
      <c r="N389" s="1"/>
      <c r="O389" s="1"/>
      <c r="P389" s="1"/>
      <c r="Q389" s="1"/>
      <c r="R389" s="1"/>
      <c r="S389" s="1"/>
      <c r="T389" s="1"/>
      <c r="U389" s="1"/>
      <c r="V389" s="1"/>
      <c r="W389" s="1"/>
      <c r="X389" s="1"/>
      <c r="Y389" s="1"/>
      <c r="Z389" s="1"/>
    </row>
    <row r="390" ht="10.5" customHeight="1">
      <c r="A390" s="1"/>
      <c r="B390" s="238">
        <v>1987.0</v>
      </c>
      <c r="C390" s="136">
        <v>16087.0</v>
      </c>
      <c r="D390" s="136">
        <v>489.0</v>
      </c>
      <c r="E390" s="136">
        <v>4696.0</v>
      </c>
      <c r="F390" s="136">
        <v>5660.0</v>
      </c>
      <c r="G390" s="136">
        <f t="shared" si="15"/>
        <v>26932</v>
      </c>
      <c r="H390" s="136">
        <v>2163.0</v>
      </c>
      <c r="I390" s="136">
        <v>826.0</v>
      </c>
      <c r="J390" s="136">
        <f t="shared" si="16"/>
        <v>2989</v>
      </c>
      <c r="K390" s="1"/>
      <c r="L390" s="1"/>
      <c r="M390" s="1"/>
      <c r="N390" s="1"/>
      <c r="O390" s="1"/>
      <c r="P390" s="1"/>
      <c r="Q390" s="1"/>
      <c r="R390" s="1"/>
      <c r="S390" s="1"/>
      <c r="T390" s="1"/>
      <c r="U390" s="1"/>
      <c r="V390" s="1"/>
      <c r="W390" s="1"/>
      <c r="X390" s="1"/>
      <c r="Y390" s="1"/>
      <c r="Z390" s="1"/>
    </row>
    <row r="391" ht="10.5" customHeight="1">
      <c r="A391" s="1"/>
      <c r="B391" s="238">
        <v>1988.0</v>
      </c>
      <c r="C391" s="136">
        <v>16161.0</v>
      </c>
      <c r="D391" s="136">
        <v>650.0</v>
      </c>
      <c r="E391" s="136">
        <v>4874.0</v>
      </c>
      <c r="F391" s="136">
        <v>6003.0</v>
      </c>
      <c r="G391" s="136">
        <f t="shared" si="15"/>
        <v>27688</v>
      </c>
      <c r="H391" s="136" t="s">
        <v>10</v>
      </c>
      <c r="I391" s="136" t="s">
        <v>10</v>
      </c>
      <c r="J391" s="136">
        <v>2944.0</v>
      </c>
      <c r="K391" s="1"/>
      <c r="L391" s="1"/>
      <c r="M391" s="1"/>
      <c r="N391" s="1"/>
      <c r="O391" s="1"/>
      <c r="P391" s="1"/>
      <c r="Q391" s="1"/>
      <c r="R391" s="1"/>
      <c r="S391" s="1"/>
      <c r="T391" s="1"/>
      <c r="U391" s="1"/>
      <c r="V391" s="1"/>
      <c r="W391" s="1"/>
      <c r="X391" s="1"/>
      <c r="Y391" s="1"/>
      <c r="Z391" s="1"/>
    </row>
    <row r="392" ht="10.5" customHeight="1">
      <c r="A392" s="1"/>
      <c r="B392" s="238">
        <v>1989.0</v>
      </c>
      <c r="C392" s="136">
        <v>17644.0</v>
      </c>
      <c r="D392" s="136">
        <v>599.0</v>
      </c>
      <c r="E392" s="136">
        <v>5127.0</v>
      </c>
      <c r="F392" s="136">
        <v>6264.0</v>
      </c>
      <c r="G392" s="136">
        <f t="shared" si="15"/>
        <v>29634</v>
      </c>
      <c r="H392" s="136" t="s">
        <v>10</v>
      </c>
      <c r="I392" s="136" t="s">
        <v>10</v>
      </c>
      <c r="J392" s="136">
        <v>2885.0</v>
      </c>
      <c r="K392" s="1"/>
      <c r="L392" s="1"/>
      <c r="M392" s="1"/>
      <c r="N392" s="1"/>
      <c r="O392" s="1"/>
      <c r="P392" s="1"/>
      <c r="Q392" s="1"/>
      <c r="R392" s="1"/>
      <c r="S392" s="1"/>
      <c r="T392" s="1"/>
      <c r="U392" s="1"/>
      <c r="V392" s="1"/>
      <c r="W392" s="1"/>
      <c r="X392" s="1"/>
      <c r="Y392" s="1"/>
      <c r="Z392" s="1"/>
    </row>
    <row r="393" ht="10.5" customHeight="1">
      <c r="A393" s="1"/>
      <c r="B393" s="238"/>
      <c r="C393" s="136"/>
      <c r="D393" s="136"/>
      <c r="E393" s="136"/>
      <c r="F393" s="136"/>
      <c r="G393" s="136"/>
      <c r="H393" s="136"/>
      <c r="I393" s="136"/>
      <c r="J393" s="136"/>
      <c r="K393" s="1"/>
      <c r="L393" s="1"/>
      <c r="M393" s="1"/>
      <c r="N393" s="1"/>
      <c r="O393" s="1"/>
      <c r="P393" s="1"/>
      <c r="Q393" s="1"/>
      <c r="R393" s="1"/>
      <c r="S393" s="1"/>
      <c r="T393" s="1"/>
      <c r="U393" s="1"/>
      <c r="V393" s="1"/>
      <c r="W393" s="1"/>
      <c r="X393" s="1"/>
      <c r="Y393" s="1"/>
      <c r="Z393" s="1"/>
    </row>
    <row r="394" ht="10.5" customHeight="1">
      <c r="A394" s="1"/>
      <c r="B394" s="238">
        <v>1990.0</v>
      </c>
      <c r="C394" s="136">
        <v>17916.0</v>
      </c>
      <c r="D394" s="136">
        <v>495.0</v>
      </c>
      <c r="E394" s="136">
        <v>4658.0</v>
      </c>
      <c r="F394" s="136">
        <v>6910.0</v>
      </c>
      <c r="G394" s="136">
        <f t="shared" ref="G394:G398" si="17">SUM(C394:F394)</f>
        <v>29979</v>
      </c>
      <c r="H394" s="136" t="s">
        <v>10</v>
      </c>
      <c r="I394" s="136" t="s">
        <v>10</v>
      </c>
      <c r="J394" s="136">
        <v>2774.0</v>
      </c>
      <c r="K394" s="1"/>
      <c r="L394" s="1"/>
      <c r="M394" s="1"/>
      <c r="N394" s="1"/>
      <c r="O394" s="1"/>
      <c r="P394" s="1"/>
      <c r="Q394" s="1"/>
      <c r="R394" s="1"/>
      <c r="S394" s="1"/>
      <c r="T394" s="1"/>
      <c r="U394" s="1"/>
      <c r="V394" s="1"/>
      <c r="W394" s="1"/>
      <c r="X394" s="1"/>
      <c r="Y394" s="1"/>
      <c r="Z394" s="1"/>
    </row>
    <row r="395" ht="10.5" customHeight="1">
      <c r="A395" s="1"/>
      <c r="B395" s="238">
        <v>1991.0</v>
      </c>
      <c r="C395" s="136">
        <v>17057.0</v>
      </c>
      <c r="D395" s="136">
        <v>498.0</v>
      </c>
      <c r="E395" s="136">
        <v>4330.0</v>
      </c>
      <c r="F395" s="136">
        <v>6746.0</v>
      </c>
      <c r="G395" s="136">
        <f t="shared" si="17"/>
        <v>28631</v>
      </c>
      <c r="H395" s="136" t="s">
        <v>10</v>
      </c>
      <c r="I395" s="136" t="s">
        <v>10</v>
      </c>
      <c r="J395" s="136">
        <v>2453.0</v>
      </c>
      <c r="K395" s="1"/>
      <c r="L395" s="1"/>
      <c r="M395" s="1"/>
      <c r="N395" s="1"/>
      <c r="O395" s="1"/>
      <c r="P395" s="1"/>
      <c r="Q395" s="1"/>
      <c r="R395" s="1"/>
      <c r="S395" s="1"/>
      <c r="T395" s="1"/>
      <c r="U395" s="1"/>
      <c r="V395" s="1"/>
      <c r="W395" s="1"/>
      <c r="X395" s="1"/>
      <c r="Y395" s="1"/>
      <c r="Z395" s="1"/>
    </row>
    <row r="396" ht="10.5" customHeight="1">
      <c r="A396" s="1"/>
      <c r="B396" s="238">
        <v>1992.0</v>
      </c>
      <c r="C396" s="136">
        <v>16762.0</v>
      </c>
      <c r="D396" s="136">
        <v>208.0</v>
      </c>
      <c r="E396" s="136">
        <v>3763.0</v>
      </c>
      <c r="F396" s="136">
        <v>6715.0</v>
      </c>
      <c r="G396" s="136">
        <f t="shared" si="17"/>
        <v>27448</v>
      </c>
      <c r="H396" s="136" t="s">
        <v>10</v>
      </c>
      <c r="I396" s="136" t="s">
        <v>10</v>
      </c>
      <c r="J396" s="136">
        <v>2285.0</v>
      </c>
      <c r="K396" s="1"/>
      <c r="L396" s="1"/>
      <c r="M396" s="1"/>
      <c r="N396" s="1"/>
      <c r="O396" s="1"/>
      <c r="P396" s="1"/>
      <c r="Q396" s="1"/>
      <c r="R396" s="1"/>
      <c r="S396" s="1"/>
      <c r="T396" s="1"/>
      <c r="U396" s="1"/>
      <c r="V396" s="1"/>
      <c r="W396" s="1"/>
      <c r="X396" s="1"/>
      <c r="Y396" s="1"/>
      <c r="Z396" s="1"/>
    </row>
    <row r="397" ht="10.5" customHeight="1">
      <c r="A397" s="1"/>
      <c r="B397" s="238">
        <v>1993.0</v>
      </c>
      <c r="C397" s="136">
        <v>14884.0</v>
      </c>
      <c r="D397" s="136">
        <v>126.0</v>
      </c>
      <c r="E397" s="136">
        <v>3952.0</v>
      </c>
      <c r="F397" s="136">
        <v>6708.0</v>
      </c>
      <c r="G397" s="136">
        <f t="shared" si="17"/>
        <v>25670</v>
      </c>
      <c r="H397" s="136" t="s">
        <v>10</v>
      </c>
      <c r="I397" s="136" t="s">
        <v>10</v>
      </c>
      <c r="J397" s="136">
        <v>2159.0</v>
      </c>
      <c r="K397" s="1"/>
      <c r="L397" s="1"/>
      <c r="M397" s="1"/>
      <c r="N397" s="1"/>
      <c r="O397" s="1"/>
      <c r="P397" s="1"/>
      <c r="Q397" s="1"/>
      <c r="R397" s="1"/>
      <c r="S397" s="1"/>
      <c r="T397" s="1"/>
      <c r="U397" s="1"/>
      <c r="V397" s="1"/>
      <c r="W397" s="1"/>
      <c r="X397" s="1"/>
      <c r="Y397" s="1"/>
      <c r="Z397" s="1"/>
    </row>
    <row r="398" ht="10.5" customHeight="1">
      <c r="A398" s="1"/>
      <c r="B398" s="238">
        <v>1994.0</v>
      </c>
      <c r="C398" s="136">
        <v>14470.0</v>
      </c>
      <c r="D398" s="136">
        <v>119.0</v>
      </c>
      <c r="E398" s="136">
        <v>4059.0</v>
      </c>
      <c r="F398" s="136">
        <v>7203.0</v>
      </c>
      <c r="G398" s="136">
        <f t="shared" si="17"/>
        <v>25851</v>
      </c>
      <c r="H398" s="136" t="s">
        <v>10</v>
      </c>
      <c r="I398" s="136" t="s">
        <v>10</v>
      </c>
      <c r="J398" s="136">
        <v>2337.0</v>
      </c>
      <c r="K398" s="1"/>
      <c r="L398" s="1"/>
      <c r="M398" s="1"/>
      <c r="N398" s="1"/>
      <c r="O398" s="1"/>
      <c r="P398" s="1"/>
      <c r="Q398" s="1"/>
      <c r="R398" s="1"/>
      <c r="S398" s="1"/>
      <c r="T398" s="1"/>
      <c r="U398" s="1"/>
      <c r="V398" s="1"/>
      <c r="W398" s="1"/>
      <c r="X398" s="1"/>
      <c r="Y398" s="1"/>
      <c r="Z398" s="1"/>
    </row>
    <row r="399" ht="10.5" customHeight="1">
      <c r="A399" s="1"/>
      <c r="B399" s="238"/>
      <c r="C399" s="136"/>
      <c r="D399" s="136"/>
      <c r="E399" s="136"/>
      <c r="F399" s="136"/>
      <c r="G399" s="136"/>
      <c r="H399" s="136"/>
      <c r="I399" s="136"/>
      <c r="J399" s="136"/>
      <c r="K399" s="1"/>
      <c r="L399" s="1"/>
      <c r="M399" s="1"/>
      <c r="N399" s="1"/>
      <c r="O399" s="1"/>
      <c r="P399" s="1"/>
      <c r="Q399" s="1"/>
      <c r="R399" s="1"/>
      <c r="S399" s="1"/>
      <c r="T399" s="1"/>
      <c r="U399" s="1"/>
      <c r="V399" s="1"/>
      <c r="W399" s="1"/>
      <c r="X399" s="1"/>
      <c r="Y399" s="1"/>
      <c r="Z399" s="1"/>
    </row>
    <row r="400" ht="10.5" customHeight="1">
      <c r="A400" s="1"/>
      <c r="B400" s="238">
        <v>1995.0</v>
      </c>
      <c r="C400" s="136">
        <v>13331.0</v>
      </c>
      <c r="D400" s="136">
        <v>98.0</v>
      </c>
      <c r="E400" s="136">
        <v>5104.0</v>
      </c>
      <c r="F400" s="136">
        <v>6948.0</v>
      </c>
      <c r="G400" s="136">
        <f t="shared" ref="G400:G404" si="18">SUM(C400:F400)</f>
        <v>25481</v>
      </c>
      <c r="H400" s="136" t="s">
        <v>10</v>
      </c>
      <c r="I400" s="136" t="s">
        <v>10</v>
      </c>
      <c r="J400" s="136">
        <v>2369.0</v>
      </c>
      <c r="K400" s="1"/>
      <c r="L400" s="1"/>
      <c r="M400" s="1"/>
      <c r="N400" s="1"/>
      <c r="O400" s="1"/>
      <c r="P400" s="1"/>
      <c r="Q400" s="1"/>
      <c r="R400" s="1"/>
      <c r="S400" s="1"/>
      <c r="T400" s="1"/>
      <c r="U400" s="1"/>
      <c r="V400" s="1"/>
      <c r="W400" s="1"/>
      <c r="X400" s="1"/>
      <c r="Y400" s="1"/>
      <c r="Z400" s="1"/>
    </row>
    <row r="401" ht="10.5" customHeight="1">
      <c r="A401" s="1"/>
      <c r="B401" s="238">
        <v>1996.0</v>
      </c>
      <c r="C401" s="136">
        <v>12862.0</v>
      </c>
      <c r="D401" s="136">
        <v>103.0</v>
      </c>
      <c r="E401" s="136">
        <v>5112.0</v>
      </c>
      <c r="F401" s="136">
        <v>7489.0</v>
      </c>
      <c r="G401" s="136">
        <f t="shared" si="18"/>
        <v>25566</v>
      </c>
      <c r="H401" s="136" t="s">
        <v>10</v>
      </c>
      <c r="I401" s="136" t="s">
        <v>10</v>
      </c>
      <c r="J401" s="136">
        <v>2406.0</v>
      </c>
      <c r="K401" s="1"/>
      <c r="L401" s="1"/>
      <c r="M401" s="1"/>
      <c r="N401" s="1"/>
      <c r="O401" s="1"/>
      <c r="P401" s="1"/>
      <c r="Q401" s="1"/>
      <c r="R401" s="1"/>
      <c r="S401" s="1"/>
      <c r="T401" s="1"/>
      <c r="U401" s="1"/>
      <c r="V401" s="1"/>
      <c r="W401" s="1"/>
      <c r="X401" s="1"/>
      <c r="Y401" s="1"/>
      <c r="Z401" s="1"/>
    </row>
    <row r="402" ht="10.5" customHeight="1">
      <c r="A402" s="1"/>
      <c r="B402" s="238">
        <v>1997.0</v>
      </c>
      <c r="C402" s="136">
        <v>12185.0</v>
      </c>
      <c r="D402" s="136">
        <v>62.0</v>
      </c>
      <c r="E402" s="136">
        <v>5201.0</v>
      </c>
      <c r="F402" s="136">
        <v>7562.0</v>
      </c>
      <c r="G402" s="136">
        <f t="shared" si="18"/>
        <v>25010</v>
      </c>
      <c r="H402" s="136" t="s">
        <v>10</v>
      </c>
      <c r="I402" s="136" t="s">
        <v>10</v>
      </c>
      <c r="J402" s="136">
        <v>2394.0</v>
      </c>
      <c r="K402" s="1"/>
      <c r="L402" s="1"/>
      <c r="M402" s="1"/>
      <c r="N402" s="1"/>
      <c r="O402" s="1"/>
      <c r="P402" s="1"/>
      <c r="Q402" s="1"/>
      <c r="R402" s="1"/>
      <c r="S402" s="1"/>
      <c r="T402" s="1"/>
      <c r="U402" s="1"/>
      <c r="V402" s="1"/>
      <c r="W402" s="1"/>
      <c r="X402" s="1"/>
      <c r="Y402" s="1"/>
      <c r="Z402" s="1"/>
    </row>
    <row r="403" ht="10.5" customHeight="1">
      <c r="A403" s="1"/>
      <c r="B403" s="238">
        <v>1998.0</v>
      </c>
      <c r="C403" s="136">
        <v>12264.0</v>
      </c>
      <c r="D403" s="136">
        <v>73.0</v>
      </c>
      <c r="E403" s="136">
        <v>5169.0</v>
      </c>
      <c r="F403" s="136">
        <v>7573.0</v>
      </c>
      <c r="G403" s="136">
        <f t="shared" si="18"/>
        <v>25079</v>
      </c>
      <c r="H403" s="136" t="s">
        <v>10</v>
      </c>
      <c r="I403" s="136" t="s">
        <v>10</v>
      </c>
      <c r="J403" s="136">
        <v>2360.0</v>
      </c>
      <c r="K403" s="1"/>
      <c r="L403" s="1"/>
      <c r="M403" s="1"/>
      <c r="N403" s="1"/>
      <c r="O403" s="1"/>
      <c r="P403" s="1"/>
      <c r="Q403" s="1"/>
      <c r="R403" s="1"/>
      <c r="S403" s="1"/>
      <c r="T403" s="1"/>
      <c r="U403" s="1"/>
      <c r="V403" s="1"/>
      <c r="W403" s="1"/>
      <c r="X403" s="1"/>
      <c r="Y403" s="1"/>
      <c r="Z403" s="1"/>
    </row>
    <row r="404" ht="10.5" customHeight="1">
      <c r="A404" s="1"/>
      <c r="B404" s="238">
        <v>1999.0</v>
      </c>
      <c r="C404" s="136">
        <v>11072.0</v>
      </c>
      <c r="D404" s="136">
        <v>56.0</v>
      </c>
      <c r="E404" s="136">
        <v>5583.0</v>
      </c>
      <c r="F404" s="136">
        <v>7752.0</v>
      </c>
      <c r="G404" s="136">
        <f t="shared" si="18"/>
        <v>24463</v>
      </c>
      <c r="H404" s="136" t="s">
        <v>10</v>
      </c>
      <c r="I404" s="136" t="s">
        <v>10</v>
      </c>
      <c r="J404" s="136">
        <v>2325.0</v>
      </c>
      <c r="K404" s="1"/>
      <c r="L404" s="1"/>
      <c r="M404" s="1"/>
      <c r="N404" s="1"/>
      <c r="O404" s="1"/>
      <c r="P404" s="1"/>
      <c r="Q404" s="1"/>
      <c r="R404" s="1"/>
      <c r="S404" s="1"/>
      <c r="T404" s="1"/>
      <c r="U404" s="1"/>
      <c r="V404" s="1"/>
      <c r="W404" s="1"/>
      <c r="X404" s="1"/>
      <c r="Y404" s="1"/>
      <c r="Z404" s="1"/>
    </row>
    <row r="405" ht="10.5" customHeight="1">
      <c r="A405" s="1"/>
      <c r="B405" s="238"/>
      <c r="C405" s="136"/>
      <c r="D405" s="136"/>
      <c r="E405" s="136"/>
      <c r="F405" s="136"/>
      <c r="G405" s="136"/>
      <c r="H405" s="136"/>
      <c r="I405" s="136"/>
      <c r="J405" s="136"/>
      <c r="K405" s="1"/>
      <c r="L405" s="1"/>
      <c r="M405" s="1"/>
      <c r="N405" s="1"/>
      <c r="O405" s="1"/>
      <c r="P405" s="1"/>
      <c r="Q405" s="1"/>
      <c r="R405" s="1"/>
      <c r="S405" s="1"/>
      <c r="T405" s="1"/>
      <c r="U405" s="1"/>
      <c r="V405" s="1"/>
      <c r="W405" s="1"/>
      <c r="X405" s="1"/>
      <c r="Y405" s="1"/>
      <c r="Z405" s="1"/>
    </row>
    <row r="406" ht="10.5" customHeight="1">
      <c r="A406" s="1"/>
      <c r="B406" s="238">
        <v>2000.0</v>
      </c>
      <c r="C406" s="136">
        <v>12249.0</v>
      </c>
      <c r="D406" s="136">
        <v>28.0</v>
      </c>
      <c r="E406" s="136">
        <v>4250.0</v>
      </c>
      <c r="F406" s="136">
        <v>7059.0</v>
      </c>
      <c r="G406" s="136">
        <f t="shared" ref="G406:G410" si="19">SUM(C406:F406)</f>
        <v>23586</v>
      </c>
      <c r="H406" s="136" t="s">
        <v>10</v>
      </c>
      <c r="I406" s="136" t="s">
        <v>10</v>
      </c>
      <c r="J406" s="136">
        <v>2355.0</v>
      </c>
      <c r="K406" s="1"/>
      <c r="L406" s="1"/>
      <c r="M406" s="1"/>
      <c r="N406" s="1"/>
      <c r="O406" s="1"/>
      <c r="P406" s="1"/>
      <c r="Q406" s="1"/>
      <c r="R406" s="1"/>
      <c r="S406" s="1"/>
      <c r="T406" s="1"/>
      <c r="U406" s="1"/>
      <c r="V406" s="1"/>
      <c r="W406" s="1"/>
      <c r="X406" s="1"/>
      <c r="Y406" s="1"/>
      <c r="Z406" s="1"/>
    </row>
    <row r="407" ht="10.5" customHeight="1">
      <c r="A407" s="1"/>
      <c r="B407" s="238">
        <v>2001.0</v>
      </c>
      <c r="C407" s="136">
        <v>11943.0</v>
      </c>
      <c r="D407" s="136">
        <v>27.0</v>
      </c>
      <c r="E407" s="136">
        <v>4145.0</v>
      </c>
      <c r="F407" s="136">
        <v>6883.0</v>
      </c>
      <c r="G407" s="169">
        <f t="shared" si="19"/>
        <v>22998</v>
      </c>
      <c r="H407" s="136" t="s">
        <v>10</v>
      </c>
      <c r="I407" s="136" t="s">
        <v>10</v>
      </c>
      <c r="J407" s="136">
        <v>2427.0</v>
      </c>
      <c r="K407" s="1"/>
      <c r="L407" s="1"/>
      <c r="M407" s="1"/>
      <c r="N407" s="1"/>
      <c r="O407" s="1"/>
      <c r="P407" s="1"/>
      <c r="Q407" s="1"/>
      <c r="R407" s="1"/>
      <c r="S407" s="1"/>
      <c r="T407" s="1"/>
      <c r="U407" s="1"/>
      <c r="V407" s="1"/>
      <c r="W407" s="1"/>
      <c r="X407" s="1"/>
      <c r="Y407" s="1"/>
      <c r="Z407" s="1"/>
    </row>
    <row r="408" ht="10.5" customHeight="1">
      <c r="A408" s="1"/>
      <c r="B408" s="238">
        <v>2002.0</v>
      </c>
      <c r="C408" s="169">
        <v>12265.0</v>
      </c>
      <c r="D408" s="169">
        <v>25.0</v>
      </c>
      <c r="E408" s="169">
        <v>3779.0</v>
      </c>
      <c r="F408" s="169">
        <v>6545.0</v>
      </c>
      <c r="G408" s="169">
        <f t="shared" si="19"/>
        <v>22614</v>
      </c>
      <c r="H408" s="136" t="s">
        <v>10</v>
      </c>
      <c r="I408" s="136" t="s">
        <v>10</v>
      </c>
      <c r="J408" s="136">
        <v>2216.0</v>
      </c>
      <c r="K408" s="1"/>
      <c r="L408" s="1"/>
      <c r="M408" s="1"/>
      <c r="N408" s="1"/>
      <c r="O408" s="1"/>
      <c r="P408" s="1"/>
      <c r="Q408" s="1"/>
      <c r="R408" s="1"/>
      <c r="S408" s="1"/>
      <c r="T408" s="1"/>
      <c r="U408" s="1"/>
      <c r="V408" s="1"/>
      <c r="W408" s="1"/>
      <c r="X408" s="1"/>
      <c r="Y408" s="1"/>
      <c r="Z408" s="1"/>
    </row>
    <row r="409" ht="10.5" customHeight="1">
      <c r="A409" s="1"/>
      <c r="B409" s="238">
        <v>2003.0</v>
      </c>
      <c r="C409" s="169">
        <v>11801.0</v>
      </c>
      <c r="D409" s="169">
        <v>25.0</v>
      </c>
      <c r="E409" s="169">
        <v>4364.0</v>
      </c>
      <c r="F409" s="169">
        <v>6503.0</v>
      </c>
      <c r="G409" s="169">
        <f t="shared" si="19"/>
        <v>22693</v>
      </c>
      <c r="H409" s="169" t="s">
        <v>10</v>
      </c>
      <c r="I409" s="169" t="s">
        <v>10</v>
      </c>
      <c r="J409" s="136">
        <v>2160.0</v>
      </c>
      <c r="K409" s="1"/>
      <c r="L409" s="1"/>
      <c r="M409" s="1"/>
      <c r="N409" s="1"/>
      <c r="O409" s="1"/>
      <c r="P409" s="1"/>
      <c r="Q409" s="1"/>
      <c r="R409" s="1"/>
      <c r="S409" s="1"/>
      <c r="T409" s="1"/>
      <c r="U409" s="1"/>
      <c r="V409" s="1"/>
      <c r="W409" s="1"/>
      <c r="X409" s="1"/>
      <c r="Y409" s="1"/>
      <c r="Z409" s="1"/>
    </row>
    <row r="410" ht="10.5" customHeight="1">
      <c r="A410" s="1"/>
      <c r="B410" s="238">
        <v>2004.0</v>
      </c>
      <c r="C410" s="169">
        <v>11383.0</v>
      </c>
      <c r="D410" s="169">
        <v>22.0</v>
      </c>
      <c r="E410" s="169">
        <v>4583.0</v>
      </c>
      <c r="F410" s="169">
        <v>6301.0</v>
      </c>
      <c r="G410" s="169">
        <f t="shared" si="19"/>
        <v>22289</v>
      </c>
      <c r="H410" s="169" t="s">
        <v>10</v>
      </c>
      <c r="I410" s="169" t="s">
        <v>10</v>
      </c>
      <c r="J410" s="169">
        <v>2164.0</v>
      </c>
      <c r="K410" s="1"/>
      <c r="L410" s="1"/>
      <c r="M410" s="1"/>
      <c r="N410" s="1"/>
      <c r="O410" s="1"/>
      <c r="P410" s="1"/>
      <c r="Q410" s="1"/>
      <c r="R410" s="1"/>
      <c r="S410" s="1"/>
      <c r="T410" s="1"/>
      <c r="U410" s="1"/>
      <c r="V410" s="1"/>
      <c r="W410" s="1"/>
      <c r="X410" s="1"/>
      <c r="Y410" s="1"/>
      <c r="Z410" s="1"/>
    </row>
    <row r="411" ht="10.5" customHeight="1">
      <c r="A411" s="1"/>
      <c r="B411" s="238"/>
      <c r="C411" s="136"/>
      <c r="D411" s="169"/>
      <c r="E411" s="169"/>
      <c r="F411" s="169"/>
      <c r="G411" s="169"/>
      <c r="H411" s="169"/>
      <c r="I411" s="169"/>
      <c r="J411" s="169"/>
      <c r="K411" s="1"/>
      <c r="L411" s="1"/>
      <c r="M411" s="1"/>
      <c r="N411" s="1"/>
      <c r="O411" s="1"/>
      <c r="P411" s="1"/>
      <c r="Q411" s="1"/>
      <c r="R411" s="1"/>
      <c r="S411" s="1"/>
      <c r="T411" s="1"/>
      <c r="U411" s="1"/>
      <c r="V411" s="1"/>
      <c r="W411" s="1"/>
      <c r="X411" s="1"/>
      <c r="Y411" s="1"/>
      <c r="Z411" s="1"/>
    </row>
    <row r="412" ht="10.5" customHeight="1">
      <c r="A412" s="1"/>
      <c r="B412" s="181">
        <v>2005.0</v>
      </c>
      <c r="C412" s="178">
        <v>11771.0</v>
      </c>
      <c r="D412" s="178">
        <v>22.0</v>
      </c>
      <c r="E412" s="178">
        <v>4226.0</v>
      </c>
      <c r="F412" s="178">
        <v>6217.0</v>
      </c>
      <c r="G412" s="169">
        <f t="shared" ref="G412:G416" si="20">SUM(C412:F412)</f>
        <v>22236</v>
      </c>
      <c r="H412" s="169" t="s">
        <v>10</v>
      </c>
      <c r="I412" s="169" t="s">
        <v>10</v>
      </c>
      <c r="J412" s="178">
        <v>2136.0</v>
      </c>
      <c r="K412" s="1"/>
      <c r="L412" s="1"/>
      <c r="M412" s="1"/>
      <c r="N412" s="1"/>
      <c r="O412" s="1"/>
      <c r="P412" s="1"/>
      <c r="Q412" s="1"/>
      <c r="R412" s="1"/>
      <c r="S412" s="1"/>
      <c r="T412" s="1"/>
      <c r="U412" s="1"/>
      <c r="V412" s="1"/>
      <c r="W412" s="1"/>
      <c r="X412" s="1"/>
      <c r="Y412" s="1"/>
      <c r="Z412" s="1"/>
    </row>
    <row r="413" ht="10.5" customHeight="1">
      <c r="A413" s="180"/>
      <c r="B413" s="181">
        <v>2006.0</v>
      </c>
      <c r="C413" s="178">
        <v>11463.0</v>
      </c>
      <c r="D413" s="178">
        <v>24.0</v>
      </c>
      <c r="E413" s="178">
        <v>4062.0</v>
      </c>
      <c r="F413" s="178">
        <v>6396.0</v>
      </c>
      <c r="G413" s="169">
        <f t="shared" si="20"/>
        <v>21945</v>
      </c>
      <c r="H413" s="169" t="s">
        <v>10</v>
      </c>
      <c r="I413" s="169" t="s">
        <v>10</v>
      </c>
      <c r="J413" s="178">
        <v>2181.0</v>
      </c>
      <c r="K413" s="1"/>
      <c r="L413" s="1"/>
      <c r="M413" s="1"/>
      <c r="N413" s="1"/>
      <c r="O413" s="1"/>
      <c r="P413" s="1"/>
      <c r="Q413" s="1"/>
      <c r="R413" s="1"/>
      <c r="S413" s="1"/>
      <c r="T413" s="1"/>
      <c r="U413" s="1"/>
      <c r="V413" s="1"/>
      <c r="W413" s="1"/>
      <c r="X413" s="1"/>
      <c r="Y413" s="1"/>
      <c r="Z413" s="1"/>
    </row>
    <row r="414" ht="10.5" customHeight="1">
      <c r="A414" s="180"/>
      <c r="B414" s="181">
        <v>2007.0</v>
      </c>
      <c r="C414" s="178">
        <v>11552.0</v>
      </c>
      <c r="D414" s="178">
        <v>35.0</v>
      </c>
      <c r="E414" s="178">
        <v>4161.0</v>
      </c>
      <c r="F414" s="178">
        <v>6176.0</v>
      </c>
      <c r="G414" s="169">
        <f t="shared" si="20"/>
        <v>21924</v>
      </c>
      <c r="H414" s="169" t="s">
        <v>10</v>
      </c>
      <c r="I414" s="169" t="s">
        <v>10</v>
      </c>
      <c r="J414" s="178">
        <v>2116.0</v>
      </c>
      <c r="K414" s="1"/>
      <c r="L414" s="1"/>
      <c r="M414" s="1"/>
      <c r="N414" s="1"/>
      <c r="O414" s="1"/>
      <c r="P414" s="1"/>
      <c r="Q414" s="1"/>
      <c r="R414" s="1"/>
      <c r="S414" s="1"/>
      <c r="T414" s="1"/>
      <c r="U414" s="1"/>
      <c r="V414" s="1"/>
      <c r="W414" s="1"/>
      <c r="X414" s="1"/>
      <c r="Y414" s="1"/>
      <c r="Z414" s="1"/>
    </row>
    <row r="415" ht="10.5" customHeight="1">
      <c r="A415" s="180"/>
      <c r="B415" s="181">
        <v>2008.0</v>
      </c>
      <c r="C415" s="178">
        <v>11612.0</v>
      </c>
      <c r="D415" s="178">
        <v>23.0</v>
      </c>
      <c r="E415" s="178">
        <v>4338.0</v>
      </c>
      <c r="F415" s="178">
        <v>6022.0</v>
      </c>
      <c r="G415" s="169">
        <f t="shared" si="20"/>
        <v>21995</v>
      </c>
      <c r="H415" s="169" t="s">
        <v>10</v>
      </c>
      <c r="I415" s="169" t="s">
        <v>10</v>
      </c>
      <c r="J415" s="178">
        <v>2114.0</v>
      </c>
      <c r="K415" s="15"/>
      <c r="L415" s="1"/>
      <c r="M415" s="1"/>
      <c r="N415" s="1"/>
      <c r="O415" s="1"/>
      <c r="P415" s="1"/>
      <c r="Q415" s="1"/>
      <c r="R415" s="1"/>
      <c r="S415" s="1"/>
      <c r="T415" s="1"/>
      <c r="U415" s="1"/>
      <c r="V415" s="1"/>
      <c r="W415" s="1"/>
      <c r="X415" s="1"/>
      <c r="Y415" s="1"/>
      <c r="Z415" s="1"/>
    </row>
    <row r="416" ht="10.5" customHeight="1">
      <c r="A416" s="180"/>
      <c r="B416" s="181">
        <v>2009.0</v>
      </c>
      <c r="C416" s="178">
        <v>11473.0</v>
      </c>
      <c r="D416" s="178">
        <v>25.0</v>
      </c>
      <c r="E416" s="178">
        <v>4242.0</v>
      </c>
      <c r="F416" s="178">
        <v>6177.0</v>
      </c>
      <c r="G416" s="169">
        <f t="shared" si="20"/>
        <v>21917</v>
      </c>
      <c r="H416" s="169" t="s">
        <v>10</v>
      </c>
      <c r="I416" s="169" t="s">
        <v>10</v>
      </c>
      <c r="J416" s="178">
        <v>2077.0</v>
      </c>
      <c r="K416" s="15"/>
      <c r="L416" s="1"/>
      <c r="M416" s="1"/>
      <c r="N416" s="1"/>
      <c r="O416" s="1"/>
      <c r="P416" s="1"/>
      <c r="Q416" s="1"/>
      <c r="R416" s="1"/>
      <c r="S416" s="1"/>
      <c r="T416" s="1"/>
      <c r="U416" s="1"/>
      <c r="V416" s="1"/>
      <c r="W416" s="1"/>
      <c r="X416" s="1"/>
      <c r="Y416" s="1"/>
      <c r="Z416" s="1"/>
    </row>
    <row r="417" ht="10.5" customHeight="1">
      <c r="A417" s="180"/>
      <c r="B417" s="181"/>
      <c r="C417" s="178"/>
      <c r="D417" s="178"/>
      <c r="E417" s="178"/>
      <c r="F417" s="178"/>
      <c r="G417" s="169"/>
      <c r="H417" s="169"/>
      <c r="I417" s="169"/>
      <c r="J417" s="178"/>
      <c r="K417" s="15"/>
      <c r="L417" s="1"/>
      <c r="M417" s="1"/>
      <c r="N417" s="1"/>
      <c r="O417" s="1"/>
      <c r="P417" s="1"/>
      <c r="Q417" s="1"/>
      <c r="R417" s="1"/>
      <c r="S417" s="1"/>
      <c r="T417" s="1"/>
      <c r="U417" s="1"/>
      <c r="V417" s="1"/>
      <c r="W417" s="1"/>
      <c r="X417" s="1"/>
      <c r="Y417" s="1"/>
      <c r="Z417" s="1"/>
    </row>
    <row r="418" ht="10.5" customHeight="1">
      <c r="A418" s="180"/>
      <c r="B418" s="181">
        <v>2010.0</v>
      </c>
      <c r="C418" s="178">
        <v>11251.0</v>
      </c>
      <c r="D418" s="178">
        <v>25.0</v>
      </c>
      <c r="E418" s="178">
        <v>4160.0</v>
      </c>
      <c r="F418" s="178">
        <v>6057.0</v>
      </c>
      <c r="G418" s="169">
        <v>21493.0</v>
      </c>
      <c r="H418" s="169" t="s">
        <v>10</v>
      </c>
      <c r="I418" s="169" t="s">
        <v>10</v>
      </c>
      <c r="J418" s="178">
        <v>2052.0</v>
      </c>
      <c r="K418" s="15"/>
      <c r="L418" s="1"/>
      <c r="M418" s="1"/>
      <c r="N418" s="1"/>
      <c r="O418" s="1"/>
      <c r="P418" s="1"/>
      <c r="Q418" s="1"/>
      <c r="R418" s="1"/>
      <c r="S418" s="1"/>
      <c r="T418" s="1"/>
      <c r="U418" s="1"/>
      <c r="V418" s="1"/>
      <c r="W418" s="1"/>
      <c r="X418" s="1"/>
      <c r="Y418" s="1"/>
      <c r="Z418" s="1"/>
    </row>
    <row r="419" ht="10.5" customHeight="1">
      <c r="A419" s="180"/>
      <c r="B419" s="181">
        <v>2011.0</v>
      </c>
      <c r="C419" s="178">
        <v>11163.0</v>
      </c>
      <c r="D419" s="178">
        <v>24.0</v>
      </c>
      <c r="E419" s="178">
        <v>4128.0</v>
      </c>
      <c r="F419" s="178">
        <v>6010.0</v>
      </c>
      <c r="G419" s="169">
        <v>21325.0</v>
      </c>
      <c r="H419" s="169" t="s">
        <v>10</v>
      </c>
      <c r="I419" s="169" t="s">
        <v>10</v>
      </c>
      <c r="J419" s="178">
        <v>2033.0</v>
      </c>
      <c r="K419" s="15"/>
      <c r="L419" s="1"/>
      <c r="M419" s="1"/>
      <c r="N419" s="1"/>
      <c r="O419" s="1"/>
      <c r="P419" s="1"/>
      <c r="Q419" s="1"/>
      <c r="R419" s="1"/>
      <c r="S419" s="1"/>
      <c r="T419" s="1"/>
      <c r="U419" s="1"/>
      <c r="V419" s="1"/>
      <c r="W419" s="1"/>
      <c r="X419" s="1"/>
      <c r="Y419" s="1"/>
      <c r="Z419" s="1"/>
    </row>
    <row r="420" ht="10.5" customHeight="1">
      <c r="A420" s="180"/>
      <c r="B420" s="181" t="s">
        <v>489</v>
      </c>
      <c r="C420" s="178">
        <v>11256.0</v>
      </c>
      <c r="D420" s="178">
        <v>25.0</v>
      </c>
      <c r="E420" s="178">
        <v>4110.0</v>
      </c>
      <c r="F420" s="178">
        <v>6036.0</v>
      </c>
      <c r="G420" s="169">
        <v>21427.0</v>
      </c>
      <c r="H420" s="169" t="s">
        <v>10</v>
      </c>
      <c r="I420" s="169" t="s">
        <v>10</v>
      </c>
      <c r="J420" s="178">
        <v>2028.0</v>
      </c>
      <c r="K420" s="15"/>
      <c r="L420" s="1"/>
      <c r="M420" s="1"/>
      <c r="N420" s="1"/>
      <c r="O420" s="1"/>
      <c r="P420" s="1"/>
      <c r="Q420" s="1"/>
      <c r="R420" s="1"/>
      <c r="S420" s="1"/>
      <c r="T420" s="1"/>
      <c r="U420" s="1"/>
      <c r="V420" s="1"/>
      <c r="W420" s="1"/>
      <c r="X420" s="1"/>
      <c r="Y420" s="1"/>
      <c r="Z420" s="1"/>
    </row>
    <row r="421" ht="10.5" customHeight="1">
      <c r="A421" s="180"/>
      <c r="B421" s="181" t="s">
        <v>55</v>
      </c>
      <c r="C421" s="178">
        <v>11328.0</v>
      </c>
      <c r="D421" s="178">
        <v>24.0</v>
      </c>
      <c r="E421" s="178">
        <v>4187.0</v>
      </c>
      <c r="F421" s="178">
        <v>6048.0</v>
      </c>
      <c r="G421" s="169">
        <v>21587.0</v>
      </c>
      <c r="H421" s="169" t="s">
        <v>10</v>
      </c>
      <c r="I421" s="169" t="s">
        <v>10</v>
      </c>
      <c r="J421" s="178">
        <v>2005.0</v>
      </c>
      <c r="K421" s="15"/>
      <c r="L421" s="1"/>
      <c r="M421" s="1"/>
      <c r="N421" s="1"/>
      <c r="O421" s="1"/>
      <c r="P421" s="1"/>
      <c r="Q421" s="1"/>
      <c r="R421" s="1"/>
      <c r="S421" s="1"/>
      <c r="T421" s="1"/>
      <c r="U421" s="1"/>
      <c r="V421" s="1"/>
      <c r="W421" s="1"/>
      <c r="X421" s="1"/>
      <c r="Y421" s="1"/>
      <c r="Z421" s="1"/>
    </row>
    <row r="422" ht="10.5" customHeight="1">
      <c r="A422" s="180"/>
      <c r="B422" s="181" t="s">
        <v>57</v>
      </c>
      <c r="C422" s="178">
        <v>11125.0</v>
      </c>
      <c r="D422" s="178">
        <v>24.0</v>
      </c>
      <c r="E422" s="178">
        <v>4112.0</v>
      </c>
      <c r="F422" s="178">
        <v>5941.0</v>
      </c>
      <c r="G422" s="169">
        <v>21201.0</v>
      </c>
      <c r="H422" s="169" t="s">
        <v>10</v>
      </c>
      <c r="I422" s="169" t="s">
        <v>10</v>
      </c>
      <c r="J422" s="178">
        <v>1987.0</v>
      </c>
      <c r="K422" s="15"/>
      <c r="L422" s="1"/>
      <c r="M422" s="1"/>
      <c r="N422" s="1"/>
      <c r="O422" s="1"/>
      <c r="P422" s="1"/>
      <c r="Q422" s="1"/>
      <c r="R422" s="1"/>
      <c r="S422" s="1"/>
      <c r="T422" s="1"/>
      <c r="U422" s="1"/>
      <c r="V422" s="1"/>
      <c r="W422" s="1"/>
      <c r="X422" s="1"/>
      <c r="Y422" s="1"/>
      <c r="Z422" s="1"/>
    </row>
    <row r="423" ht="10.5" customHeight="1">
      <c r="A423" s="180"/>
      <c r="B423" s="181"/>
      <c r="C423" s="178"/>
      <c r="D423" s="178"/>
      <c r="E423" s="178"/>
      <c r="F423" s="178"/>
      <c r="G423" s="169"/>
      <c r="H423" s="169"/>
      <c r="I423" s="169"/>
      <c r="J423" s="178"/>
      <c r="K423" s="15"/>
      <c r="L423" s="1"/>
      <c r="M423" s="1"/>
      <c r="N423" s="1"/>
      <c r="O423" s="1"/>
      <c r="P423" s="1"/>
      <c r="Q423" s="1"/>
      <c r="R423" s="1"/>
      <c r="S423" s="1"/>
      <c r="T423" s="1"/>
      <c r="U423" s="1"/>
      <c r="V423" s="1"/>
      <c r="W423" s="1"/>
      <c r="X423" s="1"/>
      <c r="Y423" s="1"/>
      <c r="Z423" s="1"/>
    </row>
    <row r="424" ht="10.5" customHeight="1">
      <c r="A424" s="180"/>
      <c r="B424" s="181" t="s">
        <v>58</v>
      </c>
      <c r="C424" s="178">
        <v>11037.0</v>
      </c>
      <c r="D424" s="178">
        <v>24.0</v>
      </c>
      <c r="E424" s="178">
        <v>4079.0</v>
      </c>
      <c r="F424" s="178">
        <v>5893.0</v>
      </c>
      <c r="G424" s="169">
        <v>21033.0</v>
      </c>
      <c r="H424" s="169" t="s">
        <v>10</v>
      </c>
      <c r="I424" s="169" t="s">
        <v>10</v>
      </c>
      <c r="J424" s="178">
        <v>1960.0</v>
      </c>
      <c r="K424" s="15"/>
      <c r="L424" s="1"/>
      <c r="M424" s="1"/>
      <c r="N424" s="1"/>
      <c r="O424" s="1"/>
      <c r="P424" s="1"/>
      <c r="Q424" s="1"/>
      <c r="R424" s="1"/>
      <c r="S424" s="1"/>
      <c r="T424" s="1"/>
      <c r="U424" s="1"/>
      <c r="V424" s="1"/>
      <c r="W424" s="1"/>
      <c r="X424" s="1"/>
      <c r="Y424" s="1"/>
      <c r="Z424" s="1"/>
    </row>
    <row r="425" ht="10.5" customHeight="1">
      <c r="A425" s="180"/>
      <c r="B425" s="181" t="s">
        <v>59</v>
      </c>
      <c r="C425" s="178">
        <v>10722.0</v>
      </c>
      <c r="D425" s="178">
        <v>23.0</v>
      </c>
      <c r="E425" s="178">
        <v>3954.0</v>
      </c>
      <c r="F425" s="178">
        <v>5739.0</v>
      </c>
      <c r="G425" s="169">
        <v>20438.0</v>
      </c>
      <c r="H425" s="169" t="s">
        <v>10</v>
      </c>
      <c r="I425" s="169" t="s">
        <v>10</v>
      </c>
      <c r="J425" s="178">
        <v>1901.0</v>
      </c>
      <c r="K425" s="15"/>
      <c r="L425" s="1"/>
      <c r="M425" s="1"/>
      <c r="N425" s="1"/>
      <c r="O425" s="1"/>
      <c r="P425" s="1"/>
      <c r="Q425" s="1"/>
      <c r="R425" s="1"/>
      <c r="S425" s="1"/>
      <c r="T425" s="1"/>
      <c r="U425" s="1"/>
      <c r="V425" s="1"/>
      <c r="W425" s="1"/>
      <c r="X425" s="1"/>
      <c r="Y425" s="1"/>
      <c r="Z425" s="1"/>
    </row>
    <row r="426" ht="10.5" customHeight="1">
      <c r="A426" s="180"/>
      <c r="B426" s="618" t="s">
        <v>60</v>
      </c>
      <c r="C426" s="260">
        <v>10466.0</v>
      </c>
      <c r="D426" s="260">
        <v>23.0</v>
      </c>
      <c r="E426" s="260">
        <v>3857.0</v>
      </c>
      <c r="F426" s="260">
        <v>5596.0</v>
      </c>
      <c r="G426" s="260">
        <v>19942.0</v>
      </c>
      <c r="H426" s="260" t="s">
        <v>10</v>
      </c>
      <c r="I426" s="260" t="s">
        <v>10</v>
      </c>
      <c r="J426" s="260">
        <v>1843.0</v>
      </c>
      <c r="K426" s="1"/>
      <c r="L426" s="1"/>
      <c r="M426" s="1"/>
      <c r="N426" s="1"/>
      <c r="O426" s="1"/>
      <c r="P426" s="1"/>
      <c r="Q426" s="1"/>
      <c r="R426" s="1"/>
      <c r="S426" s="1"/>
      <c r="T426" s="1"/>
      <c r="U426" s="1"/>
      <c r="V426" s="1"/>
      <c r="W426" s="1"/>
      <c r="X426" s="1"/>
      <c r="Y426" s="1"/>
      <c r="Z426" s="1"/>
    </row>
    <row r="427" ht="6.0" customHeight="1">
      <c r="A427" s="1"/>
      <c r="B427" s="633"/>
      <c r="C427" s="267"/>
      <c r="D427" s="267"/>
      <c r="E427" s="267"/>
      <c r="F427" s="267"/>
      <c r="G427" s="267"/>
      <c r="H427" s="267"/>
      <c r="I427" s="267"/>
      <c r="J427" s="267"/>
      <c r="K427" s="1"/>
      <c r="L427" s="1"/>
      <c r="M427" s="1"/>
      <c r="N427" s="1"/>
      <c r="O427" s="1"/>
      <c r="P427" s="1"/>
      <c r="Q427" s="1"/>
      <c r="R427" s="1"/>
      <c r="S427" s="1"/>
      <c r="T427" s="1"/>
      <c r="U427" s="1"/>
      <c r="V427" s="1"/>
      <c r="W427" s="1"/>
      <c r="X427" s="1"/>
      <c r="Y427" s="1"/>
      <c r="Z427" s="1"/>
    </row>
    <row r="428" ht="9.75" customHeight="1">
      <c r="A428" s="1"/>
      <c r="B428" s="185" t="s">
        <v>1151</v>
      </c>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0.5" customHeight="1">
      <c r="A429" s="1"/>
      <c r="B429" s="1"/>
      <c r="C429" s="59"/>
      <c r="D429" s="59"/>
      <c r="E429" s="59"/>
      <c r="F429" s="59"/>
      <c r="G429" s="59"/>
      <c r="H429" s="59"/>
      <c r="I429" s="59"/>
      <c r="J429" s="59"/>
      <c r="K429" s="1"/>
      <c r="L429" s="1"/>
      <c r="M429" s="1"/>
      <c r="N429" s="1"/>
      <c r="O429" s="1"/>
      <c r="P429" s="1"/>
      <c r="Q429" s="1"/>
      <c r="R429" s="1"/>
      <c r="S429" s="1"/>
      <c r="T429" s="1"/>
      <c r="U429" s="1"/>
      <c r="V429" s="1"/>
      <c r="W429" s="1"/>
      <c r="X429" s="1"/>
      <c r="Y429" s="1"/>
      <c r="Z429" s="1"/>
    </row>
    <row r="430" ht="10.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0.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0.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0.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0.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0.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0.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0.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0.5" customHeight="1">
      <c r="A438" s="1"/>
      <c r="B438" s="1"/>
      <c r="C438" s="1"/>
      <c r="D438" s="1"/>
      <c r="E438" s="1"/>
      <c r="F438" s="1"/>
      <c r="G438" s="110">
        <v>63.0</v>
      </c>
      <c r="H438" s="1"/>
      <c r="I438" s="1"/>
      <c r="J438" s="1"/>
      <c r="K438" s="1"/>
      <c r="L438" s="1"/>
      <c r="M438" s="1"/>
      <c r="N438" s="1"/>
      <c r="O438" s="1"/>
      <c r="P438" s="1"/>
      <c r="Q438" s="1"/>
      <c r="R438" s="1"/>
      <c r="S438" s="1"/>
      <c r="T438" s="1"/>
      <c r="U438" s="1"/>
      <c r="V438" s="1"/>
      <c r="W438" s="1"/>
      <c r="X438" s="1"/>
      <c r="Y438" s="1"/>
      <c r="Z438" s="1"/>
    </row>
    <row r="439" ht="10.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t="s">
        <v>1156</v>
      </c>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2.5" customHeight="1">
      <c r="A441" s="1"/>
      <c r="B441" s="29" t="s">
        <v>938</v>
      </c>
      <c r="C441" s="128" t="s">
        <v>1159</v>
      </c>
      <c r="D441" s="9"/>
      <c r="E441" s="10"/>
      <c r="F441" s="31" t="s">
        <v>1160</v>
      </c>
      <c r="G441" s="31" t="s">
        <v>1162</v>
      </c>
      <c r="H441" s="31" t="s">
        <v>1164</v>
      </c>
      <c r="I441" s="128" t="s">
        <v>524</v>
      </c>
      <c r="J441" s="10"/>
      <c r="K441" s="1"/>
      <c r="L441" s="1"/>
      <c r="M441" s="1"/>
      <c r="N441" s="1"/>
      <c r="O441" s="1"/>
      <c r="P441" s="1"/>
      <c r="Q441" s="1"/>
      <c r="R441" s="1"/>
      <c r="S441" s="1"/>
      <c r="T441" s="1"/>
      <c r="U441" s="1"/>
      <c r="V441" s="1"/>
      <c r="W441" s="1"/>
      <c r="X441" s="1"/>
      <c r="Y441" s="1"/>
      <c r="Z441" s="1"/>
    </row>
    <row r="442" ht="24.0" customHeight="1">
      <c r="A442" s="1"/>
      <c r="B442" s="5"/>
      <c r="C442" s="7" t="s">
        <v>1168</v>
      </c>
      <c r="D442" s="7" t="s">
        <v>1169</v>
      </c>
      <c r="E442" s="699" t="s">
        <v>2</v>
      </c>
      <c r="F442" s="6"/>
      <c r="G442" s="6"/>
      <c r="H442" s="6"/>
      <c r="I442" s="7" t="s">
        <v>2</v>
      </c>
      <c r="J442" s="7" t="s">
        <v>1040</v>
      </c>
      <c r="K442" s="1"/>
      <c r="L442" s="1"/>
      <c r="M442" s="1"/>
      <c r="N442" s="1"/>
      <c r="O442" s="1"/>
      <c r="P442" s="1"/>
      <c r="Q442" s="1"/>
      <c r="R442" s="1"/>
      <c r="S442" s="1"/>
      <c r="T442" s="1"/>
      <c r="U442" s="1"/>
      <c r="V442" s="1"/>
      <c r="W442" s="1"/>
      <c r="X442" s="1"/>
      <c r="Y442" s="1"/>
      <c r="Z442" s="1"/>
    </row>
    <row r="443" ht="11.25" customHeight="1">
      <c r="A443" s="1"/>
      <c r="B443" s="6"/>
      <c r="C443" s="8" t="s">
        <v>9</v>
      </c>
      <c r="D443" s="9"/>
      <c r="E443" s="10"/>
      <c r="F443" s="134" t="s">
        <v>933</v>
      </c>
      <c r="G443" s="8" t="s">
        <v>49</v>
      </c>
      <c r="H443" s="9"/>
      <c r="I443" s="10"/>
      <c r="J443" s="134" t="s">
        <v>71</v>
      </c>
      <c r="K443" s="1"/>
      <c r="L443" s="1"/>
      <c r="M443" s="1"/>
      <c r="N443" s="1"/>
      <c r="O443" s="1"/>
      <c r="P443" s="1"/>
      <c r="Q443" s="1"/>
      <c r="R443" s="1"/>
      <c r="S443" s="1"/>
      <c r="T443" s="1"/>
      <c r="U443" s="1"/>
      <c r="V443" s="1"/>
      <c r="W443" s="1"/>
      <c r="X443" s="1"/>
      <c r="Y443" s="1"/>
      <c r="Z443" s="1"/>
    </row>
    <row r="444" ht="10.5" customHeight="1">
      <c r="A444" s="1"/>
      <c r="B444" s="48" t="s">
        <v>271</v>
      </c>
      <c r="C444" s="136">
        <v>4579.0</v>
      </c>
      <c r="D444" s="136">
        <v>1712.0</v>
      </c>
      <c r="E444" s="136">
        <f t="shared" ref="E444:E448" si="21">SUM(C444:D444)</f>
        <v>6291</v>
      </c>
      <c r="F444" s="250">
        <v>118.2</v>
      </c>
      <c r="G444" s="250">
        <v>162.0</v>
      </c>
      <c r="H444" s="250">
        <v>6.6</v>
      </c>
      <c r="I444" s="130">
        <v>166.0</v>
      </c>
      <c r="J444" s="250">
        <v>6.5</v>
      </c>
      <c r="K444" s="1"/>
      <c r="L444" s="1"/>
      <c r="M444" s="1"/>
      <c r="N444" s="1"/>
      <c r="O444" s="1"/>
      <c r="P444" s="1"/>
      <c r="Q444" s="1"/>
      <c r="R444" s="1"/>
      <c r="S444" s="1"/>
      <c r="T444" s="1"/>
      <c r="U444" s="1"/>
      <c r="V444" s="1"/>
      <c r="W444" s="1"/>
      <c r="X444" s="1"/>
      <c r="Y444" s="1"/>
      <c r="Z444" s="1"/>
    </row>
    <row r="445" ht="10.5" customHeight="1">
      <c r="A445" s="1"/>
      <c r="B445" s="48" t="s">
        <v>272</v>
      </c>
      <c r="C445" s="136">
        <v>4359.0</v>
      </c>
      <c r="D445" s="136">
        <v>1679.0</v>
      </c>
      <c r="E445" s="136">
        <f t="shared" si="21"/>
        <v>6038</v>
      </c>
      <c r="F445" s="250">
        <v>129.3</v>
      </c>
      <c r="G445" s="250">
        <v>156.8</v>
      </c>
      <c r="H445" s="250">
        <v>6.0</v>
      </c>
      <c r="I445" s="130">
        <v>160.0</v>
      </c>
      <c r="J445" s="250">
        <v>6.2</v>
      </c>
      <c r="K445" s="1"/>
      <c r="L445" s="1"/>
      <c r="M445" s="1"/>
      <c r="N445" s="1"/>
      <c r="O445" s="1"/>
      <c r="P445" s="1"/>
      <c r="Q445" s="1"/>
      <c r="R445" s="1"/>
      <c r="S445" s="1"/>
      <c r="T445" s="1"/>
      <c r="U445" s="1"/>
      <c r="V445" s="1"/>
      <c r="W445" s="1"/>
      <c r="X445" s="1"/>
      <c r="Y445" s="1"/>
      <c r="Z445" s="1"/>
    </row>
    <row r="446" ht="10.5" customHeight="1">
      <c r="A446" s="1"/>
      <c r="B446" s="48" t="s">
        <v>274</v>
      </c>
      <c r="C446" s="136">
        <v>4664.0</v>
      </c>
      <c r="D446" s="136">
        <v>1757.0</v>
      </c>
      <c r="E446" s="136">
        <f t="shared" si="21"/>
        <v>6421</v>
      </c>
      <c r="F446" s="250">
        <v>119.2</v>
      </c>
      <c r="G446" s="250">
        <v>166.5</v>
      </c>
      <c r="H446" s="250">
        <v>5.6</v>
      </c>
      <c r="I446" s="130">
        <v>169.0</v>
      </c>
      <c r="J446" s="250">
        <v>6.4</v>
      </c>
      <c r="K446" s="1"/>
      <c r="L446" s="1"/>
      <c r="M446" s="1"/>
      <c r="N446" s="1"/>
      <c r="O446" s="1"/>
      <c r="P446" s="1"/>
      <c r="Q446" s="1"/>
      <c r="R446" s="1"/>
      <c r="S446" s="1"/>
      <c r="T446" s="1"/>
      <c r="U446" s="1"/>
      <c r="V446" s="1"/>
      <c r="W446" s="1"/>
      <c r="X446" s="1"/>
      <c r="Y446" s="1"/>
      <c r="Z446" s="1"/>
    </row>
    <row r="447" ht="10.5" customHeight="1">
      <c r="A447" s="1"/>
      <c r="B447" s="48" t="s">
        <v>275</v>
      </c>
      <c r="C447" s="136">
        <v>5174.0</v>
      </c>
      <c r="D447" s="136">
        <v>1926.0</v>
      </c>
      <c r="E447" s="136">
        <f t="shared" si="21"/>
        <v>7100</v>
      </c>
      <c r="F447" s="250">
        <v>120.9</v>
      </c>
      <c r="G447" s="250">
        <v>174.2</v>
      </c>
      <c r="H447" s="250">
        <v>5.1</v>
      </c>
      <c r="I447" s="130">
        <v>176.0</v>
      </c>
      <c r="J447" s="250">
        <v>6.5</v>
      </c>
      <c r="K447" s="1"/>
      <c r="L447" s="1"/>
      <c r="M447" s="1"/>
      <c r="N447" s="1"/>
      <c r="O447" s="1"/>
      <c r="P447" s="1"/>
      <c r="Q447" s="1"/>
      <c r="R447" s="1"/>
      <c r="S447" s="1"/>
      <c r="T447" s="1"/>
      <c r="U447" s="1"/>
      <c r="V447" s="1"/>
      <c r="W447" s="1"/>
      <c r="X447" s="1"/>
      <c r="Y447" s="1"/>
      <c r="Z447" s="1"/>
    </row>
    <row r="448" ht="10.5" customHeight="1">
      <c r="A448" s="1"/>
      <c r="B448" s="48" t="s">
        <v>276</v>
      </c>
      <c r="C448" s="136">
        <v>5119.0</v>
      </c>
      <c r="D448" s="136">
        <v>2004.0</v>
      </c>
      <c r="E448" s="136">
        <f t="shared" si="21"/>
        <v>7123</v>
      </c>
      <c r="F448" s="250">
        <v>144.3</v>
      </c>
      <c r="G448" s="250">
        <v>182.6</v>
      </c>
      <c r="H448" s="250">
        <v>4.4</v>
      </c>
      <c r="I448" s="130">
        <v>184.0</v>
      </c>
      <c r="J448" s="250">
        <v>6.6</v>
      </c>
      <c r="K448" s="1"/>
      <c r="L448" s="1"/>
      <c r="M448" s="1"/>
      <c r="N448" s="1"/>
      <c r="O448" s="1"/>
      <c r="P448" s="1"/>
      <c r="Q448" s="1"/>
      <c r="R448" s="1"/>
      <c r="S448" s="1"/>
      <c r="T448" s="1"/>
      <c r="U448" s="1"/>
      <c r="V448" s="1"/>
      <c r="W448" s="1"/>
      <c r="X448" s="1"/>
      <c r="Y448" s="1"/>
      <c r="Z448" s="1"/>
    </row>
    <row r="449" ht="10.5" customHeight="1">
      <c r="A449" s="1"/>
      <c r="B449" s="48"/>
      <c r="C449" s="136"/>
      <c r="D449" s="136"/>
      <c r="E449" s="136"/>
      <c r="F449" s="250"/>
      <c r="G449" s="250"/>
      <c r="H449" s="250"/>
      <c r="I449" s="130"/>
      <c r="J449" s="250"/>
      <c r="K449" s="1"/>
      <c r="L449" s="1"/>
      <c r="M449" s="1"/>
      <c r="N449" s="1"/>
      <c r="O449" s="1"/>
      <c r="P449" s="1"/>
      <c r="Q449" s="1"/>
      <c r="R449" s="1"/>
      <c r="S449" s="1"/>
      <c r="T449" s="1"/>
      <c r="U449" s="1"/>
      <c r="V449" s="1"/>
      <c r="W449" s="1"/>
      <c r="X449" s="1"/>
      <c r="Y449" s="1"/>
      <c r="Z449" s="1"/>
    </row>
    <row r="450" ht="10.5" customHeight="1">
      <c r="A450" s="1"/>
      <c r="B450" s="48" t="s">
        <v>56</v>
      </c>
      <c r="C450" s="136">
        <v>5084.0</v>
      </c>
      <c r="D450" s="136">
        <v>1766.0</v>
      </c>
      <c r="E450" s="136">
        <f t="shared" ref="E450:E454" si="22">SUM(C450:D450)</f>
        <v>6850</v>
      </c>
      <c r="F450" s="250">
        <v>195.0</v>
      </c>
      <c r="G450" s="250">
        <v>172.3</v>
      </c>
      <c r="H450" s="250">
        <v>9.3</v>
      </c>
      <c r="I450" s="130">
        <v>179.0</v>
      </c>
      <c r="J450" s="250">
        <v>6.3</v>
      </c>
      <c r="K450" s="1"/>
      <c r="L450" s="1"/>
      <c r="M450" s="1"/>
      <c r="N450" s="1"/>
      <c r="O450" s="1"/>
      <c r="P450" s="1"/>
      <c r="Q450" s="1"/>
      <c r="R450" s="1"/>
      <c r="S450" s="1"/>
      <c r="T450" s="1"/>
      <c r="U450" s="1"/>
      <c r="V450" s="1"/>
      <c r="W450" s="1"/>
      <c r="X450" s="1"/>
      <c r="Y450" s="1"/>
      <c r="Z450" s="1"/>
    </row>
    <row r="451" ht="10.5" customHeight="1">
      <c r="A451" s="1"/>
      <c r="B451" s="48" t="s">
        <v>81</v>
      </c>
      <c r="C451" s="136">
        <v>5565.0</v>
      </c>
      <c r="D451" s="136">
        <v>1787.0</v>
      </c>
      <c r="E451" s="136">
        <f t="shared" si="22"/>
        <v>7352</v>
      </c>
      <c r="F451" s="250">
        <v>213.7</v>
      </c>
      <c r="G451" s="250">
        <v>183.3</v>
      </c>
      <c r="H451" s="250">
        <v>13.4</v>
      </c>
      <c r="I451" s="130">
        <v>195.0</v>
      </c>
      <c r="J451" s="250">
        <v>6.7</v>
      </c>
      <c r="K451" s="1"/>
      <c r="L451" s="1"/>
      <c r="M451" s="1"/>
      <c r="N451" s="1"/>
      <c r="O451" s="1"/>
      <c r="P451" s="1"/>
      <c r="Q451" s="1"/>
      <c r="R451" s="1"/>
      <c r="S451" s="1"/>
      <c r="T451" s="1"/>
      <c r="U451" s="1"/>
      <c r="V451" s="1"/>
      <c r="W451" s="1"/>
      <c r="X451" s="1"/>
      <c r="Y451" s="1"/>
      <c r="Z451" s="1"/>
    </row>
    <row r="452" ht="10.5" customHeight="1">
      <c r="A452" s="1"/>
      <c r="B452" s="48" t="s">
        <v>86</v>
      </c>
      <c r="C452" s="136">
        <v>6221.0</v>
      </c>
      <c r="D452" s="136">
        <v>2059.0</v>
      </c>
      <c r="E452" s="136">
        <f t="shared" si="22"/>
        <v>8280</v>
      </c>
      <c r="F452" s="250">
        <v>206.9</v>
      </c>
      <c r="G452" s="250">
        <v>212.1</v>
      </c>
      <c r="H452" s="250">
        <v>7.5</v>
      </c>
      <c r="I452" s="130">
        <v>217.0</v>
      </c>
      <c r="J452" s="250">
        <v>7.3</v>
      </c>
      <c r="K452" s="1"/>
      <c r="L452" s="1"/>
      <c r="M452" s="1"/>
      <c r="N452" s="1"/>
      <c r="O452" s="1"/>
      <c r="P452" s="1"/>
      <c r="Q452" s="1"/>
      <c r="R452" s="1"/>
      <c r="S452" s="1"/>
      <c r="T452" s="1"/>
      <c r="U452" s="1"/>
      <c r="V452" s="1"/>
      <c r="W452" s="1"/>
      <c r="X452" s="1"/>
      <c r="Y452" s="1"/>
      <c r="Z452" s="1"/>
    </row>
    <row r="453" ht="10.5" customHeight="1">
      <c r="A453" s="1"/>
      <c r="B453" s="48" t="s">
        <v>87</v>
      </c>
      <c r="C453" s="136">
        <v>5958.0</v>
      </c>
      <c r="D453" s="136">
        <v>2287.0</v>
      </c>
      <c r="E453" s="136">
        <f t="shared" si="22"/>
        <v>8245</v>
      </c>
      <c r="F453" s="250">
        <v>233.4</v>
      </c>
      <c r="G453" s="250">
        <v>211.5</v>
      </c>
      <c r="H453" s="250">
        <v>6.4</v>
      </c>
      <c r="I453" s="130">
        <v>216.0</v>
      </c>
      <c r="J453" s="250">
        <v>7.1</v>
      </c>
      <c r="K453" s="1"/>
      <c r="L453" s="1"/>
      <c r="M453" s="1"/>
      <c r="N453" s="1"/>
      <c r="O453" s="1"/>
      <c r="P453" s="1"/>
      <c r="Q453" s="1"/>
      <c r="R453" s="1"/>
      <c r="S453" s="1"/>
      <c r="T453" s="1"/>
      <c r="U453" s="1"/>
      <c r="V453" s="1"/>
      <c r="W453" s="1"/>
      <c r="X453" s="1"/>
      <c r="Y453" s="1"/>
      <c r="Z453" s="1"/>
    </row>
    <row r="454" ht="10.5" customHeight="1">
      <c r="A454" s="1"/>
      <c r="B454" s="48" t="s">
        <v>90</v>
      </c>
      <c r="C454" s="136">
        <v>6220.0</v>
      </c>
      <c r="D454" s="136">
        <v>2434.0</v>
      </c>
      <c r="E454" s="136">
        <f t="shared" si="22"/>
        <v>8654</v>
      </c>
      <c r="F454" s="250">
        <v>256.3</v>
      </c>
      <c r="G454" s="250">
        <v>219.9</v>
      </c>
      <c r="H454" s="250">
        <v>8.7</v>
      </c>
      <c r="I454" s="130">
        <v>225.0</v>
      </c>
      <c r="J454" s="250">
        <v>7.3</v>
      </c>
      <c r="K454" s="1"/>
      <c r="L454" s="1"/>
      <c r="M454" s="1"/>
      <c r="N454" s="1"/>
      <c r="O454" s="1"/>
      <c r="P454" s="1"/>
      <c r="Q454" s="1"/>
      <c r="R454" s="1"/>
      <c r="S454" s="1"/>
      <c r="T454" s="1"/>
      <c r="U454" s="1"/>
      <c r="V454" s="1"/>
      <c r="W454" s="1"/>
      <c r="X454" s="1"/>
      <c r="Y454" s="1"/>
      <c r="Z454" s="1"/>
    </row>
    <row r="455" ht="10.5" customHeight="1">
      <c r="A455" s="1"/>
      <c r="B455" s="48"/>
      <c r="C455" s="136"/>
      <c r="D455" s="136"/>
      <c r="E455" s="136"/>
      <c r="F455" s="250"/>
      <c r="G455" s="250"/>
      <c r="H455" s="250"/>
      <c r="I455" s="130"/>
      <c r="J455" s="250"/>
      <c r="K455" s="1"/>
      <c r="L455" s="1"/>
      <c r="M455" s="1"/>
      <c r="N455" s="1"/>
      <c r="O455" s="1"/>
      <c r="P455" s="1"/>
      <c r="Q455" s="1"/>
      <c r="R455" s="1"/>
      <c r="S455" s="1"/>
      <c r="T455" s="1"/>
      <c r="U455" s="1"/>
      <c r="V455" s="1"/>
      <c r="W455" s="1"/>
      <c r="X455" s="1"/>
      <c r="Y455" s="1"/>
      <c r="Z455" s="1"/>
    </row>
    <row r="456" ht="10.5" customHeight="1">
      <c r="A456" s="1"/>
      <c r="B456" s="48" t="s">
        <v>93</v>
      </c>
      <c r="C456" s="136">
        <v>5457.0</v>
      </c>
      <c r="D456" s="136">
        <v>1997.0</v>
      </c>
      <c r="E456" s="136">
        <f t="shared" ref="E456:E460" si="23">SUM(C456:D456)</f>
        <v>7454</v>
      </c>
      <c r="F456" s="250">
        <v>308.7</v>
      </c>
      <c r="G456" s="250">
        <v>193.3</v>
      </c>
      <c r="H456" s="250">
        <v>13.2</v>
      </c>
      <c r="I456" s="130">
        <v>205.0</v>
      </c>
      <c r="J456" s="250">
        <v>6.4</v>
      </c>
      <c r="K456" s="1"/>
      <c r="L456" s="1"/>
      <c r="M456" s="1"/>
      <c r="N456" s="1"/>
      <c r="O456" s="1"/>
      <c r="P456" s="1"/>
      <c r="Q456" s="1"/>
      <c r="R456" s="1"/>
      <c r="S456" s="1"/>
      <c r="T456" s="1"/>
      <c r="U456" s="1"/>
      <c r="V456" s="1"/>
      <c r="W456" s="1"/>
      <c r="X456" s="1"/>
      <c r="Y456" s="1"/>
      <c r="Z456" s="1"/>
    </row>
    <row r="457" ht="10.5" customHeight="1">
      <c r="A457" s="1"/>
      <c r="B457" s="48" t="s">
        <v>97</v>
      </c>
      <c r="C457" s="136">
        <v>5079.0</v>
      </c>
      <c r="D457" s="136">
        <v>1649.0</v>
      </c>
      <c r="E457" s="136">
        <f t="shared" si="23"/>
        <v>6728</v>
      </c>
      <c r="F457" s="250">
        <v>384.0</v>
      </c>
      <c r="G457" s="250">
        <v>180.8</v>
      </c>
      <c r="H457" s="250">
        <v>12.5</v>
      </c>
      <c r="I457" s="130">
        <v>191.0</v>
      </c>
      <c r="J457" s="250">
        <v>5.9</v>
      </c>
      <c r="K457" s="1"/>
      <c r="L457" s="1"/>
      <c r="M457" s="1"/>
      <c r="N457" s="1"/>
      <c r="O457" s="1"/>
      <c r="P457" s="1"/>
      <c r="Q457" s="1"/>
      <c r="R457" s="1"/>
      <c r="S457" s="1"/>
      <c r="T457" s="1"/>
      <c r="U457" s="1"/>
      <c r="V457" s="1"/>
      <c r="W457" s="1"/>
      <c r="X457" s="1"/>
      <c r="Y457" s="1"/>
      <c r="Z457" s="1"/>
    </row>
    <row r="458" ht="10.5" customHeight="1">
      <c r="A458" s="1"/>
      <c r="B458" s="48" t="s">
        <v>101</v>
      </c>
      <c r="C458" s="136">
        <v>5100.0</v>
      </c>
      <c r="D458" s="136">
        <v>1936.0</v>
      </c>
      <c r="E458" s="136">
        <f t="shared" si="23"/>
        <v>7036</v>
      </c>
      <c r="F458" s="250">
        <v>474.42</v>
      </c>
      <c r="G458" s="250">
        <v>166.7</v>
      </c>
      <c r="H458" s="250">
        <v>16.6</v>
      </c>
      <c r="I458" s="130">
        <v>181.0</v>
      </c>
      <c r="J458" s="250">
        <v>5.4</v>
      </c>
      <c r="K458" s="1"/>
      <c r="L458" s="1"/>
      <c r="M458" s="1"/>
      <c r="N458" s="1"/>
      <c r="O458" s="1"/>
      <c r="P458" s="1"/>
      <c r="Q458" s="1"/>
      <c r="R458" s="1"/>
      <c r="S458" s="1"/>
      <c r="T458" s="1"/>
      <c r="U458" s="1"/>
      <c r="V458" s="1"/>
      <c r="W458" s="1"/>
      <c r="X458" s="1"/>
      <c r="Y458" s="1"/>
      <c r="Z458" s="1"/>
    </row>
    <row r="459" ht="10.5" customHeight="1">
      <c r="A459" s="1"/>
      <c r="B459" s="48" t="s">
        <v>103</v>
      </c>
      <c r="C459" s="136">
        <v>4743.0</v>
      </c>
      <c r="D459" s="136">
        <v>1882.0</v>
      </c>
      <c r="E459" s="136">
        <f t="shared" si="23"/>
        <v>6625</v>
      </c>
      <c r="F459" s="250">
        <v>531.1</v>
      </c>
      <c r="G459" s="250">
        <v>164.3</v>
      </c>
      <c r="H459" s="250">
        <v>14.14</v>
      </c>
      <c r="I459" s="130">
        <v>177.0</v>
      </c>
      <c r="J459" s="250">
        <v>5.2</v>
      </c>
      <c r="K459" s="1"/>
      <c r="L459" s="1"/>
      <c r="M459" s="1"/>
      <c r="N459" s="1"/>
      <c r="O459" s="1"/>
      <c r="P459" s="1"/>
      <c r="Q459" s="1"/>
      <c r="R459" s="1"/>
      <c r="S459" s="1"/>
      <c r="T459" s="1"/>
      <c r="U459" s="1"/>
      <c r="V459" s="1"/>
      <c r="W459" s="1"/>
      <c r="X459" s="1"/>
      <c r="Y459" s="1"/>
      <c r="Z459" s="1"/>
    </row>
    <row r="460" ht="10.5" customHeight="1">
      <c r="A460" s="1"/>
      <c r="B460" s="48" t="s">
        <v>104</v>
      </c>
      <c r="C460" s="136">
        <v>5399.0</v>
      </c>
      <c r="D460" s="136">
        <v>2244.0</v>
      </c>
      <c r="E460" s="136">
        <f t="shared" si="23"/>
        <v>7643</v>
      </c>
      <c r="F460" s="250">
        <v>503.6</v>
      </c>
      <c r="G460" s="250">
        <v>168.2</v>
      </c>
      <c r="H460" s="250">
        <v>17.7</v>
      </c>
      <c r="I460" s="130">
        <v>184.0</v>
      </c>
      <c r="J460" s="250">
        <v>5.3</v>
      </c>
      <c r="K460" s="1"/>
      <c r="L460" s="1"/>
      <c r="M460" s="1"/>
      <c r="N460" s="1"/>
      <c r="O460" s="1"/>
      <c r="P460" s="1"/>
      <c r="Q460" s="1"/>
      <c r="R460" s="1"/>
      <c r="S460" s="1"/>
      <c r="T460" s="1"/>
      <c r="U460" s="1"/>
      <c r="V460" s="1"/>
      <c r="W460" s="1"/>
      <c r="X460" s="1"/>
      <c r="Y460" s="1"/>
      <c r="Z460" s="1"/>
    </row>
    <row r="461" ht="10.5" customHeight="1">
      <c r="A461" s="1"/>
      <c r="B461" s="48"/>
      <c r="C461" s="136"/>
      <c r="D461" s="136"/>
      <c r="E461" s="136"/>
      <c r="F461" s="250"/>
      <c r="G461" s="250"/>
      <c r="H461" s="250"/>
      <c r="I461" s="130"/>
      <c r="J461" s="250"/>
      <c r="K461" s="1"/>
      <c r="L461" s="1"/>
      <c r="M461" s="1"/>
      <c r="N461" s="1"/>
      <c r="O461" s="1"/>
      <c r="P461" s="1"/>
      <c r="Q461" s="1"/>
      <c r="R461" s="1"/>
      <c r="S461" s="1"/>
      <c r="T461" s="1"/>
      <c r="U461" s="1"/>
      <c r="V461" s="1"/>
      <c r="W461" s="1"/>
      <c r="X461" s="1"/>
      <c r="Y461" s="1"/>
      <c r="Z461" s="1"/>
    </row>
    <row r="462" ht="10.5" customHeight="1">
      <c r="A462" s="1"/>
      <c r="B462" s="48" t="s">
        <v>108</v>
      </c>
      <c r="C462" s="136">
        <v>6188.0</v>
      </c>
      <c r="D462" s="136">
        <v>2910.0</v>
      </c>
      <c r="E462" s="136">
        <f t="shared" ref="E462:E464" si="24">SUM(C462:D462)</f>
        <v>9098</v>
      </c>
      <c r="F462" s="250">
        <v>478.6</v>
      </c>
      <c r="G462" s="250">
        <v>191.2</v>
      </c>
      <c r="H462" s="250">
        <v>17.3</v>
      </c>
      <c r="I462" s="130">
        <v>206.0</v>
      </c>
      <c r="J462" s="250">
        <v>5.8</v>
      </c>
      <c r="K462" s="1"/>
      <c r="L462" s="1"/>
      <c r="M462" s="1"/>
      <c r="N462" s="1"/>
      <c r="O462" s="1"/>
      <c r="P462" s="1"/>
      <c r="Q462" s="1"/>
      <c r="R462" s="1"/>
      <c r="S462" s="1"/>
      <c r="T462" s="1"/>
      <c r="U462" s="1"/>
      <c r="V462" s="1"/>
      <c r="W462" s="1"/>
      <c r="X462" s="1"/>
      <c r="Y462" s="1"/>
      <c r="Z462" s="1"/>
    </row>
    <row r="463" ht="10.5" customHeight="1">
      <c r="A463" s="1"/>
      <c r="B463" s="48" t="s">
        <v>111</v>
      </c>
      <c r="C463" s="136">
        <v>5444.0</v>
      </c>
      <c r="D463" s="136">
        <v>3061.0</v>
      </c>
      <c r="E463" s="136">
        <f t="shared" si="24"/>
        <v>8505</v>
      </c>
      <c r="F463" s="250">
        <v>564.5</v>
      </c>
      <c r="G463" s="250">
        <v>176.1</v>
      </c>
      <c r="H463" s="250">
        <v>25.1</v>
      </c>
      <c r="I463" s="130">
        <v>199.0</v>
      </c>
      <c r="J463" s="250">
        <v>5.5</v>
      </c>
      <c r="K463" s="1"/>
      <c r="L463" s="1"/>
      <c r="M463" s="1"/>
      <c r="N463" s="1"/>
      <c r="O463" s="1"/>
      <c r="P463" s="1"/>
      <c r="Q463" s="1"/>
      <c r="R463" s="1"/>
      <c r="S463" s="1"/>
      <c r="T463" s="1"/>
      <c r="U463" s="1"/>
      <c r="V463" s="1"/>
      <c r="W463" s="1"/>
      <c r="X463" s="1"/>
      <c r="Y463" s="1"/>
      <c r="Z463" s="1"/>
    </row>
    <row r="464" ht="10.5" customHeight="1">
      <c r="A464" s="1"/>
      <c r="B464" s="48" t="s">
        <v>112</v>
      </c>
      <c r="C464" s="136">
        <v>4334.0</v>
      </c>
      <c r="D464" s="136">
        <v>3453.0</v>
      </c>
      <c r="E464" s="136">
        <f t="shared" si="24"/>
        <v>7787</v>
      </c>
      <c r="F464" s="250">
        <v>621.6</v>
      </c>
      <c r="G464" s="250">
        <v>167.4</v>
      </c>
      <c r="H464" s="250">
        <v>23.6</v>
      </c>
      <c r="I464" s="130">
        <v>189.0</v>
      </c>
      <c r="J464" s="250">
        <v>5.1</v>
      </c>
      <c r="K464" s="1"/>
      <c r="L464" s="1"/>
      <c r="M464" s="1"/>
      <c r="N464" s="1"/>
      <c r="O464" s="1"/>
      <c r="P464" s="1"/>
      <c r="Q464" s="1"/>
      <c r="R464" s="1"/>
      <c r="S464" s="1"/>
      <c r="T464" s="1"/>
      <c r="U464" s="1"/>
      <c r="V464" s="1"/>
      <c r="W464" s="1"/>
      <c r="X464" s="1"/>
      <c r="Y464" s="1"/>
      <c r="Z464" s="1"/>
    </row>
    <row r="465" ht="10.5" customHeight="1">
      <c r="A465" s="1"/>
      <c r="B465" s="48" t="s">
        <v>1171</v>
      </c>
      <c r="C465" s="136" t="s">
        <v>106</v>
      </c>
      <c r="D465" s="136" t="s">
        <v>106</v>
      </c>
      <c r="E465" s="136">
        <v>7694.0</v>
      </c>
      <c r="F465" s="250">
        <v>771.1</v>
      </c>
      <c r="G465" s="250">
        <v>135.3</v>
      </c>
      <c r="H465" s="250">
        <v>22.7</v>
      </c>
      <c r="I465" s="130">
        <v>156.0</v>
      </c>
      <c r="J465" s="250">
        <v>4.1</v>
      </c>
      <c r="K465" s="1"/>
      <c r="L465" s="1"/>
      <c r="M465" s="1"/>
      <c r="N465" s="1"/>
      <c r="O465" s="1"/>
      <c r="P465" s="1"/>
      <c r="Q465" s="1"/>
      <c r="R465" s="1"/>
      <c r="S465" s="1"/>
      <c r="T465" s="1"/>
      <c r="U465" s="1"/>
      <c r="V465" s="1"/>
      <c r="W465" s="1"/>
      <c r="X465" s="1"/>
      <c r="Y465" s="1"/>
      <c r="Z465" s="1"/>
    </row>
    <row r="466" ht="10.5" customHeight="1">
      <c r="A466" s="1"/>
      <c r="B466" s="48" t="s">
        <v>114</v>
      </c>
      <c r="C466" s="136" t="s">
        <v>106</v>
      </c>
      <c r="D466" s="136" t="s">
        <v>106</v>
      </c>
      <c r="E466" s="136">
        <v>5203.0</v>
      </c>
      <c r="F466" s="250">
        <v>877.1</v>
      </c>
      <c r="G466" s="250">
        <v>94.8</v>
      </c>
      <c r="H466" s="250">
        <v>24.9</v>
      </c>
      <c r="I466" s="130">
        <v>118.0</v>
      </c>
      <c r="J466" s="250">
        <v>3.1</v>
      </c>
      <c r="K466" s="1"/>
      <c r="L466" s="1"/>
      <c r="M466" s="1"/>
      <c r="N466" s="1"/>
      <c r="O466" s="1"/>
      <c r="P466" s="1"/>
      <c r="Q466" s="1"/>
      <c r="R466" s="1"/>
      <c r="S466" s="1"/>
      <c r="T466" s="1"/>
      <c r="U466" s="1"/>
      <c r="V466" s="1"/>
      <c r="W466" s="1"/>
      <c r="X466" s="1"/>
      <c r="Y466" s="1"/>
      <c r="Z466" s="1"/>
    </row>
    <row r="467" ht="10.5" customHeight="1">
      <c r="A467" s="1"/>
      <c r="B467" s="48"/>
      <c r="C467" s="136"/>
      <c r="D467" s="136"/>
      <c r="E467" s="136"/>
      <c r="F467" s="250"/>
      <c r="G467" s="250"/>
      <c r="H467" s="250"/>
      <c r="I467" s="130"/>
      <c r="J467" s="250"/>
      <c r="K467" s="1"/>
      <c r="L467" s="1"/>
      <c r="M467" s="1"/>
      <c r="N467" s="1"/>
      <c r="O467" s="1"/>
      <c r="P467" s="1"/>
      <c r="Q467" s="1"/>
      <c r="R467" s="1"/>
      <c r="S467" s="1"/>
      <c r="T467" s="1"/>
      <c r="U467" s="1"/>
      <c r="V467" s="1"/>
      <c r="W467" s="1"/>
      <c r="X467" s="1"/>
      <c r="Y467" s="1"/>
      <c r="Z467" s="1"/>
    </row>
    <row r="468" ht="10.5" customHeight="1">
      <c r="A468" s="1"/>
      <c r="B468" s="48" t="s">
        <v>115</v>
      </c>
      <c r="C468" s="136" t="s">
        <v>106</v>
      </c>
      <c r="D468" s="136" t="s">
        <v>106</v>
      </c>
      <c r="E468" s="178">
        <v>5904.0</v>
      </c>
      <c r="F468" s="250">
        <v>826.1</v>
      </c>
      <c r="G468" s="250">
        <v>106.3</v>
      </c>
      <c r="H468" s="250">
        <v>38.1</v>
      </c>
      <c r="I468" s="130">
        <v>143.0</v>
      </c>
      <c r="J468" s="250">
        <v>3.6</v>
      </c>
      <c r="K468" s="1"/>
      <c r="L468" s="1"/>
      <c r="M468" s="1"/>
      <c r="N468" s="1"/>
      <c r="O468" s="1"/>
      <c r="P468" s="1"/>
      <c r="Q468" s="1"/>
      <c r="R468" s="1"/>
      <c r="S468" s="1"/>
      <c r="T468" s="1"/>
      <c r="U468" s="1"/>
      <c r="V468" s="1"/>
      <c r="W468" s="1"/>
      <c r="X468" s="1"/>
      <c r="Y468" s="1"/>
      <c r="Z468" s="1"/>
    </row>
    <row r="469" ht="10.5" customHeight="1">
      <c r="A469" s="1"/>
      <c r="B469" s="48" t="s">
        <v>117</v>
      </c>
      <c r="C469" s="136" t="s">
        <v>106</v>
      </c>
      <c r="D469" s="136" t="s">
        <v>106</v>
      </c>
      <c r="E469" s="178">
        <v>5655.0</v>
      </c>
      <c r="F469" s="250">
        <v>1057.3</v>
      </c>
      <c r="G469" s="250">
        <v>102.6</v>
      </c>
      <c r="H469" s="250">
        <v>41.1</v>
      </c>
      <c r="I469" s="130">
        <v>142.0</v>
      </c>
      <c r="J469" s="250">
        <v>3.5</v>
      </c>
      <c r="K469" s="1"/>
      <c r="L469" s="1"/>
      <c r="M469" s="1"/>
      <c r="N469" s="1"/>
      <c r="O469" s="1"/>
      <c r="P469" s="1"/>
      <c r="Q469" s="1"/>
      <c r="R469" s="1"/>
      <c r="S469" s="1"/>
      <c r="T469" s="1"/>
      <c r="U469" s="1"/>
      <c r="V469" s="1"/>
      <c r="W469" s="1"/>
      <c r="X469" s="1"/>
      <c r="Y469" s="1"/>
      <c r="Z469" s="1"/>
    </row>
    <row r="470" ht="10.5" customHeight="1">
      <c r="A470" s="1"/>
      <c r="B470" s="48" t="s">
        <v>121</v>
      </c>
      <c r="C470" s="136" t="s">
        <v>106</v>
      </c>
      <c r="D470" s="136" t="s">
        <v>106</v>
      </c>
      <c r="E470" s="178">
        <v>5536.0</v>
      </c>
      <c r="F470" s="250">
        <v>1064.5</v>
      </c>
      <c r="G470" s="250">
        <v>96.9</v>
      </c>
      <c r="H470" s="250">
        <v>49.4</v>
      </c>
      <c r="I470" s="130">
        <v>145.0</v>
      </c>
      <c r="J470" s="250">
        <v>3.5</v>
      </c>
      <c r="K470" s="1"/>
      <c r="L470" s="1"/>
      <c r="M470" s="1"/>
      <c r="N470" s="1"/>
      <c r="O470" s="1"/>
      <c r="P470" s="1"/>
      <c r="Q470" s="1"/>
      <c r="R470" s="1"/>
      <c r="S470" s="1"/>
      <c r="T470" s="1"/>
      <c r="U470" s="1"/>
      <c r="V470" s="1"/>
      <c r="W470" s="1"/>
      <c r="X470" s="1"/>
      <c r="Y470" s="1"/>
      <c r="Z470" s="1"/>
    </row>
    <row r="471" ht="10.5" customHeight="1">
      <c r="A471" s="1"/>
      <c r="B471" s="48" t="s">
        <v>122</v>
      </c>
      <c r="C471" s="136" t="s">
        <v>106</v>
      </c>
      <c r="D471" s="136" t="s">
        <v>106</v>
      </c>
      <c r="E471" s="178">
        <v>5905.0</v>
      </c>
      <c r="F471" s="250">
        <v>1012.6</v>
      </c>
      <c r="G471" s="250">
        <v>104.9</v>
      </c>
      <c r="H471" s="250">
        <v>51.1</v>
      </c>
      <c r="I471" s="130">
        <v>154.0</v>
      </c>
      <c r="J471" s="250">
        <v>3.7</v>
      </c>
      <c r="K471" s="1"/>
      <c r="L471" s="1"/>
      <c r="M471" s="1"/>
      <c r="N471" s="1"/>
      <c r="O471" s="1"/>
      <c r="P471" s="1"/>
      <c r="Q471" s="1"/>
      <c r="R471" s="1"/>
      <c r="S471" s="1"/>
      <c r="T471" s="1"/>
      <c r="U471" s="1"/>
      <c r="V471" s="1"/>
      <c r="W471" s="1"/>
      <c r="X471" s="1"/>
      <c r="Y471" s="1"/>
      <c r="Z471" s="1"/>
    </row>
    <row r="472" ht="10.5" customHeight="1">
      <c r="A472" s="1"/>
      <c r="B472" s="48" t="s">
        <v>123</v>
      </c>
      <c r="C472" s="136" t="s">
        <v>106</v>
      </c>
      <c r="D472" s="136" t="s">
        <v>106</v>
      </c>
      <c r="E472" s="178">
        <v>6115.0</v>
      </c>
      <c r="F472" s="250">
        <v>1300.2</v>
      </c>
      <c r="G472" s="250">
        <v>108.3</v>
      </c>
      <c r="H472" s="250">
        <v>56.8</v>
      </c>
      <c r="I472" s="130">
        <v>163.0</v>
      </c>
      <c r="J472" s="250">
        <v>3.8</v>
      </c>
      <c r="K472" s="1"/>
      <c r="L472" s="1"/>
      <c r="M472" s="1"/>
      <c r="N472" s="1"/>
      <c r="O472" s="1"/>
      <c r="P472" s="1"/>
      <c r="Q472" s="1"/>
      <c r="R472" s="1"/>
      <c r="S472" s="1"/>
      <c r="T472" s="1"/>
      <c r="U472" s="1"/>
      <c r="V472" s="1"/>
      <c r="W472" s="1"/>
      <c r="X472" s="1"/>
      <c r="Y472" s="1"/>
      <c r="Z472" s="1"/>
    </row>
    <row r="473" ht="10.5" customHeight="1">
      <c r="A473" s="1"/>
      <c r="B473" s="48"/>
      <c r="C473" s="136"/>
      <c r="D473" s="136"/>
      <c r="E473" s="178"/>
      <c r="F473" s="250"/>
      <c r="G473" s="250"/>
      <c r="H473" s="250"/>
      <c r="I473" s="130"/>
      <c r="J473" s="250"/>
      <c r="K473" s="1"/>
      <c r="L473" s="1"/>
      <c r="M473" s="1"/>
      <c r="N473" s="1"/>
      <c r="O473" s="1"/>
      <c r="P473" s="1"/>
      <c r="Q473" s="1"/>
      <c r="R473" s="1"/>
      <c r="S473" s="1"/>
      <c r="T473" s="1"/>
      <c r="U473" s="1"/>
      <c r="V473" s="1"/>
      <c r="W473" s="1"/>
      <c r="X473" s="1"/>
      <c r="Y473" s="1"/>
      <c r="Z473" s="1"/>
    </row>
    <row r="474" ht="10.5" customHeight="1">
      <c r="A474" s="1"/>
      <c r="B474" s="48" t="s">
        <v>125</v>
      </c>
      <c r="C474" s="136" t="s">
        <v>106</v>
      </c>
      <c r="D474" s="136" t="s">
        <v>106</v>
      </c>
      <c r="E474" s="178">
        <v>5964.0</v>
      </c>
      <c r="F474" s="250">
        <v>1462.4</v>
      </c>
      <c r="G474" s="250">
        <v>105.4</v>
      </c>
      <c r="H474" s="250">
        <v>55.1</v>
      </c>
      <c r="I474" s="130">
        <v>159.0</v>
      </c>
      <c r="J474" s="250">
        <v>3.6</v>
      </c>
      <c r="K474" s="1"/>
      <c r="L474" s="1"/>
      <c r="M474" s="1"/>
      <c r="N474" s="1"/>
      <c r="O474" s="1"/>
      <c r="P474" s="1"/>
      <c r="Q474" s="1"/>
      <c r="R474" s="1"/>
      <c r="S474" s="1"/>
      <c r="T474" s="1"/>
      <c r="U474" s="1"/>
      <c r="V474" s="1"/>
      <c r="W474" s="1"/>
      <c r="X474" s="1"/>
      <c r="Y474" s="1"/>
      <c r="Z474" s="1"/>
    </row>
    <row r="475" ht="10.5" customHeight="1">
      <c r="A475" s="1"/>
      <c r="B475" s="48" t="s">
        <v>127</v>
      </c>
      <c r="C475" s="169" t="s">
        <v>106</v>
      </c>
      <c r="D475" s="136" t="s">
        <v>106</v>
      </c>
      <c r="E475" s="179">
        <v>5964.0</v>
      </c>
      <c r="F475" s="54">
        <v>1522.3</v>
      </c>
      <c r="G475" s="54">
        <v>105.1</v>
      </c>
      <c r="H475" s="54">
        <v>42.2</v>
      </c>
      <c r="I475" s="216">
        <v>146.0</v>
      </c>
      <c r="J475" s="250">
        <v>3.3</v>
      </c>
      <c r="K475" s="1"/>
      <c r="L475" s="1"/>
      <c r="M475" s="1"/>
      <c r="N475" s="1"/>
      <c r="O475" s="1"/>
      <c r="P475" s="1"/>
      <c r="Q475" s="1"/>
      <c r="R475" s="1"/>
      <c r="S475" s="1"/>
      <c r="T475" s="1"/>
      <c r="U475" s="1"/>
      <c r="V475" s="1"/>
      <c r="W475" s="1"/>
      <c r="X475" s="1"/>
      <c r="Y475" s="1"/>
      <c r="Z475" s="1"/>
    </row>
    <row r="476" ht="10.5" customHeight="1">
      <c r="A476" s="1"/>
      <c r="B476" s="48" t="s">
        <v>128</v>
      </c>
      <c r="C476" s="169" t="s">
        <v>106</v>
      </c>
      <c r="D476" s="136" t="s">
        <v>106</v>
      </c>
      <c r="E476" s="179">
        <v>6012.0</v>
      </c>
      <c r="F476" s="54">
        <v>1818.1</v>
      </c>
      <c r="G476" s="54">
        <v>114.4</v>
      </c>
      <c r="H476" s="54">
        <v>33.2</v>
      </c>
      <c r="I476" s="216">
        <v>146.0</v>
      </c>
      <c r="J476" s="54">
        <v>3.2</v>
      </c>
      <c r="K476" s="1"/>
      <c r="L476" s="1"/>
      <c r="M476" s="1"/>
      <c r="N476" s="1"/>
      <c r="O476" s="1"/>
      <c r="P476" s="1"/>
      <c r="Q476" s="1"/>
      <c r="R476" s="1"/>
      <c r="S476" s="1"/>
      <c r="T476" s="1"/>
      <c r="U476" s="1"/>
      <c r="V476" s="1"/>
      <c r="W476" s="1"/>
      <c r="X476" s="1"/>
      <c r="Y476" s="1"/>
      <c r="Z476" s="1"/>
    </row>
    <row r="477" ht="10.5" customHeight="1">
      <c r="A477" s="1"/>
      <c r="B477" s="48" t="s">
        <v>129</v>
      </c>
      <c r="C477" s="169" t="s">
        <v>106</v>
      </c>
      <c r="D477" s="136" t="s">
        <v>106</v>
      </c>
      <c r="E477" s="179">
        <v>6117.0</v>
      </c>
      <c r="F477" s="54">
        <v>2012.6</v>
      </c>
      <c r="G477" s="54">
        <v>120.3</v>
      </c>
      <c r="H477" s="54">
        <v>34.8</v>
      </c>
      <c r="I477" s="216">
        <v>153.0</v>
      </c>
      <c r="J477" s="54">
        <v>3.3</v>
      </c>
      <c r="K477" s="1"/>
      <c r="L477" s="1"/>
      <c r="M477" s="1"/>
      <c r="N477" s="1"/>
      <c r="O477" s="1"/>
      <c r="P477" s="1"/>
      <c r="Q477" s="1"/>
      <c r="R477" s="1"/>
      <c r="S477" s="1"/>
      <c r="T477" s="1"/>
      <c r="U477" s="1"/>
      <c r="V477" s="1"/>
      <c r="W477" s="1"/>
      <c r="X477" s="1"/>
      <c r="Y477" s="1"/>
      <c r="Z477" s="1"/>
    </row>
    <row r="478" ht="10.5" customHeight="1">
      <c r="A478" s="1"/>
      <c r="B478" s="48" t="s">
        <v>130</v>
      </c>
      <c r="C478" s="169" t="s">
        <v>106</v>
      </c>
      <c r="D478" s="169" t="s">
        <v>106</v>
      </c>
      <c r="E478" s="179">
        <v>6392.0</v>
      </c>
      <c r="F478" s="693">
        <v>2100.5</v>
      </c>
      <c r="G478" s="54">
        <v>134.6</v>
      </c>
      <c r="H478" s="693">
        <v>35.2</v>
      </c>
      <c r="I478" s="524">
        <v>168.0</v>
      </c>
      <c r="J478" s="54">
        <v>3.6</v>
      </c>
      <c r="K478" s="1"/>
      <c r="L478" s="1"/>
      <c r="M478" s="1"/>
      <c r="N478" s="1"/>
      <c r="O478" s="1"/>
      <c r="P478" s="1"/>
      <c r="Q478" s="1"/>
      <c r="R478" s="1"/>
      <c r="S478" s="1"/>
      <c r="T478" s="1"/>
      <c r="U478" s="1"/>
      <c r="V478" s="1"/>
      <c r="W478" s="1"/>
      <c r="X478" s="1"/>
      <c r="Y478" s="1"/>
      <c r="Z478" s="1"/>
    </row>
    <row r="479" ht="10.5" customHeight="1">
      <c r="A479" s="1"/>
      <c r="B479" s="48"/>
      <c r="C479" s="169"/>
      <c r="D479" s="169"/>
      <c r="E479" s="178"/>
      <c r="F479" s="711"/>
      <c r="G479" s="54"/>
      <c r="H479" s="693"/>
      <c r="I479" s="524"/>
      <c r="J479" s="54"/>
      <c r="K479" s="1"/>
      <c r="L479" s="1"/>
      <c r="M479" s="1"/>
      <c r="N479" s="1"/>
      <c r="O479" s="1"/>
      <c r="P479" s="1"/>
      <c r="Q479" s="1"/>
      <c r="R479" s="1"/>
      <c r="S479" s="1"/>
      <c r="T479" s="1"/>
      <c r="U479" s="1"/>
      <c r="V479" s="1"/>
      <c r="W479" s="1"/>
      <c r="X479" s="1"/>
      <c r="Y479" s="1"/>
      <c r="Z479" s="1"/>
    </row>
    <row r="480" ht="10.5" customHeight="1">
      <c r="A480" s="1"/>
      <c r="B480" s="48" t="s">
        <v>131</v>
      </c>
      <c r="C480" s="169" t="s">
        <v>106</v>
      </c>
      <c r="D480" s="169" t="s">
        <v>106</v>
      </c>
      <c r="E480" s="178">
        <v>6427.0</v>
      </c>
      <c r="F480" s="693">
        <v>2336.7</v>
      </c>
      <c r="G480" s="711">
        <v>135.3</v>
      </c>
      <c r="H480" s="693">
        <v>43.0</v>
      </c>
      <c r="I480" s="543">
        <v>176.0</v>
      </c>
      <c r="J480" s="54">
        <v>3.8</v>
      </c>
      <c r="K480" s="1"/>
      <c r="L480" s="1"/>
      <c r="M480" s="1"/>
      <c r="N480" s="1"/>
      <c r="O480" s="1"/>
      <c r="P480" s="1"/>
      <c r="Q480" s="1"/>
      <c r="R480" s="1"/>
      <c r="S480" s="1"/>
      <c r="T480" s="1"/>
      <c r="U480" s="1"/>
      <c r="V480" s="1"/>
      <c r="W480" s="1"/>
      <c r="X480" s="1"/>
      <c r="Y480" s="1"/>
      <c r="Z480" s="1"/>
    </row>
    <row r="481" ht="10.5" customHeight="1">
      <c r="A481" s="1"/>
      <c r="B481" s="48" t="s">
        <v>133</v>
      </c>
      <c r="C481" s="169" t="s">
        <v>106</v>
      </c>
      <c r="D481" s="169" t="s">
        <v>106</v>
      </c>
      <c r="E481" s="178">
        <v>6822.0</v>
      </c>
      <c r="F481" s="693">
        <v>2941.9</v>
      </c>
      <c r="G481" s="711">
        <v>160.7</v>
      </c>
      <c r="H481" s="693">
        <v>44.1</v>
      </c>
      <c r="I481" s="543">
        <v>203.0</v>
      </c>
      <c r="J481" s="54">
        <v>4.3</v>
      </c>
      <c r="K481" s="1"/>
      <c r="L481" s="1"/>
      <c r="M481" s="1"/>
      <c r="N481" s="1"/>
      <c r="O481" s="1"/>
      <c r="P481" s="1"/>
      <c r="Q481" s="1"/>
      <c r="R481" s="1"/>
      <c r="S481" s="1"/>
      <c r="T481" s="1"/>
      <c r="U481" s="1"/>
      <c r="V481" s="1"/>
      <c r="W481" s="1"/>
      <c r="X481" s="1"/>
      <c r="Y481" s="1"/>
      <c r="Z481" s="1"/>
    </row>
    <row r="482" ht="10.5" customHeight="1">
      <c r="A482" s="1"/>
      <c r="B482" s="48" t="s">
        <v>134</v>
      </c>
      <c r="C482" s="169" t="s">
        <v>106</v>
      </c>
      <c r="D482" s="169" t="s">
        <v>106</v>
      </c>
      <c r="E482" s="178">
        <v>6825.0</v>
      </c>
      <c r="F482" s="693">
        <v>2917.3</v>
      </c>
      <c r="G482" s="711">
        <v>160.6</v>
      </c>
      <c r="H482" s="693">
        <v>30.2</v>
      </c>
      <c r="I482" s="543">
        <v>189.0</v>
      </c>
      <c r="J482" s="54">
        <v>3.9</v>
      </c>
      <c r="K482" s="1"/>
      <c r="L482" s="1"/>
      <c r="M482" s="1"/>
      <c r="N482" s="1"/>
      <c r="O482" s="1"/>
      <c r="P482" s="1"/>
      <c r="Q482" s="1"/>
      <c r="R482" s="1"/>
      <c r="S482" s="1"/>
      <c r="T482" s="1"/>
      <c r="U482" s="1"/>
      <c r="V482" s="1"/>
      <c r="W482" s="1"/>
      <c r="X482" s="1"/>
      <c r="Y482" s="1"/>
      <c r="Z482" s="1"/>
    </row>
    <row r="483" ht="10.5" customHeight="1">
      <c r="A483" s="1"/>
      <c r="B483" s="293">
        <v>39692.0</v>
      </c>
      <c r="C483" s="169" t="s">
        <v>106</v>
      </c>
      <c r="D483" s="169" t="s">
        <v>106</v>
      </c>
      <c r="E483" s="178">
        <v>6838.0</v>
      </c>
      <c r="F483" s="693">
        <v>3105.6</v>
      </c>
      <c r="G483" s="711">
        <v>162.1</v>
      </c>
      <c r="H483" s="693">
        <v>19.9</v>
      </c>
      <c r="I483" s="543">
        <v>180.0</v>
      </c>
      <c r="J483" s="54">
        <v>3.7</v>
      </c>
      <c r="K483" s="1"/>
      <c r="L483" s="1"/>
      <c r="M483" s="1"/>
      <c r="N483" s="1"/>
      <c r="O483" s="1"/>
      <c r="P483" s="1"/>
      <c r="Q483" s="1"/>
      <c r="R483" s="1"/>
      <c r="S483" s="1"/>
      <c r="T483" s="1"/>
      <c r="U483" s="1"/>
      <c r="V483" s="1"/>
      <c r="W483" s="1"/>
      <c r="X483" s="1"/>
      <c r="Y483" s="1"/>
      <c r="Z483" s="1"/>
    </row>
    <row r="484" ht="10.5" customHeight="1">
      <c r="A484" s="1"/>
      <c r="B484" s="293">
        <v>40087.0</v>
      </c>
      <c r="C484" s="169" t="s">
        <v>106</v>
      </c>
      <c r="D484" s="169" t="s">
        <v>106</v>
      </c>
      <c r="E484" s="178">
        <v>6967.0</v>
      </c>
      <c r="F484" s="693">
        <v>3227.9</v>
      </c>
      <c r="G484" s="693">
        <v>163.9</v>
      </c>
      <c r="H484" s="693">
        <v>12.6</v>
      </c>
      <c r="I484" s="132">
        <v>174.0</v>
      </c>
      <c r="J484" s="54">
        <v>3.5</v>
      </c>
      <c r="K484" s="1"/>
      <c r="L484" s="1"/>
      <c r="M484" s="1"/>
      <c r="N484" s="1"/>
      <c r="O484" s="1"/>
      <c r="P484" s="1"/>
      <c r="Q484" s="1"/>
      <c r="R484" s="1"/>
      <c r="S484" s="1"/>
      <c r="T484" s="1"/>
      <c r="U484" s="1"/>
      <c r="V484" s="1"/>
      <c r="W484" s="1"/>
      <c r="X484" s="1"/>
      <c r="Y484" s="1"/>
      <c r="Z484" s="1"/>
    </row>
    <row r="485" ht="10.5" customHeight="1">
      <c r="A485" s="1"/>
      <c r="B485" s="293"/>
      <c r="C485" s="169"/>
      <c r="D485" s="169"/>
      <c r="E485" s="178"/>
      <c r="F485" s="693"/>
      <c r="G485" s="711"/>
      <c r="H485" s="693"/>
      <c r="I485" s="543"/>
      <c r="J485" s="54"/>
      <c r="K485" s="1"/>
      <c r="L485" s="1"/>
      <c r="M485" s="1"/>
      <c r="N485" s="1"/>
      <c r="O485" s="1"/>
      <c r="P485" s="1"/>
      <c r="Q485" s="1"/>
      <c r="R485" s="1"/>
      <c r="S485" s="1"/>
      <c r="T485" s="1"/>
      <c r="U485" s="1"/>
      <c r="V485" s="1"/>
      <c r="W485" s="1"/>
      <c r="X485" s="1"/>
      <c r="Y485" s="1"/>
      <c r="Z485" s="1"/>
    </row>
    <row r="486" ht="10.5" customHeight="1">
      <c r="A486" s="1"/>
      <c r="B486" s="293">
        <v>40483.0</v>
      </c>
      <c r="C486" s="169" t="s">
        <v>106</v>
      </c>
      <c r="D486" s="169" t="s">
        <v>106</v>
      </c>
      <c r="E486" s="178">
        <v>6243.0</v>
      </c>
      <c r="F486" s="693">
        <v>4048.3</v>
      </c>
      <c r="G486" s="711">
        <v>148.8</v>
      </c>
      <c r="H486" s="693">
        <v>8.1</v>
      </c>
      <c r="I486" s="543">
        <v>155.0</v>
      </c>
      <c r="J486" s="54">
        <v>3.1</v>
      </c>
      <c r="K486" s="1"/>
      <c r="L486" s="1"/>
      <c r="M486" s="1"/>
      <c r="N486" s="1"/>
      <c r="O486" s="1"/>
      <c r="P486" s="1"/>
      <c r="Q486" s="1"/>
      <c r="R486" s="1"/>
      <c r="S486" s="1"/>
      <c r="T486" s="1"/>
      <c r="U486" s="1"/>
      <c r="V486" s="1"/>
      <c r="W486" s="1"/>
      <c r="X486" s="1"/>
      <c r="Y486" s="1"/>
      <c r="Z486" s="1"/>
    </row>
    <row r="487" ht="10.5" customHeight="1">
      <c r="A487" s="1"/>
      <c r="B487" s="11" t="s">
        <v>143</v>
      </c>
      <c r="C487" s="169" t="s">
        <v>106</v>
      </c>
      <c r="D487" s="169" t="s">
        <v>106</v>
      </c>
      <c r="E487" s="178">
        <v>5993.0</v>
      </c>
      <c r="F487" s="693">
        <v>4624.0</v>
      </c>
      <c r="G487" s="693">
        <v>148.9</v>
      </c>
      <c r="H487" s="693">
        <v>9.4</v>
      </c>
      <c r="I487" s="132">
        <v>157.0</v>
      </c>
      <c r="J487" s="54">
        <v>3.0</v>
      </c>
      <c r="K487" s="1"/>
      <c r="L487" s="1"/>
      <c r="M487" s="1"/>
      <c r="N487" s="1"/>
      <c r="O487" s="1"/>
      <c r="P487" s="1"/>
      <c r="Q487" s="1"/>
      <c r="R487" s="1"/>
      <c r="S487" s="1"/>
      <c r="T487" s="1"/>
      <c r="U487" s="1"/>
      <c r="V487" s="1"/>
      <c r="W487" s="1"/>
      <c r="X487" s="1"/>
      <c r="Y487" s="1"/>
      <c r="Z487" s="1"/>
    </row>
    <row r="488" ht="10.5" customHeight="1">
      <c r="A488" s="1"/>
      <c r="B488" s="11" t="s">
        <v>149</v>
      </c>
      <c r="C488" s="169" t="s">
        <v>106</v>
      </c>
      <c r="D488" s="169" t="s">
        <v>106</v>
      </c>
      <c r="E488" s="178">
        <v>6607.0</v>
      </c>
      <c r="F488" s="693">
        <v>4159.0</v>
      </c>
      <c r="G488" s="693">
        <v>166.3</v>
      </c>
      <c r="H488" s="693">
        <v>6.6</v>
      </c>
      <c r="I488" s="132">
        <v>171.0</v>
      </c>
      <c r="J488" s="54">
        <v>3.3</v>
      </c>
      <c r="K488" s="1"/>
      <c r="L488" s="1"/>
      <c r="M488" s="1"/>
      <c r="N488" s="1"/>
      <c r="O488" s="1"/>
      <c r="P488" s="1"/>
      <c r="Q488" s="1"/>
      <c r="R488" s="1"/>
      <c r="S488" s="1"/>
      <c r="T488" s="1"/>
      <c r="U488" s="1"/>
      <c r="V488" s="1"/>
      <c r="W488" s="1"/>
      <c r="X488" s="1"/>
      <c r="Y488" s="1"/>
      <c r="Z488" s="1"/>
    </row>
    <row r="489" ht="10.5" customHeight="1">
      <c r="A489" s="1"/>
      <c r="B489" s="11" t="s">
        <v>151</v>
      </c>
      <c r="C489" s="169" t="s">
        <v>106</v>
      </c>
      <c r="D489" s="169" t="s">
        <v>106</v>
      </c>
      <c r="E489" s="178">
        <v>7109.0</v>
      </c>
      <c r="F489" s="693">
        <v>4323.4</v>
      </c>
      <c r="G489" s="693">
        <v>182.8</v>
      </c>
      <c r="H489" s="693">
        <v>7.7</v>
      </c>
      <c r="I489" s="132">
        <v>188.0</v>
      </c>
      <c r="J489" s="54">
        <v>3.6</v>
      </c>
      <c r="K489" s="1"/>
      <c r="L489" s="1"/>
      <c r="M489" s="1"/>
      <c r="N489" s="1"/>
      <c r="O489" s="1"/>
      <c r="P489" s="1"/>
      <c r="Q489" s="1"/>
      <c r="R489" s="1"/>
      <c r="S489" s="1"/>
      <c r="T489" s="1"/>
      <c r="U489" s="1"/>
      <c r="V489" s="1"/>
      <c r="W489" s="1"/>
      <c r="X489" s="1"/>
      <c r="Y489" s="1"/>
      <c r="Z489" s="1"/>
    </row>
    <row r="490" ht="10.5" customHeight="1">
      <c r="A490" s="1"/>
      <c r="B490" s="11" t="s">
        <v>153</v>
      </c>
      <c r="C490" s="169" t="s">
        <v>106</v>
      </c>
      <c r="D490" s="169" t="s">
        <v>106</v>
      </c>
      <c r="E490" s="178">
        <v>7309.0</v>
      </c>
      <c r="F490" s="693">
        <v>5141.6</v>
      </c>
      <c r="G490" s="693">
        <v>184.6</v>
      </c>
      <c r="H490" s="693">
        <v>10.2</v>
      </c>
      <c r="I490" s="132">
        <v>193.0</v>
      </c>
      <c r="J490" s="54">
        <v>3.6</v>
      </c>
      <c r="K490" s="1"/>
      <c r="L490" s="1"/>
      <c r="M490" s="1"/>
      <c r="N490" s="1"/>
      <c r="O490" s="1"/>
      <c r="P490" s="1"/>
      <c r="Q490" s="1"/>
      <c r="R490" s="1"/>
      <c r="S490" s="1"/>
      <c r="T490" s="1"/>
      <c r="U490" s="1"/>
      <c r="V490" s="1"/>
      <c r="W490" s="1"/>
      <c r="X490" s="1"/>
      <c r="Y490" s="1"/>
      <c r="Z490" s="1"/>
    </row>
    <row r="491" ht="10.5" customHeight="1">
      <c r="A491" s="1"/>
      <c r="B491" s="11"/>
      <c r="C491" s="169"/>
      <c r="D491" s="169"/>
      <c r="E491" s="178"/>
      <c r="F491" s="693"/>
      <c r="G491" s="693"/>
      <c r="H491" s="693"/>
      <c r="I491" s="132"/>
      <c r="J491" s="54"/>
      <c r="K491" s="1"/>
      <c r="L491" s="1"/>
      <c r="M491" s="1"/>
      <c r="N491" s="1"/>
      <c r="O491" s="1"/>
      <c r="P491" s="1"/>
      <c r="Q491" s="1"/>
      <c r="R491" s="1"/>
      <c r="S491" s="1"/>
      <c r="T491" s="1"/>
      <c r="U491" s="1"/>
      <c r="V491" s="1"/>
      <c r="W491" s="1"/>
      <c r="X491" s="1"/>
      <c r="Y491" s="1"/>
      <c r="Z491" s="1"/>
    </row>
    <row r="492" ht="10.5" customHeight="1">
      <c r="A492" s="1"/>
      <c r="B492" s="11" t="s">
        <v>155</v>
      </c>
      <c r="C492" s="169" t="s">
        <v>106</v>
      </c>
      <c r="D492" s="169" t="s">
        <v>106</v>
      </c>
      <c r="E492" s="178">
        <v>7000.0</v>
      </c>
      <c r="F492" s="693">
        <v>5321.2</v>
      </c>
      <c r="G492" s="693">
        <v>177.7</v>
      </c>
      <c r="H492" s="693">
        <v>15.0</v>
      </c>
      <c r="I492" s="132">
        <v>191.0</v>
      </c>
      <c r="J492" s="54">
        <v>3.5</v>
      </c>
      <c r="K492" s="1"/>
      <c r="L492" s="1"/>
      <c r="M492" s="1"/>
      <c r="N492" s="1"/>
      <c r="O492" s="1"/>
      <c r="P492" s="1"/>
      <c r="Q492" s="1"/>
      <c r="R492" s="1"/>
      <c r="S492" s="1"/>
      <c r="T492" s="1"/>
      <c r="U492" s="1"/>
      <c r="V492" s="1"/>
      <c r="W492" s="1"/>
      <c r="X492" s="1"/>
      <c r="Y492" s="1"/>
      <c r="Z492" s="1"/>
    </row>
    <row r="493" ht="10.5" customHeight="1">
      <c r="A493" s="1"/>
      <c r="B493" s="52" t="s">
        <v>160</v>
      </c>
      <c r="C493" s="260" t="s">
        <v>106</v>
      </c>
      <c r="D493" s="260" t="s">
        <v>106</v>
      </c>
      <c r="E493" s="184">
        <v>6680.0</v>
      </c>
      <c r="F493" s="712">
        <v>6167.1</v>
      </c>
      <c r="G493" s="694">
        <v>177.4</v>
      </c>
      <c r="H493" s="694">
        <v>11.0</v>
      </c>
      <c r="I493" s="141">
        <v>186.0</v>
      </c>
      <c r="J493" s="107">
        <v>3.3</v>
      </c>
      <c r="K493" s="1"/>
      <c r="L493" s="1"/>
      <c r="M493" s="1"/>
      <c r="N493" s="1"/>
      <c r="O493" s="1"/>
      <c r="P493" s="1"/>
      <c r="Q493" s="1"/>
      <c r="R493" s="1"/>
      <c r="S493" s="1"/>
      <c r="T493" s="1"/>
      <c r="U493" s="1"/>
      <c r="V493" s="1"/>
      <c r="W493" s="1"/>
      <c r="X493" s="1"/>
      <c r="Y493" s="1"/>
      <c r="Z493" s="1"/>
    </row>
    <row r="494" ht="6.0" customHeight="1">
      <c r="A494" s="1"/>
      <c r="B494" s="242"/>
      <c r="C494" s="267"/>
      <c r="D494" s="267"/>
      <c r="E494" s="179"/>
      <c r="F494" s="713"/>
      <c r="G494" s="294"/>
      <c r="H494" s="294"/>
      <c r="I494" s="524"/>
      <c r="J494" s="285"/>
      <c r="K494" s="1"/>
      <c r="L494" s="1"/>
      <c r="M494" s="1"/>
      <c r="N494" s="1"/>
      <c r="O494" s="1"/>
      <c r="P494" s="1"/>
      <c r="Q494" s="1"/>
      <c r="R494" s="1"/>
      <c r="S494" s="1"/>
      <c r="T494" s="1"/>
      <c r="U494" s="1"/>
      <c r="V494" s="1"/>
      <c r="W494" s="1"/>
      <c r="X494" s="1"/>
      <c r="Y494" s="1"/>
      <c r="Z494" s="1"/>
    </row>
    <row r="495" ht="9.75" customHeight="1">
      <c r="A495" s="1"/>
      <c r="B495" s="185" t="s">
        <v>1184</v>
      </c>
      <c r="C495" s="186"/>
      <c r="D495" s="186"/>
      <c r="E495" s="1"/>
      <c r="F495" s="1"/>
      <c r="G495" s="1"/>
      <c r="H495" s="1"/>
      <c r="I495" s="1"/>
      <c r="J495" s="1"/>
      <c r="K495" s="1"/>
      <c r="L495" s="1"/>
      <c r="M495" s="1"/>
      <c r="N495" s="1"/>
      <c r="O495" s="1"/>
      <c r="P495" s="1"/>
      <c r="Q495" s="1"/>
      <c r="R495" s="1"/>
      <c r="S495" s="1"/>
      <c r="T495" s="1"/>
      <c r="U495" s="1"/>
      <c r="V495" s="1"/>
      <c r="W495" s="1"/>
      <c r="X495" s="1"/>
      <c r="Y495" s="1"/>
      <c r="Z495" s="1"/>
    </row>
    <row r="496" ht="10.5" customHeight="1">
      <c r="A496" s="1"/>
      <c r="B496" s="185" t="s">
        <v>1185</v>
      </c>
      <c r="C496" s="186"/>
      <c r="D496" s="186"/>
      <c r="E496" s="714"/>
      <c r="F496" s="714"/>
      <c r="G496" s="714"/>
      <c r="H496" s="714"/>
      <c r="I496" s="714"/>
      <c r="J496" s="714"/>
      <c r="K496" s="714"/>
      <c r="L496" s="714"/>
      <c r="M496" s="714"/>
      <c r="N496" s="714"/>
      <c r="O496" s="714"/>
      <c r="P496" s="1"/>
      <c r="Q496" s="1"/>
      <c r="R496" s="1"/>
      <c r="S496" s="1"/>
      <c r="T496" s="1"/>
      <c r="U496" s="1"/>
      <c r="V496" s="1"/>
      <c r="W496" s="1"/>
      <c r="X496" s="1"/>
      <c r="Y496" s="1"/>
      <c r="Z496" s="1"/>
    </row>
    <row r="497" ht="10.5" customHeight="1">
      <c r="A497" s="1"/>
      <c r="B497" s="185" t="s">
        <v>1186</v>
      </c>
      <c r="C497" s="715"/>
      <c r="D497" s="715"/>
      <c r="E497" s="23"/>
      <c r="F497" s="23"/>
      <c r="G497" s="23"/>
      <c r="H497" s="23"/>
      <c r="I497" s="23"/>
      <c r="J497" s="23"/>
      <c r="K497" s="23"/>
      <c r="L497" s="23"/>
      <c r="M497" s="23"/>
      <c r="N497" s="23"/>
      <c r="O497" s="23"/>
      <c r="P497" s="1"/>
      <c r="Q497" s="1"/>
      <c r="R497" s="1"/>
      <c r="S497" s="1"/>
      <c r="T497" s="1"/>
      <c r="U497" s="1"/>
      <c r="V497" s="1"/>
      <c r="W497" s="1"/>
      <c r="X497" s="1"/>
      <c r="Y497" s="1"/>
      <c r="Z497" s="1"/>
    </row>
    <row r="498" ht="10.5" customHeight="1">
      <c r="A498" s="1"/>
      <c r="B498" s="185" t="s">
        <v>1187</v>
      </c>
      <c r="C498" s="715"/>
      <c r="D498" s="715"/>
      <c r="E498" s="23"/>
      <c r="F498" s="23"/>
      <c r="G498" s="23"/>
      <c r="H498" s="23"/>
      <c r="I498" s="23"/>
      <c r="J498" s="23"/>
      <c r="K498" s="23"/>
      <c r="L498" s="23"/>
      <c r="M498" s="23"/>
      <c r="N498" s="23"/>
      <c r="O498" s="23"/>
      <c r="P498" s="1"/>
      <c r="Q498" s="1"/>
      <c r="R498" s="1"/>
      <c r="S498" s="1"/>
      <c r="T498" s="1"/>
      <c r="U498" s="1"/>
      <c r="V498" s="1"/>
      <c r="W498" s="1"/>
      <c r="X498" s="1"/>
      <c r="Y498" s="1"/>
      <c r="Z498" s="1"/>
    </row>
    <row r="499" ht="10.5" customHeight="1">
      <c r="A499" s="1"/>
      <c r="B499" s="185" t="s">
        <v>1188</v>
      </c>
      <c r="C499" s="186"/>
      <c r="D499" s="186"/>
      <c r="E499" s="1"/>
      <c r="F499" s="1"/>
      <c r="G499" s="1"/>
      <c r="H499" s="1"/>
      <c r="I499" s="1"/>
      <c r="J499" s="1"/>
      <c r="K499" s="1"/>
      <c r="L499" s="1"/>
      <c r="M499" s="1"/>
      <c r="N499" s="1"/>
      <c r="O499" s="1"/>
      <c r="P499" s="1"/>
      <c r="Q499" s="1"/>
      <c r="R499" s="1"/>
      <c r="S499" s="1"/>
      <c r="T499" s="1"/>
      <c r="U499" s="1"/>
      <c r="V499" s="1"/>
      <c r="W499" s="1"/>
      <c r="X499" s="1"/>
      <c r="Y499" s="1"/>
      <c r="Z499" s="1"/>
    </row>
    <row r="500" ht="10.5" customHeight="1">
      <c r="A500" s="1"/>
      <c r="B500" s="185" t="s">
        <v>1189</v>
      </c>
      <c r="C500" s="186"/>
      <c r="D500" s="186"/>
      <c r="E500" s="1"/>
      <c r="F500" s="1"/>
      <c r="G500" s="1"/>
      <c r="H500" s="1"/>
      <c r="I500" s="1"/>
      <c r="J500" s="1"/>
      <c r="K500" s="1"/>
      <c r="L500" s="1"/>
      <c r="M500" s="1"/>
      <c r="N500" s="1"/>
      <c r="O500" s="1"/>
      <c r="P500" s="1"/>
      <c r="Q500" s="1"/>
      <c r="R500" s="1"/>
      <c r="S500" s="1"/>
      <c r="T500" s="1"/>
      <c r="U500" s="1"/>
      <c r="V500" s="1"/>
      <c r="W500" s="1"/>
      <c r="X500" s="1"/>
      <c r="Y500" s="1"/>
      <c r="Z500" s="1"/>
    </row>
    <row r="501" ht="10.5" customHeight="1">
      <c r="A501" s="1"/>
      <c r="B501" s="1"/>
      <c r="C501" s="59"/>
      <c r="D501" s="59"/>
      <c r="E501" s="59"/>
      <c r="F501" s="59"/>
      <c r="G501" s="59"/>
      <c r="H501" s="59"/>
      <c r="I501" s="59"/>
      <c r="J501" s="59"/>
      <c r="K501" s="1"/>
      <c r="L501" s="1"/>
      <c r="M501" s="1"/>
      <c r="N501" s="1"/>
      <c r="O501" s="1"/>
      <c r="P501" s="1"/>
      <c r="Q501" s="1"/>
      <c r="R501" s="1"/>
      <c r="S501" s="1"/>
      <c r="T501" s="1"/>
      <c r="U501" s="1"/>
      <c r="V501" s="1"/>
      <c r="W501" s="1"/>
      <c r="X501" s="1"/>
      <c r="Y501" s="1"/>
      <c r="Z501" s="1"/>
    </row>
    <row r="502" ht="10.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0.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0.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0.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0.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0.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0.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0.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0.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0.5" customHeight="1">
      <c r="A511" s="1"/>
      <c r="B511" s="1"/>
      <c r="C511" s="1"/>
      <c r="D511" s="1"/>
      <c r="E511" s="1"/>
      <c r="F511" s="1"/>
      <c r="G511" s="110">
        <v>64.0</v>
      </c>
      <c r="H511" s="1"/>
      <c r="I511" s="1"/>
      <c r="J511" s="1"/>
      <c r="K511" s="1"/>
      <c r="L511" s="1"/>
      <c r="M511" s="1"/>
      <c r="N511" s="1"/>
      <c r="O511" s="1"/>
      <c r="P511" s="1"/>
      <c r="Q511" s="1"/>
      <c r="R511" s="1"/>
      <c r="S511" s="1"/>
      <c r="T511" s="1"/>
      <c r="U511" s="1"/>
      <c r="V511" s="1"/>
      <c r="W511" s="1"/>
      <c r="X511" s="1"/>
      <c r="Y511" s="1"/>
      <c r="Z511" s="1"/>
    </row>
    <row r="512" ht="10.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t="s">
        <v>1197</v>
      </c>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29" t="s">
        <v>1198</v>
      </c>
      <c r="C514" s="128" t="s">
        <v>1201</v>
      </c>
      <c r="D514" s="9"/>
      <c r="E514" s="10"/>
      <c r="F514" s="31" t="s">
        <v>1203</v>
      </c>
      <c r="G514" s="3" t="s">
        <v>1204</v>
      </c>
      <c r="H514" s="1"/>
      <c r="I514" s="1"/>
      <c r="J514" s="1"/>
      <c r="K514" s="1"/>
      <c r="L514" s="1"/>
      <c r="M514" s="1"/>
      <c r="N514" s="1"/>
      <c r="O514" s="1"/>
      <c r="P514" s="1"/>
      <c r="Q514" s="1"/>
      <c r="R514" s="1"/>
      <c r="S514" s="1"/>
      <c r="T514" s="1"/>
      <c r="U514" s="1"/>
      <c r="V514" s="1"/>
      <c r="W514" s="1"/>
      <c r="X514" s="1"/>
      <c r="Y514" s="1"/>
      <c r="Z514" s="1"/>
    </row>
    <row r="515" ht="11.25" customHeight="1">
      <c r="A515" s="1"/>
      <c r="B515" s="5"/>
      <c r="C515" s="190" t="s">
        <v>1205</v>
      </c>
      <c r="D515" s="273" t="s">
        <v>1206</v>
      </c>
      <c r="E515" s="128" t="s">
        <v>687</v>
      </c>
      <c r="F515" s="5"/>
      <c r="G515" s="6"/>
      <c r="H515" s="1"/>
      <c r="I515" s="1"/>
      <c r="J515" s="1"/>
      <c r="K515" s="1"/>
      <c r="L515" s="1"/>
      <c r="M515" s="1"/>
      <c r="N515" s="1"/>
      <c r="O515" s="1"/>
      <c r="P515" s="1"/>
      <c r="Q515" s="1"/>
      <c r="R515" s="1"/>
      <c r="S515" s="1"/>
      <c r="T515" s="1"/>
      <c r="U515" s="1"/>
      <c r="V515" s="1"/>
      <c r="W515" s="1"/>
      <c r="X515" s="1"/>
      <c r="Y515" s="1"/>
      <c r="Z515" s="1"/>
    </row>
    <row r="516" ht="11.25" customHeight="1">
      <c r="A516" s="1"/>
      <c r="B516" s="717" t="s">
        <v>1207</v>
      </c>
      <c r="C516" s="128" t="s">
        <v>49</v>
      </c>
      <c r="D516" s="9"/>
      <c r="E516" s="10"/>
      <c r="F516" s="6"/>
      <c r="G516" s="200" t="s">
        <v>49</v>
      </c>
      <c r="H516" s="1"/>
      <c r="I516" s="1"/>
      <c r="J516" s="1"/>
      <c r="K516" s="1"/>
      <c r="L516" s="1"/>
      <c r="M516" s="1"/>
      <c r="N516" s="1"/>
      <c r="O516" s="1"/>
      <c r="P516" s="1"/>
      <c r="Q516" s="1"/>
      <c r="R516" s="1"/>
      <c r="S516" s="1"/>
      <c r="T516" s="1"/>
      <c r="U516" s="1"/>
      <c r="V516" s="1"/>
      <c r="W516" s="1"/>
      <c r="X516" s="1"/>
      <c r="Y516" s="1"/>
      <c r="Z516" s="1"/>
    </row>
    <row r="517" ht="10.5" customHeight="1">
      <c r="A517" s="1"/>
      <c r="B517" s="238" t="s">
        <v>271</v>
      </c>
      <c r="C517" s="718">
        <v>79.7</v>
      </c>
      <c r="D517" s="719">
        <v>16.4</v>
      </c>
      <c r="E517" s="585">
        <f t="shared" ref="E517:E521" si="25">+C517+D517</f>
        <v>96.1</v>
      </c>
      <c r="F517" s="720" t="s">
        <v>1208</v>
      </c>
      <c r="G517" s="366">
        <v>4.1</v>
      </c>
      <c r="H517" s="1"/>
      <c r="I517" s="1"/>
      <c r="J517" s="1"/>
      <c r="K517" s="1"/>
      <c r="L517" s="1"/>
      <c r="M517" s="1"/>
      <c r="N517" s="1"/>
      <c r="O517" s="1"/>
      <c r="P517" s="1"/>
      <c r="Q517" s="1"/>
      <c r="R517" s="1"/>
      <c r="S517" s="1"/>
      <c r="T517" s="1"/>
      <c r="U517" s="1"/>
      <c r="V517" s="1"/>
      <c r="W517" s="1"/>
      <c r="X517" s="1"/>
      <c r="Y517" s="1"/>
      <c r="Z517" s="1"/>
    </row>
    <row r="518" ht="10.5" customHeight="1">
      <c r="A518" s="1"/>
      <c r="B518" s="238" t="s">
        <v>272</v>
      </c>
      <c r="C518" s="718">
        <v>73.2</v>
      </c>
      <c r="D518" s="719">
        <v>18.9</v>
      </c>
      <c r="E518" s="585">
        <f t="shared" si="25"/>
        <v>92.1</v>
      </c>
      <c r="F518" s="720">
        <v>1977.0</v>
      </c>
      <c r="G518" s="366">
        <v>4.6</v>
      </c>
      <c r="H518" s="1"/>
      <c r="I518" s="1"/>
      <c r="J518" s="1"/>
      <c r="K518" s="1"/>
      <c r="L518" s="1"/>
      <c r="M518" s="1"/>
      <c r="N518" s="1"/>
      <c r="O518" s="1"/>
      <c r="P518" s="1"/>
      <c r="Q518" s="1"/>
      <c r="R518" s="1"/>
      <c r="S518" s="1"/>
      <c r="T518" s="1"/>
      <c r="U518" s="1"/>
      <c r="V518" s="1"/>
      <c r="W518" s="1"/>
      <c r="X518" s="1"/>
      <c r="Y518" s="1"/>
      <c r="Z518" s="1"/>
    </row>
    <row r="519" ht="10.5" customHeight="1">
      <c r="A519" s="1"/>
      <c r="B519" s="238" t="s">
        <v>274</v>
      </c>
      <c r="C519" s="718">
        <v>73.5</v>
      </c>
      <c r="D519" s="719">
        <v>21.9</v>
      </c>
      <c r="E519" s="585">
        <f t="shared" si="25"/>
        <v>95.4</v>
      </c>
      <c r="F519" s="720">
        <v>1978.0</v>
      </c>
      <c r="G519" s="366">
        <v>4.9</v>
      </c>
      <c r="H519" s="1"/>
      <c r="I519" s="1"/>
      <c r="J519" s="1"/>
      <c r="K519" s="1"/>
      <c r="L519" s="1"/>
      <c r="M519" s="1"/>
      <c r="N519" s="1"/>
      <c r="O519" s="1"/>
      <c r="P519" s="1"/>
      <c r="Q519" s="1"/>
      <c r="R519" s="1"/>
      <c r="S519" s="1"/>
      <c r="T519" s="1"/>
      <c r="U519" s="1"/>
      <c r="V519" s="1"/>
      <c r="W519" s="1"/>
      <c r="X519" s="1"/>
      <c r="Y519" s="1"/>
      <c r="Z519" s="1"/>
    </row>
    <row r="520" ht="10.5" customHeight="1">
      <c r="A520" s="1"/>
      <c r="B520" s="238" t="s">
        <v>275</v>
      </c>
      <c r="C520" s="718">
        <v>68.2</v>
      </c>
      <c r="D520" s="719">
        <v>23.5</v>
      </c>
      <c r="E520" s="585">
        <f t="shared" si="25"/>
        <v>91.7</v>
      </c>
      <c r="F520" s="720">
        <v>1979.0</v>
      </c>
      <c r="G520" s="366">
        <v>5.4</v>
      </c>
      <c r="H520" s="1"/>
      <c r="I520" s="1"/>
      <c r="J520" s="1"/>
      <c r="K520" s="1"/>
      <c r="L520" s="1"/>
      <c r="M520" s="1"/>
      <c r="N520" s="1"/>
      <c r="O520" s="1"/>
      <c r="P520" s="1"/>
      <c r="Q520" s="1"/>
      <c r="R520" s="1"/>
      <c r="S520" s="1"/>
      <c r="T520" s="1"/>
      <c r="U520" s="1"/>
      <c r="V520" s="1"/>
      <c r="W520" s="1"/>
      <c r="X520" s="1"/>
      <c r="Y520" s="1"/>
      <c r="Z520" s="1"/>
    </row>
    <row r="521" ht="10.5" customHeight="1">
      <c r="A521" s="1"/>
      <c r="B521" s="238" t="s">
        <v>276</v>
      </c>
      <c r="C521" s="718">
        <v>68.5</v>
      </c>
      <c r="D521" s="719">
        <v>26.8</v>
      </c>
      <c r="E521" s="585">
        <f t="shared" si="25"/>
        <v>95.3</v>
      </c>
      <c r="F521" s="720">
        <v>1980.0</v>
      </c>
      <c r="G521" s="718">
        <v>6.1</v>
      </c>
      <c r="H521" s="1"/>
      <c r="I521" s="1"/>
      <c r="J521" s="1"/>
      <c r="K521" s="1"/>
      <c r="L521" s="1"/>
      <c r="M521" s="1"/>
      <c r="N521" s="1"/>
      <c r="O521" s="1"/>
      <c r="P521" s="1"/>
      <c r="Q521" s="1"/>
      <c r="R521" s="1"/>
      <c r="S521" s="1"/>
      <c r="T521" s="1"/>
      <c r="U521" s="1"/>
      <c r="V521" s="1"/>
      <c r="W521" s="1"/>
      <c r="X521" s="1"/>
      <c r="Y521" s="1"/>
      <c r="Z521" s="1"/>
    </row>
    <row r="522" ht="10.5" customHeight="1">
      <c r="A522" s="1"/>
      <c r="B522" s="238"/>
      <c r="C522" s="718"/>
      <c r="D522" s="719"/>
      <c r="E522" s="585"/>
      <c r="F522" s="720"/>
      <c r="G522" s="366"/>
      <c r="H522" s="1"/>
      <c r="I522" s="1"/>
      <c r="J522" s="1"/>
      <c r="K522" s="1"/>
      <c r="L522" s="1"/>
      <c r="M522" s="1"/>
      <c r="N522" s="1"/>
      <c r="O522" s="1"/>
      <c r="P522" s="1"/>
      <c r="Q522" s="1"/>
      <c r="R522" s="1"/>
      <c r="S522" s="1"/>
      <c r="T522" s="1"/>
      <c r="U522" s="1"/>
      <c r="V522" s="1"/>
      <c r="W522" s="1"/>
      <c r="X522" s="1"/>
      <c r="Y522" s="1"/>
      <c r="Z522" s="1"/>
    </row>
    <row r="523" ht="10.5" customHeight="1">
      <c r="A523" s="1"/>
      <c r="B523" s="238" t="s">
        <v>56</v>
      </c>
      <c r="C523" s="718">
        <v>70.2</v>
      </c>
      <c r="D523" s="719">
        <v>24.5</v>
      </c>
      <c r="E523" s="585">
        <f t="shared" ref="E523:E527" si="26">+C523+D523</f>
        <v>94.7</v>
      </c>
      <c r="F523" s="720">
        <v>1981.0</v>
      </c>
      <c r="G523" s="718">
        <v>6.9</v>
      </c>
      <c r="H523" s="1"/>
      <c r="I523" s="1"/>
      <c r="J523" s="1"/>
      <c r="K523" s="1"/>
      <c r="L523" s="1"/>
      <c r="M523" s="1"/>
      <c r="N523" s="1"/>
      <c r="O523" s="1"/>
      <c r="P523" s="1"/>
      <c r="Q523" s="1"/>
      <c r="R523" s="1"/>
      <c r="S523" s="1"/>
      <c r="T523" s="1"/>
      <c r="U523" s="1"/>
      <c r="V523" s="1"/>
      <c r="W523" s="1"/>
      <c r="X523" s="1"/>
      <c r="Y523" s="1"/>
      <c r="Z523" s="1"/>
    </row>
    <row r="524" ht="10.5" customHeight="1">
      <c r="A524" s="1"/>
      <c r="B524" s="238" t="s">
        <v>81</v>
      </c>
      <c r="C524" s="718">
        <v>75.6</v>
      </c>
      <c r="D524" s="719">
        <v>24.0</v>
      </c>
      <c r="E524" s="585">
        <f t="shared" si="26"/>
        <v>99.6</v>
      </c>
      <c r="F524" s="720">
        <v>1982.0</v>
      </c>
      <c r="G524" s="718">
        <v>7.6</v>
      </c>
      <c r="H524" s="1"/>
      <c r="I524" s="1"/>
      <c r="J524" s="1"/>
      <c r="K524" s="1"/>
      <c r="L524" s="1"/>
      <c r="M524" s="1"/>
      <c r="N524" s="1"/>
      <c r="O524" s="1"/>
      <c r="P524" s="1"/>
      <c r="Q524" s="1"/>
      <c r="R524" s="1"/>
      <c r="S524" s="1"/>
      <c r="T524" s="1"/>
      <c r="U524" s="1"/>
      <c r="V524" s="1"/>
      <c r="W524" s="1"/>
      <c r="X524" s="1"/>
      <c r="Y524" s="1"/>
      <c r="Z524" s="1"/>
    </row>
    <row r="525" ht="10.5" customHeight="1">
      <c r="A525" s="1"/>
      <c r="B525" s="238" t="s">
        <v>86</v>
      </c>
      <c r="C525" s="718">
        <v>76.3</v>
      </c>
      <c r="D525" s="719">
        <v>28.4</v>
      </c>
      <c r="E525" s="585">
        <f t="shared" si="26"/>
        <v>104.7</v>
      </c>
      <c r="F525" s="720">
        <v>1983.0</v>
      </c>
      <c r="G525" s="718">
        <v>7.2</v>
      </c>
      <c r="H525" s="1"/>
      <c r="I525" s="1"/>
      <c r="J525" s="1"/>
      <c r="K525" s="1"/>
      <c r="L525" s="1"/>
      <c r="M525" s="1"/>
      <c r="N525" s="1"/>
      <c r="O525" s="1"/>
      <c r="P525" s="1"/>
      <c r="Q525" s="1"/>
      <c r="R525" s="1"/>
      <c r="S525" s="1"/>
      <c r="T525" s="1"/>
      <c r="U525" s="1"/>
      <c r="V525" s="1"/>
      <c r="W525" s="1"/>
      <c r="X525" s="1"/>
      <c r="Y525" s="1"/>
      <c r="Z525" s="1"/>
    </row>
    <row r="526" ht="10.5" customHeight="1">
      <c r="A526" s="1"/>
      <c r="B526" s="238" t="s">
        <v>87</v>
      </c>
      <c r="C526" s="718">
        <v>71.6</v>
      </c>
      <c r="D526" s="719">
        <v>24.8</v>
      </c>
      <c r="E526" s="585">
        <f t="shared" si="26"/>
        <v>96.4</v>
      </c>
      <c r="F526" s="720">
        <v>1984.0</v>
      </c>
      <c r="G526" s="718">
        <v>8.1</v>
      </c>
      <c r="H526" s="1"/>
      <c r="I526" s="1"/>
      <c r="J526" s="1"/>
      <c r="K526" s="1"/>
      <c r="L526" s="1"/>
      <c r="M526" s="1"/>
      <c r="N526" s="1"/>
      <c r="O526" s="1"/>
      <c r="P526" s="1"/>
      <c r="Q526" s="1"/>
      <c r="R526" s="1"/>
      <c r="S526" s="1"/>
      <c r="T526" s="1"/>
      <c r="U526" s="1"/>
      <c r="V526" s="1"/>
      <c r="W526" s="1"/>
      <c r="X526" s="1"/>
      <c r="Y526" s="1"/>
      <c r="Z526" s="1"/>
    </row>
    <row r="527" ht="10.5" customHeight="1">
      <c r="A527" s="1"/>
      <c r="B527" s="238" t="s">
        <v>90</v>
      </c>
      <c r="C527" s="718">
        <v>69.6</v>
      </c>
      <c r="D527" s="719">
        <v>23.4</v>
      </c>
      <c r="E527" s="585">
        <f t="shared" si="26"/>
        <v>93</v>
      </c>
      <c r="F527" s="720">
        <v>1985.0</v>
      </c>
      <c r="G527" s="366">
        <v>9.2</v>
      </c>
      <c r="H527" s="1"/>
      <c r="I527" s="1"/>
      <c r="J527" s="1"/>
      <c r="K527" s="1"/>
      <c r="L527" s="1"/>
      <c r="M527" s="1"/>
      <c r="N527" s="1"/>
      <c r="O527" s="1"/>
      <c r="P527" s="1"/>
      <c r="Q527" s="1"/>
      <c r="R527" s="1"/>
      <c r="S527" s="1"/>
      <c r="T527" s="1"/>
      <c r="U527" s="1"/>
      <c r="V527" s="1"/>
      <c r="W527" s="1"/>
      <c r="X527" s="1"/>
      <c r="Y527" s="1"/>
      <c r="Z527" s="1"/>
    </row>
    <row r="528" ht="10.5" customHeight="1">
      <c r="A528" s="1"/>
      <c r="B528" s="238"/>
      <c r="C528" s="718"/>
      <c r="D528" s="719"/>
      <c r="E528" s="585"/>
      <c r="F528" s="720"/>
      <c r="G528" s="366"/>
      <c r="H528" s="1"/>
      <c r="I528" s="1"/>
      <c r="J528" s="1"/>
      <c r="K528" s="1"/>
      <c r="L528" s="1"/>
      <c r="M528" s="1"/>
      <c r="N528" s="1"/>
      <c r="O528" s="1"/>
      <c r="P528" s="1"/>
      <c r="Q528" s="1"/>
      <c r="R528" s="1"/>
      <c r="S528" s="1"/>
      <c r="T528" s="1"/>
      <c r="U528" s="1"/>
      <c r="V528" s="1"/>
      <c r="W528" s="1"/>
      <c r="X528" s="1"/>
      <c r="Y528" s="1"/>
      <c r="Z528" s="1"/>
    </row>
    <row r="529" ht="10.5" customHeight="1">
      <c r="A529" s="1"/>
      <c r="B529" s="238" t="s">
        <v>93</v>
      </c>
      <c r="C529" s="718">
        <v>65.5</v>
      </c>
      <c r="D529" s="719">
        <v>21.4</v>
      </c>
      <c r="E529" s="585">
        <f t="shared" ref="E529:E533" si="27">+C529+D529</f>
        <v>86.9</v>
      </c>
      <c r="F529" s="720">
        <v>1986.0</v>
      </c>
      <c r="G529" s="366">
        <v>11.0</v>
      </c>
      <c r="H529" s="1"/>
      <c r="I529" s="1"/>
      <c r="J529" s="1"/>
      <c r="K529" s="1"/>
      <c r="L529" s="1"/>
      <c r="M529" s="1"/>
      <c r="N529" s="1"/>
      <c r="O529" s="1"/>
      <c r="P529" s="1"/>
      <c r="Q529" s="1"/>
      <c r="R529" s="1"/>
      <c r="S529" s="1"/>
      <c r="T529" s="1"/>
      <c r="U529" s="1"/>
      <c r="V529" s="1"/>
      <c r="W529" s="1"/>
      <c r="X529" s="1"/>
      <c r="Y529" s="1"/>
      <c r="Z529" s="1"/>
    </row>
    <row r="530" ht="10.5" customHeight="1">
      <c r="A530" s="1"/>
      <c r="B530" s="238" t="s">
        <v>97</v>
      </c>
      <c r="C530" s="718">
        <v>60.8</v>
      </c>
      <c r="D530" s="719">
        <v>20.2</v>
      </c>
      <c r="E530" s="585">
        <f t="shared" si="27"/>
        <v>81</v>
      </c>
      <c r="F530" s="720">
        <v>1987.0</v>
      </c>
      <c r="G530" s="366">
        <v>11.5</v>
      </c>
      <c r="H530" s="1"/>
      <c r="I530" s="1"/>
      <c r="J530" s="1"/>
      <c r="K530" s="1"/>
      <c r="L530" s="1"/>
      <c r="M530" s="1"/>
      <c r="N530" s="1"/>
      <c r="O530" s="1"/>
      <c r="P530" s="1"/>
      <c r="Q530" s="1"/>
      <c r="R530" s="1"/>
      <c r="S530" s="1"/>
      <c r="T530" s="1"/>
      <c r="U530" s="1"/>
      <c r="V530" s="1"/>
      <c r="W530" s="1"/>
      <c r="X530" s="1"/>
      <c r="Y530" s="1"/>
      <c r="Z530" s="1"/>
    </row>
    <row r="531" ht="10.5" customHeight="1">
      <c r="A531" s="1"/>
      <c r="B531" s="238" t="s">
        <v>101</v>
      </c>
      <c r="C531" s="718">
        <v>61.3</v>
      </c>
      <c r="D531" s="719">
        <v>21.1</v>
      </c>
      <c r="E531" s="585">
        <f t="shared" si="27"/>
        <v>82.4</v>
      </c>
      <c r="F531" s="720">
        <v>1988.0</v>
      </c>
      <c r="G531" s="366">
        <v>12.2</v>
      </c>
      <c r="H531" s="1"/>
      <c r="I531" s="1"/>
      <c r="J531" s="1"/>
      <c r="K531" s="1"/>
      <c r="L531" s="1"/>
      <c r="M531" s="1"/>
      <c r="N531" s="1"/>
      <c r="O531" s="1"/>
      <c r="P531" s="1"/>
      <c r="Q531" s="1"/>
      <c r="R531" s="1"/>
      <c r="S531" s="1"/>
      <c r="T531" s="1"/>
      <c r="U531" s="1"/>
      <c r="V531" s="1"/>
      <c r="W531" s="1"/>
      <c r="X531" s="1"/>
      <c r="Y531" s="1"/>
      <c r="Z531" s="1"/>
    </row>
    <row r="532" ht="10.5" customHeight="1">
      <c r="A532" s="1"/>
      <c r="B532" s="238" t="s">
        <v>103</v>
      </c>
      <c r="C532" s="718">
        <v>65.6</v>
      </c>
      <c r="D532" s="719">
        <v>22.7</v>
      </c>
      <c r="E532" s="585">
        <f t="shared" si="27"/>
        <v>88.3</v>
      </c>
      <c r="F532" s="720">
        <v>1989.0</v>
      </c>
      <c r="G532" s="366">
        <v>11.7</v>
      </c>
      <c r="H532" s="1"/>
      <c r="I532" s="1"/>
      <c r="J532" s="1"/>
      <c r="K532" s="1"/>
      <c r="L532" s="1"/>
      <c r="M532" s="1"/>
      <c r="N532" s="1"/>
      <c r="O532" s="1"/>
      <c r="P532" s="1"/>
      <c r="Q532" s="1"/>
      <c r="R532" s="1"/>
      <c r="S532" s="1"/>
      <c r="T532" s="1"/>
      <c r="U532" s="1"/>
      <c r="V532" s="1"/>
      <c r="W532" s="1"/>
      <c r="X532" s="1"/>
      <c r="Y532" s="1"/>
      <c r="Z532" s="1"/>
    </row>
    <row r="533" ht="10.5" customHeight="1">
      <c r="A533" s="1"/>
      <c r="B533" s="238" t="s">
        <v>104</v>
      </c>
      <c r="C533" s="718">
        <v>68.9</v>
      </c>
      <c r="D533" s="719">
        <v>23.3</v>
      </c>
      <c r="E533" s="585">
        <f t="shared" si="27"/>
        <v>92.2</v>
      </c>
      <c r="F533" s="720">
        <v>1990.0</v>
      </c>
      <c r="G533" s="366">
        <v>10.1</v>
      </c>
      <c r="H533" s="1"/>
      <c r="I533" s="1"/>
      <c r="J533" s="1"/>
      <c r="K533" s="1"/>
      <c r="L533" s="1"/>
      <c r="M533" s="1"/>
      <c r="N533" s="1"/>
      <c r="O533" s="1"/>
      <c r="P533" s="1"/>
      <c r="Q533" s="1"/>
      <c r="R533" s="1"/>
      <c r="S533" s="1"/>
      <c r="T533" s="1"/>
      <c r="U533" s="1"/>
      <c r="V533" s="1"/>
      <c r="W533" s="1"/>
      <c r="X533" s="1"/>
      <c r="Y533" s="1"/>
      <c r="Z533" s="1"/>
    </row>
    <row r="534" ht="10.5" customHeight="1">
      <c r="A534" s="1"/>
      <c r="B534" s="238"/>
      <c r="C534" s="718"/>
      <c r="D534" s="719"/>
      <c r="E534" s="585"/>
      <c r="F534" s="720"/>
      <c r="G534" s="366"/>
      <c r="H534" s="1"/>
      <c r="I534" s="1"/>
      <c r="J534" s="1"/>
      <c r="K534" s="1"/>
      <c r="L534" s="1"/>
      <c r="M534" s="1"/>
      <c r="N534" s="1"/>
      <c r="O534" s="1"/>
      <c r="P534" s="1"/>
      <c r="Q534" s="1"/>
      <c r="R534" s="1"/>
      <c r="S534" s="1"/>
      <c r="T534" s="1"/>
      <c r="U534" s="1"/>
      <c r="V534" s="1"/>
      <c r="W534" s="1"/>
      <c r="X534" s="1"/>
      <c r="Y534" s="1"/>
      <c r="Z534" s="1"/>
    </row>
    <row r="535" ht="10.5" customHeight="1">
      <c r="A535" s="1"/>
      <c r="B535" s="238" t="s">
        <v>108</v>
      </c>
      <c r="C535" s="718">
        <v>74.6</v>
      </c>
      <c r="D535" s="719">
        <v>22.9</v>
      </c>
      <c r="E535" s="585">
        <f t="shared" ref="E535:E539" si="28">+C535+D535</f>
        <v>97.5</v>
      </c>
      <c r="F535" s="720">
        <v>1991.0</v>
      </c>
      <c r="G535" s="366">
        <v>7.6</v>
      </c>
      <c r="H535" s="1"/>
      <c r="I535" s="1"/>
      <c r="J535" s="1"/>
      <c r="K535" s="1"/>
      <c r="L535" s="1"/>
      <c r="M535" s="1"/>
      <c r="N535" s="1"/>
      <c r="O535" s="1"/>
      <c r="P535" s="1"/>
      <c r="Q535" s="1"/>
      <c r="R535" s="1"/>
      <c r="S535" s="1"/>
      <c r="T535" s="1"/>
      <c r="U535" s="1"/>
      <c r="V535" s="1"/>
      <c r="W535" s="1"/>
      <c r="X535" s="1"/>
      <c r="Y535" s="1"/>
      <c r="Z535" s="1"/>
    </row>
    <row r="536" ht="10.5" customHeight="1">
      <c r="A536" s="1"/>
      <c r="B536" s="238" t="s">
        <v>111</v>
      </c>
      <c r="C536" s="718">
        <v>58.4</v>
      </c>
      <c r="D536" s="719">
        <v>16.7</v>
      </c>
      <c r="E536" s="585">
        <f t="shared" si="28"/>
        <v>75.1</v>
      </c>
      <c r="F536" s="720">
        <v>1992.0</v>
      </c>
      <c r="G536" s="366">
        <v>6.7</v>
      </c>
      <c r="H536" s="1"/>
      <c r="I536" s="1"/>
      <c r="J536" s="1"/>
      <c r="K536" s="1"/>
      <c r="L536" s="1"/>
      <c r="M536" s="1"/>
      <c r="N536" s="1"/>
      <c r="O536" s="1"/>
      <c r="P536" s="1"/>
      <c r="Q536" s="1"/>
      <c r="R536" s="1"/>
      <c r="S536" s="1"/>
      <c r="T536" s="1"/>
      <c r="U536" s="1"/>
      <c r="V536" s="1"/>
      <c r="W536" s="1"/>
      <c r="X536" s="1"/>
      <c r="Y536" s="1"/>
      <c r="Z536" s="1"/>
    </row>
    <row r="537" ht="10.5" customHeight="1">
      <c r="A537" s="1"/>
      <c r="B537" s="238" t="s">
        <v>112</v>
      </c>
      <c r="C537" s="718">
        <v>53.7</v>
      </c>
      <c r="D537" s="719">
        <v>13.3</v>
      </c>
      <c r="E537" s="585">
        <f t="shared" si="28"/>
        <v>67</v>
      </c>
      <c r="F537" s="720">
        <v>1993.0</v>
      </c>
      <c r="G537" s="366">
        <v>6.0</v>
      </c>
      <c r="H537" s="1"/>
      <c r="I537" s="1"/>
      <c r="J537" s="1"/>
      <c r="K537" s="1"/>
      <c r="L537" s="1"/>
      <c r="M537" s="1"/>
      <c r="N537" s="1"/>
      <c r="O537" s="1"/>
      <c r="P537" s="1"/>
      <c r="Q537" s="1"/>
      <c r="R537" s="1"/>
      <c r="S537" s="1"/>
      <c r="T537" s="1"/>
      <c r="U537" s="1"/>
      <c r="V537" s="1"/>
      <c r="W537" s="1"/>
      <c r="X537" s="1"/>
      <c r="Y537" s="1"/>
      <c r="Z537" s="1"/>
    </row>
    <row r="538" ht="10.5" customHeight="1">
      <c r="A538" s="1"/>
      <c r="B538" s="238" t="s">
        <v>113</v>
      </c>
      <c r="C538" s="718">
        <v>50.3</v>
      </c>
      <c r="D538" s="719">
        <v>12.1</v>
      </c>
      <c r="E538" s="585">
        <f t="shared" si="28"/>
        <v>62.4</v>
      </c>
      <c r="F538" s="720">
        <v>1994.0</v>
      </c>
      <c r="G538" s="366">
        <v>5.7</v>
      </c>
      <c r="H538" s="1"/>
      <c r="I538" s="1"/>
      <c r="J538" s="1"/>
      <c r="K538" s="1"/>
      <c r="L538" s="1"/>
      <c r="M538" s="1"/>
      <c r="N538" s="1"/>
      <c r="O538" s="1"/>
      <c r="P538" s="1"/>
      <c r="Q538" s="1"/>
      <c r="R538" s="1"/>
      <c r="S538" s="1"/>
      <c r="T538" s="1"/>
      <c r="U538" s="1"/>
      <c r="V538" s="1"/>
      <c r="W538" s="1"/>
      <c r="X538" s="1"/>
      <c r="Y538" s="1"/>
      <c r="Z538" s="1"/>
    </row>
    <row r="539" ht="10.5" customHeight="1">
      <c r="A539" s="1"/>
      <c r="B539" s="238" t="s">
        <v>114</v>
      </c>
      <c r="C539" s="718">
        <v>43.6</v>
      </c>
      <c r="D539" s="719">
        <v>11.8</v>
      </c>
      <c r="E539" s="585">
        <f t="shared" si="28"/>
        <v>55.4</v>
      </c>
      <c r="F539" s="720">
        <v>1995.0</v>
      </c>
      <c r="G539" s="366">
        <v>5.4</v>
      </c>
      <c r="H539" s="1"/>
      <c r="I539" s="1"/>
      <c r="J539" s="1"/>
      <c r="K539" s="1"/>
      <c r="L539" s="1"/>
      <c r="M539" s="1"/>
      <c r="N539" s="1"/>
      <c r="O539" s="1"/>
      <c r="P539" s="1"/>
      <c r="Q539" s="1"/>
      <c r="R539" s="1"/>
      <c r="S539" s="1"/>
      <c r="T539" s="1"/>
      <c r="U539" s="1"/>
      <c r="V539" s="1"/>
      <c r="W539" s="1"/>
      <c r="X539" s="1"/>
      <c r="Y539" s="1"/>
      <c r="Z539" s="1"/>
    </row>
    <row r="540" ht="10.5" customHeight="1">
      <c r="A540" s="1"/>
      <c r="B540" s="238"/>
      <c r="C540" s="718"/>
      <c r="D540" s="719"/>
      <c r="E540" s="585"/>
      <c r="F540" s="720"/>
      <c r="G540" s="366"/>
      <c r="H540" s="1"/>
      <c r="I540" s="1"/>
      <c r="J540" s="1"/>
      <c r="K540" s="1"/>
      <c r="L540" s="1"/>
      <c r="M540" s="1"/>
      <c r="N540" s="1"/>
      <c r="O540" s="1"/>
      <c r="P540" s="1"/>
      <c r="Q540" s="1"/>
      <c r="R540" s="1"/>
      <c r="S540" s="1"/>
      <c r="T540" s="1"/>
      <c r="U540" s="1"/>
      <c r="V540" s="1"/>
      <c r="W540" s="1"/>
      <c r="X540" s="1"/>
      <c r="Y540" s="1"/>
      <c r="Z540" s="1"/>
    </row>
    <row r="541" ht="10.5" customHeight="1">
      <c r="A541" s="1"/>
      <c r="B541" s="238" t="s">
        <v>115</v>
      </c>
      <c r="C541" s="718">
        <v>45.2</v>
      </c>
      <c r="D541" s="719">
        <v>9.8</v>
      </c>
      <c r="E541" s="585">
        <f t="shared" ref="E541:E545" si="29">+C541+D541</f>
        <v>55</v>
      </c>
      <c r="F541" s="720">
        <v>1996.0</v>
      </c>
      <c r="G541" s="366">
        <v>5.6</v>
      </c>
      <c r="H541" s="1"/>
      <c r="I541" s="1"/>
      <c r="J541" s="1"/>
      <c r="K541" s="1"/>
      <c r="L541" s="1"/>
      <c r="M541" s="1"/>
      <c r="N541" s="1"/>
      <c r="O541" s="1"/>
      <c r="P541" s="1"/>
      <c r="Q541" s="1"/>
      <c r="R541" s="1"/>
      <c r="S541" s="1"/>
      <c r="T541" s="1"/>
      <c r="U541" s="1"/>
      <c r="V541" s="1"/>
      <c r="W541" s="1"/>
      <c r="X541" s="1"/>
      <c r="Y541" s="1"/>
      <c r="Z541" s="1"/>
    </row>
    <row r="542" ht="10.5" customHeight="1">
      <c r="A542" s="1"/>
      <c r="B542" s="238" t="s">
        <v>117</v>
      </c>
      <c r="C542" s="718">
        <v>43.0</v>
      </c>
      <c r="D542" s="719">
        <v>7.8</v>
      </c>
      <c r="E542" s="585">
        <f t="shared" si="29"/>
        <v>50.8</v>
      </c>
      <c r="F542" s="720">
        <v>1997.0</v>
      </c>
      <c r="G542" s="366">
        <v>5.2</v>
      </c>
      <c r="H542" s="1"/>
      <c r="I542" s="1"/>
      <c r="J542" s="1"/>
      <c r="K542" s="1"/>
      <c r="L542" s="1"/>
      <c r="M542" s="1"/>
      <c r="N542" s="1"/>
      <c r="O542" s="1"/>
      <c r="P542" s="1"/>
      <c r="Q542" s="1"/>
      <c r="R542" s="1"/>
      <c r="S542" s="1"/>
      <c r="T542" s="1"/>
      <c r="U542" s="1"/>
      <c r="V542" s="1"/>
      <c r="W542" s="1"/>
      <c r="X542" s="1"/>
      <c r="Y542" s="1"/>
      <c r="Z542" s="1"/>
    </row>
    <row r="543" ht="10.5" customHeight="1">
      <c r="A543" s="1"/>
      <c r="B543" s="238" t="s">
        <v>121</v>
      </c>
      <c r="C543" s="718">
        <v>39.8</v>
      </c>
      <c r="D543" s="719">
        <v>7.8</v>
      </c>
      <c r="E543" s="585">
        <f t="shared" si="29"/>
        <v>47.6</v>
      </c>
      <c r="F543" s="720">
        <v>1998.0</v>
      </c>
      <c r="G543" s="366">
        <v>5.0</v>
      </c>
      <c r="H543" s="1"/>
      <c r="I543" s="1"/>
      <c r="J543" s="1"/>
      <c r="K543" s="1"/>
      <c r="L543" s="1"/>
      <c r="M543" s="1"/>
      <c r="N543" s="1"/>
      <c r="O543" s="1"/>
      <c r="P543" s="1"/>
      <c r="Q543" s="1"/>
      <c r="R543" s="1"/>
      <c r="S543" s="1"/>
      <c r="T543" s="1"/>
      <c r="U543" s="1"/>
      <c r="V543" s="1"/>
      <c r="W543" s="1"/>
      <c r="X543" s="1"/>
      <c r="Y543" s="1"/>
      <c r="Z543" s="1"/>
    </row>
    <row r="544" ht="10.5" customHeight="1">
      <c r="A544" s="1"/>
      <c r="B544" s="238" t="s">
        <v>122</v>
      </c>
      <c r="C544" s="718">
        <v>39.4</v>
      </c>
      <c r="D544" s="719">
        <v>8.3</v>
      </c>
      <c r="E544" s="585">
        <f t="shared" si="29"/>
        <v>47.7</v>
      </c>
      <c r="F544" s="720">
        <v>1999.0</v>
      </c>
      <c r="G544" s="366">
        <v>4.5</v>
      </c>
      <c r="H544" s="1"/>
      <c r="I544" s="1"/>
      <c r="J544" s="1"/>
      <c r="K544" s="1"/>
      <c r="L544" s="1"/>
      <c r="M544" s="1"/>
      <c r="N544" s="1"/>
      <c r="O544" s="1"/>
      <c r="P544" s="1"/>
      <c r="Q544" s="1"/>
      <c r="R544" s="1"/>
      <c r="S544" s="1"/>
      <c r="T544" s="1"/>
      <c r="U544" s="1"/>
      <c r="V544" s="1"/>
      <c r="W544" s="1"/>
      <c r="X544" s="1"/>
      <c r="Y544" s="1"/>
      <c r="Z544" s="1"/>
    </row>
    <row r="545" ht="10.5" customHeight="1">
      <c r="A545" s="1"/>
      <c r="B545" s="238" t="s">
        <v>123</v>
      </c>
      <c r="C545" s="718">
        <v>35.3</v>
      </c>
      <c r="D545" s="719">
        <v>7.8</v>
      </c>
      <c r="E545" s="585">
        <f t="shared" si="29"/>
        <v>43.1</v>
      </c>
      <c r="F545" s="720">
        <v>2000.0</v>
      </c>
      <c r="G545" s="366">
        <v>4.3</v>
      </c>
      <c r="H545" s="1"/>
      <c r="I545" s="1"/>
      <c r="J545" s="1"/>
      <c r="K545" s="1"/>
      <c r="L545" s="1"/>
      <c r="M545" s="1"/>
      <c r="N545" s="1"/>
      <c r="O545" s="1"/>
      <c r="P545" s="1"/>
      <c r="Q545" s="1"/>
      <c r="R545" s="1"/>
      <c r="S545" s="1"/>
      <c r="T545" s="1"/>
      <c r="U545" s="1"/>
      <c r="V545" s="1"/>
      <c r="W545" s="1"/>
      <c r="X545" s="1"/>
      <c r="Y545" s="1"/>
      <c r="Z545" s="1"/>
    </row>
    <row r="546" ht="10.5" customHeight="1">
      <c r="A546" s="1"/>
      <c r="B546" s="238"/>
      <c r="C546" s="718"/>
      <c r="D546" s="719"/>
      <c r="E546" s="585"/>
      <c r="F546" s="720"/>
      <c r="G546" s="724"/>
      <c r="H546" s="1"/>
      <c r="I546" s="1"/>
      <c r="J546" s="1"/>
      <c r="K546" s="1"/>
      <c r="L546" s="1"/>
      <c r="M546" s="1"/>
      <c r="N546" s="1"/>
      <c r="O546" s="1"/>
      <c r="P546" s="1"/>
      <c r="Q546" s="1"/>
      <c r="R546" s="1"/>
      <c r="S546" s="1"/>
      <c r="T546" s="1"/>
      <c r="U546" s="1"/>
      <c r="V546" s="1"/>
      <c r="W546" s="1"/>
      <c r="X546" s="1"/>
      <c r="Y546" s="1"/>
      <c r="Z546" s="1"/>
    </row>
    <row r="547" ht="10.5" customHeight="1">
      <c r="A547" s="1"/>
      <c r="B547" s="238" t="s">
        <v>125</v>
      </c>
      <c r="C547" s="718">
        <v>33.5</v>
      </c>
      <c r="D547" s="719">
        <v>7.8</v>
      </c>
      <c r="E547" s="585">
        <f t="shared" ref="E547:E551" si="30">+C547+D547</f>
        <v>41.3</v>
      </c>
      <c r="F547" s="720">
        <v>2001.0</v>
      </c>
      <c r="G547" s="366">
        <v>4.2</v>
      </c>
      <c r="H547" s="1"/>
      <c r="I547" s="1"/>
      <c r="J547" s="1"/>
      <c r="K547" s="1"/>
      <c r="L547" s="1"/>
      <c r="M547" s="1"/>
      <c r="N547" s="1"/>
      <c r="O547" s="1"/>
      <c r="P547" s="1"/>
      <c r="Q547" s="1"/>
      <c r="R547" s="1"/>
      <c r="S547" s="1"/>
      <c r="T547" s="1"/>
      <c r="U547" s="1"/>
      <c r="V547" s="1"/>
      <c r="W547" s="1"/>
      <c r="X547" s="1"/>
      <c r="Y547" s="1"/>
      <c r="Z547" s="1"/>
    </row>
    <row r="548" ht="10.5" customHeight="1">
      <c r="A548" s="1"/>
      <c r="B548" s="238" t="s">
        <v>127</v>
      </c>
      <c r="C548" s="718">
        <v>33.2</v>
      </c>
      <c r="D548" s="719">
        <v>7.7</v>
      </c>
      <c r="E548" s="585">
        <f t="shared" si="30"/>
        <v>40.9</v>
      </c>
      <c r="F548" s="720">
        <v>2002.0</v>
      </c>
      <c r="G548" s="366">
        <v>4.2</v>
      </c>
      <c r="H548" s="1"/>
      <c r="I548" s="1"/>
      <c r="J548" s="1"/>
      <c r="K548" s="1"/>
      <c r="L548" s="1"/>
      <c r="M548" s="1"/>
      <c r="N548" s="1"/>
      <c r="O548" s="1"/>
      <c r="P548" s="1"/>
      <c r="Q548" s="1"/>
      <c r="R548" s="1"/>
      <c r="S548" s="1"/>
      <c r="T548" s="1"/>
      <c r="U548" s="1"/>
      <c r="V548" s="1"/>
      <c r="W548" s="1"/>
      <c r="X548" s="1"/>
      <c r="Y548" s="1"/>
      <c r="Z548" s="1"/>
    </row>
    <row r="549" ht="10.5" customHeight="1">
      <c r="A549" s="1"/>
      <c r="B549" s="238" t="s">
        <v>128</v>
      </c>
      <c r="C549" s="718">
        <v>31.5</v>
      </c>
      <c r="D549" s="719">
        <v>7.7</v>
      </c>
      <c r="E549" s="585">
        <f t="shared" si="30"/>
        <v>39.2</v>
      </c>
      <c r="F549" s="259">
        <v>2003.0</v>
      </c>
      <c r="G549" s="585">
        <v>4.0</v>
      </c>
      <c r="H549" s="1"/>
      <c r="I549" s="1"/>
      <c r="J549" s="1"/>
      <c r="K549" s="1"/>
      <c r="L549" s="1"/>
      <c r="M549" s="1"/>
      <c r="N549" s="1"/>
      <c r="O549" s="1"/>
      <c r="P549" s="1"/>
      <c r="Q549" s="1"/>
      <c r="R549" s="1"/>
      <c r="S549" s="1"/>
      <c r="T549" s="1"/>
      <c r="U549" s="1"/>
      <c r="V549" s="1"/>
      <c r="W549" s="1"/>
      <c r="X549" s="1"/>
      <c r="Y549" s="1"/>
      <c r="Z549" s="1"/>
    </row>
    <row r="550" ht="10.5" customHeight="1">
      <c r="A550" s="1"/>
      <c r="B550" s="238" t="s">
        <v>129</v>
      </c>
      <c r="C550" s="718">
        <v>32.8</v>
      </c>
      <c r="D550" s="719">
        <v>8.9</v>
      </c>
      <c r="E550" s="585">
        <f t="shared" si="30"/>
        <v>41.7</v>
      </c>
      <c r="F550" s="259">
        <v>2004.0</v>
      </c>
      <c r="G550" s="585">
        <v>3.7</v>
      </c>
      <c r="H550" s="1"/>
      <c r="I550" s="1"/>
      <c r="J550" s="1"/>
      <c r="K550" s="1"/>
      <c r="L550" s="1"/>
      <c r="M550" s="1"/>
      <c r="N550" s="1"/>
      <c r="O550" s="1"/>
      <c r="P550" s="1"/>
      <c r="Q550" s="1"/>
      <c r="R550" s="1"/>
      <c r="S550" s="1"/>
      <c r="T550" s="1"/>
      <c r="U550" s="1"/>
      <c r="V550" s="1"/>
      <c r="W550" s="1"/>
      <c r="X550" s="1"/>
      <c r="Y550" s="1"/>
      <c r="Z550" s="1"/>
    </row>
    <row r="551" ht="10.5" customHeight="1">
      <c r="A551" s="1"/>
      <c r="B551" s="238" t="s">
        <v>130</v>
      </c>
      <c r="C551" s="718">
        <v>32.5</v>
      </c>
      <c r="D551" s="719">
        <v>8.6</v>
      </c>
      <c r="E551" s="585">
        <f t="shared" si="30"/>
        <v>41.1</v>
      </c>
      <c r="F551" s="259">
        <v>2005.0</v>
      </c>
      <c r="G551" s="585">
        <v>3.6</v>
      </c>
      <c r="H551" s="1"/>
      <c r="I551" s="1"/>
      <c r="J551" s="1"/>
      <c r="K551" s="1"/>
      <c r="L551" s="1"/>
      <c r="M551" s="1"/>
      <c r="N551" s="1"/>
      <c r="O551" s="1"/>
      <c r="P551" s="1"/>
      <c r="Q551" s="1"/>
      <c r="R551" s="1"/>
      <c r="S551" s="1"/>
      <c r="T551" s="1"/>
      <c r="U551" s="1"/>
      <c r="V551" s="1"/>
      <c r="W551" s="1"/>
      <c r="X551" s="1"/>
      <c r="Y551" s="1"/>
      <c r="Z551" s="1"/>
    </row>
    <row r="552" ht="10.5" customHeight="1">
      <c r="A552" s="1"/>
      <c r="B552" s="238"/>
      <c r="C552" s="718"/>
      <c r="D552" s="719"/>
      <c r="E552" s="585"/>
      <c r="F552" s="259"/>
      <c r="G552" s="585"/>
      <c r="H552" s="1"/>
      <c r="I552" s="1"/>
      <c r="J552" s="1"/>
      <c r="K552" s="1"/>
      <c r="L552" s="1"/>
      <c r="M552" s="1"/>
      <c r="N552" s="1"/>
      <c r="O552" s="1"/>
      <c r="P552" s="1"/>
      <c r="Q552" s="1"/>
      <c r="R552" s="1"/>
      <c r="S552" s="1"/>
      <c r="T552" s="1"/>
      <c r="U552" s="1"/>
      <c r="V552" s="1"/>
      <c r="W552" s="1"/>
      <c r="X552" s="1"/>
      <c r="Y552" s="1"/>
      <c r="Z552" s="1"/>
    </row>
    <row r="553" ht="10.5" customHeight="1">
      <c r="A553" s="1"/>
      <c r="B553" s="238" t="s">
        <v>131</v>
      </c>
      <c r="C553" s="718">
        <v>31.8</v>
      </c>
      <c r="D553" s="719">
        <v>6.4</v>
      </c>
      <c r="E553" s="585">
        <f t="shared" ref="E553:E557" si="31">+C553+D553</f>
        <v>38.2</v>
      </c>
      <c r="F553" s="259">
        <v>2006.0</v>
      </c>
      <c r="G553" s="585">
        <v>3.4</v>
      </c>
      <c r="H553" s="1"/>
      <c r="I553" s="1"/>
      <c r="J553" s="1"/>
      <c r="K553" s="1"/>
      <c r="L553" s="1"/>
      <c r="M553" s="1"/>
      <c r="N553" s="1"/>
      <c r="O553" s="1"/>
      <c r="P553" s="1"/>
      <c r="Q553" s="1"/>
      <c r="R553" s="1"/>
      <c r="S553" s="1"/>
      <c r="T553" s="1"/>
      <c r="U553" s="1"/>
      <c r="V553" s="1"/>
      <c r="W553" s="1"/>
      <c r="X553" s="1"/>
      <c r="Y553" s="1"/>
      <c r="Z553" s="1"/>
    </row>
    <row r="554" ht="10.5" customHeight="1">
      <c r="A554" s="1"/>
      <c r="B554" s="238" t="s">
        <v>133</v>
      </c>
      <c r="C554" s="718">
        <v>32.8</v>
      </c>
      <c r="D554" s="719">
        <v>9.5</v>
      </c>
      <c r="E554" s="585">
        <f t="shared" si="31"/>
        <v>42.3</v>
      </c>
      <c r="F554" s="259">
        <v>2007.0</v>
      </c>
      <c r="G554" s="585">
        <v>3.0</v>
      </c>
      <c r="H554" s="1"/>
      <c r="I554" s="1"/>
      <c r="J554" s="1"/>
      <c r="K554" s="1"/>
      <c r="L554" s="1"/>
      <c r="M554" s="1"/>
      <c r="N554" s="1"/>
      <c r="O554" s="1"/>
      <c r="P554" s="1"/>
      <c r="Q554" s="1"/>
      <c r="R554" s="1"/>
      <c r="S554" s="1"/>
      <c r="T554" s="1"/>
      <c r="U554" s="1"/>
      <c r="V554" s="1"/>
      <c r="W554" s="1"/>
      <c r="X554" s="1"/>
      <c r="Y554" s="1"/>
      <c r="Z554" s="1"/>
    </row>
    <row r="555" ht="10.5" customHeight="1">
      <c r="A555" s="1"/>
      <c r="B555" s="293">
        <v>39295.0</v>
      </c>
      <c r="C555" s="718">
        <v>32.5</v>
      </c>
      <c r="D555" s="719">
        <v>14.3</v>
      </c>
      <c r="E555" s="585">
        <f t="shared" si="31"/>
        <v>46.8</v>
      </c>
      <c r="F555" s="259">
        <v>2008.0</v>
      </c>
      <c r="G555" s="585">
        <v>2.9</v>
      </c>
      <c r="H555" s="1"/>
      <c r="I555" s="1"/>
      <c r="J555" s="1"/>
      <c r="K555" s="1"/>
      <c r="L555" s="1"/>
      <c r="M555" s="1"/>
      <c r="N555" s="1"/>
      <c r="O555" s="1"/>
      <c r="P555" s="1"/>
      <c r="Q555" s="1"/>
      <c r="R555" s="1"/>
      <c r="S555" s="1"/>
      <c r="T555" s="1"/>
      <c r="U555" s="1"/>
      <c r="V555" s="1"/>
      <c r="W555" s="1"/>
      <c r="X555" s="1"/>
      <c r="Y555" s="1"/>
      <c r="Z555" s="1"/>
    </row>
    <row r="556" ht="10.5" customHeight="1">
      <c r="A556" s="1"/>
      <c r="B556" s="293">
        <v>39692.0</v>
      </c>
      <c r="C556" s="718">
        <v>31.5</v>
      </c>
      <c r="D556" s="718">
        <v>13.8</v>
      </c>
      <c r="E556" s="585">
        <f t="shared" si="31"/>
        <v>45.3</v>
      </c>
      <c r="F556" s="259">
        <v>2009.0</v>
      </c>
      <c r="G556" s="585">
        <v>2.6</v>
      </c>
      <c r="H556" s="1"/>
      <c r="I556" s="1"/>
      <c r="J556" s="1"/>
      <c r="K556" s="1"/>
      <c r="L556" s="1"/>
      <c r="M556" s="1"/>
      <c r="N556" s="1"/>
      <c r="O556" s="1"/>
      <c r="P556" s="1"/>
      <c r="Q556" s="1"/>
      <c r="R556" s="1"/>
      <c r="S556" s="1"/>
      <c r="T556" s="1"/>
      <c r="U556" s="1"/>
      <c r="V556" s="1"/>
      <c r="W556" s="1"/>
      <c r="X556" s="1"/>
      <c r="Y556" s="1"/>
      <c r="Z556" s="1"/>
    </row>
    <row r="557" ht="10.5" customHeight="1">
      <c r="A557" s="1"/>
      <c r="B557" s="11" t="s">
        <v>138</v>
      </c>
      <c r="C557" s="718">
        <v>32.9</v>
      </c>
      <c r="D557" s="718">
        <v>13.7</v>
      </c>
      <c r="E557" s="585">
        <f t="shared" si="31"/>
        <v>46.6</v>
      </c>
      <c r="F557" s="259">
        <v>2010.0</v>
      </c>
      <c r="G557" s="585">
        <v>2.3</v>
      </c>
      <c r="H557" s="1"/>
      <c r="I557" s="1"/>
      <c r="J557" s="1"/>
      <c r="K557" s="1"/>
      <c r="L557" s="1"/>
      <c r="M557" s="1"/>
      <c r="N557" s="1"/>
      <c r="O557" s="1"/>
      <c r="P557" s="1"/>
      <c r="Q557" s="1"/>
      <c r="R557" s="1"/>
      <c r="S557" s="1"/>
      <c r="T557" s="1"/>
      <c r="U557" s="1"/>
      <c r="V557" s="1"/>
      <c r="W557" s="1"/>
      <c r="X557" s="1"/>
      <c r="Y557" s="1"/>
      <c r="Z557" s="1"/>
    </row>
    <row r="558" ht="10.5" customHeight="1">
      <c r="A558" s="1"/>
      <c r="B558" s="11"/>
      <c r="C558" s="718"/>
      <c r="D558" s="718"/>
      <c r="E558" s="585"/>
      <c r="F558" s="259"/>
      <c r="G558" s="585"/>
      <c r="H558" s="1"/>
      <c r="I558" s="1"/>
      <c r="J558" s="1"/>
      <c r="K558" s="1"/>
      <c r="L558" s="1"/>
      <c r="M558" s="1"/>
      <c r="N558" s="1"/>
      <c r="O558" s="1"/>
      <c r="P558" s="1"/>
      <c r="Q558" s="1"/>
      <c r="R558" s="1"/>
      <c r="S558" s="1"/>
      <c r="T558" s="1"/>
      <c r="U558" s="1"/>
      <c r="V558" s="1"/>
      <c r="W558" s="1"/>
      <c r="X558" s="1"/>
      <c r="Y558" s="1"/>
      <c r="Z558" s="1"/>
    </row>
    <row r="559" ht="10.5" customHeight="1">
      <c r="A559" s="1"/>
      <c r="B559" s="11" t="s">
        <v>139</v>
      </c>
      <c r="C559" s="718">
        <v>31.5</v>
      </c>
      <c r="D559" s="718">
        <v>13.6</v>
      </c>
      <c r="E559" s="585">
        <f t="shared" ref="E559:E561" si="32">+C559+D559</f>
        <v>45.1</v>
      </c>
      <c r="F559" s="259" t="s">
        <v>487</v>
      </c>
      <c r="G559" s="585">
        <v>2.2</v>
      </c>
      <c r="H559" s="1"/>
      <c r="I559" s="1"/>
      <c r="J559" s="1"/>
      <c r="K559" s="1"/>
      <c r="L559" s="1"/>
      <c r="M559" s="1"/>
      <c r="N559" s="1"/>
      <c r="O559" s="1"/>
      <c r="P559" s="1"/>
      <c r="Q559" s="1"/>
      <c r="R559" s="1"/>
      <c r="S559" s="1"/>
      <c r="T559" s="1"/>
      <c r="U559" s="1"/>
      <c r="V559" s="1"/>
      <c r="W559" s="1"/>
      <c r="X559" s="1"/>
      <c r="Y559" s="1"/>
      <c r="Z559" s="1"/>
    </row>
    <row r="560" ht="10.5" customHeight="1">
      <c r="A560" s="1"/>
      <c r="B560" s="11" t="s">
        <v>143</v>
      </c>
      <c r="C560" s="718">
        <v>30.1</v>
      </c>
      <c r="D560" s="718">
        <v>13.5</v>
      </c>
      <c r="E560" s="585">
        <f t="shared" si="32"/>
        <v>43.6</v>
      </c>
      <c r="F560" s="259" t="s">
        <v>489</v>
      </c>
      <c r="G560" s="585">
        <v>2.3</v>
      </c>
      <c r="H560" s="1"/>
      <c r="I560" s="1"/>
      <c r="J560" s="1"/>
      <c r="K560" s="1"/>
      <c r="L560" s="1"/>
      <c r="M560" s="1"/>
      <c r="N560" s="1"/>
      <c r="O560" s="1"/>
      <c r="P560" s="1"/>
      <c r="Q560" s="1"/>
      <c r="R560" s="1"/>
      <c r="S560" s="1"/>
      <c r="T560" s="1"/>
      <c r="U560" s="1"/>
      <c r="V560" s="1"/>
      <c r="W560" s="1"/>
      <c r="X560" s="1"/>
      <c r="Y560" s="1"/>
      <c r="Z560" s="1"/>
    </row>
    <row r="561" ht="10.5" customHeight="1">
      <c r="A561" s="1"/>
      <c r="B561" s="11" t="s">
        <v>149</v>
      </c>
      <c r="C561" s="718">
        <v>33.0</v>
      </c>
      <c r="D561" s="718">
        <v>15.2</v>
      </c>
      <c r="E561" s="585">
        <f t="shared" si="32"/>
        <v>48.2</v>
      </c>
      <c r="F561" s="259" t="s">
        <v>55</v>
      </c>
      <c r="G561" s="585">
        <v>2.4</v>
      </c>
      <c r="H561" s="1"/>
      <c r="I561" s="1"/>
      <c r="J561" s="1"/>
      <c r="K561" s="1"/>
      <c r="L561" s="1"/>
      <c r="M561" s="1"/>
      <c r="N561" s="1"/>
      <c r="O561" s="1"/>
      <c r="P561" s="1"/>
      <c r="Q561" s="1"/>
      <c r="R561" s="1"/>
      <c r="S561" s="1"/>
      <c r="T561" s="1"/>
      <c r="U561" s="1"/>
      <c r="V561" s="1"/>
      <c r="W561" s="1"/>
      <c r="X561" s="1"/>
      <c r="Y561" s="1"/>
      <c r="Z561" s="1"/>
    </row>
    <row r="562" ht="10.5" customHeight="1">
      <c r="A562" s="1"/>
      <c r="B562" s="11" t="s">
        <v>151</v>
      </c>
      <c r="C562" s="718">
        <v>33.6</v>
      </c>
      <c r="D562" s="718">
        <v>16.3</v>
      </c>
      <c r="E562" s="585">
        <v>49.900000000000006</v>
      </c>
      <c r="F562" s="259" t="s">
        <v>57</v>
      </c>
      <c r="G562" s="585">
        <v>2.5</v>
      </c>
      <c r="H562" s="1"/>
      <c r="I562" s="1"/>
      <c r="J562" s="1"/>
      <c r="K562" s="1"/>
      <c r="L562" s="1"/>
      <c r="M562" s="1"/>
      <c r="N562" s="1"/>
      <c r="O562" s="1"/>
      <c r="P562" s="1"/>
      <c r="Q562" s="1"/>
      <c r="R562" s="1"/>
      <c r="S562" s="1"/>
      <c r="T562" s="1"/>
      <c r="U562" s="1"/>
      <c r="V562" s="1"/>
      <c r="W562" s="1"/>
      <c r="X562" s="1"/>
      <c r="Y562" s="1"/>
      <c r="Z562" s="1"/>
    </row>
    <row r="563" ht="10.5" customHeight="1">
      <c r="A563" s="1"/>
      <c r="B563" s="11" t="s">
        <v>153</v>
      </c>
      <c r="C563" s="718">
        <v>33.4</v>
      </c>
      <c r="D563" s="718">
        <v>16.3</v>
      </c>
      <c r="E563" s="585">
        <v>49.7</v>
      </c>
      <c r="F563" s="259" t="s">
        <v>58</v>
      </c>
      <c r="G563" s="585">
        <v>2.5</v>
      </c>
      <c r="H563" s="1"/>
      <c r="I563" s="1"/>
      <c r="J563" s="1"/>
      <c r="K563" s="1"/>
      <c r="L563" s="1"/>
      <c r="M563" s="1"/>
      <c r="N563" s="1"/>
      <c r="O563" s="1"/>
      <c r="P563" s="1"/>
      <c r="Q563" s="1"/>
      <c r="R563" s="1"/>
      <c r="S563" s="1"/>
      <c r="T563" s="1"/>
      <c r="U563" s="1"/>
      <c r="V563" s="1"/>
      <c r="W563" s="1"/>
      <c r="X563" s="1"/>
      <c r="Y563" s="1"/>
      <c r="Z563" s="1"/>
    </row>
    <row r="564" ht="10.5" customHeight="1">
      <c r="A564" s="1"/>
      <c r="B564" s="11"/>
      <c r="C564" s="718"/>
      <c r="D564" s="718"/>
      <c r="E564" s="585"/>
      <c r="F564" s="259"/>
      <c r="G564" s="585"/>
      <c r="H564" s="1"/>
      <c r="I564" s="23"/>
      <c r="J564" s="1"/>
      <c r="K564" s="1"/>
      <c r="L564" s="1"/>
      <c r="M564" s="1"/>
      <c r="N564" s="1"/>
      <c r="O564" s="1"/>
      <c r="P564" s="1"/>
      <c r="Q564" s="1"/>
      <c r="R564" s="1"/>
      <c r="S564" s="1"/>
      <c r="T564" s="1"/>
      <c r="U564" s="1"/>
      <c r="V564" s="1"/>
      <c r="W564" s="1"/>
      <c r="X564" s="1"/>
      <c r="Y564" s="1"/>
      <c r="Z564" s="1"/>
    </row>
    <row r="565" ht="10.5" customHeight="1">
      <c r="A565" s="1"/>
      <c r="B565" s="11" t="s">
        <v>155</v>
      </c>
      <c r="C565" s="718" t="s">
        <v>1226</v>
      </c>
      <c r="D565" s="718" t="s">
        <v>1227</v>
      </c>
      <c r="E565" s="585" t="s">
        <v>1228</v>
      </c>
      <c r="F565" s="259" t="s">
        <v>59</v>
      </c>
      <c r="G565" s="585" t="s">
        <v>10</v>
      </c>
      <c r="H565" s="1"/>
      <c r="I565" s="1"/>
      <c r="J565" s="1"/>
      <c r="K565" s="1"/>
      <c r="L565" s="1"/>
      <c r="M565" s="1"/>
      <c r="N565" s="1"/>
      <c r="O565" s="1"/>
      <c r="P565" s="1"/>
      <c r="Q565" s="1"/>
      <c r="R565" s="1"/>
      <c r="S565" s="1"/>
      <c r="T565" s="1"/>
      <c r="U565" s="1"/>
      <c r="V565" s="1"/>
      <c r="W565" s="1"/>
      <c r="X565" s="1"/>
      <c r="Y565" s="1"/>
      <c r="Z565" s="1"/>
    </row>
    <row r="566" ht="10.5" customHeight="1">
      <c r="A566" s="1"/>
      <c r="B566" s="52" t="s">
        <v>160</v>
      </c>
      <c r="C566" s="729" t="s">
        <v>1230</v>
      </c>
      <c r="D566" s="729" t="s">
        <v>1232</v>
      </c>
      <c r="E566" s="730" t="s">
        <v>1233</v>
      </c>
      <c r="F566" s="731" t="s">
        <v>60</v>
      </c>
      <c r="G566" s="730" t="s">
        <v>10</v>
      </c>
      <c r="H566" s="1"/>
      <c r="I566" s="1"/>
      <c r="J566" s="1"/>
      <c r="K566" s="1"/>
      <c r="L566" s="1"/>
      <c r="M566" s="1"/>
      <c r="N566" s="1"/>
      <c r="O566" s="1"/>
      <c r="P566" s="1"/>
      <c r="Q566" s="1"/>
      <c r="R566" s="1"/>
      <c r="S566" s="1"/>
      <c r="T566" s="1"/>
      <c r="U566" s="1"/>
      <c r="V566" s="1"/>
      <c r="W566" s="1"/>
      <c r="X566" s="1"/>
      <c r="Y566" s="1"/>
      <c r="Z566" s="1"/>
    </row>
    <row r="567" ht="6.0" customHeight="1">
      <c r="A567" s="1"/>
      <c r="B567" s="242"/>
      <c r="C567" s="719"/>
      <c r="D567" s="719"/>
      <c r="E567" s="732"/>
      <c r="F567" s="733"/>
      <c r="G567" s="732"/>
      <c r="H567" s="1"/>
      <c r="I567" s="1"/>
      <c r="J567" s="1"/>
      <c r="K567" s="1"/>
      <c r="L567" s="1"/>
      <c r="M567" s="1"/>
      <c r="N567" s="1"/>
      <c r="O567" s="1"/>
      <c r="P567" s="1"/>
      <c r="Q567" s="1"/>
      <c r="R567" s="1"/>
      <c r="S567" s="1"/>
      <c r="T567" s="1"/>
      <c r="U567" s="1"/>
      <c r="V567" s="1"/>
      <c r="W567" s="1"/>
      <c r="X567" s="1"/>
      <c r="Y567" s="1"/>
      <c r="Z567" s="1"/>
    </row>
    <row r="568" ht="9.75" customHeight="1">
      <c r="A568" s="1"/>
      <c r="B568" s="185" t="s">
        <v>1244</v>
      </c>
      <c r="C568" s="60" t="s">
        <v>1245</v>
      </c>
      <c r="D568" s="60"/>
      <c r="E568" s="1"/>
      <c r="F568" s="1"/>
      <c r="G568" s="1"/>
      <c r="H568" s="1"/>
      <c r="I568" s="1"/>
      <c r="J568" s="1"/>
      <c r="K568" s="1"/>
      <c r="L568" s="1"/>
      <c r="M568" s="1"/>
      <c r="N568" s="1"/>
      <c r="O568" s="1"/>
      <c r="P568" s="1"/>
      <c r="Q568" s="1"/>
      <c r="R568" s="1"/>
      <c r="S568" s="1"/>
      <c r="T568" s="1"/>
      <c r="U568" s="1"/>
      <c r="V568" s="1"/>
      <c r="W568" s="1"/>
      <c r="X568" s="1"/>
      <c r="Y568" s="1"/>
      <c r="Z568" s="1"/>
    </row>
    <row r="569" ht="10.5" customHeight="1">
      <c r="A569" s="1"/>
      <c r="B569" s="185"/>
      <c r="C569" s="60" t="s">
        <v>1247</v>
      </c>
      <c r="D569" s="60"/>
      <c r="E569" s="1"/>
      <c r="F569" s="1"/>
      <c r="G569" s="1"/>
      <c r="H569" s="1"/>
      <c r="I569" s="1"/>
      <c r="J569" s="1"/>
      <c r="K569" s="1"/>
      <c r="L569" s="1"/>
      <c r="M569" s="1"/>
      <c r="N569" s="1"/>
      <c r="O569" s="1"/>
      <c r="P569" s="1"/>
      <c r="Q569" s="1"/>
      <c r="R569" s="1"/>
      <c r="S569" s="1"/>
      <c r="T569" s="1"/>
      <c r="U569" s="1"/>
      <c r="V569" s="1"/>
      <c r="W569" s="1"/>
      <c r="X569" s="1"/>
      <c r="Y569" s="1"/>
      <c r="Z569" s="1"/>
    </row>
    <row r="570" ht="10.5" customHeight="1">
      <c r="A570" s="1"/>
      <c r="B570" s="185" t="s">
        <v>1248</v>
      </c>
      <c r="C570" s="60"/>
      <c r="D570" s="60"/>
      <c r="E570" s="1"/>
      <c r="F570" s="1"/>
      <c r="G570" s="1"/>
      <c r="H570" s="1"/>
      <c r="I570" s="1"/>
      <c r="J570" s="1"/>
      <c r="K570" s="1"/>
      <c r="L570" s="1"/>
      <c r="M570" s="1"/>
      <c r="N570" s="1"/>
      <c r="O570" s="1"/>
      <c r="P570" s="1"/>
      <c r="Q570" s="1"/>
      <c r="R570" s="1"/>
      <c r="S570" s="1"/>
      <c r="T570" s="1"/>
      <c r="U570" s="1"/>
      <c r="V570" s="1"/>
      <c r="W570" s="1"/>
      <c r="X570" s="1"/>
      <c r="Y570" s="1"/>
      <c r="Z570" s="1"/>
    </row>
    <row r="571" ht="10.5" customHeight="1">
      <c r="A571" s="1"/>
      <c r="B571" s="185" t="s">
        <v>1249</v>
      </c>
      <c r="C571" s="60"/>
      <c r="D571" s="60"/>
      <c r="E571" s="1"/>
      <c r="F571" s="1"/>
      <c r="G571" s="1"/>
      <c r="H571" s="1"/>
      <c r="I571" s="1"/>
      <c r="J571" s="1"/>
      <c r="K571" s="1"/>
      <c r="L571" s="1"/>
      <c r="M571" s="1"/>
      <c r="N571" s="1"/>
      <c r="O571" s="1"/>
      <c r="P571" s="1"/>
      <c r="Q571" s="1"/>
      <c r="R571" s="1"/>
      <c r="S571" s="1"/>
      <c r="T571" s="1"/>
      <c r="U571" s="1"/>
      <c r="V571" s="1"/>
      <c r="W571" s="1"/>
      <c r="X571" s="1"/>
      <c r="Y571" s="1"/>
      <c r="Z571" s="1"/>
    </row>
    <row r="572" ht="10.5" customHeight="1">
      <c r="A572" s="1"/>
      <c r="B572" s="185" t="s">
        <v>1250</v>
      </c>
      <c r="C572" s="60"/>
      <c r="D572" s="60"/>
      <c r="E572" s="1"/>
      <c r="F572" s="1"/>
      <c r="G572" s="1"/>
      <c r="H572" s="1"/>
      <c r="I572" s="1"/>
      <c r="J572" s="1"/>
      <c r="K572" s="1"/>
      <c r="L572" s="1"/>
      <c r="M572" s="1"/>
      <c r="N572" s="1"/>
      <c r="O572" s="1"/>
      <c r="P572" s="1"/>
      <c r="Q572" s="1"/>
      <c r="R572" s="1"/>
      <c r="S572" s="1"/>
      <c r="T572" s="1"/>
      <c r="U572" s="1"/>
      <c r="V572" s="1"/>
      <c r="W572" s="1"/>
      <c r="X572" s="1"/>
      <c r="Y572" s="1"/>
      <c r="Z572" s="1"/>
    </row>
    <row r="573" ht="10.5" customHeight="1">
      <c r="A573" s="1"/>
      <c r="B573" s="185" t="s">
        <v>1251</v>
      </c>
      <c r="C573" s="60"/>
      <c r="D573" s="60"/>
      <c r="E573" s="1"/>
      <c r="F573" s="1"/>
      <c r="G573" s="1"/>
      <c r="H573" s="1"/>
      <c r="I573" s="1"/>
      <c r="J573" s="1"/>
      <c r="K573" s="1"/>
      <c r="L573" s="1"/>
      <c r="M573" s="1"/>
      <c r="N573" s="1"/>
      <c r="O573" s="1"/>
      <c r="P573" s="1"/>
      <c r="Q573" s="1"/>
      <c r="R573" s="1"/>
      <c r="S573" s="1"/>
      <c r="T573" s="1"/>
      <c r="U573" s="1"/>
      <c r="V573" s="1"/>
      <c r="W573" s="1"/>
      <c r="X573" s="1"/>
      <c r="Y573" s="1"/>
      <c r="Z573" s="1"/>
    </row>
    <row r="574" ht="10.5" customHeight="1">
      <c r="A574" s="1"/>
      <c r="B574" s="1"/>
      <c r="C574" s="612"/>
      <c r="D574" s="612"/>
      <c r="E574" s="612"/>
      <c r="F574" s="612"/>
      <c r="G574" s="612"/>
      <c r="H574" s="612"/>
      <c r="I574" s="612"/>
      <c r="J574" s="1"/>
      <c r="K574" s="1"/>
      <c r="L574" s="1"/>
      <c r="M574" s="1"/>
      <c r="N574" s="1"/>
      <c r="O574" s="1"/>
      <c r="P574" s="1"/>
      <c r="Q574" s="1"/>
      <c r="R574" s="1"/>
      <c r="S574" s="1"/>
      <c r="T574" s="1"/>
      <c r="U574" s="1"/>
      <c r="V574" s="1"/>
      <c r="W574" s="1"/>
      <c r="X574" s="1"/>
      <c r="Y574" s="1"/>
      <c r="Z574" s="1"/>
    </row>
    <row r="575" ht="10.5" customHeight="1">
      <c r="A575" s="1"/>
      <c r="B575" s="1"/>
      <c r="C575" s="612"/>
      <c r="D575" s="612"/>
      <c r="E575" s="612"/>
      <c r="F575" s="612"/>
      <c r="G575" s="612"/>
      <c r="H575" s="612"/>
      <c r="I575" s="612"/>
      <c r="J575" s="1"/>
      <c r="K575" s="1"/>
      <c r="L575" s="1"/>
      <c r="M575" s="1"/>
      <c r="N575" s="1"/>
      <c r="O575" s="1"/>
      <c r="P575" s="1"/>
      <c r="Q575" s="1"/>
      <c r="R575" s="1"/>
      <c r="S575" s="1"/>
      <c r="T575" s="1"/>
      <c r="U575" s="1"/>
      <c r="V575" s="1"/>
      <c r="W575" s="1"/>
      <c r="X575" s="1"/>
      <c r="Y575" s="1"/>
      <c r="Z575" s="1"/>
    </row>
    <row r="576" ht="10.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0.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0.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0.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0.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0.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0.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0.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0.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0.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0.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0.5" customHeight="1">
      <c r="A587" s="1"/>
      <c r="B587" s="1"/>
      <c r="C587" s="1"/>
      <c r="D587" s="1"/>
      <c r="E587" s="1"/>
      <c r="F587" s="1"/>
      <c r="G587" s="110">
        <v>65.0</v>
      </c>
      <c r="H587" s="1"/>
      <c r="I587" s="1"/>
      <c r="J587" s="1"/>
      <c r="K587" s="1"/>
      <c r="L587" s="1"/>
      <c r="M587" s="1"/>
      <c r="N587" s="1"/>
      <c r="O587" s="1"/>
      <c r="P587" s="1"/>
      <c r="Q587" s="1"/>
      <c r="R587" s="1"/>
      <c r="S587" s="1"/>
      <c r="T587" s="1"/>
      <c r="U587" s="1"/>
      <c r="V587" s="1"/>
      <c r="W587" s="1"/>
      <c r="X587" s="1"/>
      <c r="Y587" s="1"/>
      <c r="Z587" s="1"/>
    </row>
    <row r="588" ht="10.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t="s">
        <v>1257</v>
      </c>
      <c r="C589" s="111"/>
      <c r="D589" s="111"/>
      <c r="E589" s="111"/>
      <c r="F589" s="111"/>
      <c r="G589" s="1"/>
      <c r="H589" s="1"/>
      <c r="I589" s="1"/>
      <c r="J589" s="1"/>
      <c r="K589" s="1"/>
      <c r="L589" s="1"/>
      <c r="M589" s="1"/>
      <c r="N589" s="1"/>
      <c r="O589" s="1"/>
      <c r="P589" s="1"/>
      <c r="Q589" s="1"/>
      <c r="R589" s="1"/>
      <c r="S589" s="1"/>
      <c r="T589" s="1"/>
      <c r="U589" s="1"/>
      <c r="V589" s="1"/>
      <c r="W589" s="1"/>
      <c r="X589" s="1"/>
      <c r="Y589" s="1"/>
      <c r="Z589" s="1"/>
    </row>
    <row r="590" ht="11.25" customHeight="1">
      <c r="A590" s="1"/>
      <c r="B590" s="29" t="s">
        <v>1258</v>
      </c>
      <c r="C590" s="448" t="s">
        <v>1259</v>
      </c>
      <c r="D590" s="9"/>
      <c r="E590" s="10"/>
      <c r="F590" s="736" t="s">
        <v>1260</v>
      </c>
      <c r="G590" s="10"/>
      <c r="H590" s="236"/>
      <c r="I590" s="236"/>
      <c r="J590" s="236"/>
      <c r="K590" s="737"/>
      <c r="L590" s="737"/>
      <c r="M590" s="737"/>
      <c r="N590" s="737"/>
      <c r="O590" s="737"/>
      <c r="P590" s="236"/>
      <c r="Q590" s="1"/>
      <c r="R590" s="1"/>
      <c r="S590" s="1"/>
      <c r="T590" s="1"/>
      <c r="U590" s="1"/>
      <c r="V590" s="1"/>
      <c r="W590" s="1"/>
      <c r="X590" s="1"/>
      <c r="Y590" s="1"/>
      <c r="Z590" s="1"/>
    </row>
    <row r="591" ht="11.25" customHeight="1">
      <c r="A591" s="1"/>
      <c r="B591" s="5"/>
      <c r="C591" s="190" t="s">
        <v>1261</v>
      </c>
      <c r="D591" s="190" t="s">
        <v>1262</v>
      </c>
      <c r="E591" s="273" t="s">
        <v>2</v>
      </c>
      <c r="F591" s="190" t="s">
        <v>1263</v>
      </c>
      <c r="G591" s="190" t="s">
        <v>1264</v>
      </c>
      <c r="H591" s="625"/>
      <c r="I591" s="236"/>
      <c r="J591" s="236"/>
      <c r="K591" s="236"/>
      <c r="L591" s="236"/>
      <c r="M591" s="236"/>
      <c r="N591" s="236"/>
      <c r="O591" s="236"/>
      <c r="P591" s="125"/>
      <c r="Q591" s="125"/>
      <c r="R591" s="1"/>
      <c r="S591" s="1"/>
      <c r="T591" s="1"/>
      <c r="U591" s="1"/>
      <c r="V591" s="1"/>
      <c r="W591" s="1"/>
      <c r="X591" s="1"/>
      <c r="Y591" s="1"/>
      <c r="Z591" s="1"/>
    </row>
    <row r="592" ht="11.25" customHeight="1">
      <c r="A592" s="1"/>
      <c r="B592" s="566" t="s">
        <v>1265</v>
      </c>
      <c r="C592" s="738">
        <v>1000.0</v>
      </c>
      <c r="D592" s="9"/>
      <c r="E592" s="10"/>
      <c r="F592" s="349" t="s">
        <v>1266</v>
      </c>
      <c r="G592" s="10"/>
      <c r="H592" s="139"/>
      <c r="I592" s="139"/>
      <c r="J592" s="139"/>
      <c r="K592" s="139"/>
      <c r="L592" s="139"/>
      <c r="M592" s="139"/>
      <c r="N592" s="139"/>
      <c r="O592" s="139"/>
      <c r="P592" s="272"/>
      <c r="Q592" s="1"/>
      <c r="R592" s="1"/>
      <c r="S592" s="1"/>
      <c r="T592" s="1"/>
      <c r="U592" s="1"/>
      <c r="V592" s="1"/>
      <c r="W592" s="1"/>
      <c r="X592" s="1"/>
      <c r="Y592" s="1"/>
      <c r="Z592" s="1"/>
    </row>
    <row r="593" ht="10.5" customHeight="1">
      <c r="A593" s="1"/>
      <c r="B593" s="688" t="s">
        <v>271</v>
      </c>
      <c r="C593" s="693">
        <v>120773.6</v>
      </c>
      <c r="D593" s="294">
        <v>16109.7</v>
      </c>
      <c r="E593" s="54">
        <f t="shared" ref="E593:E597" si="33">+D593+C593</f>
        <v>136883.3</v>
      </c>
      <c r="F593" s="739">
        <v>1.52</v>
      </c>
      <c r="G593" s="740">
        <v>0.98</v>
      </c>
      <c r="H593" s="503"/>
      <c r="I593" s="709"/>
      <c r="J593" s="709"/>
      <c r="K593" s="709"/>
      <c r="L593" s="709"/>
      <c r="M593" s="709"/>
      <c r="N593" s="709"/>
      <c r="O593" s="709"/>
      <c r="P593" s="1"/>
      <c r="Q593" s="1"/>
      <c r="R593" s="1"/>
      <c r="S593" s="1"/>
      <c r="T593" s="1"/>
      <c r="U593" s="1"/>
      <c r="V593" s="1"/>
      <c r="W593" s="1"/>
      <c r="X593" s="1"/>
      <c r="Y593" s="1"/>
      <c r="Z593" s="1"/>
    </row>
    <row r="594" ht="10.5" customHeight="1">
      <c r="A594" s="1"/>
      <c r="B594" s="688" t="s">
        <v>272</v>
      </c>
      <c r="C594" s="693">
        <v>132803.3</v>
      </c>
      <c r="D594" s="294">
        <v>19858.9</v>
      </c>
      <c r="E594" s="54">
        <f t="shared" si="33"/>
        <v>152662.2</v>
      </c>
      <c r="F594" s="739">
        <v>1.81</v>
      </c>
      <c r="G594" s="740">
        <v>1.05</v>
      </c>
      <c r="H594" s="503"/>
      <c r="I594" s="709"/>
      <c r="J594" s="709"/>
      <c r="K594" s="709"/>
      <c r="L594" s="709"/>
      <c r="M594" s="709"/>
      <c r="N594" s="709"/>
      <c r="O594" s="709"/>
      <c r="P594" s="1"/>
      <c r="Q594" s="1"/>
      <c r="R594" s="1"/>
      <c r="S594" s="1"/>
      <c r="T594" s="1"/>
      <c r="U594" s="1"/>
      <c r="V594" s="1"/>
      <c r="W594" s="1"/>
      <c r="X594" s="1"/>
      <c r="Y594" s="1"/>
      <c r="Z594" s="1"/>
    </row>
    <row r="595" ht="10.5" customHeight="1">
      <c r="A595" s="1"/>
      <c r="B595" s="688" t="s">
        <v>274</v>
      </c>
      <c r="C595" s="693">
        <v>135328.2</v>
      </c>
      <c r="D595" s="294">
        <v>24127.2</v>
      </c>
      <c r="E595" s="54">
        <f t="shared" si="33"/>
        <v>159455.4</v>
      </c>
      <c r="F595" s="739">
        <v>1.84</v>
      </c>
      <c r="G595" s="740">
        <v>1.1</v>
      </c>
      <c r="H595" s="503"/>
      <c r="I595" s="709"/>
      <c r="J595" s="709"/>
      <c r="K595" s="709"/>
      <c r="L595" s="709"/>
      <c r="M595" s="709"/>
      <c r="N595" s="709"/>
      <c r="O595" s="709"/>
      <c r="P595" s="1"/>
      <c r="Q595" s="1"/>
      <c r="R595" s="1"/>
      <c r="S595" s="1"/>
      <c r="T595" s="1"/>
      <c r="U595" s="1"/>
      <c r="V595" s="1"/>
      <c r="W595" s="1"/>
      <c r="X595" s="1"/>
      <c r="Y595" s="1"/>
      <c r="Z595" s="1"/>
    </row>
    <row r="596" ht="10.5" customHeight="1">
      <c r="A596" s="1"/>
      <c r="B596" s="688" t="s">
        <v>275</v>
      </c>
      <c r="C596" s="693">
        <v>139715.2</v>
      </c>
      <c r="D596" s="294">
        <v>31142.0</v>
      </c>
      <c r="E596" s="54">
        <f t="shared" si="33"/>
        <v>170857.2</v>
      </c>
      <c r="F596" s="739">
        <v>2.05</v>
      </c>
      <c r="G596" s="740">
        <v>1.33</v>
      </c>
      <c r="H596" s="503"/>
      <c r="I596" s="709"/>
      <c r="J596" s="709"/>
      <c r="K596" s="709"/>
      <c r="L596" s="709"/>
      <c r="M596" s="709"/>
      <c r="N596" s="709"/>
      <c r="O596" s="709"/>
      <c r="P596" s="1"/>
      <c r="Q596" s="1"/>
      <c r="R596" s="1"/>
      <c r="S596" s="1"/>
      <c r="T596" s="1"/>
      <c r="U596" s="1"/>
      <c r="V596" s="1"/>
      <c r="W596" s="1"/>
      <c r="X596" s="1"/>
      <c r="Y596" s="1"/>
      <c r="Z596" s="1"/>
    </row>
    <row r="597" ht="10.5" customHeight="1">
      <c r="A597" s="1"/>
      <c r="B597" s="688" t="s">
        <v>276</v>
      </c>
      <c r="C597" s="693">
        <v>157886.7</v>
      </c>
      <c r="D597" s="294">
        <v>39029.1</v>
      </c>
      <c r="E597" s="54">
        <f t="shared" si="33"/>
        <v>196915.8</v>
      </c>
      <c r="F597" s="739">
        <v>2.3</v>
      </c>
      <c r="G597" s="740">
        <v>1.46</v>
      </c>
      <c r="H597" s="503"/>
      <c r="I597" s="709"/>
      <c r="J597" s="709"/>
      <c r="K597" s="709"/>
      <c r="L597" s="709"/>
      <c r="M597" s="709"/>
      <c r="N597" s="709"/>
      <c r="O597" s="709"/>
      <c r="P597" s="1"/>
      <c r="Q597" s="1"/>
      <c r="R597" s="1"/>
      <c r="S597" s="1"/>
      <c r="T597" s="1"/>
      <c r="U597" s="1"/>
      <c r="V597" s="1"/>
      <c r="W597" s="1"/>
      <c r="X597" s="1"/>
      <c r="Y597" s="1"/>
      <c r="Z597" s="1"/>
    </row>
    <row r="598" ht="10.5" customHeight="1">
      <c r="A598" s="1"/>
      <c r="B598" s="688"/>
      <c r="C598" s="693"/>
      <c r="D598" s="693"/>
      <c r="E598" s="250"/>
      <c r="F598" s="739"/>
      <c r="G598" s="740"/>
      <c r="H598" s="503"/>
      <c r="I598" s="709"/>
      <c r="J598" s="709"/>
      <c r="K598" s="709"/>
      <c r="L598" s="709"/>
      <c r="M598" s="709"/>
      <c r="N598" s="709"/>
      <c r="O598" s="709"/>
      <c r="P598" s="1"/>
      <c r="Q598" s="1"/>
      <c r="R598" s="1"/>
      <c r="S598" s="1"/>
      <c r="T598" s="1"/>
      <c r="U598" s="1"/>
      <c r="V598" s="1"/>
      <c r="W598" s="1"/>
      <c r="X598" s="1"/>
      <c r="Y598" s="1"/>
      <c r="Z598" s="1"/>
    </row>
    <row r="599" ht="10.5" customHeight="1">
      <c r="A599" s="1"/>
      <c r="B599" s="688" t="s">
        <v>56</v>
      </c>
      <c r="C599" s="693">
        <v>161099.3</v>
      </c>
      <c r="D599" s="294">
        <v>35638.9</v>
      </c>
      <c r="E599" s="54">
        <f t="shared" ref="E599:E603" si="34">+D599+C599</f>
        <v>196738.2</v>
      </c>
      <c r="F599" s="739">
        <v>2.29</v>
      </c>
      <c r="G599" s="740">
        <v>1.45</v>
      </c>
      <c r="H599" s="503"/>
      <c r="I599" s="709"/>
      <c r="J599" s="709"/>
      <c r="K599" s="709"/>
      <c r="L599" s="709"/>
      <c r="M599" s="709"/>
      <c r="N599" s="709"/>
      <c r="O599" s="709"/>
      <c r="P599" s="1"/>
      <c r="Q599" s="1"/>
      <c r="R599" s="1"/>
      <c r="S599" s="1"/>
      <c r="T599" s="1"/>
      <c r="U599" s="1"/>
      <c r="V599" s="1"/>
      <c r="W599" s="1"/>
      <c r="X599" s="1"/>
      <c r="Y599" s="1"/>
      <c r="Z599" s="1"/>
    </row>
    <row r="600" ht="10.5" customHeight="1">
      <c r="A600" s="1"/>
      <c r="B600" s="688" t="s">
        <v>81</v>
      </c>
      <c r="C600" s="693">
        <v>222385.1</v>
      </c>
      <c r="D600" s="294">
        <v>42022.0</v>
      </c>
      <c r="E600" s="54">
        <f t="shared" si="34"/>
        <v>264407.1</v>
      </c>
      <c r="F600" s="739">
        <v>2.94</v>
      </c>
      <c r="G600" s="740">
        <v>1.75</v>
      </c>
      <c r="H600" s="503"/>
      <c r="I600" s="709"/>
      <c r="J600" s="709"/>
      <c r="K600" s="709"/>
      <c r="L600" s="709"/>
      <c r="M600" s="709"/>
      <c r="N600" s="709"/>
      <c r="O600" s="709"/>
      <c r="P600" s="1"/>
      <c r="Q600" s="1"/>
      <c r="R600" s="1"/>
      <c r="S600" s="1"/>
      <c r="T600" s="1"/>
      <c r="U600" s="1"/>
      <c r="V600" s="1"/>
      <c r="W600" s="1"/>
      <c r="X600" s="1"/>
      <c r="Y600" s="1"/>
      <c r="Z600" s="1"/>
    </row>
    <row r="601" ht="10.5" customHeight="1">
      <c r="A601" s="1"/>
      <c r="B601" s="688" t="s">
        <v>86</v>
      </c>
      <c r="C601" s="693">
        <v>214381.6</v>
      </c>
      <c r="D601" s="294">
        <v>44561.4</v>
      </c>
      <c r="E601" s="54">
        <f t="shared" si="34"/>
        <v>258943</v>
      </c>
      <c r="F601" s="739">
        <v>2.81</v>
      </c>
      <c r="G601" s="740">
        <v>1.57</v>
      </c>
      <c r="H601" s="503"/>
      <c r="I601" s="709"/>
      <c r="J601" s="709"/>
      <c r="K601" s="709"/>
      <c r="L601" s="709"/>
      <c r="M601" s="709"/>
      <c r="N601" s="709"/>
      <c r="O601" s="709"/>
      <c r="P601" s="1"/>
      <c r="Q601" s="1"/>
      <c r="R601" s="1"/>
      <c r="S601" s="1"/>
      <c r="T601" s="1"/>
      <c r="U601" s="1"/>
      <c r="V601" s="1"/>
      <c r="W601" s="1"/>
      <c r="X601" s="1"/>
      <c r="Y601" s="1"/>
      <c r="Z601" s="1"/>
    </row>
    <row r="602" ht="10.5" customHeight="1">
      <c r="A602" s="1"/>
      <c r="B602" s="688" t="s">
        <v>87</v>
      </c>
      <c r="C602" s="693">
        <v>230485.9</v>
      </c>
      <c r="D602" s="294">
        <v>51575.6</v>
      </c>
      <c r="E602" s="54">
        <f t="shared" si="34"/>
        <v>282061.5</v>
      </c>
      <c r="F602" s="739">
        <v>3.22</v>
      </c>
      <c r="G602" s="740">
        <v>2.07</v>
      </c>
      <c r="H602" s="503"/>
      <c r="I602" s="709"/>
      <c r="J602" s="709"/>
      <c r="K602" s="709"/>
      <c r="L602" s="709"/>
      <c r="M602" s="709"/>
      <c r="N602" s="709"/>
      <c r="O602" s="709"/>
      <c r="P602" s="1"/>
      <c r="Q602" s="1"/>
      <c r="R602" s="1"/>
      <c r="S602" s="1"/>
      <c r="T602" s="1"/>
      <c r="U602" s="1"/>
      <c r="V602" s="1"/>
      <c r="W602" s="1"/>
      <c r="X602" s="1"/>
      <c r="Y602" s="1"/>
      <c r="Z602" s="1"/>
    </row>
    <row r="603" ht="10.5" customHeight="1">
      <c r="A603" s="1"/>
      <c r="B603" s="688" t="s">
        <v>90</v>
      </c>
      <c r="C603" s="693">
        <v>320593.0</v>
      </c>
      <c r="D603" s="294">
        <v>69165.8</v>
      </c>
      <c r="E603" s="54">
        <f t="shared" si="34"/>
        <v>389758.8</v>
      </c>
      <c r="F603" s="739">
        <v>4.6</v>
      </c>
      <c r="G603" s="740">
        <v>2.96</v>
      </c>
      <c r="H603" s="503"/>
      <c r="I603" s="709"/>
      <c r="J603" s="709"/>
      <c r="K603" s="709"/>
      <c r="L603" s="709"/>
      <c r="M603" s="709"/>
      <c r="N603" s="709"/>
      <c r="O603" s="709"/>
      <c r="P603" s="1"/>
      <c r="Q603" s="1"/>
      <c r="R603" s="1"/>
      <c r="S603" s="1"/>
      <c r="T603" s="1"/>
      <c r="U603" s="1"/>
      <c r="V603" s="1"/>
      <c r="W603" s="1"/>
      <c r="X603" s="1"/>
      <c r="Y603" s="1"/>
      <c r="Z603" s="1"/>
    </row>
    <row r="604" ht="10.5" customHeight="1">
      <c r="A604" s="1"/>
      <c r="B604" s="688"/>
      <c r="C604" s="693"/>
      <c r="D604" s="693"/>
      <c r="E604" s="250"/>
      <c r="F604" s="739"/>
      <c r="G604" s="740"/>
      <c r="H604" s="503"/>
      <c r="I604" s="709"/>
      <c r="J604" s="709"/>
      <c r="K604" s="709"/>
      <c r="L604" s="709"/>
      <c r="M604" s="709"/>
      <c r="N604" s="709"/>
      <c r="O604" s="709"/>
      <c r="P604" s="1"/>
      <c r="Q604" s="1"/>
      <c r="R604" s="1"/>
      <c r="S604" s="1"/>
      <c r="T604" s="1"/>
      <c r="U604" s="1"/>
      <c r="V604" s="1"/>
      <c r="W604" s="1"/>
      <c r="X604" s="1"/>
      <c r="Y604" s="1"/>
      <c r="Z604" s="1"/>
    </row>
    <row r="605" ht="10.5" customHeight="1">
      <c r="A605" s="1"/>
      <c r="B605" s="688" t="s">
        <v>93</v>
      </c>
      <c r="C605" s="693">
        <v>339631.3</v>
      </c>
      <c r="D605" s="294">
        <v>71753.5</v>
      </c>
      <c r="E605" s="54">
        <f t="shared" ref="E605:E609" si="35">+D605+C605</f>
        <v>411384.8</v>
      </c>
      <c r="F605" s="739">
        <v>5.18</v>
      </c>
      <c r="G605" s="740">
        <v>3.35</v>
      </c>
      <c r="H605" s="503"/>
      <c r="I605" s="709"/>
      <c r="J605" s="709"/>
      <c r="K605" s="709"/>
      <c r="L605" s="709"/>
      <c r="M605" s="709"/>
      <c r="N605" s="709"/>
      <c r="O605" s="709"/>
      <c r="P605" s="1"/>
      <c r="Q605" s="1"/>
      <c r="R605" s="1"/>
      <c r="S605" s="1"/>
      <c r="T605" s="1"/>
      <c r="U605" s="1"/>
      <c r="V605" s="1"/>
      <c r="W605" s="1"/>
      <c r="X605" s="1"/>
      <c r="Y605" s="1"/>
      <c r="Z605" s="1"/>
    </row>
    <row r="606" ht="10.5" customHeight="1">
      <c r="A606" s="1"/>
      <c r="B606" s="688" t="s">
        <v>97</v>
      </c>
      <c r="C606" s="693">
        <v>325002.7</v>
      </c>
      <c r="D606" s="294">
        <v>75356.6</v>
      </c>
      <c r="E606" s="54">
        <f t="shared" si="35"/>
        <v>400359.3</v>
      </c>
      <c r="F606" s="739">
        <v>5.35</v>
      </c>
      <c r="G606" s="740">
        <v>3.73</v>
      </c>
      <c r="H606" s="503"/>
      <c r="I606" s="709"/>
      <c r="J606" s="709"/>
      <c r="K606" s="709"/>
      <c r="L606" s="709"/>
      <c r="M606" s="709"/>
      <c r="N606" s="709"/>
      <c r="O606" s="709"/>
      <c r="P606" s="1"/>
      <c r="Q606" s="1"/>
      <c r="R606" s="1"/>
      <c r="S606" s="1"/>
      <c r="T606" s="1"/>
      <c r="U606" s="1"/>
      <c r="V606" s="1"/>
      <c r="W606" s="1"/>
      <c r="X606" s="1"/>
      <c r="Y606" s="1"/>
      <c r="Z606" s="1"/>
    </row>
    <row r="607" ht="10.5" customHeight="1">
      <c r="A607" s="1"/>
      <c r="B607" s="688" t="s">
        <v>101</v>
      </c>
      <c r="C607" s="693">
        <v>575905.7</v>
      </c>
      <c r="D607" s="294">
        <v>128735.5</v>
      </c>
      <c r="E607" s="54">
        <f t="shared" si="35"/>
        <v>704641.2</v>
      </c>
      <c r="F607" s="739">
        <v>9.39</v>
      </c>
      <c r="G607" s="740">
        <v>6.09</v>
      </c>
      <c r="H607" s="503"/>
      <c r="I607" s="709"/>
      <c r="J607" s="709"/>
      <c r="K607" s="709"/>
      <c r="L607" s="709"/>
      <c r="M607" s="709"/>
      <c r="N607" s="709"/>
      <c r="O607" s="709"/>
      <c r="P607" s="1"/>
      <c r="Q607" s="1"/>
      <c r="R607" s="1"/>
      <c r="S607" s="1"/>
      <c r="T607" s="1"/>
      <c r="U607" s="1"/>
      <c r="V607" s="1"/>
      <c r="W607" s="1"/>
      <c r="X607" s="1"/>
      <c r="Y607" s="1"/>
      <c r="Z607" s="1"/>
    </row>
    <row r="608" ht="10.5" customHeight="1">
      <c r="A608" s="1"/>
      <c r="B608" s="688" t="s">
        <v>103</v>
      </c>
      <c r="C608" s="693">
        <v>785480.4</v>
      </c>
      <c r="D608" s="294">
        <v>165936.6</v>
      </c>
      <c r="E608" s="54">
        <f t="shared" si="35"/>
        <v>951417</v>
      </c>
      <c r="F608" s="739">
        <v>11.98</v>
      </c>
      <c r="G608" s="740">
        <v>7.3</v>
      </c>
      <c r="H608" s="503"/>
      <c r="I608" s="709"/>
      <c r="J608" s="709"/>
      <c r="K608" s="709"/>
      <c r="L608" s="709"/>
      <c r="M608" s="709"/>
      <c r="N608" s="709"/>
      <c r="O608" s="709"/>
      <c r="P608" s="1"/>
      <c r="Q608" s="1"/>
      <c r="R608" s="1"/>
      <c r="S608" s="1"/>
      <c r="T608" s="1"/>
      <c r="U608" s="1"/>
      <c r="V608" s="1"/>
      <c r="W608" s="1"/>
      <c r="X608" s="1"/>
      <c r="Y608" s="1"/>
      <c r="Z608" s="1"/>
    </row>
    <row r="609" ht="10.5" customHeight="1">
      <c r="A609" s="1"/>
      <c r="B609" s="688" t="s">
        <v>104</v>
      </c>
      <c r="C609" s="693">
        <v>699624.2</v>
      </c>
      <c r="D609" s="294">
        <v>131892.0</v>
      </c>
      <c r="E609" s="54">
        <f t="shared" si="35"/>
        <v>831516.2</v>
      </c>
      <c r="F609" s="739">
        <v>10.15</v>
      </c>
      <c r="G609" s="740">
        <v>5.66</v>
      </c>
      <c r="H609" s="503"/>
      <c r="I609" s="709"/>
      <c r="J609" s="709"/>
      <c r="K609" s="709"/>
      <c r="L609" s="709"/>
      <c r="M609" s="709"/>
      <c r="N609" s="709"/>
      <c r="O609" s="709"/>
      <c r="P609" s="1"/>
      <c r="Q609" s="1"/>
      <c r="R609" s="1"/>
      <c r="S609" s="1"/>
      <c r="T609" s="1"/>
      <c r="U609" s="1"/>
      <c r="V609" s="1"/>
      <c r="W609" s="1"/>
      <c r="X609" s="1"/>
      <c r="Y609" s="1"/>
      <c r="Z609" s="1"/>
    </row>
    <row r="610" ht="10.5" customHeight="1">
      <c r="A610" s="1"/>
      <c r="B610" s="688"/>
      <c r="C610" s="693"/>
      <c r="D610" s="693"/>
      <c r="E610" s="250"/>
      <c r="F610" s="739"/>
      <c r="G610" s="740"/>
      <c r="H610" s="503"/>
      <c r="I610" s="709"/>
      <c r="J610" s="709"/>
      <c r="K610" s="709"/>
      <c r="L610" s="709"/>
      <c r="M610" s="709"/>
      <c r="N610" s="709"/>
      <c r="O610" s="709"/>
      <c r="P610" s="1"/>
      <c r="Q610" s="1"/>
      <c r="R610" s="1"/>
      <c r="S610" s="1"/>
      <c r="T610" s="1"/>
      <c r="U610" s="1"/>
      <c r="V610" s="1"/>
      <c r="W610" s="1"/>
      <c r="X610" s="1"/>
      <c r="Y610" s="1"/>
      <c r="Z610" s="1"/>
    </row>
    <row r="611" ht="10.5" customHeight="1">
      <c r="A611" s="1"/>
      <c r="B611" s="688" t="s">
        <v>108</v>
      </c>
      <c r="C611" s="693">
        <v>521393.0</v>
      </c>
      <c r="D611" s="294">
        <v>80748.8</v>
      </c>
      <c r="E611" s="54">
        <f t="shared" ref="E611:E615" si="36">+D611+C611</f>
        <v>602141.8</v>
      </c>
      <c r="F611" s="739">
        <v>6.98</v>
      </c>
      <c r="G611" s="740">
        <v>3.53</v>
      </c>
      <c r="H611" s="503"/>
      <c r="I611" s="709"/>
      <c r="J611" s="709"/>
      <c r="K611" s="709"/>
      <c r="L611" s="709"/>
      <c r="M611" s="709"/>
      <c r="N611" s="709"/>
      <c r="O611" s="709"/>
      <c r="P611" s="1"/>
      <c r="Q611" s="1"/>
      <c r="R611" s="1"/>
      <c r="S611" s="1"/>
      <c r="T611" s="1"/>
      <c r="U611" s="1"/>
      <c r="V611" s="1"/>
      <c r="W611" s="1"/>
      <c r="X611" s="1"/>
      <c r="Y611" s="1"/>
      <c r="Z611" s="1"/>
    </row>
    <row r="612" ht="10.5" customHeight="1">
      <c r="A612" s="1"/>
      <c r="B612" s="688" t="s">
        <v>111</v>
      </c>
      <c r="C612" s="693">
        <v>441703.7</v>
      </c>
      <c r="D612" s="294">
        <v>78136.1</v>
      </c>
      <c r="E612" s="54">
        <f t="shared" si="36"/>
        <v>519839.8</v>
      </c>
      <c r="F612" s="739">
        <v>7.56</v>
      </c>
      <c r="G612" s="740">
        <v>4.67</v>
      </c>
      <c r="H612" s="503"/>
      <c r="I612" s="709"/>
      <c r="J612" s="709"/>
      <c r="K612" s="709"/>
      <c r="L612" s="709"/>
      <c r="M612" s="709"/>
      <c r="N612" s="709"/>
      <c r="O612" s="709"/>
      <c r="P612" s="1"/>
      <c r="Q612" s="1"/>
      <c r="R612" s="1"/>
      <c r="S612" s="1"/>
      <c r="T612" s="1"/>
      <c r="U612" s="1"/>
      <c r="V612" s="1"/>
      <c r="W612" s="1"/>
      <c r="X612" s="1"/>
      <c r="Y612" s="1"/>
      <c r="Z612" s="1"/>
    </row>
    <row r="613" ht="10.5" customHeight="1">
      <c r="A613" s="1"/>
      <c r="B613" s="688" t="s">
        <v>112</v>
      </c>
      <c r="C613" s="693">
        <v>340583.6</v>
      </c>
      <c r="D613" s="294">
        <v>55503.9</v>
      </c>
      <c r="E613" s="54">
        <f t="shared" si="36"/>
        <v>396087.5</v>
      </c>
      <c r="F613" s="739">
        <v>6.34</v>
      </c>
      <c r="G613" s="740">
        <v>4.16</v>
      </c>
      <c r="H613" s="503"/>
      <c r="I613" s="709"/>
      <c r="J613" s="709"/>
      <c r="K613" s="709"/>
      <c r="L613" s="709"/>
      <c r="M613" s="709"/>
      <c r="N613" s="709"/>
      <c r="O613" s="709"/>
      <c r="P613" s="1"/>
      <c r="Q613" s="1"/>
      <c r="R613" s="1"/>
      <c r="S613" s="1"/>
      <c r="T613" s="1"/>
      <c r="U613" s="1"/>
      <c r="V613" s="1"/>
      <c r="W613" s="1"/>
      <c r="X613" s="1"/>
      <c r="Y613" s="1"/>
      <c r="Z613" s="1"/>
    </row>
    <row r="614" ht="10.5" customHeight="1">
      <c r="A614" s="1"/>
      <c r="B614" s="688" t="s">
        <v>113</v>
      </c>
      <c r="C614" s="693">
        <v>343572.1</v>
      </c>
      <c r="D614" s="294">
        <v>54516.5</v>
      </c>
      <c r="E614" s="54">
        <f t="shared" si="36"/>
        <v>398088.6</v>
      </c>
      <c r="F614" s="739">
        <v>6.83</v>
      </c>
      <c r="G614" s="740">
        <v>4.52</v>
      </c>
      <c r="H614" s="503"/>
      <c r="I614" s="709"/>
      <c r="J614" s="709"/>
      <c r="K614" s="709"/>
      <c r="L614" s="709"/>
      <c r="M614" s="709"/>
      <c r="N614" s="709"/>
      <c r="O614" s="709"/>
      <c r="P614" s="1"/>
      <c r="Q614" s="1"/>
      <c r="R614" s="1"/>
      <c r="S614" s="1"/>
      <c r="T614" s="1"/>
      <c r="U614" s="1"/>
      <c r="V614" s="1"/>
      <c r="W614" s="1"/>
      <c r="X614" s="1"/>
      <c r="Y614" s="1"/>
      <c r="Z614" s="1"/>
    </row>
    <row r="615" ht="10.5" customHeight="1">
      <c r="A615" s="1"/>
      <c r="B615" s="688" t="s">
        <v>114</v>
      </c>
      <c r="C615" s="693">
        <v>521725.2</v>
      </c>
      <c r="D615" s="294">
        <v>80567.2</v>
      </c>
      <c r="E615" s="54">
        <f t="shared" si="36"/>
        <v>602292.4</v>
      </c>
      <c r="F615" s="739">
        <v>11.97</v>
      </c>
      <c r="G615" s="740">
        <v>6.81</v>
      </c>
      <c r="H615" s="503"/>
      <c r="I615" s="709"/>
      <c r="J615" s="709"/>
      <c r="K615" s="709"/>
      <c r="L615" s="709"/>
      <c r="M615" s="709"/>
      <c r="N615" s="709"/>
      <c r="O615" s="709"/>
      <c r="P615" s="1"/>
      <c r="Q615" s="1"/>
      <c r="R615" s="1"/>
      <c r="S615" s="1"/>
      <c r="T615" s="1"/>
      <c r="U615" s="1"/>
      <c r="V615" s="1"/>
      <c r="W615" s="1"/>
      <c r="X615" s="1"/>
      <c r="Y615" s="1"/>
      <c r="Z615" s="1"/>
    </row>
    <row r="616" ht="10.5" customHeight="1">
      <c r="A616" s="1"/>
      <c r="B616" s="688"/>
      <c r="C616" s="693"/>
      <c r="D616" s="693"/>
      <c r="E616" s="250"/>
      <c r="F616" s="739"/>
      <c r="G616" s="740"/>
      <c r="H616" s="503"/>
      <c r="I616" s="709"/>
      <c r="J616" s="709"/>
      <c r="K616" s="709"/>
      <c r="L616" s="709"/>
      <c r="M616" s="709"/>
      <c r="N616" s="709"/>
      <c r="O616" s="709"/>
      <c r="P616" s="1"/>
      <c r="Q616" s="1"/>
      <c r="R616" s="1"/>
      <c r="S616" s="1"/>
      <c r="T616" s="1"/>
      <c r="U616" s="1"/>
      <c r="V616" s="1"/>
      <c r="W616" s="1"/>
      <c r="X616" s="1"/>
      <c r="Y616" s="1"/>
      <c r="Z616" s="1"/>
    </row>
    <row r="617" ht="10.5" customHeight="1">
      <c r="A617" s="1"/>
      <c r="B617" s="688" t="s">
        <v>115</v>
      </c>
      <c r="C617" s="693">
        <v>452139.7</v>
      </c>
      <c r="D617" s="294">
        <v>59496.4</v>
      </c>
      <c r="E617" s="54">
        <f t="shared" ref="E617:E621" si="37">+D617+C617</f>
        <v>511636.1</v>
      </c>
      <c r="F617" s="739">
        <v>10.01</v>
      </c>
      <c r="G617" s="740">
        <v>6.05</v>
      </c>
      <c r="H617" s="503"/>
      <c r="I617" s="709"/>
      <c r="J617" s="709"/>
      <c r="K617" s="709"/>
      <c r="L617" s="709"/>
      <c r="M617" s="709"/>
      <c r="N617" s="709"/>
      <c r="O617" s="709"/>
      <c r="P617" s="1"/>
      <c r="Q617" s="1"/>
      <c r="R617" s="1"/>
      <c r="S617" s="1"/>
      <c r="T617" s="1"/>
      <c r="U617" s="1"/>
      <c r="V617" s="1"/>
      <c r="W617" s="1"/>
      <c r="X617" s="1"/>
      <c r="Y617" s="1"/>
      <c r="Z617" s="1"/>
    </row>
    <row r="618" ht="10.5" customHeight="1">
      <c r="A618" s="1"/>
      <c r="B618" s="688" t="s">
        <v>117</v>
      </c>
      <c r="C618" s="693">
        <v>545368.7</v>
      </c>
      <c r="D618" s="294">
        <v>62813.2</v>
      </c>
      <c r="E618" s="54">
        <f t="shared" si="37"/>
        <v>608181.9</v>
      </c>
      <c r="F618" s="739">
        <v>12.68</v>
      </c>
      <c r="G618" s="740">
        <v>8.03</v>
      </c>
      <c r="H618" s="503"/>
      <c r="I618" s="709"/>
      <c r="J618" s="709"/>
      <c r="K618" s="709"/>
      <c r="L618" s="709"/>
      <c r="M618" s="709"/>
      <c r="N618" s="709"/>
      <c r="O618" s="709"/>
      <c r="P618" s="1"/>
      <c r="Q618" s="1"/>
      <c r="R618" s="1"/>
      <c r="S618" s="1"/>
      <c r="T618" s="1"/>
      <c r="U618" s="1"/>
      <c r="V618" s="1"/>
      <c r="W618" s="1"/>
      <c r="X618" s="1"/>
      <c r="Y618" s="1"/>
      <c r="Z618" s="1"/>
    </row>
    <row r="619" ht="10.5" customHeight="1">
      <c r="A619" s="1"/>
      <c r="B619" s="688" t="s">
        <v>121</v>
      </c>
      <c r="C619" s="693">
        <v>524802.4</v>
      </c>
      <c r="D619" s="294">
        <v>60487.3</v>
      </c>
      <c r="E619" s="54">
        <f t="shared" si="37"/>
        <v>585289.7</v>
      </c>
      <c r="F619" s="739">
        <v>13.19</v>
      </c>
      <c r="G619" s="740">
        <v>7.77</v>
      </c>
      <c r="H619" s="503"/>
      <c r="I619" s="709"/>
      <c r="J619" s="709"/>
      <c r="K619" s="709"/>
      <c r="L619" s="709"/>
      <c r="M619" s="709"/>
      <c r="N619" s="709"/>
      <c r="O619" s="709"/>
      <c r="P619" s="1"/>
      <c r="Q619" s="1"/>
      <c r="R619" s="1"/>
      <c r="S619" s="1"/>
      <c r="T619" s="1"/>
      <c r="U619" s="1"/>
      <c r="V619" s="1"/>
      <c r="W619" s="1"/>
      <c r="X619" s="1"/>
      <c r="Y619" s="1"/>
      <c r="Z619" s="1"/>
    </row>
    <row r="620" ht="10.5" customHeight="1">
      <c r="A620" s="1"/>
      <c r="B620" s="688" t="s">
        <v>122</v>
      </c>
      <c r="C620" s="693">
        <v>411997.2</v>
      </c>
      <c r="D620" s="294">
        <v>45558.6</v>
      </c>
      <c r="E620" s="54">
        <f t="shared" si="37"/>
        <v>457555.8</v>
      </c>
      <c r="F620" s="739">
        <v>10.45</v>
      </c>
      <c r="G620" s="740">
        <v>5.49</v>
      </c>
      <c r="H620" s="503"/>
      <c r="I620" s="709"/>
      <c r="J620" s="709"/>
      <c r="K620" s="709"/>
      <c r="L620" s="709"/>
      <c r="M620" s="709"/>
      <c r="N620" s="709"/>
      <c r="O620" s="709"/>
      <c r="P620" s="1"/>
      <c r="Q620" s="1"/>
      <c r="R620" s="1"/>
      <c r="S620" s="1"/>
      <c r="T620" s="1"/>
      <c r="U620" s="1"/>
      <c r="V620" s="1"/>
      <c r="W620" s="1"/>
      <c r="X620" s="1"/>
      <c r="Y620" s="1"/>
      <c r="Z620" s="1"/>
    </row>
    <row r="621" ht="10.5" customHeight="1">
      <c r="A621" s="1"/>
      <c r="B621" s="688" t="s">
        <v>123</v>
      </c>
      <c r="C621" s="693">
        <v>439955.3</v>
      </c>
      <c r="D621" s="294">
        <v>50803.4</v>
      </c>
      <c r="E621" s="54">
        <f t="shared" si="37"/>
        <v>490758.7</v>
      </c>
      <c r="F621" s="739">
        <v>12.45</v>
      </c>
      <c r="G621" s="740">
        <v>6.52</v>
      </c>
      <c r="H621" s="503"/>
      <c r="I621" s="709"/>
      <c r="J621" s="709"/>
      <c r="K621" s="709"/>
      <c r="L621" s="709"/>
      <c r="M621" s="709"/>
      <c r="N621" s="709"/>
      <c r="O621" s="709"/>
      <c r="P621" s="1"/>
      <c r="Q621" s="1"/>
      <c r="R621" s="1"/>
      <c r="S621" s="1"/>
      <c r="T621" s="1"/>
      <c r="U621" s="1"/>
      <c r="V621" s="1"/>
      <c r="W621" s="1"/>
      <c r="X621" s="1"/>
      <c r="Y621" s="1"/>
      <c r="Z621" s="1"/>
    </row>
    <row r="622" ht="10.5" customHeight="1">
      <c r="A622" s="1"/>
      <c r="B622" s="688"/>
      <c r="C622" s="693"/>
      <c r="D622" s="693"/>
      <c r="E622" s="250"/>
      <c r="F622" s="739"/>
      <c r="G622" s="740"/>
      <c r="H622" s="503"/>
      <c r="I622" s="709"/>
      <c r="J622" s="709"/>
      <c r="K622" s="709"/>
      <c r="L622" s="709"/>
      <c r="M622" s="709"/>
      <c r="N622" s="709"/>
      <c r="O622" s="709"/>
      <c r="P622" s="1"/>
      <c r="Q622" s="1"/>
      <c r="R622" s="1"/>
      <c r="S622" s="1"/>
      <c r="T622" s="1"/>
      <c r="U622" s="1"/>
      <c r="V622" s="1"/>
      <c r="W622" s="1"/>
      <c r="X622" s="1"/>
      <c r="Y622" s="1"/>
      <c r="Z622" s="1"/>
    </row>
    <row r="623" ht="10.5" customHeight="1">
      <c r="A623" s="1"/>
      <c r="B623" s="688" t="s">
        <v>125</v>
      </c>
      <c r="C623" s="693">
        <v>519995.9</v>
      </c>
      <c r="D623" s="294">
        <v>64735.7</v>
      </c>
      <c r="E623" s="54">
        <f t="shared" ref="E623:E627" si="38">+D623+C623</f>
        <v>584731.6</v>
      </c>
      <c r="F623" s="739">
        <v>15.52</v>
      </c>
      <c r="G623" s="740">
        <v>8.32</v>
      </c>
      <c r="H623" s="503"/>
      <c r="I623" s="709"/>
      <c r="J623" s="709"/>
      <c r="K623" s="709"/>
      <c r="L623" s="709"/>
      <c r="M623" s="709"/>
      <c r="N623" s="709"/>
      <c r="O623" s="709"/>
      <c r="P623" s="1"/>
      <c r="Q623" s="1"/>
      <c r="R623" s="1"/>
      <c r="S623" s="1"/>
      <c r="T623" s="1"/>
      <c r="U623" s="1"/>
      <c r="V623" s="1"/>
      <c r="W623" s="1"/>
      <c r="X623" s="1"/>
      <c r="Y623" s="1"/>
      <c r="Z623" s="1"/>
    </row>
    <row r="624" ht="10.5" customHeight="1">
      <c r="A624" s="1"/>
      <c r="B624" s="688" t="s">
        <v>127</v>
      </c>
      <c r="C624" s="693">
        <v>798693.4</v>
      </c>
      <c r="D624" s="294">
        <v>115225.1</v>
      </c>
      <c r="E624" s="54">
        <f t="shared" si="38"/>
        <v>913918.5</v>
      </c>
      <c r="F624" s="739">
        <v>24.05</v>
      </c>
      <c r="G624" s="740">
        <v>14.83</v>
      </c>
      <c r="H624" s="503"/>
      <c r="I624" s="709"/>
      <c r="J624" s="709"/>
      <c r="K624" s="709"/>
      <c r="L624" s="709"/>
      <c r="M624" s="709"/>
      <c r="N624" s="709"/>
      <c r="O624" s="709"/>
      <c r="P624" s="1"/>
      <c r="Q624" s="1"/>
      <c r="R624" s="1"/>
      <c r="S624" s="1"/>
      <c r="T624" s="1"/>
      <c r="U624" s="1"/>
      <c r="V624" s="1"/>
      <c r="W624" s="1"/>
      <c r="X624" s="1"/>
      <c r="Y624" s="1"/>
      <c r="Z624" s="1"/>
    </row>
    <row r="625" ht="10.5" customHeight="1">
      <c r="A625" s="1"/>
      <c r="B625" s="688" t="s">
        <v>128</v>
      </c>
      <c r="C625" s="693">
        <v>1069361.2</v>
      </c>
      <c r="D625" s="294">
        <v>148437.4</v>
      </c>
      <c r="E625" s="54">
        <f t="shared" si="38"/>
        <v>1217798.6</v>
      </c>
      <c r="F625" s="739">
        <v>34.0</v>
      </c>
      <c r="G625" s="740">
        <v>19.25</v>
      </c>
      <c r="H625" s="503"/>
      <c r="I625" s="709"/>
      <c r="J625" s="709"/>
      <c r="K625" s="709"/>
      <c r="L625" s="709"/>
      <c r="M625" s="709"/>
      <c r="N625" s="709"/>
      <c r="O625" s="709"/>
      <c r="P625" s="1"/>
      <c r="Q625" s="1"/>
      <c r="R625" s="1"/>
      <c r="S625" s="1"/>
      <c r="T625" s="1"/>
      <c r="U625" s="1"/>
      <c r="V625" s="1"/>
      <c r="W625" s="1"/>
      <c r="X625" s="1"/>
      <c r="Y625" s="1"/>
      <c r="Z625" s="1"/>
    </row>
    <row r="626" ht="10.5" customHeight="1">
      <c r="A626" s="1"/>
      <c r="B626" s="688" t="s">
        <v>129</v>
      </c>
      <c r="C626" s="693">
        <v>769658.9</v>
      </c>
      <c r="D626" s="294">
        <v>115930.6</v>
      </c>
      <c r="E626" s="54">
        <f t="shared" si="38"/>
        <v>885589.5</v>
      </c>
      <c r="F626" s="739">
        <v>23.49</v>
      </c>
      <c r="G626" s="740">
        <v>13.01</v>
      </c>
      <c r="H626" s="503"/>
      <c r="I626" s="709"/>
      <c r="J626" s="709"/>
      <c r="K626" s="709"/>
      <c r="L626" s="709"/>
      <c r="M626" s="709"/>
      <c r="N626" s="709"/>
      <c r="O626" s="709"/>
      <c r="P626" s="1"/>
      <c r="Q626" s="1"/>
      <c r="R626" s="1"/>
      <c r="S626" s="1"/>
      <c r="T626" s="1"/>
      <c r="U626" s="1"/>
      <c r="V626" s="1"/>
      <c r="W626" s="1"/>
      <c r="X626" s="1"/>
      <c r="Y626" s="1"/>
      <c r="Z626" s="1"/>
    </row>
    <row r="627" ht="10.5" customHeight="1">
      <c r="A627" s="1"/>
      <c r="B627" s="688" t="s">
        <v>130</v>
      </c>
      <c r="C627" s="693">
        <v>646769.4</v>
      </c>
      <c r="D627" s="294">
        <v>90843.0</v>
      </c>
      <c r="E627" s="54">
        <f t="shared" si="38"/>
        <v>737612.4</v>
      </c>
      <c r="F627" s="739">
        <v>19.92</v>
      </c>
      <c r="G627" s="740">
        <v>10.56</v>
      </c>
      <c r="H627" s="503"/>
      <c r="I627" s="709"/>
      <c r="J627" s="709"/>
      <c r="K627" s="709"/>
      <c r="L627" s="709"/>
      <c r="M627" s="709"/>
      <c r="N627" s="709"/>
      <c r="O627" s="709"/>
      <c r="P627" s="1"/>
      <c r="Q627" s="1"/>
      <c r="R627" s="1"/>
      <c r="S627" s="1"/>
      <c r="T627" s="1"/>
      <c r="U627" s="1"/>
      <c r="V627" s="1"/>
      <c r="W627" s="1"/>
      <c r="X627" s="1"/>
      <c r="Y627" s="1"/>
      <c r="Z627" s="1"/>
    </row>
    <row r="628" ht="10.5" customHeight="1">
      <c r="A628" s="1"/>
      <c r="B628" s="688"/>
      <c r="C628" s="693"/>
      <c r="D628" s="294"/>
      <c r="E628" s="54"/>
      <c r="F628" s="739"/>
      <c r="G628" s="740"/>
      <c r="H628" s="503"/>
      <c r="I628" s="709"/>
      <c r="J628" s="709"/>
      <c r="K628" s="709"/>
      <c r="L628" s="709"/>
      <c r="M628" s="709"/>
      <c r="N628" s="709"/>
      <c r="O628" s="709"/>
      <c r="P628" s="1"/>
      <c r="Q628" s="1"/>
      <c r="R628" s="1"/>
      <c r="S628" s="1"/>
      <c r="T628" s="1"/>
      <c r="U628" s="1"/>
      <c r="V628" s="1"/>
      <c r="W628" s="1"/>
      <c r="X628" s="1"/>
      <c r="Y628" s="1"/>
      <c r="Z628" s="1"/>
    </row>
    <row r="629" ht="10.5" customHeight="1">
      <c r="A629" s="1"/>
      <c r="B629" s="688" t="s">
        <v>131</v>
      </c>
      <c r="C629" s="693">
        <v>614924.8</v>
      </c>
      <c r="D629" s="294">
        <v>68560.5</v>
      </c>
      <c r="E629" s="54">
        <f t="shared" ref="E629:E633" si="39">+D629+C629</f>
        <v>683485.3</v>
      </c>
      <c r="F629" s="739">
        <v>19.36</v>
      </c>
      <c r="G629" s="740">
        <v>10.69</v>
      </c>
      <c r="H629" s="503"/>
      <c r="I629" s="709"/>
      <c r="J629" s="709"/>
      <c r="K629" s="709"/>
      <c r="L629" s="709"/>
      <c r="M629" s="709"/>
      <c r="N629" s="709"/>
      <c r="O629" s="709"/>
      <c r="P629" s="1"/>
      <c r="Q629" s="1"/>
      <c r="R629" s="1"/>
      <c r="S629" s="1"/>
      <c r="T629" s="1"/>
      <c r="U629" s="1"/>
      <c r="V629" s="1"/>
      <c r="W629" s="1"/>
      <c r="X629" s="1"/>
      <c r="Y629" s="1"/>
      <c r="Z629" s="1"/>
    </row>
    <row r="630" ht="10.5" customHeight="1">
      <c r="A630" s="1"/>
      <c r="B630" s="688" t="s">
        <v>133</v>
      </c>
      <c r="C630" s="693">
        <v>951667.9</v>
      </c>
      <c r="D630" s="294">
        <v>146474.9</v>
      </c>
      <c r="E630" s="54">
        <f t="shared" si="39"/>
        <v>1098142.8</v>
      </c>
      <c r="F630" s="739">
        <v>29.0</v>
      </c>
      <c r="G630" s="740">
        <v>15.48</v>
      </c>
      <c r="H630" s="503"/>
      <c r="I630" s="709"/>
      <c r="J630" s="709"/>
      <c r="K630" s="709"/>
      <c r="L630" s="709"/>
      <c r="M630" s="709"/>
      <c r="N630" s="709"/>
      <c r="O630" s="709"/>
      <c r="P630" s="1"/>
      <c r="Q630" s="1"/>
      <c r="R630" s="1"/>
      <c r="S630" s="1"/>
      <c r="T630" s="1"/>
      <c r="U630" s="1"/>
      <c r="V630" s="1"/>
      <c r="W630" s="1"/>
      <c r="X630" s="1"/>
      <c r="Y630" s="1"/>
      <c r="Z630" s="1"/>
    </row>
    <row r="631" ht="10.5" customHeight="1">
      <c r="A631" s="1"/>
      <c r="B631" s="743" t="s">
        <v>134</v>
      </c>
      <c r="C631" s="693">
        <v>1212695.3</v>
      </c>
      <c r="D631" s="294">
        <v>326544.1</v>
      </c>
      <c r="E631" s="54">
        <f t="shared" si="39"/>
        <v>1539239.4</v>
      </c>
      <c r="F631" s="739">
        <v>37.31</v>
      </c>
      <c r="G631" s="740">
        <v>22.87</v>
      </c>
      <c r="H631" s="503"/>
      <c r="I631" s="709"/>
      <c r="J631" s="709"/>
      <c r="K631" s="709"/>
      <c r="L631" s="709"/>
      <c r="M631" s="709"/>
      <c r="N631" s="709"/>
      <c r="O631" s="709"/>
      <c r="P631" s="1"/>
      <c r="Q631" s="1"/>
      <c r="R631" s="1"/>
      <c r="S631" s="1"/>
      <c r="T631" s="1"/>
      <c r="U631" s="1"/>
      <c r="V631" s="1"/>
      <c r="W631" s="1"/>
      <c r="X631" s="1"/>
      <c r="Y631" s="1"/>
      <c r="Z631" s="1"/>
    </row>
    <row r="632" ht="10.5" customHeight="1">
      <c r="A632" s="1"/>
      <c r="B632" s="743" t="s">
        <v>135</v>
      </c>
      <c r="C632" s="693">
        <v>931277.7</v>
      </c>
      <c r="D632" s="294">
        <v>218578.9</v>
      </c>
      <c r="E632" s="54">
        <f t="shared" si="39"/>
        <v>1149856.6</v>
      </c>
      <c r="F632" s="739">
        <v>29.56</v>
      </c>
      <c r="G632" s="740">
        <v>15.85</v>
      </c>
      <c r="H632" s="503"/>
      <c r="I632" s="709"/>
      <c r="J632" s="709"/>
      <c r="K632" s="709"/>
      <c r="L632" s="709"/>
      <c r="M632" s="709"/>
      <c r="N632" s="709"/>
      <c r="O632" s="709"/>
      <c r="P632" s="1"/>
      <c r="Q632" s="1"/>
      <c r="R632" s="1"/>
      <c r="S632" s="1"/>
      <c r="T632" s="1"/>
      <c r="U632" s="1"/>
      <c r="V632" s="1"/>
      <c r="W632" s="1"/>
      <c r="X632" s="1"/>
      <c r="Y632" s="1"/>
      <c r="Z632" s="1"/>
    </row>
    <row r="633" ht="10.5" customHeight="1">
      <c r="A633" s="1"/>
      <c r="B633" s="743" t="s">
        <v>138</v>
      </c>
      <c r="C633" s="693">
        <v>1178772.9</v>
      </c>
      <c r="D633" s="294">
        <v>337709.0</v>
      </c>
      <c r="E633" s="54">
        <f t="shared" si="39"/>
        <v>1516481.9</v>
      </c>
      <c r="F633" s="739">
        <v>35.84</v>
      </c>
      <c r="G633" s="740">
        <v>24.64</v>
      </c>
      <c r="H633" s="503"/>
      <c r="I633" s="709"/>
      <c r="J633" s="709"/>
      <c r="K633" s="709"/>
      <c r="L633" s="709"/>
      <c r="M633" s="709"/>
      <c r="N633" s="709"/>
      <c r="O633" s="709"/>
      <c r="P633" s="1"/>
      <c r="Q633" s="1"/>
      <c r="R633" s="1"/>
      <c r="S633" s="1"/>
      <c r="T633" s="1"/>
      <c r="U633" s="1"/>
      <c r="V633" s="1"/>
      <c r="W633" s="1"/>
      <c r="X633" s="1"/>
      <c r="Y633" s="1"/>
      <c r="Z633" s="1"/>
    </row>
    <row r="634" ht="10.5" customHeight="1">
      <c r="A634" s="1"/>
      <c r="B634" s="743"/>
      <c r="C634" s="693"/>
      <c r="D634" s="294"/>
      <c r="E634" s="54"/>
      <c r="F634" s="739"/>
      <c r="G634" s="740"/>
      <c r="H634" s="503"/>
      <c r="I634" s="709"/>
      <c r="J634" s="709"/>
      <c r="K634" s="709"/>
      <c r="L634" s="709"/>
      <c r="M634" s="709"/>
      <c r="N634" s="709"/>
      <c r="O634" s="709"/>
      <c r="P634" s="1"/>
      <c r="Q634" s="1"/>
      <c r="R634" s="1"/>
      <c r="S634" s="1"/>
      <c r="T634" s="1"/>
      <c r="U634" s="1"/>
      <c r="V634" s="1"/>
      <c r="W634" s="1"/>
      <c r="X634" s="1"/>
      <c r="Y634" s="1"/>
      <c r="Z634" s="1"/>
    </row>
    <row r="635" ht="10.5" customHeight="1">
      <c r="A635" s="1"/>
      <c r="B635" s="11" t="s">
        <v>139</v>
      </c>
      <c r="C635" s="693">
        <v>1373248.7</v>
      </c>
      <c r="D635" s="294">
        <v>385398.0</v>
      </c>
      <c r="E635" s="54">
        <f t="shared" ref="E635:E638" si="40">+D635+C635</f>
        <v>1758646.7</v>
      </c>
      <c r="F635" s="739">
        <v>43.58</v>
      </c>
      <c r="G635" s="740">
        <v>28.46</v>
      </c>
      <c r="H635" s="503"/>
      <c r="I635" s="709"/>
      <c r="J635" s="709"/>
      <c r="K635" s="709"/>
      <c r="L635" s="709"/>
      <c r="M635" s="709"/>
      <c r="N635" s="709"/>
      <c r="O635" s="709"/>
      <c r="P635" s="1"/>
      <c r="Q635" s="1"/>
      <c r="R635" s="1"/>
      <c r="S635" s="1"/>
      <c r="T635" s="1"/>
      <c r="U635" s="1"/>
      <c r="V635" s="1"/>
      <c r="W635" s="1"/>
      <c r="X635" s="1"/>
      <c r="Y635" s="1"/>
      <c r="Z635" s="1"/>
    </row>
    <row r="636" ht="10.5" customHeight="1">
      <c r="A636" s="1"/>
      <c r="B636" s="11" t="s">
        <v>143</v>
      </c>
      <c r="C636" s="693">
        <v>1788030.3</v>
      </c>
      <c r="D636" s="294">
        <v>494276.9</v>
      </c>
      <c r="E636" s="54">
        <f t="shared" si="40"/>
        <v>2282307.2</v>
      </c>
      <c r="F636" s="739">
        <v>59.38</v>
      </c>
      <c r="G636" s="739">
        <v>36.55</v>
      </c>
      <c r="H636" s="503"/>
      <c r="I636" s="709"/>
      <c r="J636" s="709"/>
      <c r="K636" s="709"/>
      <c r="L636" s="709"/>
      <c r="M636" s="709"/>
      <c r="N636" s="709"/>
      <c r="O636" s="709"/>
      <c r="P636" s="1"/>
      <c r="Q636" s="1"/>
      <c r="R636" s="1"/>
      <c r="S636" s="1"/>
      <c r="T636" s="1"/>
      <c r="U636" s="1"/>
      <c r="V636" s="1"/>
      <c r="W636" s="1"/>
      <c r="X636" s="1"/>
      <c r="Y636" s="1"/>
      <c r="Z636" s="1"/>
    </row>
    <row r="637" ht="10.5" customHeight="1">
      <c r="A637" s="1"/>
      <c r="B637" s="11" t="s">
        <v>149</v>
      </c>
      <c r="C637" s="693">
        <v>2048430.2</v>
      </c>
      <c r="D637" s="294">
        <v>611551.6</v>
      </c>
      <c r="E637" s="54">
        <f t="shared" si="40"/>
        <v>2659981.8</v>
      </c>
      <c r="F637" s="739">
        <v>61.88</v>
      </c>
      <c r="G637" s="739">
        <v>42.48</v>
      </c>
      <c r="H637" s="503"/>
      <c r="I637" s="709"/>
      <c r="J637" s="709"/>
      <c r="K637" s="709"/>
      <c r="L637" s="709"/>
      <c r="M637" s="709"/>
      <c r="N637" s="709"/>
      <c r="O637" s="709"/>
      <c r="P637" s="1"/>
      <c r="Q637" s="1"/>
      <c r="R637" s="1"/>
      <c r="S637" s="1"/>
      <c r="T637" s="1"/>
      <c r="U637" s="1"/>
      <c r="V637" s="1"/>
      <c r="W637" s="1"/>
      <c r="X637" s="1"/>
      <c r="Y637" s="1"/>
      <c r="Z637" s="1"/>
    </row>
    <row r="638" ht="10.5" customHeight="1">
      <c r="A638" s="1"/>
      <c r="B638" s="11" t="s">
        <v>151</v>
      </c>
      <c r="C638" s="693">
        <v>2266820.0</v>
      </c>
      <c r="D638" s="294">
        <v>703025.0</v>
      </c>
      <c r="E638" s="54">
        <f t="shared" si="40"/>
        <v>2969845</v>
      </c>
      <c r="F638" s="739">
        <v>68.16</v>
      </c>
      <c r="G638" s="739">
        <v>43.63</v>
      </c>
      <c r="H638" s="503"/>
      <c r="I638" s="709"/>
      <c r="J638" s="709"/>
      <c r="K638" s="709"/>
      <c r="L638" s="709"/>
      <c r="M638" s="709"/>
      <c r="N638" s="709"/>
      <c r="O638" s="709"/>
      <c r="P638" s="1"/>
      <c r="Q638" s="1"/>
      <c r="R638" s="1"/>
      <c r="S638" s="1"/>
      <c r="T638" s="1"/>
      <c r="U638" s="1"/>
      <c r="V638" s="1"/>
      <c r="W638" s="1"/>
      <c r="X638" s="1"/>
      <c r="Y638" s="1"/>
      <c r="Z638" s="1"/>
    </row>
    <row r="639" ht="10.5" customHeight="1">
      <c r="A639" s="1"/>
      <c r="B639" s="11" t="s">
        <v>153</v>
      </c>
      <c r="C639" s="693">
        <v>2293887.1</v>
      </c>
      <c r="D639" s="294">
        <v>684906.9</v>
      </c>
      <c r="E639" s="54">
        <v>2978794.0</v>
      </c>
      <c r="F639" s="739">
        <v>68.63</v>
      </c>
      <c r="G639" s="739">
        <v>42.11</v>
      </c>
      <c r="H639" s="503"/>
      <c r="I639" s="709"/>
      <c r="J639" s="709"/>
      <c r="K639" s="709"/>
      <c r="L639" s="709"/>
      <c r="M639" s="709"/>
      <c r="N639" s="709"/>
      <c r="O639" s="709"/>
      <c r="P639" s="1"/>
      <c r="Q639" s="1"/>
      <c r="R639" s="1"/>
      <c r="S639" s="1"/>
      <c r="T639" s="1"/>
      <c r="U639" s="1"/>
      <c r="V639" s="1"/>
      <c r="W639" s="1"/>
      <c r="X639" s="1"/>
      <c r="Y639" s="1"/>
      <c r="Z639" s="1"/>
    </row>
    <row r="640" ht="10.5" customHeight="1">
      <c r="A640" s="1"/>
      <c r="B640" s="11"/>
      <c r="C640" s="693"/>
      <c r="D640" s="294"/>
      <c r="E640" s="54"/>
      <c r="F640" s="739"/>
      <c r="G640" s="739"/>
      <c r="H640" s="503"/>
      <c r="I640" s="709"/>
      <c r="J640" s="709"/>
      <c r="K640" s="709"/>
      <c r="L640" s="709"/>
      <c r="M640" s="709"/>
      <c r="N640" s="709"/>
      <c r="O640" s="709"/>
      <c r="P640" s="1"/>
      <c r="Q640" s="1"/>
      <c r="R640" s="1"/>
      <c r="S640" s="1"/>
      <c r="T640" s="1"/>
      <c r="U640" s="1"/>
      <c r="V640" s="1"/>
      <c r="W640" s="1"/>
      <c r="X640" s="1"/>
      <c r="Y640" s="1"/>
      <c r="Z640" s="1"/>
    </row>
    <row r="641" ht="10.5" customHeight="1">
      <c r="A641" s="1"/>
      <c r="B641" s="11" t="s">
        <v>155</v>
      </c>
      <c r="C641" s="718" t="s">
        <v>1296</v>
      </c>
      <c r="D641" s="719" t="s">
        <v>1297</v>
      </c>
      <c r="E641" s="585" t="s">
        <v>1298</v>
      </c>
      <c r="F641" s="739" t="s">
        <v>1299</v>
      </c>
      <c r="G641" s="739" t="s">
        <v>1300</v>
      </c>
      <c r="H641" s="503"/>
      <c r="I641" s="709"/>
      <c r="J641" s="709"/>
      <c r="K641" s="709"/>
      <c r="L641" s="709"/>
      <c r="M641" s="709"/>
      <c r="N641" s="709"/>
      <c r="O641" s="709"/>
      <c r="P641" s="1"/>
      <c r="Q641" s="1"/>
      <c r="R641" s="1"/>
      <c r="S641" s="1"/>
      <c r="T641" s="1"/>
      <c r="U641" s="1"/>
      <c r="V641" s="1"/>
      <c r="W641" s="1"/>
      <c r="X641" s="1"/>
      <c r="Y641" s="1"/>
      <c r="Z641" s="1"/>
    </row>
    <row r="642" ht="10.5" customHeight="1">
      <c r="A642" s="1"/>
      <c r="B642" s="52" t="s">
        <v>160</v>
      </c>
      <c r="C642" s="694" t="s">
        <v>1301</v>
      </c>
      <c r="D642" s="294" t="s">
        <v>1302</v>
      </c>
      <c r="E642" s="54" t="s">
        <v>1303</v>
      </c>
      <c r="F642" s="745" t="s">
        <v>1304</v>
      </c>
      <c r="G642" s="745" t="s">
        <v>1305</v>
      </c>
      <c r="H642" s="503"/>
      <c r="I642" s="709"/>
      <c r="J642" s="709"/>
      <c r="K642" s="709"/>
      <c r="L642" s="709"/>
      <c r="M642" s="709"/>
      <c r="N642" s="709"/>
      <c r="O642" s="709"/>
      <c r="P642" s="1"/>
      <c r="Q642" s="1"/>
      <c r="R642" s="1"/>
      <c r="S642" s="1"/>
      <c r="T642" s="1"/>
      <c r="U642" s="1"/>
      <c r="V642" s="1"/>
      <c r="W642" s="1"/>
      <c r="X642" s="1"/>
      <c r="Y642" s="1"/>
      <c r="Z642" s="1"/>
    </row>
    <row r="643" ht="14.25" customHeight="1">
      <c r="A643" s="1"/>
      <c r="B643" s="746" t="s">
        <v>959</v>
      </c>
      <c r="C643" s="747" t="s">
        <v>1306</v>
      </c>
      <c r="D643" s="748"/>
      <c r="E643" s="748"/>
      <c r="F643" s="748"/>
      <c r="G643" s="748"/>
      <c r="H643" s="60"/>
      <c r="I643" s="60"/>
      <c r="J643" s="60"/>
      <c r="K643" s="1"/>
      <c r="L643" s="1"/>
      <c r="M643" s="1"/>
      <c r="N643" s="1"/>
      <c r="O643" s="1"/>
      <c r="P643" s="1"/>
      <c r="Q643" s="1"/>
      <c r="R643" s="1"/>
      <c r="S643" s="1"/>
      <c r="T643" s="1"/>
      <c r="U643" s="1"/>
      <c r="V643" s="1"/>
      <c r="W643" s="1"/>
      <c r="X643" s="1"/>
      <c r="Y643" s="1"/>
      <c r="Z643" s="1"/>
    </row>
    <row r="644" ht="10.5" customHeight="1">
      <c r="A644" s="1"/>
      <c r="B644" s="750"/>
      <c r="C644" s="60" t="s">
        <v>1247</v>
      </c>
      <c r="D644" s="323"/>
      <c r="E644" s="323"/>
      <c r="F644" s="323"/>
      <c r="G644" s="323"/>
      <c r="H644" s="60"/>
      <c r="I644" s="60"/>
      <c r="J644" s="60"/>
      <c r="K644" s="1"/>
      <c r="L644" s="1"/>
      <c r="M644" s="1"/>
      <c r="N644" s="1"/>
      <c r="O644" s="1"/>
      <c r="P644" s="1"/>
      <c r="Q644" s="1"/>
      <c r="R644" s="1"/>
      <c r="S644" s="1"/>
      <c r="T644" s="1"/>
      <c r="U644" s="1"/>
      <c r="V644" s="1"/>
      <c r="W644" s="1"/>
      <c r="X644" s="1"/>
      <c r="Y644" s="1"/>
      <c r="Z644" s="1"/>
    </row>
    <row r="645" ht="10.5" customHeight="1">
      <c r="A645" s="1"/>
      <c r="B645" s="60" t="s">
        <v>1307</v>
      </c>
      <c r="C645" s="60"/>
      <c r="D645" s="323"/>
      <c r="E645" s="323"/>
      <c r="F645" s="323"/>
      <c r="G645" s="323"/>
      <c r="H645" s="60"/>
      <c r="I645" s="60"/>
      <c r="J645" s="60"/>
      <c r="K645" s="1"/>
      <c r="L645" s="1"/>
      <c r="M645" s="1"/>
      <c r="N645" s="1"/>
      <c r="O645" s="1"/>
      <c r="P645" s="1"/>
      <c r="Q645" s="1"/>
      <c r="R645" s="1"/>
      <c r="S645" s="1"/>
      <c r="T645" s="1"/>
      <c r="U645" s="1"/>
      <c r="V645" s="1"/>
      <c r="W645" s="1"/>
      <c r="X645" s="1"/>
      <c r="Y645" s="1"/>
      <c r="Z645" s="1"/>
    </row>
    <row r="646" ht="6.0" customHeight="1">
      <c r="A646" s="1"/>
      <c r="B646" s="60"/>
      <c r="C646" s="60"/>
      <c r="D646" s="323"/>
      <c r="E646" s="323"/>
      <c r="F646" s="323"/>
      <c r="G646" s="323"/>
      <c r="H646" s="60"/>
      <c r="I646" s="60"/>
      <c r="J646" s="60"/>
      <c r="K646" s="1"/>
      <c r="L646" s="1"/>
      <c r="M646" s="1"/>
      <c r="N646" s="1"/>
      <c r="O646" s="1"/>
      <c r="P646" s="1"/>
      <c r="Q646" s="1"/>
      <c r="R646" s="1"/>
      <c r="S646" s="1"/>
      <c r="T646" s="1"/>
      <c r="U646" s="1"/>
      <c r="V646" s="1"/>
      <c r="W646" s="1"/>
      <c r="X646" s="1"/>
      <c r="Y646" s="1"/>
      <c r="Z646" s="1"/>
    </row>
    <row r="647" ht="10.5" customHeight="1">
      <c r="A647" s="1"/>
      <c r="B647" s="60" t="s">
        <v>1308</v>
      </c>
      <c r="K647" s="1"/>
      <c r="L647" s="1"/>
      <c r="M647" s="1"/>
      <c r="N647" s="1"/>
      <c r="O647" s="1"/>
      <c r="P647" s="1"/>
      <c r="Q647" s="1"/>
      <c r="R647" s="1"/>
      <c r="S647" s="1"/>
      <c r="T647" s="1"/>
      <c r="U647" s="1"/>
      <c r="V647" s="1"/>
      <c r="W647" s="1"/>
      <c r="X647" s="1"/>
      <c r="Y647" s="1"/>
      <c r="Z647" s="1"/>
    </row>
    <row r="648" ht="10.5" customHeight="1">
      <c r="A648" s="1"/>
      <c r="B648" s="60" t="s">
        <v>1309</v>
      </c>
      <c r="K648" s="1"/>
      <c r="L648" s="1"/>
      <c r="M648" s="1"/>
      <c r="N648" s="1"/>
      <c r="O648" s="1"/>
      <c r="P648" s="1"/>
      <c r="Q648" s="1"/>
      <c r="R648" s="1"/>
      <c r="S648" s="1"/>
      <c r="T648" s="1"/>
      <c r="U648" s="1"/>
      <c r="V648" s="1"/>
      <c r="W648" s="1"/>
      <c r="X648" s="1"/>
      <c r="Y648" s="1"/>
      <c r="Z648" s="1"/>
    </row>
    <row r="649" ht="10.5" customHeight="1">
      <c r="A649" s="1"/>
      <c r="B649" s="1"/>
      <c r="C649" s="755"/>
      <c r="D649" s="755"/>
      <c r="E649" s="755"/>
      <c r="F649" s="755"/>
      <c r="G649" s="755"/>
      <c r="H649" s="755"/>
      <c r="I649" s="1"/>
      <c r="J649" s="1"/>
      <c r="K649" s="1"/>
      <c r="L649" s="1"/>
      <c r="M649" s="1"/>
      <c r="N649" s="1"/>
      <c r="O649" s="1"/>
      <c r="P649" s="1"/>
      <c r="Q649" s="1"/>
      <c r="R649" s="1"/>
      <c r="S649" s="1"/>
      <c r="T649" s="1"/>
      <c r="U649" s="1"/>
      <c r="V649" s="1"/>
      <c r="W649" s="1"/>
      <c r="X649" s="1"/>
      <c r="Y649" s="1"/>
      <c r="Z649" s="1"/>
    </row>
    <row r="650" ht="10.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0.5" customHeight="1">
      <c r="A651" s="1"/>
      <c r="B651" s="1"/>
      <c r="C651" s="757"/>
      <c r="D651" s="757"/>
      <c r="E651" s="1"/>
      <c r="F651" s="1"/>
      <c r="G651" s="1"/>
      <c r="H651" s="1"/>
      <c r="I651" s="1"/>
      <c r="J651" s="1"/>
      <c r="K651" s="1"/>
      <c r="L651" s="1"/>
      <c r="M651" s="1"/>
      <c r="N651" s="1"/>
      <c r="O651" s="1"/>
      <c r="P651" s="1"/>
      <c r="Q651" s="1"/>
      <c r="R651" s="1"/>
      <c r="S651" s="1"/>
      <c r="T651" s="1"/>
      <c r="U651" s="1"/>
      <c r="V651" s="1"/>
      <c r="W651" s="1"/>
      <c r="X651" s="1"/>
      <c r="Y651" s="1"/>
      <c r="Z651" s="1"/>
    </row>
    <row r="652" ht="10.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0.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0.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0.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0.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0.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0.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0.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0.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0.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0.5" customHeight="1">
      <c r="A662" s="1"/>
      <c r="B662" s="1"/>
      <c r="C662" s="1"/>
      <c r="D662" s="1"/>
      <c r="E662" s="1"/>
      <c r="F662" s="1"/>
      <c r="G662" s="110">
        <v>66.0</v>
      </c>
      <c r="H662" s="1"/>
      <c r="I662" s="1"/>
      <c r="J662" s="1"/>
      <c r="K662" s="1"/>
      <c r="L662" s="1"/>
      <c r="M662" s="1"/>
      <c r="N662" s="1"/>
      <c r="O662" s="1"/>
      <c r="P662" s="1"/>
      <c r="Q662" s="1"/>
      <c r="R662" s="1"/>
      <c r="S662" s="1"/>
      <c r="T662" s="1"/>
      <c r="U662" s="1"/>
      <c r="V662" s="1"/>
      <c r="W662" s="1"/>
      <c r="X662" s="1"/>
      <c r="Y662" s="1"/>
      <c r="Z662" s="1"/>
    </row>
    <row r="663" ht="10.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t="s">
        <v>1310</v>
      </c>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29" t="s">
        <v>938</v>
      </c>
      <c r="C665" s="128" t="s">
        <v>1311</v>
      </c>
      <c r="D665" s="9"/>
      <c r="E665" s="9"/>
      <c r="F665" s="10"/>
      <c r="G665" s="128" t="s">
        <v>1312</v>
      </c>
      <c r="H665" s="9"/>
      <c r="I665" s="9"/>
      <c r="J665" s="10"/>
      <c r="K665" s="31" t="s">
        <v>1313</v>
      </c>
      <c r="L665" s="1"/>
      <c r="M665" s="1"/>
      <c r="N665" s="1"/>
      <c r="O665" s="1"/>
      <c r="P665" s="1"/>
      <c r="Q665" s="1"/>
      <c r="R665" s="1"/>
      <c r="S665" s="1"/>
      <c r="T665" s="1"/>
      <c r="U665" s="1"/>
      <c r="V665" s="1"/>
      <c r="W665" s="1"/>
      <c r="X665" s="1"/>
      <c r="Y665" s="1"/>
      <c r="Z665" s="1"/>
    </row>
    <row r="666" ht="11.25" customHeight="1">
      <c r="A666" s="1"/>
      <c r="B666" s="5"/>
      <c r="C666" s="128" t="s">
        <v>1315</v>
      </c>
      <c r="D666" s="9"/>
      <c r="E666" s="193" t="s">
        <v>1317</v>
      </c>
      <c r="F666" s="10"/>
      <c r="G666" s="128" t="s">
        <v>1318</v>
      </c>
      <c r="H666" s="9"/>
      <c r="I666" s="128" t="s">
        <v>8</v>
      </c>
      <c r="J666" s="10"/>
      <c r="K666" s="5"/>
      <c r="L666" s="1"/>
      <c r="M666" s="1"/>
      <c r="N666" s="1"/>
      <c r="O666" s="1"/>
      <c r="P666" s="1"/>
      <c r="Q666" s="1"/>
      <c r="R666" s="1"/>
      <c r="S666" s="1"/>
      <c r="T666" s="1"/>
      <c r="U666" s="1"/>
      <c r="V666" s="1"/>
      <c r="W666" s="1"/>
      <c r="X666" s="1"/>
      <c r="Y666" s="1"/>
      <c r="Z666" s="1"/>
    </row>
    <row r="667" ht="24.75" customHeight="1">
      <c r="A667" s="1"/>
      <c r="B667" s="5"/>
      <c r="C667" s="762" t="s">
        <v>1071</v>
      </c>
      <c r="D667" s="762" t="s">
        <v>1072</v>
      </c>
      <c r="E667" s="762" t="s">
        <v>1071</v>
      </c>
      <c r="F667" s="190" t="s">
        <v>1072</v>
      </c>
      <c r="G667" s="193" t="s">
        <v>1071</v>
      </c>
      <c r="H667" s="190" t="s">
        <v>1072</v>
      </c>
      <c r="I667" s="193" t="s">
        <v>1071</v>
      </c>
      <c r="J667" s="190" t="s">
        <v>1072</v>
      </c>
      <c r="K667" s="6"/>
      <c r="L667" s="1"/>
      <c r="M667" s="1"/>
      <c r="N667" s="1"/>
      <c r="O667" s="1"/>
      <c r="P667" s="1"/>
      <c r="Q667" s="1"/>
      <c r="R667" s="1"/>
      <c r="S667" s="1"/>
      <c r="T667" s="1"/>
      <c r="U667" s="1"/>
      <c r="V667" s="1"/>
      <c r="W667" s="1"/>
      <c r="X667" s="1"/>
      <c r="Y667" s="1"/>
      <c r="Z667" s="1"/>
    </row>
    <row r="668" ht="11.25" customHeight="1">
      <c r="A668" s="1"/>
      <c r="B668" s="6"/>
      <c r="C668" s="8" t="s">
        <v>520</v>
      </c>
      <c r="D668" s="9"/>
      <c r="E668" s="9"/>
      <c r="F668" s="9"/>
      <c r="G668" s="9"/>
      <c r="H668" s="9"/>
      <c r="I668" s="9"/>
      <c r="J668" s="10"/>
      <c r="K668" s="134" t="s">
        <v>705</v>
      </c>
      <c r="L668" s="1"/>
      <c r="M668" s="1"/>
      <c r="N668" s="1"/>
      <c r="O668" s="1"/>
      <c r="P668" s="1"/>
      <c r="Q668" s="1"/>
      <c r="R668" s="1"/>
      <c r="S668" s="1"/>
      <c r="T668" s="1"/>
      <c r="U668" s="1"/>
      <c r="V668" s="1"/>
      <c r="W668" s="1"/>
      <c r="X668" s="1"/>
      <c r="Y668" s="1"/>
      <c r="Z668" s="1"/>
    </row>
    <row r="669" ht="10.5" customHeight="1">
      <c r="A669" s="1"/>
      <c r="B669" s="48" t="s">
        <v>271</v>
      </c>
      <c r="C669" s="278">
        <v>15413.0</v>
      </c>
      <c r="D669" s="278">
        <v>10318.0</v>
      </c>
      <c r="E669" s="169">
        <v>580.0</v>
      </c>
      <c r="F669" s="136">
        <v>738.0</v>
      </c>
      <c r="G669" s="136">
        <v>342.0</v>
      </c>
      <c r="H669" s="136">
        <v>51.0</v>
      </c>
      <c r="I669" s="136">
        <v>1250.0</v>
      </c>
      <c r="J669" s="136">
        <v>178.0</v>
      </c>
      <c r="K669" s="136">
        <v>1675737.0</v>
      </c>
      <c r="L669" s="1"/>
      <c r="M669" s="1"/>
      <c r="N669" s="1"/>
      <c r="O669" s="1"/>
      <c r="P669" s="1"/>
      <c r="Q669" s="1"/>
      <c r="R669" s="1"/>
      <c r="S669" s="1"/>
      <c r="T669" s="1"/>
      <c r="U669" s="1"/>
      <c r="V669" s="1"/>
      <c r="W669" s="1"/>
      <c r="X669" s="1"/>
      <c r="Y669" s="1"/>
      <c r="Z669" s="1"/>
    </row>
    <row r="670" ht="10.5" customHeight="1">
      <c r="A670" s="1"/>
      <c r="B670" s="48" t="s">
        <v>272</v>
      </c>
      <c r="C670" s="278">
        <v>14282.0</v>
      </c>
      <c r="D670" s="278">
        <v>9987.0</v>
      </c>
      <c r="E670" s="169">
        <v>654.0</v>
      </c>
      <c r="F670" s="136">
        <v>740.0</v>
      </c>
      <c r="G670" s="136">
        <v>196.0</v>
      </c>
      <c r="H670" s="136">
        <v>26.0</v>
      </c>
      <c r="I670" s="136">
        <v>1068.0</v>
      </c>
      <c r="J670" s="136">
        <v>133.0</v>
      </c>
      <c r="K670" s="136">
        <v>1866005.0</v>
      </c>
      <c r="L670" s="1"/>
      <c r="M670" s="1"/>
      <c r="N670" s="1"/>
      <c r="O670" s="1"/>
      <c r="P670" s="1"/>
      <c r="Q670" s="1"/>
      <c r="R670" s="1"/>
      <c r="S670" s="1"/>
      <c r="T670" s="1"/>
      <c r="U670" s="1"/>
      <c r="V670" s="1"/>
      <c r="W670" s="1"/>
      <c r="X670" s="1"/>
      <c r="Y670" s="1"/>
      <c r="Z670" s="1"/>
    </row>
    <row r="671" ht="10.5" customHeight="1">
      <c r="A671" s="1"/>
      <c r="B671" s="48" t="s">
        <v>274</v>
      </c>
      <c r="C671" s="278">
        <v>13954.0</v>
      </c>
      <c r="D671" s="278">
        <v>11296.0</v>
      </c>
      <c r="E671" s="169">
        <v>545.0</v>
      </c>
      <c r="F671" s="136">
        <v>811.0</v>
      </c>
      <c r="G671" s="136">
        <v>111.0</v>
      </c>
      <c r="H671" s="136">
        <v>23.0</v>
      </c>
      <c r="I671" s="136">
        <v>963.0</v>
      </c>
      <c r="J671" s="136">
        <v>134.0</v>
      </c>
      <c r="K671" s="136">
        <v>1730630.0</v>
      </c>
      <c r="L671" s="1"/>
      <c r="M671" s="1"/>
      <c r="N671" s="1"/>
      <c r="O671" s="1"/>
      <c r="P671" s="1"/>
      <c r="Q671" s="1"/>
      <c r="R671" s="1"/>
      <c r="S671" s="1"/>
      <c r="T671" s="1"/>
      <c r="U671" s="1"/>
      <c r="V671" s="1"/>
      <c r="W671" s="1"/>
      <c r="X671" s="1"/>
      <c r="Y671" s="1"/>
      <c r="Z671" s="1"/>
    </row>
    <row r="672" ht="10.5" customHeight="1">
      <c r="A672" s="1"/>
      <c r="B672" s="48" t="s">
        <v>275</v>
      </c>
      <c r="C672" s="278">
        <v>12862.0</v>
      </c>
      <c r="D672" s="278">
        <v>12185.0</v>
      </c>
      <c r="E672" s="169">
        <v>626.0</v>
      </c>
      <c r="F672" s="136">
        <v>848.0</v>
      </c>
      <c r="G672" s="136">
        <v>115.0</v>
      </c>
      <c r="H672" s="136">
        <v>27.0</v>
      </c>
      <c r="I672" s="136">
        <v>197.0</v>
      </c>
      <c r="J672" s="136">
        <v>105.0</v>
      </c>
      <c r="K672" s="136">
        <v>1811546.0</v>
      </c>
      <c r="L672" s="1"/>
      <c r="M672" s="1"/>
      <c r="N672" s="1"/>
      <c r="O672" s="1"/>
      <c r="P672" s="1"/>
      <c r="Q672" s="1"/>
      <c r="R672" s="1"/>
      <c r="S672" s="1"/>
      <c r="T672" s="1"/>
      <c r="U672" s="1"/>
      <c r="V672" s="1"/>
      <c r="W672" s="1"/>
      <c r="X672" s="1"/>
      <c r="Y672" s="1"/>
      <c r="Z672" s="1"/>
    </row>
    <row r="673" ht="10.5" customHeight="1">
      <c r="A673" s="1"/>
      <c r="B673" s="48" t="s">
        <v>276</v>
      </c>
      <c r="C673" s="278">
        <v>11961.0</v>
      </c>
      <c r="D673" s="278">
        <v>12036.0</v>
      </c>
      <c r="E673" s="169">
        <v>583.0</v>
      </c>
      <c r="F673" s="136">
        <v>1015.0</v>
      </c>
      <c r="G673" s="136">
        <v>87.0</v>
      </c>
      <c r="H673" s="136">
        <v>6.0</v>
      </c>
      <c r="I673" s="136">
        <v>828.0</v>
      </c>
      <c r="J673" s="136">
        <v>194.0</v>
      </c>
      <c r="K673" s="136">
        <v>1780295.0</v>
      </c>
      <c r="L673" s="1"/>
      <c r="M673" s="1"/>
      <c r="N673" s="1"/>
      <c r="O673" s="1"/>
      <c r="P673" s="1"/>
      <c r="Q673" s="1"/>
      <c r="R673" s="1"/>
      <c r="S673" s="1"/>
      <c r="T673" s="1"/>
      <c r="U673" s="1"/>
      <c r="V673" s="1"/>
      <c r="W673" s="1"/>
      <c r="X673" s="1"/>
      <c r="Y673" s="1"/>
      <c r="Z673" s="1"/>
    </row>
    <row r="674" ht="10.5" customHeight="1">
      <c r="A674" s="1"/>
      <c r="B674" s="48"/>
      <c r="C674" s="278"/>
      <c r="D674" s="278"/>
      <c r="E674" s="169"/>
      <c r="F674" s="136"/>
      <c r="G674" s="136"/>
      <c r="H674" s="136"/>
      <c r="I674" s="136"/>
      <c r="J674" s="136"/>
      <c r="K674" s="136"/>
      <c r="L674" s="1"/>
      <c r="M674" s="1"/>
      <c r="N674" s="1"/>
      <c r="O674" s="1"/>
      <c r="P674" s="1"/>
      <c r="Q674" s="1"/>
      <c r="R674" s="1"/>
      <c r="S674" s="1"/>
      <c r="T674" s="1"/>
      <c r="U674" s="1"/>
      <c r="V674" s="1"/>
      <c r="W674" s="1"/>
      <c r="X674" s="1"/>
      <c r="Y674" s="1"/>
      <c r="Z674" s="1"/>
    </row>
    <row r="675" ht="10.5" customHeight="1">
      <c r="A675" s="1"/>
      <c r="B675" s="48" t="s">
        <v>56</v>
      </c>
      <c r="C675" s="278">
        <v>9299.0</v>
      </c>
      <c r="D675" s="278">
        <v>15311.0</v>
      </c>
      <c r="E675" s="169">
        <v>398.0</v>
      </c>
      <c r="F675" s="136">
        <v>1049.0</v>
      </c>
      <c r="G675" s="136">
        <v>25.0</v>
      </c>
      <c r="H675" s="136">
        <v>37.0</v>
      </c>
      <c r="I675" s="136">
        <v>558.0</v>
      </c>
      <c r="J675" s="136">
        <v>327.0</v>
      </c>
      <c r="K675" s="136">
        <v>1538609.0</v>
      </c>
      <c r="L675" s="1"/>
      <c r="M675" s="1"/>
      <c r="N675" s="1"/>
      <c r="O675" s="1"/>
      <c r="P675" s="1"/>
      <c r="Q675" s="1"/>
      <c r="R675" s="1"/>
      <c r="S675" s="1"/>
      <c r="T675" s="1"/>
      <c r="U675" s="1"/>
      <c r="V675" s="1"/>
      <c r="W675" s="1"/>
      <c r="X675" s="1"/>
      <c r="Y675" s="1"/>
      <c r="Z675" s="1"/>
    </row>
    <row r="676" ht="10.5" customHeight="1">
      <c r="A676" s="1"/>
      <c r="B676" s="48" t="s">
        <v>81</v>
      </c>
      <c r="C676" s="278">
        <v>9692.0</v>
      </c>
      <c r="D676" s="278">
        <v>15207.0</v>
      </c>
      <c r="E676" s="169">
        <v>483.0</v>
      </c>
      <c r="F676" s="136">
        <v>790.0</v>
      </c>
      <c r="G676" s="136">
        <v>128.0</v>
      </c>
      <c r="H676" s="136">
        <v>21.0</v>
      </c>
      <c r="I676" s="136">
        <v>606.0</v>
      </c>
      <c r="J676" s="136">
        <v>360.0</v>
      </c>
      <c r="K676" s="136">
        <v>793015.0</v>
      </c>
      <c r="L676" s="1"/>
      <c r="M676" s="1"/>
      <c r="N676" s="1"/>
      <c r="O676" s="1"/>
      <c r="P676" s="1"/>
      <c r="Q676" s="1"/>
      <c r="R676" s="1"/>
      <c r="S676" s="1"/>
      <c r="T676" s="1"/>
      <c r="U676" s="1"/>
      <c r="V676" s="1"/>
      <c r="W676" s="1"/>
      <c r="X676" s="1"/>
      <c r="Y676" s="1"/>
      <c r="Z676" s="1"/>
    </row>
    <row r="677" ht="10.5" customHeight="1">
      <c r="A677" s="1"/>
      <c r="B677" s="48" t="s">
        <v>86</v>
      </c>
      <c r="C677" s="278">
        <v>11051.0</v>
      </c>
      <c r="D677" s="278">
        <v>18030.0</v>
      </c>
      <c r="E677" s="169">
        <v>519.0</v>
      </c>
      <c r="F677" s="136">
        <v>1548.0</v>
      </c>
      <c r="G677" s="136">
        <v>250.0</v>
      </c>
      <c r="H677" s="136">
        <v>43.0</v>
      </c>
      <c r="I677" s="136">
        <v>519.0</v>
      </c>
      <c r="J677" s="136">
        <v>235.0</v>
      </c>
      <c r="K677" s="136">
        <v>460499.0</v>
      </c>
      <c r="L677" s="1"/>
      <c r="M677" s="1"/>
      <c r="N677" s="1"/>
      <c r="O677" s="1"/>
      <c r="P677" s="1"/>
      <c r="Q677" s="1"/>
      <c r="R677" s="1"/>
      <c r="S677" s="1"/>
      <c r="T677" s="1"/>
      <c r="U677" s="1"/>
      <c r="V677" s="1"/>
      <c r="W677" s="1"/>
      <c r="X677" s="1"/>
      <c r="Y677" s="1"/>
      <c r="Z677" s="1"/>
    </row>
    <row r="678" ht="10.5" customHeight="1">
      <c r="A678" s="1"/>
      <c r="B678" s="48" t="s">
        <v>87</v>
      </c>
      <c r="C678" s="278">
        <v>14249.0</v>
      </c>
      <c r="D678" s="278">
        <v>14691.0</v>
      </c>
      <c r="E678" s="169">
        <v>517.0</v>
      </c>
      <c r="F678" s="136">
        <v>1193.0</v>
      </c>
      <c r="G678" s="136">
        <v>284.0</v>
      </c>
      <c r="H678" s="136">
        <v>29.0</v>
      </c>
      <c r="I678" s="136">
        <v>437.0</v>
      </c>
      <c r="J678" s="136">
        <v>275.0</v>
      </c>
      <c r="K678" s="136">
        <v>456392.0</v>
      </c>
      <c r="L678" s="1"/>
      <c r="M678" s="1"/>
      <c r="N678" s="1"/>
      <c r="O678" s="1"/>
      <c r="P678" s="1"/>
      <c r="Q678" s="1"/>
      <c r="R678" s="1"/>
      <c r="S678" s="1"/>
      <c r="T678" s="1"/>
      <c r="U678" s="1"/>
      <c r="V678" s="1"/>
      <c r="W678" s="1"/>
      <c r="X678" s="1"/>
      <c r="Y678" s="1"/>
      <c r="Z678" s="1"/>
    </row>
    <row r="679" ht="10.5" customHeight="1">
      <c r="A679" s="1"/>
      <c r="B679" s="48" t="s">
        <v>90</v>
      </c>
      <c r="C679" s="278">
        <v>16129.0</v>
      </c>
      <c r="D679" s="278">
        <v>15414.0</v>
      </c>
      <c r="E679" s="169">
        <v>527.0</v>
      </c>
      <c r="F679" s="136">
        <v>1758.0</v>
      </c>
      <c r="G679" s="136">
        <v>297.0</v>
      </c>
      <c r="H679" s="136">
        <v>35.0</v>
      </c>
      <c r="I679" s="136">
        <v>487.0</v>
      </c>
      <c r="J679" s="136">
        <v>269.0</v>
      </c>
      <c r="K679" s="136">
        <v>379889.0</v>
      </c>
      <c r="L679" s="1"/>
      <c r="M679" s="1"/>
      <c r="N679" s="1"/>
      <c r="O679" s="1"/>
      <c r="P679" s="1"/>
      <c r="Q679" s="1"/>
      <c r="R679" s="1"/>
      <c r="S679" s="1"/>
      <c r="T679" s="1"/>
      <c r="U679" s="1"/>
      <c r="V679" s="1"/>
      <c r="W679" s="1"/>
      <c r="X679" s="1"/>
      <c r="Y679" s="1"/>
      <c r="Z679" s="1"/>
    </row>
    <row r="680" ht="10.5" customHeight="1">
      <c r="A680" s="1"/>
      <c r="B680" s="48"/>
      <c r="C680" s="278"/>
      <c r="D680" s="278"/>
      <c r="E680" s="169"/>
      <c r="F680" s="136"/>
      <c r="G680" s="136"/>
      <c r="H680" s="136"/>
      <c r="I680" s="136"/>
      <c r="J680" s="136"/>
      <c r="K680" s="136"/>
      <c r="L680" s="1"/>
      <c r="M680" s="1"/>
      <c r="N680" s="1"/>
      <c r="O680" s="1"/>
      <c r="P680" s="1"/>
      <c r="Q680" s="1"/>
      <c r="R680" s="1"/>
      <c r="S680" s="1"/>
      <c r="T680" s="1"/>
      <c r="U680" s="1"/>
      <c r="V680" s="1"/>
      <c r="W680" s="1"/>
      <c r="X680" s="1"/>
      <c r="Y680" s="1"/>
      <c r="Z680" s="1"/>
    </row>
    <row r="681" ht="10.5" customHeight="1">
      <c r="A681" s="1"/>
      <c r="B681" s="48" t="s">
        <v>93</v>
      </c>
      <c r="C681" s="278">
        <v>13702.0</v>
      </c>
      <c r="D681" s="278">
        <v>13595.0</v>
      </c>
      <c r="E681" s="169">
        <v>556.0</v>
      </c>
      <c r="F681" s="136">
        <v>1896.0</v>
      </c>
      <c r="G681" s="136">
        <v>115.0</v>
      </c>
      <c r="H681" s="136">
        <v>16.0</v>
      </c>
      <c r="I681" s="136">
        <v>565.0</v>
      </c>
      <c r="J681" s="136">
        <v>336.0</v>
      </c>
      <c r="K681" s="136">
        <v>323269.0</v>
      </c>
      <c r="L681" s="1"/>
      <c r="M681" s="1"/>
      <c r="N681" s="1"/>
      <c r="O681" s="1"/>
      <c r="P681" s="1"/>
      <c r="Q681" s="1"/>
      <c r="R681" s="1"/>
      <c r="S681" s="1"/>
      <c r="T681" s="1"/>
      <c r="U681" s="1"/>
      <c r="V681" s="1"/>
      <c r="W681" s="1"/>
      <c r="X681" s="1"/>
      <c r="Y681" s="1"/>
      <c r="Z681" s="1"/>
    </row>
    <row r="682" ht="10.5" customHeight="1">
      <c r="A682" s="1"/>
      <c r="B682" s="48" t="s">
        <v>97</v>
      </c>
      <c r="C682" s="278">
        <v>10996.0</v>
      </c>
      <c r="D682" s="278">
        <v>13445.0</v>
      </c>
      <c r="E682" s="169">
        <v>401.0</v>
      </c>
      <c r="F682" s="136">
        <v>1183.0</v>
      </c>
      <c r="G682" s="136">
        <v>304.0</v>
      </c>
      <c r="H682" s="136">
        <v>25.0</v>
      </c>
      <c r="I682" s="136">
        <v>561.0</v>
      </c>
      <c r="J682" s="136">
        <v>324.0</v>
      </c>
      <c r="K682" s="136">
        <v>175400.0</v>
      </c>
      <c r="L682" s="1"/>
      <c r="M682" s="1"/>
      <c r="N682" s="1"/>
      <c r="O682" s="1"/>
      <c r="P682" s="1"/>
      <c r="Q682" s="1"/>
      <c r="R682" s="1"/>
      <c r="S682" s="1"/>
      <c r="T682" s="1"/>
      <c r="U682" s="1"/>
      <c r="V682" s="1"/>
      <c r="W682" s="1"/>
      <c r="X682" s="1"/>
      <c r="Y682" s="1"/>
      <c r="Z682" s="1"/>
    </row>
    <row r="683" ht="10.5" customHeight="1">
      <c r="A683" s="1"/>
      <c r="B683" s="48" t="s">
        <v>101</v>
      </c>
      <c r="C683" s="278">
        <v>10585.0</v>
      </c>
      <c r="D683" s="278">
        <v>13230.0</v>
      </c>
      <c r="E683" s="169">
        <v>464.0</v>
      </c>
      <c r="F683" s="136">
        <v>1709.0</v>
      </c>
      <c r="G683" s="136">
        <v>561.0</v>
      </c>
      <c r="H683" s="136">
        <v>62.0</v>
      </c>
      <c r="I683" s="136">
        <v>632.0</v>
      </c>
      <c r="J683" s="136">
        <v>307.0</v>
      </c>
      <c r="K683" s="136">
        <v>163009.0</v>
      </c>
      <c r="L683" s="1"/>
      <c r="M683" s="1"/>
      <c r="N683" s="1"/>
      <c r="O683" s="1"/>
      <c r="P683" s="1"/>
      <c r="Q683" s="1"/>
      <c r="R683" s="1"/>
      <c r="S683" s="1"/>
      <c r="T683" s="1"/>
      <c r="U683" s="1"/>
      <c r="V683" s="1"/>
      <c r="W683" s="1"/>
      <c r="X683" s="1"/>
      <c r="Y683" s="1"/>
      <c r="Z683" s="1"/>
    </row>
    <row r="684" ht="10.5" customHeight="1">
      <c r="A684" s="1"/>
      <c r="B684" s="48" t="s">
        <v>103</v>
      </c>
      <c r="C684" s="278">
        <v>10983.0</v>
      </c>
      <c r="D684" s="278">
        <v>12091.0</v>
      </c>
      <c r="E684" s="169">
        <v>472.0</v>
      </c>
      <c r="F684" s="136">
        <v>1751.0</v>
      </c>
      <c r="G684" s="136">
        <v>1128.0</v>
      </c>
      <c r="H684" s="136">
        <v>57.0</v>
      </c>
      <c r="I684" s="136">
        <v>554.0</v>
      </c>
      <c r="J684" s="136">
        <v>145.0</v>
      </c>
      <c r="K684" s="136">
        <v>160997.0</v>
      </c>
      <c r="L684" s="1"/>
      <c r="M684" s="1"/>
      <c r="N684" s="1"/>
      <c r="O684" s="1"/>
      <c r="P684" s="1"/>
      <c r="Q684" s="1"/>
      <c r="R684" s="1"/>
      <c r="S684" s="1"/>
      <c r="T684" s="1"/>
      <c r="U684" s="1"/>
      <c r="V684" s="1"/>
      <c r="W684" s="1"/>
      <c r="X684" s="1"/>
      <c r="Y684" s="1"/>
      <c r="Z684" s="1"/>
    </row>
    <row r="685" ht="10.5" customHeight="1">
      <c r="A685" s="1"/>
      <c r="B685" s="48" t="s">
        <v>104</v>
      </c>
      <c r="C685" s="278">
        <v>10156.0</v>
      </c>
      <c r="D685" s="278">
        <v>11634.0</v>
      </c>
      <c r="E685" s="169">
        <v>388.0</v>
      </c>
      <c r="F685" s="136">
        <v>2249.0</v>
      </c>
      <c r="G685" s="136">
        <v>1105.0</v>
      </c>
      <c r="H685" s="136">
        <v>52.0</v>
      </c>
      <c r="I685" s="136">
        <v>477.0</v>
      </c>
      <c r="J685" s="136">
        <v>283.0</v>
      </c>
      <c r="K685" s="136">
        <v>127478.0</v>
      </c>
      <c r="L685" s="1"/>
      <c r="M685" s="1"/>
      <c r="N685" s="1"/>
      <c r="O685" s="1"/>
      <c r="P685" s="1"/>
      <c r="Q685" s="1"/>
      <c r="R685" s="1"/>
      <c r="S685" s="1"/>
      <c r="T685" s="1"/>
      <c r="U685" s="1"/>
      <c r="V685" s="1"/>
      <c r="W685" s="1"/>
      <c r="X685" s="1"/>
      <c r="Y685" s="1"/>
      <c r="Z685" s="1"/>
    </row>
    <row r="686" ht="10.5" customHeight="1">
      <c r="A686" s="1"/>
      <c r="B686" s="48"/>
      <c r="C686" s="278"/>
      <c r="D686" s="278"/>
      <c r="E686" s="169"/>
      <c r="F686" s="136"/>
      <c r="G686" s="136"/>
      <c r="H686" s="136"/>
      <c r="I686" s="136"/>
      <c r="J686" s="136"/>
      <c r="K686" s="136"/>
      <c r="L686" s="1"/>
      <c r="M686" s="1"/>
      <c r="N686" s="1"/>
      <c r="O686" s="1"/>
      <c r="P686" s="1"/>
      <c r="Q686" s="1"/>
      <c r="R686" s="1"/>
      <c r="S686" s="1"/>
      <c r="T686" s="1"/>
      <c r="U686" s="1"/>
      <c r="V686" s="1"/>
      <c r="W686" s="1"/>
      <c r="X686" s="1"/>
      <c r="Y686" s="1"/>
      <c r="Z686" s="1"/>
    </row>
    <row r="687" ht="10.5" customHeight="1">
      <c r="A687" s="1"/>
      <c r="B687" s="48" t="s">
        <v>108</v>
      </c>
      <c r="C687" s="278">
        <v>10787.0</v>
      </c>
      <c r="D687" s="278">
        <v>12950.0</v>
      </c>
      <c r="E687" s="169">
        <v>496.0</v>
      </c>
      <c r="F687" s="136">
        <v>2264.0</v>
      </c>
      <c r="G687" s="136">
        <v>517.0</v>
      </c>
      <c r="H687" s="136">
        <v>45.0</v>
      </c>
      <c r="I687" s="136">
        <v>320.0</v>
      </c>
      <c r="J687" s="136">
        <v>71.0</v>
      </c>
      <c r="K687" s="136">
        <v>48715.0</v>
      </c>
      <c r="L687" s="1"/>
      <c r="M687" s="1"/>
      <c r="N687" s="1"/>
      <c r="O687" s="1"/>
      <c r="P687" s="1"/>
      <c r="Q687" s="1"/>
      <c r="R687" s="1"/>
      <c r="S687" s="1"/>
      <c r="T687" s="1"/>
      <c r="U687" s="1"/>
      <c r="V687" s="1"/>
      <c r="W687" s="1"/>
      <c r="X687" s="1"/>
      <c r="Y687" s="1"/>
      <c r="Z687" s="1"/>
    </row>
    <row r="688" ht="10.5" customHeight="1">
      <c r="A688" s="1"/>
      <c r="B688" s="48" t="s">
        <v>111</v>
      </c>
      <c r="C688" s="278">
        <v>13810.0</v>
      </c>
      <c r="D688" s="278">
        <v>14545.0</v>
      </c>
      <c r="E688" s="169">
        <v>532.0</v>
      </c>
      <c r="F688" s="136">
        <v>1942.0</v>
      </c>
      <c r="G688" s="136">
        <v>741.0</v>
      </c>
      <c r="H688" s="136">
        <v>115.0</v>
      </c>
      <c r="I688" s="136">
        <v>409.0</v>
      </c>
      <c r="J688" s="136">
        <v>59.0</v>
      </c>
      <c r="K688" s="136">
        <v>56205.0</v>
      </c>
      <c r="L688" s="1"/>
      <c r="M688" s="1"/>
      <c r="N688" s="1"/>
      <c r="O688" s="1"/>
      <c r="P688" s="1"/>
      <c r="Q688" s="1"/>
      <c r="R688" s="1"/>
      <c r="S688" s="1"/>
      <c r="T688" s="1"/>
      <c r="U688" s="1"/>
      <c r="V688" s="1"/>
      <c r="W688" s="1"/>
      <c r="X688" s="1"/>
      <c r="Y688" s="1"/>
      <c r="Z688" s="1"/>
    </row>
    <row r="689" ht="10.5" customHeight="1">
      <c r="A689" s="1"/>
      <c r="B689" s="48" t="s">
        <v>112</v>
      </c>
      <c r="C689" s="278">
        <v>8862.0</v>
      </c>
      <c r="D689" s="278">
        <v>14880.0</v>
      </c>
      <c r="E689" s="169">
        <v>407.0</v>
      </c>
      <c r="F689" s="136">
        <v>2242.0</v>
      </c>
      <c r="G689" s="136">
        <v>385.0</v>
      </c>
      <c r="H689" s="136">
        <v>52.0</v>
      </c>
      <c r="I689" s="136">
        <v>311.0</v>
      </c>
      <c r="J689" s="136">
        <v>112.0</v>
      </c>
      <c r="K689" s="136">
        <v>49859.0</v>
      </c>
      <c r="L689" s="1"/>
      <c r="M689" s="1"/>
      <c r="N689" s="1"/>
      <c r="O689" s="1"/>
      <c r="P689" s="1"/>
      <c r="Q689" s="1"/>
      <c r="R689" s="1"/>
      <c r="S689" s="1"/>
      <c r="T689" s="1"/>
      <c r="U689" s="1"/>
      <c r="V689" s="1"/>
      <c r="W689" s="1"/>
      <c r="X689" s="1"/>
      <c r="Y689" s="1"/>
      <c r="Z689" s="1"/>
    </row>
    <row r="690" ht="10.5" customHeight="1">
      <c r="A690" s="1"/>
      <c r="B690" s="48" t="s">
        <v>113</v>
      </c>
      <c r="C690" s="278">
        <v>10230.0</v>
      </c>
      <c r="D690" s="278">
        <v>11613.0</v>
      </c>
      <c r="E690" s="169">
        <v>299.0</v>
      </c>
      <c r="F690" s="136">
        <v>2678.0</v>
      </c>
      <c r="G690" s="136">
        <v>542.0</v>
      </c>
      <c r="H690" s="136">
        <v>27.0</v>
      </c>
      <c r="I690" s="136">
        <v>257.0</v>
      </c>
      <c r="J690" s="136">
        <v>166.0</v>
      </c>
      <c r="K690" s="136">
        <v>22721.0</v>
      </c>
      <c r="L690" s="1"/>
      <c r="M690" s="1"/>
      <c r="N690" s="1"/>
      <c r="O690" s="1"/>
      <c r="P690" s="1"/>
      <c r="Q690" s="1"/>
      <c r="R690" s="1"/>
      <c r="S690" s="1"/>
      <c r="T690" s="1"/>
      <c r="U690" s="1"/>
      <c r="V690" s="1"/>
      <c r="W690" s="1"/>
      <c r="X690" s="1"/>
      <c r="Y690" s="1"/>
      <c r="Z690" s="1"/>
    </row>
    <row r="691" ht="10.5" customHeight="1">
      <c r="A691" s="286"/>
      <c r="B691" s="48" t="s">
        <v>114</v>
      </c>
      <c r="C691" s="278">
        <v>7085.0</v>
      </c>
      <c r="D691" s="278">
        <v>7024.0</v>
      </c>
      <c r="E691" s="169">
        <v>138.0</v>
      </c>
      <c r="F691" s="136">
        <v>3994.0</v>
      </c>
      <c r="G691" s="136">
        <v>214.0</v>
      </c>
      <c r="H691" s="136">
        <v>19.0</v>
      </c>
      <c r="I691" s="136">
        <v>385.0</v>
      </c>
      <c r="J691" s="136">
        <v>92.0</v>
      </c>
      <c r="K691" s="136">
        <v>20557.0</v>
      </c>
      <c r="L691" s="1"/>
      <c r="M691" s="1"/>
      <c r="N691" s="1"/>
      <c r="O691" s="1"/>
      <c r="P691" s="1"/>
      <c r="Q691" s="1"/>
      <c r="R691" s="1"/>
      <c r="S691" s="1"/>
      <c r="T691" s="1"/>
      <c r="U691" s="1"/>
      <c r="V691" s="1"/>
      <c r="W691" s="1"/>
      <c r="X691" s="1"/>
      <c r="Y691" s="1"/>
      <c r="Z691" s="1"/>
    </row>
    <row r="692" ht="10.5" customHeight="1">
      <c r="A692" s="87"/>
      <c r="B692" s="48"/>
      <c r="C692" s="278"/>
      <c r="D692" s="278"/>
      <c r="E692" s="169"/>
      <c r="F692" s="136"/>
      <c r="G692" s="136"/>
      <c r="H692" s="136"/>
      <c r="I692" s="136"/>
      <c r="J692" s="136"/>
      <c r="K692" s="136"/>
      <c r="L692" s="1"/>
      <c r="M692" s="1"/>
      <c r="N692" s="1"/>
      <c r="O692" s="1"/>
      <c r="P692" s="1"/>
      <c r="Q692" s="1"/>
      <c r="R692" s="1"/>
      <c r="S692" s="1"/>
      <c r="T692" s="1"/>
      <c r="U692" s="1"/>
      <c r="V692" s="1"/>
      <c r="W692" s="1"/>
      <c r="X692" s="1"/>
      <c r="Y692" s="1"/>
      <c r="Z692" s="1"/>
    </row>
    <row r="693" ht="10.5" customHeight="1">
      <c r="A693" s="1"/>
      <c r="B693" s="48" t="s">
        <v>115</v>
      </c>
      <c r="C693" s="278">
        <v>7469.0</v>
      </c>
      <c r="D693" s="278">
        <v>10795.0</v>
      </c>
      <c r="E693" s="169">
        <v>192.0</v>
      </c>
      <c r="F693" s="136">
        <v>2911.0</v>
      </c>
      <c r="G693" s="136">
        <v>235.0</v>
      </c>
      <c r="H693" s="136" t="s">
        <v>40</v>
      </c>
      <c r="I693" s="136">
        <v>339.0</v>
      </c>
      <c r="J693" s="136">
        <v>42.0</v>
      </c>
      <c r="K693" s="136">
        <v>17698.0</v>
      </c>
      <c r="L693" s="1"/>
      <c r="M693" s="1"/>
      <c r="N693" s="1"/>
      <c r="O693" s="1"/>
      <c r="P693" s="1"/>
      <c r="Q693" s="1"/>
      <c r="R693" s="1"/>
      <c r="S693" s="1"/>
      <c r="T693" s="1"/>
      <c r="U693" s="1"/>
      <c r="V693" s="1"/>
      <c r="W693" s="1"/>
      <c r="X693" s="1"/>
      <c r="Y693" s="1"/>
      <c r="Z693" s="1"/>
    </row>
    <row r="694" ht="10.5" customHeight="1">
      <c r="A694" s="1"/>
      <c r="B694" s="48" t="s">
        <v>117</v>
      </c>
      <c r="C694" s="278">
        <v>10151.0</v>
      </c>
      <c r="D694" s="278">
        <v>3999.0</v>
      </c>
      <c r="E694" s="169">
        <v>189.0</v>
      </c>
      <c r="F694" s="136">
        <v>1535.0</v>
      </c>
      <c r="G694" s="136">
        <v>220.0</v>
      </c>
      <c r="H694" s="136" t="s">
        <v>40</v>
      </c>
      <c r="I694" s="136">
        <v>353.0</v>
      </c>
      <c r="J694" s="136" t="s">
        <v>40</v>
      </c>
      <c r="K694" s="136">
        <v>18516.0</v>
      </c>
      <c r="L694" s="1"/>
      <c r="M694" s="1"/>
      <c r="N694" s="1"/>
      <c r="O694" s="1"/>
      <c r="P694" s="1"/>
      <c r="Q694" s="1"/>
      <c r="R694" s="1"/>
      <c r="S694" s="1"/>
      <c r="T694" s="1"/>
      <c r="U694" s="1"/>
      <c r="V694" s="1"/>
      <c r="W694" s="1"/>
      <c r="X694" s="1"/>
      <c r="Y694" s="1"/>
      <c r="Z694" s="1"/>
    </row>
    <row r="695" ht="10.5" customHeight="1">
      <c r="A695" s="1"/>
      <c r="B695" s="48" t="s">
        <v>121</v>
      </c>
      <c r="C695" s="278" t="s">
        <v>10</v>
      </c>
      <c r="D695" s="278" t="s">
        <v>10</v>
      </c>
      <c r="E695" s="169" t="s">
        <v>10</v>
      </c>
      <c r="F695" s="136" t="s">
        <v>10</v>
      </c>
      <c r="G695" s="136" t="s">
        <v>10</v>
      </c>
      <c r="H695" s="136" t="s">
        <v>10</v>
      </c>
      <c r="I695" s="136" t="s">
        <v>10</v>
      </c>
      <c r="J695" s="136" t="s">
        <v>10</v>
      </c>
      <c r="K695" s="136">
        <v>12858.0</v>
      </c>
      <c r="L695" s="1"/>
      <c r="M695" s="1"/>
      <c r="N695" s="1"/>
      <c r="O695" s="1"/>
      <c r="P695" s="1"/>
      <c r="Q695" s="1"/>
      <c r="R695" s="1"/>
      <c r="S695" s="1"/>
      <c r="T695" s="1"/>
      <c r="U695" s="1"/>
      <c r="V695" s="1"/>
      <c r="W695" s="1"/>
      <c r="X695" s="1"/>
      <c r="Y695" s="1"/>
      <c r="Z695" s="1"/>
    </row>
    <row r="696" ht="10.5" customHeight="1">
      <c r="A696" s="1"/>
      <c r="B696" s="48" t="s">
        <v>122</v>
      </c>
      <c r="C696" s="278" t="s">
        <v>10</v>
      </c>
      <c r="D696" s="278" t="s">
        <v>10</v>
      </c>
      <c r="E696" s="169" t="s">
        <v>10</v>
      </c>
      <c r="F696" s="136" t="s">
        <v>10</v>
      </c>
      <c r="G696" s="136" t="s">
        <v>10</v>
      </c>
      <c r="H696" s="136" t="s">
        <v>10</v>
      </c>
      <c r="I696" s="136" t="s">
        <v>10</v>
      </c>
      <c r="J696" s="136" t="s">
        <v>10</v>
      </c>
      <c r="K696" s="136">
        <v>15283.0</v>
      </c>
      <c r="L696" s="1"/>
      <c r="M696" s="1"/>
      <c r="N696" s="1"/>
      <c r="O696" s="1"/>
      <c r="P696" s="1"/>
      <c r="Q696" s="1"/>
      <c r="R696" s="1"/>
      <c r="S696" s="1"/>
      <c r="T696" s="1"/>
      <c r="U696" s="1"/>
      <c r="V696" s="1"/>
      <c r="W696" s="1"/>
      <c r="X696" s="1"/>
      <c r="Y696" s="1"/>
      <c r="Z696" s="1"/>
    </row>
    <row r="697" ht="10.5" customHeight="1">
      <c r="A697" s="1"/>
      <c r="B697" s="48" t="s">
        <v>123</v>
      </c>
      <c r="C697" s="278" t="s">
        <v>10</v>
      </c>
      <c r="D697" s="278" t="s">
        <v>10</v>
      </c>
      <c r="E697" s="169" t="s">
        <v>10</v>
      </c>
      <c r="F697" s="136" t="s">
        <v>10</v>
      </c>
      <c r="G697" s="136" t="s">
        <v>10</v>
      </c>
      <c r="H697" s="136" t="s">
        <v>10</v>
      </c>
      <c r="I697" s="136" t="s">
        <v>10</v>
      </c>
      <c r="J697" s="136" t="s">
        <v>10</v>
      </c>
      <c r="K697" s="136">
        <v>19260.0</v>
      </c>
      <c r="L697" s="1"/>
      <c r="M697" s="1"/>
      <c r="N697" s="1"/>
      <c r="O697" s="1"/>
      <c r="P697" s="1"/>
      <c r="Q697" s="1"/>
      <c r="R697" s="1"/>
      <c r="S697" s="1"/>
      <c r="T697" s="1"/>
      <c r="U697" s="1"/>
      <c r="V697" s="1"/>
      <c r="W697" s="1"/>
      <c r="X697" s="1"/>
      <c r="Y697" s="1"/>
      <c r="Z697" s="1"/>
    </row>
    <row r="698" ht="10.5" customHeight="1">
      <c r="A698" s="1"/>
      <c r="B698" s="48"/>
      <c r="C698" s="278"/>
      <c r="D698" s="278"/>
      <c r="E698" s="169"/>
      <c r="F698" s="136"/>
      <c r="G698" s="136"/>
      <c r="H698" s="136"/>
      <c r="I698" s="136"/>
      <c r="J698" s="136"/>
      <c r="K698" s="136"/>
      <c r="L698" s="1"/>
      <c r="M698" s="1"/>
      <c r="N698" s="1"/>
      <c r="O698" s="1"/>
      <c r="P698" s="1"/>
      <c r="Q698" s="1"/>
      <c r="R698" s="1"/>
      <c r="S698" s="1"/>
      <c r="T698" s="1"/>
      <c r="U698" s="1"/>
      <c r="V698" s="1"/>
      <c r="W698" s="1"/>
      <c r="X698" s="1"/>
      <c r="Y698" s="1"/>
      <c r="Z698" s="1"/>
    </row>
    <row r="699" ht="10.5" customHeight="1">
      <c r="A699" s="1"/>
      <c r="B699" s="48" t="s">
        <v>125</v>
      </c>
      <c r="C699" s="769">
        <v>14405.0</v>
      </c>
      <c r="D699" s="278" t="s">
        <v>10</v>
      </c>
      <c r="E699" s="169" t="s">
        <v>10</v>
      </c>
      <c r="F699" s="136" t="s">
        <v>10</v>
      </c>
      <c r="G699" s="136" t="s">
        <v>10</v>
      </c>
      <c r="H699" s="136" t="s">
        <v>10</v>
      </c>
      <c r="I699" s="136" t="s">
        <v>10</v>
      </c>
      <c r="J699" s="136" t="s">
        <v>10</v>
      </c>
      <c r="K699" s="136">
        <v>14878.0</v>
      </c>
      <c r="L699" s="1"/>
      <c r="M699" s="1"/>
      <c r="N699" s="1"/>
      <c r="O699" s="1"/>
      <c r="P699" s="1"/>
      <c r="Q699" s="1"/>
      <c r="R699" s="1"/>
      <c r="S699" s="1"/>
      <c r="T699" s="1"/>
      <c r="U699" s="1"/>
      <c r="V699" s="1"/>
      <c r="W699" s="1"/>
      <c r="X699" s="1"/>
      <c r="Y699" s="1"/>
      <c r="Z699" s="1"/>
    </row>
    <row r="700" ht="10.5" customHeight="1">
      <c r="A700" s="1"/>
      <c r="B700" s="48" t="s">
        <v>127</v>
      </c>
      <c r="C700" s="769">
        <v>15932.0</v>
      </c>
      <c r="D700" s="278" t="s">
        <v>10</v>
      </c>
      <c r="E700" s="278" t="s">
        <v>10</v>
      </c>
      <c r="F700" s="169" t="s">
        <v>10</v>
      </c>
      <c r="G700" s="169" t="s">
        <v>10</v>
      </c>
      <c r="H700" s="169" t="s">
        <v>10</v>
      </c>
      <c r="I700" s="169" t="s">
        <v>10</v>
      </c>
      <c r="J700" s="169" t="s">
        <v>10</v>
      </c>
      <c r="K700" s="169">
        <v>18042.0</v>
      </c>
      <c r="L700" s="1"/>
      <c r="M700" s="1"/>
      <c r="N700" s="1"/>
      <c r="O700" s="1"/>
      <c r="P700" s="1"/>
      <c r="Q700" s="1"/>
      <c r="R700" s="1"/>
      <c r="S700" s="1"/>
      <c r="T700" s="1"/>
      <c r="U700" s="1"/>
      <c r="V700" s="1"/>
      <c r="W700" s="1"/>
      <c r="X700" s="1"/>
      <c r="Y700" s="1"/>
      <c r="Z700" s="1"/>
    </row>
    <row r="701" ht="10.5" customHeight="1">
      <c r="A701" s="1"/>
      <c r="B701" s="225" t="s">
        <v>128</v>
      </c>
      <c r="C701" s="769">
        <v>14348.0</v>
      </c>
      <c r="D701" s="278" t="s">
        <v>10</v>
      </c>
      <c r="E701" s="278" t="s">
        <v>10</v>
      </c>
      <c r="F701" s="169" t="s">
        <v>10</v>
      </c>
      <c r="G701" s="169" t="s">
        <v>10</v>
      </c>
      <c r="H701" s="169" t="s">
        <v>10</v>
      </c>
      <c r="I701" s="169" t="s">
        <v>10</v>
      </c>
      <c r="J701" s="169" t="s">
        <v>10</v>
      </c>
      <c r="K701" s="169">
        <v>20173.0</v>
      </c>
      <c r="L701" s="1"/>
      <c r="M701" s="1"/>
      <c r="N701" s="1"/>
      <c r="O701" s="1"/>
      <c r="P701" s="1"/>
      <c r="Q701" s="1"/>
      <c r="R701" s="1"/>
      <c r="S701" s="1"/>
      <c r="T701" s="1"/>
      <c r="U701" s="1"/>
      <c r="V701" s="1"/>
      <c r="W701" s="1"/>
      <c r="X701" s="1"/>
      <c r="Y701" s="1"/>
      <c r="Z701" s="1"/>
    </row>
    <row r="702" ht="10.5" customHeight="1">
      <c r="A702" s="1"/>
      <c r="B702" s="225" t="s">
        <v>129</v>
      </c>
      <c r="C702" s="769">
        <v>17534.0</v>
      </c>
      <c r="D702" s="278" t="s">
        <v>10</v>
      </c>
      <c r="E702" s="278" t="s">
        <v>10</v>
      </c>
      <c r="F702" s="169" t="s">
        <v>10</v>
      </c>
      <c r="G702" s="169" t="s">
        <v>10</v>
      </c>
      <c r="H702" s="169" t="s">
        <v>10</v>
      </c>
      <c r="I702" s="169" t="s">
        <v>10</v>
      </c>
      <c r="J702" s="169" t="s">
        <v>10</v>
      </c>
      <c r="K702" s="169">
        <v>20985.0</v>
      </c>
      <c r="L702" s="1"/>
      <c r="M702" s="1"/>
      <c r="N702" s="1"/>
      <c r="O702" s="1"/>
      <c r="P702" s="1"/>
      <c r="Q702" s="1"/>
      <c r="R702" s="1"/>
      <c r="S702" s="1"/>
      <c r="T702" s="1"/>
      <c r="U702" s="1"/>
      <c r="V702" s="1"/>
      <c r="W702" s="1"/>
      <c r="X702" s="1"/>
      <c r="Y702" s="1"/>
      <c r="Z702" s="1"/>
    </row>
    <row r="703" ht="10.5" customHeight="1">
      <c r="A703" s="1"/>
      <c r="B703" s="225" t="s">
        <v>130</v>
      </c>
      <c r="C703" s="771">
        <v>18398.0</v>
      </c>
      <c r="D703" s="133" t="s">
        <v>10</v>
      </c>
      <c r="E703" s="133" t="s">
        <v>10</v>
      </c>
      <c r="F703" s="169" t="s">
        <v>10</v>
      </c>
      <c r="G703" s="169" t="s">
        <v>10</v>
      </c>
      <c r="H703" s="169" t="s">
        <v>10</v>
      </c>
      <c r="I703" s="169" t="s">
        <v>10</v>
      </c>
      <c r="J703" s="169" t="s">
        <v>10</v>
      </c>
      <c r="K703" s="169">
        <v>27514.0</v>
      </c>
      <c r="L703" s="1"/>
      <c r="M703" s="1"/>
      <c r="N703" s="1"/>
      <c r="O703" s="1"/>
      <c r="P703" s="1"/>
      <c r="Q703" s="1"/>
      <c r="R703" s="1"/>
      <c r="S703" s="1"/>
      <c r="T703" s="1"/>
      <c r="U703" s="1"/>
      <c r="V703" s="1"/>
      <c r="W703" s="1"/>
      <c r="X703" s="1"/>
      <c r="Y703" s="1"/>
      <c r="Z703" s="1"/>
    </row>
    <row r="704" ht="10.5" customHeight="1">
      <c r="A704" s="1"/>
      <c r="B704" s="225"/>
      <c r="C704" s="771"/>
      <c r="D704" s="133"/>
      <c r="E704" s="133"/>
      <c r="F704" s="169"/>
      <c r="G704" s="169"/>
      <c r="H704" s="169"/>
      <c r="I704" s="169"/>
      <c r="J704" s="169"/>
      <c r="K704" s="169"/>
      <c r="L704" s="1"/>
      <c r="M704" s="1"/>
      <c r="N704" s="1"/>
      <c r="O704" s="1"/>
      <c r="P704" s="1"/>
      <c r="Q704" s="1"/>
      <c r="R704" s="1"/>
      <c r="S704" s="1"/>
      <c r="T704" s="1"/>
      <c r="U704" s="1"/>
      <c r="V704" s="1"/>
      <c r="W704" s="1"/>
      <c r="X704" s="1"/>
      <c r="Y704" s="1"/>
      <c r="Z704" s="1"/>
    </row>
    <row r="705" ht="10.5" customHeight="1">
      <c r="A705" s="1"/>
      <c r="B705" s="225" t="s">
        <v>131</v>
      </c>
      <c r="C705" s="773">
        <v>18990.0</v>
      </c>
      <c r="D705" s="133" t="s">
        <v>10</v>
      </c>
      <c r="E705" s="133" t="s">
        <v>10</v>
      </c>
      <c r="F705" s="169" t="s">
        <v>10</v>
      </c>
      <c r="G705" s="169" t="s">
        <v>10</v>
      </c>
      <c r="H705" s="169" t="s">
        <v>10</v>
      </c>
      <c r="I705" s="169" t="s">
        <v>10</v>
      </c>
      <c r="J705" s="169" t="s">
        <v>10</v>
      </c>
      <c r="K705" s="178">
        <v>13611.0</v>
      </c>
      <c r="L705" s="1"/>
      <c r="M705" s="1"/>
      <c r="N705" s="1"/>
      <c r="O705" s="1"/>
      <c r="P705" s="1"/>
      <c r="Q705" s="1"/>
      <c r="R705" s="1"/>
      <c r="S705" s="1"/>
      <c r="T705" s="1"/>
      <c r="U705" s="1"/>
      <c r="V705" s="1"/>
      <c r="W705" s="1"/>
      <c r="X705" s="1"/>
      <c r="Y705" s="1"/>
      <c r="Z705" s="1"/>
    </row>
    <row r="706" ht="10.5" customHeight="1">
      <c r="A706" s="1"/>
      <c r="B706" s="225" t="s">
        <v>133</v>
      </c>
      <c r="C706" s="773">
        <v>18539.0</v>
      </c>
      <c r="D706" s="133" t="s">
        <v>10</v>
      </c>
      <c r="E706" s="133" t="s">
        <v>10</v>
      </c>
      <c r="F706" s="169" t="s">
        <v>10</v>
      </c>
      <c r="G706" s="169" t="s">
        <v>10</v>
      </c>
      <c r="H706" s="169" t="s">
        <v>10</v>
      </c>
      <c r="I706" s="169" t="s">
        <v>10</v>
      </c>
      <c r="J706" s="169" t="s">
        <v>10</v>
      </c>
      <c r="K706" s="178">
        <v>16901.0</v>
      </c>
      <c r="L706" s="1"/>
      <c r="M706" s="1"/>
      <c r="N706" s="1"/>
      <c r="O706" s="1"/>
      <c r="P706" s="1"/>
      <c r="Q706" s="1"/>
      <c r="R706" s="1"/>
      <c r="S706" s="1"/>
      <c r="T706" s="1"/>
      <c r="U706" s="1"/>
      <c r="V706" s="1"/>
      <c r="W706" s="1"/>
      <c r="X706" s="1"/>
      <c r="Y706" s="1"/>
      <c r="Z706" s="1"/>
    </row>
    <row r="707" ht="10.5" customHeight="1">
      <c r="A707" s="1"/>
      <c r="B707" s="225" t="s">
        <v>134</v>
      </c>
      <c r="C707" s="773">
        <v>17949.0</v>
      </c>
      <c r="D707" s="133" t="s">
        <v>10</v>
      </c>
      <c r="E707" s="133" t="s">
        <v>10</v>
      </c>
      <c r="F707" s="169" t="s">
        <v>10</v>
      </c>
      <c r="G707" s="169" t="s">
        <v>10</v>
      </c>
      <c r="H707" s="169" t="s">
        <v>10</v>
      </c>
      <c r="I707" s="169" t="s">
        <v>10</v>
      </c>
      <c r="J707" s="169" t="s">
        <v>10</v>
      </c>
      <c r="K707" s="178">
        <v>20761.0</v>
      </c>
      <c r="L707" s="1"/>
      <c r="M707" s="1"/>
      <c r="N707" s="1"/>
      <c r="O707" s="1"/>
      <c r="P707" s="1"/>
      <c r="Q707" s="1"/>
      <c r="R707" s="1"/>
      <c r="S707" s="1"/>
      <c r="T707" s="1"/>
      <c r="U707" s="1"/>
      <c r="V707" s="1"/>
      <c r="W707" s="1"/>
      <c r="X707" s="1"/>
      <c r="Y707" s="1"/>
      <c r="Z707" s="1"/>
    </row>
    <row r="708" ht="10.5" customHeight="1">
      <c r="A708" s="1"/>
      <c r="B708" s="293">
        <v>39692.0</v>
      </c>
      <c r="C708" s="773">
        <v>19542.0</v>
      </c>
      <c r="D708" s="133" t="s">
        <v>10</v>
      </c>
      <c r="E708" s="133" t="s">
        <v>10</v>
      </c>
      <c r="F708" s="169" t="s">
        <v>10</v>
      </c>
      <c r="G708" s="169" t="s">
        <v>10</v>
      </c>
      <c r="H708" s="169" t="s">
        <v>10</v>
      </c>
      <c r="I708" s="169" t="s">
        <v>10</v>
      </c>
      <c r="J708" s="169" t="s">
        <v>10</v>
      </c>
      <c r="K708" s="178">
        <v>21430.0</v>
      </c>
      <c r="L708" s="1"/>
      <c r="M708" s="1"/>
      <c r="N708" s="1"/>
      <c r="O708" s="1"/>
      <c r="P708" s="1"/>
      <c r="Q708" s="1"/>
      <c r="R708" s="1"/>
      <c r="S708" s="1"/>
      <c r="T708" s="1"/>
      <c r="U708" s="1"/>
      <c r="V708" s="1"/>
      <c r="W708" s="1"/>
      <c r="X708" s="1"/>
      <c r="Y708" s="1"/>
      <c r="Z708" s="1"/>
    </row>
    <row r="709" ht="10.5" customHeight="1">
      <c r="A709" s="1"/>
      <c r="B709" s="293">
        <v>40087.0</v>
      </c>
      <c r="C709" s="773">
        <v>19500.0</v>
      </c>
      <c r="D709" s="133" t="s">
        <v>10</v>
      </c>
      <c r="E709" s="133" t="s">
        <v>10</v>
      </c>
      <c r="F709" s="169" t="s">
        <v>10</v>
      </c>
      <c r="G709" s="169" t="s">
        <v>10</v>
      </c>
      <c r="H709" s="169" t="s">
        <v>10</v>
      </c>
      <c r="I709" s="169" t="s">
        <v>10</v>
      </c>
      <c r="J709" s="169" t="s">
        <v>10</v>
      </c>
      <c r="K709" s="178">
        <v>21857.0</v>
      </c>
      <c r="L709" s="1"/>
      <c r="M709" s="1"/>
      <c r="N709" s="1"/>
      <c r="O709" s="1"/>
      <c r="P709" s="1"/>
      <c r="Q709" s="1"/>
      <c r="R709" s="1"/>
      <c r="S709" s="1"/>
      <c r="T709" s="1"/>
      <c r="U709" s="1"/>
      <c r="V709" s="1"/>
      <c r="W709" s="1"/>
      <c r="X709" s="1"/>
      <c r="Y709" s="1"/>
      <c r="Z709" s="1"/>
    </row>
    <row r="710" ht="10.5" customHeight="1">
      <c r="A710" s="1"/>
      <c r="B710" s="293"/>
      <c r="C710" s="178"/>
      <c r="D710" s="178"/>
      <c r="E710" s="178"/>
      <c r="F710" s="169"/>
      <c r="G710" s="169"/>
      <c r="H710" s="169"/>
      <c r="I710" s="169"/>
      <c r="J710" s="169"/>
      <c r="K710" s="178"/>
      <c r="L710" s="1"/>
      <c r="M710" s="1"/>
      <c r="N710" s="1"/>
      <c r="O710" s="1"/>
      <c r="P710" s="1"/>
      <c r="Q710" s="1"/>
      <c r="R710" s="1"/>
      <c r="S710" s="1"/>
      <c r="T710" s="1"/>
      <c r="U710" s="1"/>
      <c r="V710" s="1"/>
      <c r="W710" s="1"/>
      <c r="X710" s="1"/>
      <c r="Y710" s="1"/>
      <c r="Z710" s="1"/>
    </row>
    <row r="711" ht="10.5" customHeight="1">
      <c r="A711" s="1"/>
      <c r="B711" s="11" t="s">
        <v>139</v>
      </c>
      <c r="C711" s="133">
        <v>19195.0</v>
      </c>
      <c r="D711" s="178" t="s">
        <v>10</v>
      </c>
      <c r="E711" s="178" t="s">
        <v>10</v>
      </c>
      <c r="F711" s="169" t="s">
        <v>10</v>
      </c>
      <c r="G711" s="169" t="s">
        <v>10</v>
      </c>
      <c r="H711" s="169" t="s">
        <v>10</v>
      </c>
      <c r="I711" s="169" t="s">
        <v>10</v>
      </c>
      <c r="J711" s="169" t="s">
        <v>10</v>
      </c>
      <c r="K711" s="178">
        <v>19646.0</v>
      </c>
      <c r="L711" s="1"/>
      <c r="M711" s="1"/>
      <c r="N711" s="1"/>
      <c r="O711" s="1"/>
      <c r="P711" s="1"/>
      <c r="Q711" s="1"/>
      <c r="R711" s="1"/>
      <c r="S711" s="1"/>
      <c r="T711" s="1"/>
      <c r="U711" s="1"/>
      <c r="V711" s="1"/>
      <c r="W711" s="1"/>
      <c r="X711" s="1"/>
      <c r="Y711" s="1"/>
      <c r="Z711" s="1"/>
    </row>
    <row r="712" ht="10.5" customHeight="1">
      <c r="A712" s="1"/>
      <c r="B712" s="11" t="s">
        <v>143</v>
      </c>
      <c r="C712" s="178">
        <v>16564.0</v>
      </c>
      <c r="D712" s="133" t="s">
        <v>10</v>
      </c>
      <c r="E712" s="133" t="s">
        <v>10</v>
      </c>
      <c r="F712" s="169" t="s">
        <v>10</v>
      </c>
      <c r="G712" s="169" t="s">
        <v>10</v>
      </c>
      <c r="H712" s="169" t="s">
        <v>10</v>
      </c>
      <c r="I712" s="169" t="s">
        <v>10</v>
      </c>
      <c r="J712" s="169" t="s">
        <v>10</v>
      </c>
      <c r="K712" s="178">
        <v>14579.0</v>
      </c>
      <c r="L712" s="1"/>
      <c r="M712" s="1"/>
      <c r="N712" s="1"/>
      <c r="O712" s="1"/>
      <c r="P712" s="1"/>
      <c r="Q712" s="1"/>
      <c r="R712" s="1"/>
      <c r="S712" s="1"/>
      <c r="T712" s="1"/>
      <c r="U712" s="1"/>
      <c r="V712" s="1"/>
      <c r="W712" s="1"/>
      <c r="X712" s="1"/>
      <c r="Y712" s="1"/>
      <c r="Z712" s="1"/>
    </row>
    <row r="713" ht="10.5" customHeight="1">
      <c r="A713" s="1"/>
      <c r="B713" s="11" t="s">
        <v>149</v>
      </c>
      <c r="C713" s="133">
        <v>18634.0</v>
      </c>
      <c r="D713" s="133" t="s">
        <v>10</v>
      </c>
      <c r="E713" s="133" t="s">
        <v>10</v>
      </c>
      <c r="F713" s="169" t="s">
        <v>10</v>
      </c>
      <c r="G713" s="169" t="s">
        <v>10</v>
      </c>
      <c r="H713" s="169" t="s">
        <v>10</v>
      </c>
      <c r="I713" s="169" t="s">
        <v>10</v>
      </c>
      <c r="J713" s="169" t="s">
        <v>10</v>
      </c>
      <c r="K713" s="178">
        <v>18105.0</v>
      </c>
      <c r="L713" s="1"/>
      <c r="M713" s="1"/>
      <c r="N713" s="1"/>
      <c r="O713" s="1"/>
      <c r="P713" s="1"/>
      <c r="Q713" s="1"/>
      <c r="R713" s="1"/>
      <c r="S713" s="1"/>
      <c r="T713" s="1"/>
      <c r="U713" s="1"/>
      <c r="V713" s="1"/>
      <c r="W713" s="1"/>
      <c r="X713" s="1"/>
      <c r="Y713" s="1"/>
      <c r="Z713" s="1"/>
    </row>
    <row r="714" ht="10.5" customHeight="1">
      <c r="A714" s="1"/>
      <c r="B714" s="11" t="s">
        <v>151</v>
      </c>
      <c r="C714" s="133">
        <v>20849.0</v>
      </c>
      <c r="D714" s="133" t="s">
        <v>10</v>
      </c>
      <c r="E714" s="133" t="s">
        <v>10</v>
      </c>
      <c r="F714" s="169" t="s">
        <v>10</v>
      </c>
      <c r="G714" s="169" t="s">
        <v>10</v>
      </c>
      <c r="H714" s="169" t="s">
        <v>10</v>
      </c>
      <c r="I714" s="169" t="s">
        <v>10</v>
      </c>
      <c r="J714" s="169" t="s">
        <v>10</v>
      </c>
      <c r="K714" s="178">
        <v>17103.0</v>
      </c>
      <c r="L714" s="1"/>
      <c r="M714" s="1"/>
      <c r="N714" s="1"/>
      <c r="O714" s="1"/>
      <c r="P714" s="1"/>
      <c r="Q714" s="1"/>
      <c r="R714" s="1"/>
      <c r="S714" s="1"/>
      <c r="T714" s="1"/>
      <c r="U714" s="1"/>
      <c r="V714" s="1"/>
      <c r="W714" s="1"/>
      <c r="X714" s="1"/>
      <c r="Y714" s="1"/>
      <c r="Z714" s="1"/>
    </row>
    <row r="715" ht="10.5" customHeight="1">
      <c r="A715" s="1"/>
      <c r="B715" s="11" t="s">
        <v>153</v>
      </c>
      <c r="C715" s="133">
        <v>19258.0</v>
      </c>
      <c r="D715" s="133" t="s">
        <v>10</v>
      </c>
      <c r="E715" s="133" t="s">
        <v>10</v>
      </c>
      <c r="F715" s="169" t="s">
        <v>10</v>
      </c>
      <c r="G715" s="169" t="s">
        <v>10</v>
      </c>
      <c r="H715" s="169" t="s">
        <v>10</v>
      </c>
      <c r="I715" s="169" t="s">
        <v>10</v>
      </c>
      <c r="J715" s="169" t="s">
        <v>10</v>
      </c>
      <c r="K715" s="178">
        <v>16771.0</v>
      </c>
      <c r="L715" s="1"/>
      <c r="M715" s="1"/>
      <c r="N715" s="1"/>
      <c r="O715" s="1"/>
      <c r="P715" s="1"/>
      <c r="Q715" s="1"/>
      <c r="R715" s="1"/>
      <c r="S715" s="1"/>
      <c r="T715" s="1"/>
      <c r="U715" s="1"/>
      <c r="V715" s="1"/>
      <c r="W715" s="1"/>
      <c r="X715" s="1"/>
      <c r="Y715" s="1"/>
      <c r="Z715" s="1"/>
    </row>
    <row r="716" ht="10.5" customHeight="1">
      <c r="A716" s="1"/>
      <c r="B716" s="11"/>
      <c r="C716" s="133"/>
      <c r="D716" s="133"/>
      <c r="E716" s="133"/>
      <c r="F716" s="169"/>
      <c r="G716" s="169"/>
      <c r="H716" s="169"/>
      <c r="I716" s="169"/>
      <c r="J716" s="169"/>
      <c r="K716" s="178"/>
      <c r="L716" s="1"/>
      <c r="M716" s="1"/>
      <c r="N716" s="1"/>
      <c r="O716" s="1"/>
      <c r="P716" s="1"/>
      <c r="Q716" s="1"/>
      <c r="R716" s="1"/>
      <c r="S716" s="1"/>
      <c r="T716" s="1"/>
      <c r="U716" s="1"/>
      <c r="V716" s="1"/>
      <c r="W716" s="1"/>
      <c r="X716" s="1"/>
      <c r="Y716" s="1"/>
      <c r="Z716" s="1"/>
    </row>
    <row r="717" ht="10.5" customHeight="1">
      <c r="A717" s="1"/>
      <c r="B717" s="52" t="s">
        <v>155</v>
      </c>
      <c r="C717" s="143">
        <v>18974.0</v>
      </c>
      <c r="D717" s="143" t="s">
        <v>10</v>
      </c>
      <c r="E717" s="143" t="s">
        <v>10</v>
      </c>
      <c r="F717" s="260" t="s">
        <v>10</v>
      </c>
      <c r="G717" s="260" t="s">
        <v>10</v>
      </c>
      <c r="H717" s="260" t="s">
        <v>10</v>
      </c>
      <c r="I717" s="260" t="s">
        <v>10</v>
      </c>
      <c r="J717" s="260" t="s">
        <v>10</v>
      </c>
      <c r="K717" s="184">
        <v>19373.0</v>
      </c>
      <c r="L717" s="1"/>
      <c r="M717" s="1"/>
      <c r="N717" s="1"/>
      <c r="O717" s="1"/>
      <c r="P717" s="1"/>
      <c r="Q717" s="1"/>
      <c r="R717" s="1"/>
      <c r="S717" s="1"/>
      <c r="T717" s="1"/>
      <c r="U717" s="1"/>
      <c r="V717" s="1"/>
      <c r="W717" s="1"/>
      <c r="X717" s="1"/>
      <c r="Y717" s="1"/>
      <c r="Z717" s="1"/>
    </row>
    <row r="718" ht="6.0" customHeight="1">
      <c r="A718" s="1"/>
      <c r="B718" s="242"/>
      <c r="C718" s="179"/>
      <c r="D718" s="179"/>
      <c r="E718" s="179"/>
      <c r="F718" s="267"/>
      <c r="G718" s="267"/>
      <c r="H718" s="267"/>
      <c r="I718" s="267"/>
      <c r="J718" s="267"/>
      <c r="K718" s="179"/>
      <c r="L718" s="1"/>
      <c r="M718" s="1"/>
      <c r="N718" s="1"/>
      <c r="O718" s="1"/>
      <c r="P718" s="1"/>
      <c r="Q718" s="1"/>
      <c r="R718" s="1"/>
      <c r="S718" s="1"/>
      <c r="T718" s="1"/>
      <c r="U718" s="1"/>
      <c r="V718" s="1"/>
      <c r="W718" s="1"/>
      <c r="X718" s="1"/>
      <c r="Y718" s="1"/>
      <c r="Z718" s="1"/>
    </row>
    <row r="719" ht="9.75" customHeight="1">
      <c r="A719" s="1"/>
      <c r="B719" s="185" t="s">
        <v>1338</v>
      </c>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0.5" customHeight="1">
      <c r="A720" s="1"/>
      <c r="B720" s="185" t="s">
        <v>1339</v>
      </c>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0.5" customHeight="1">
      <c r="A721" s="1"/>
      <c r="B721" s="1"/>
      <c r="C721" s="113"/>
      <c r="D721" s="113"/>
      <c r="E721" s="113"/>
      <c r="F721" s="113"/>
      <c r="G721" s="113"/>
      <c r="H721" s="113"/>
      <c r="I721" s="113"/>
      <c r="J721" s="113"/>
      <c r="K721" s="113"/>
      <c r="L721" s="113"/>
      <c r="M721" s="113"/>
      <c r="N721" s="113"/>
      <c r="O721" s="113"/>
      <c r="P721" s="1"/>
      <c r="Q721" s="1"/>
      <c r="R721" s="1"/>
      <c r="S721" s="1"/>
      <c r="T721" s="1"/>
      <c r="U721" s="1"/>
      <c r="V721" s="1"/>
      <c r="W721" s="1"/>
      <c r="X721" s="1"/>
      <c r="Y721" s="1"/>
      <c r="Z721" s="1"/>
    </row>
    <row r="722" ht="10.5" customHeight="1">
      <c r="A722" s="1"/>
      <c r="B722" s="1"/>
      <c r="C722" s="113"/>
      <c r="D722" s="113"/>
      <c r="E722" s="113"/>
      <c r="F722" s="113"/>
      <c r="G722" s="113"/>
      <c r="H722" s="113"/>
      <c r="I722" s="113"/>
      <c r="J722" s="113"/>
      <c r="K722" s="113"/>
      <c r="L722" s="113"/>
      <c r="M722" s="113"/>
      <c r="N722" s="113"/>
      <c r="O722" s="113"/>
      <c r="P722" s="1"/>
      <c r="Q722" s="1"/>
      <c r="R722" s="1"/>
      <c r="S722" s="1"/>
      <c r="T722" s="1"/>
      <c r="U722" s="1"/>
      <c r="V722" s="1"/>
      <c r="W722" s="1"/>
      <c r="X722" s="1"/>
      <c r="Y722" s="1"/>
      <c r="Z722" s="1"/>
    </row>
    <row r="723" ht="10.5" customHeight="1">
      <c r="A723" s="1"/>
      <c r="B723" s="1"/>
      <c r="C723" s="113"/>
      <c r="D723" s="113"/>
      <c r="E723" s="113"/>
      <c r="F723" s="113"/>
      <c r="G723" s="113"/>
      <c r="H723" s="113"/>
      <c r="I723" s="113"/>
      <c r="J723" s="113"/>
      <c r="K723" s="113"/>
      <c r="L723" s="113"/>
      <c r="M723" s="113"/>
      <c r="N723" s="113"/>
      <c r="O723" s="113"/>
      <c r="P723" s="1"/>
      <c r="Q723" s="1"/>
      <c r="R723" s="1"/>
      <c r="S723" s="1"/>
      <c r="T723" s="1"/>
      <c r="U723" s="1"/>
      <c r="V723" s="1"/>
      <c r="W723" s="1"/>
      <c r="X723" s="1"/>
      <c r="Y723" s="1"/>
      <c r="Z723" s="1"/>
    </row>
    <row r="724" ht="10.5" customHeight="1">
      <c r="A724" s="1"/>
      <c r="B724" s="1"/>
      <c r="C724" s="113"/>
      <c r="D724" s="113"/>
      <c r="E724" s="113"/>
      <c r="F724" s="113"/>
      <c r="G724" s="113"/>
      <c r="H724" s="113"/>
      <c r="I724" s="113"/>
      <c r="J724" s="113"/>
      <c r="K724" s="113"/>
      <c r="L724" s="113"/>
      <c r="M724" s="113"/>
      <c r="N724" s="113"/>
      <c r="O724" s="113"/>
      <c r="P724" s="1"/>
      <c r="Q724" s="1"/>
      <c r="R724" s="1"/>
      <c r="S724" s="1"/>
      <c r="T724" s="1"/>
      <c r="U724" s="1"/>
      <c r="V724" s="1"/>
      <c r="W724" s="1"/>
      <c r="X724" s="1"/>
      <c r="Y724" s="1"/>
      <c r="Z724" s="1"/>
    </row>
    <row r="725" ht="10.5" customHeight="1">
      <c r="A725" s="1"/>
      <c r="B725" s="1"/>
      <c r="C725" s="113"/>
      <c r="D725" s="113"/>
      <c r="E725" s="113"/>
      <c r="F725" s="113"/>
      <c r="G725" s="113"/>
      <c r="H725" s="113"/>
      <c r="I725" s="113"/>
      <c r="J725" s="113"/>
      <c r="K725" s="113"/>
      <c r="L725" s="113"/>
      <c r="M725" s="113"/>
      <c r="N725" s="113"/>
      <c r="O725" s="113"/>
      <c r="P725" s="1"/>
      <c r="Q725" s="1"/>
      <c r="R725" s="1"/>
      <c r="S725" s="1"/>
      <c r="T725" s="1"/>
      <c r="U725" s="1"/>
      <c r="V725" s="1"/>
      <c r="W725" s="1"/>
      <c r="X725" s="1"/>
      <c r="Y725" s="1"/>
      <c r="Z725" s="1"/>
    </row>
    <row r="726" ht="10.5" customHeight="1">
      <c r="A726" s="1"/>
      <c r="B726" s="1"/>
      <c r="C726" s="113"/>
      <c r="D726" s="113"/>
      <c r="E726" s="113"/>
      <c r="F726" s="113"/>
      <c r="G726" s="113"/>
      <c r="H726" s="113"/>
      <c r="I726" s="113"/>
      <c r="J726" s="113"/>
      <c r="K726" s="113"/>
      <c r="L726" s="113"/>
      <c r="M726" s="113"/>
      <c r="N726" s="113"/>
      <c r="O726" s="113"/>
      <c r="P726" s="1"/>
      <c r="Q726" s="1"/>
      <c r="R726" s="1"/>
      <c r="S726" s="1"/>
      <c r="T726" s="1"/>
      <c r="U726" s="1"/>
      <c r="V726" s="1"/>
      <c r="W726" s="1"/>
      <c r="X726" s="1"/>
      <c r="Y726" s="1"/>
      <c r="Z726" s="1"/>
    </row>
    <row r="727" ht="10.5" customHeight="1">
      <c r="A727" s="1"/>
      <c r="B727" s="1"/>
      <c r="C727" s="113"/>
      <c r="D727" s="113"/>
      <c r="E727" s="113"/>
      <c r="F727" s="113"/>
      <c r="G727" s="113"/>
      <c r="H727" s="113"/>
      <c r="I727" s="113"/>
      <c r="J727" s="113"/>
      <c r="K727" s="113"/>
      <c r="L727" s="113"/>
      <c r="M727" s="113"/>
      <c r="N727" s="113"/>
      <c r="O727" s="113"/>
      <c r="P727" s="1"/>
      <c r="Q727" s="1"/>
      <c r="R727" s="1"/>
      <c r="S727" s="1"/>
      <c r="T727" s="1"/>
      <c r="U727" s="1"/>
      <c r="V727" s="1"/>
      <c r="W727" s="1"/>
      <c r="X727" s="1"/>
      <c r="Y727" s="1"/>
      <c r="Z727" s="1"/>
    </row>
    <row r="728" ht="10.5" customHeight="1">
      <c r="A728" s="1"/>
      <c r="B728" s="1"/>
      <c r="C728" s="113"/>
      <c r="D728" s="113"/>
      <c r="E728" s="113"/>
      <c r="F728" s="113"/>
      <c r="G728" s="113"/>
      <c r="H728" s="113"/>
      <c r="I728" s="113"/>
      <c r="J728" s="113"/>
      <c r="K728" s="113"/>
      <c r="L728" s="113"/>
      <c r="M728" s="113"/>
      <c r="N728" s="113"/>
      <c r="O728" s="113"/>
      <c r="P728" s="1"/>
      <c r="Q728" s="1"/>
      <c r="R728" s="1"/>
      <c r="S728" s="1"/>
      <c r="T728" s="1"/>
      <c r="U728" s="1"/>
      <c r="V728" s="1"/>
      <c r="W728" s="1"/>
      <c r="X728" s="1"/>
      <c r="Y728" s="1"/>
      <c r="Z728" s="1"/>
    </row>
    <row r="729" ht="10.5" customHeight="1">
      <c r="A729" s="1"/>
      <c r="B729" s="1"/>
      <c r="C729" s="113"/>
      <c r="D729" s="113"/>
      <c r="E729" s="113"/>
      <c r="F729" s="113"/>
      <c r="G729" s="113"/>
      <c r="H729" s="113"/>
      <c r="I729" s="113"/>
      <c r="J729" s="113"/>
      <c r="K729" s="113"/>
      <c r="L729" s="113"/>
      <c r="M729" s="113"/>
      <c r="N729" s="113"/>
      <c r="O729" s="113"/>
      <c r="P729" s="1"/>
      <c r="Q729" s="1"/>
      <c r="R729" s="1"/>
      <c r="S729" s="1"/>
      <c r="T729" s="1"/>
      <c r="U729" s="1"/>
      <c r="V729" s="1"/>
      <c r="W729" s="1"/>
      <c r="X729" s="1"/>
      <c r="Y729" s="1"/>
      <c r="Z729" s="1"/>
    </row>
    <row r="730" ht="10.5" customHeight="1">
      <c r="A730" s="1"/>
      <c r="B730" s="1"/>
      <c r="C730" s="113"/>
      <c r="D730" s="113"/>
      <c r="E730" s="113"/>
      <c r="F730" s="113"/>
      <c r="G730" s="113"/>
      <c r="H730" s="113"/>
      <c r="I730" s="113"/>
      <c r="J730" s="113"/>
      <c r="K730" s="113"/>
      <c r="L730" s="113"/>
      <c r="M730" s="113"/>
      <c r="N730" s="113"/>
      <c r="O730" s="113"/>
      <c r="P730" s="1"/>
      <c r="Q730" s="1"/>
      <c r="R730" s="1"/>
      <c r="S730" s="1"/>
      <c r="T730" s="1"/>
      <c r="U730" s="1"/>
      <c r="V730" s="1"/>
      <c r="W730" s="1"/>
      <c r="X730" s="1"/>
      <c r="Y730" s="1"/>
      <c r="Z730" s="1"/>
    </row>
    <row r="731" ht="10.5" customHeight="1">
      <c r="A731" s="1"/>
      <c r="B731" s="1"/>
      <c r="C731" s="113"/>
      <c r="D731" s="113"/>
      <c r="E731" s="113"/>
      <c r="F731" s="113"/>
      <c r="G731" s="113"/>
      <c r="H731" s="113"/>
      <c r="I731" s="113"/>
      <c r="J731" s="113"/>
      <c r="K731" s="113"/>
      <c r="L731" s="113"/>
      <c r="M731" s="113"/>
      <c r="N731" s="113"/>
      <c r="O731" s="113"/>
      <c r="P731" s="1"/>
      <c r="Q731" s="1"/>
      <c r="R731" s="1"/>
      <c r="S731" s="1"/>
      <c r="T731" s="1"/>
      <c r="U731" s="1"/>
      <c r="V731" s="1"/>
      <c r="W731" s="1"/>
      <c r="X731" s="1"/>
      <c r="Y731" s="1"/>
      <c r="Z731" s="1"/>
    </row>
    <row r="732" ht="10.5" customHeight="1">
      <c r="A732" s="1"/>
      <c r="B732" s="1"/>
      <c r="C732" s="113"/>
      <c r="D732" s="113"/>
      <c r="E732" s="113"/>
      <c r="F732" s="113"/>
      <c r="G732" s="113"/>
      <c r="H732" s="113"/>
      <c r="I732" s="113"/>
      <c r="J732" s="113"/>
      <c r="K732" s="113"/>
      <c r="L732" s="113"/>
      <c r="M732" s="113"/>
      <c r="N732" s="113"/>
      <c r="O732" s="113"/>
      <c r="P732" s="1"/>
      <c r="Q732" s="1"/>
      <c r="R732" s="1"/>
      <c r="S732" s="1"/>
      <c r="T732" s="1"/>
      <c r="U732" s="1"/>
      <c r="V732" s="1"/>
      <c r="W732" s="1"/>
      <c r="X732" s="1"/>
      <c r="Y732" s="1"/>
      <c r="Z732" s="1"/>
    </row>
    <row r="733" ht="10.5" customHeight="1">
      <c r="A733" s="1"/>
      <c r="B733" s="1"/>
      <c r="C733" s="113"/>
      <c r="D733" s="113"/>
      <c r="E733" s="113"/>
      <c r="F733" s="113"/>
      <c r="G733" s="113"/>
      <c r="H733" s="113"/>
      <c r="I733" s="113"/>
      <c r="J733" s="113"/>
      <c r="K733" s="113"/>
      <c r="L733" s="113"/>
      <c r="M733" s="113"/>
      <c r="N733" s="113"/>
      <c r="O733" s="113"/>
      <c r="P733" s="1"/>
      <c r="Q733" s="1"/>
      <c r="R733" s="1"/>
      <c r="S733" s="1"/>
      <c r="T733" s="1"/>
      <c r="U733" s="1"/>
      <c r="V733" s="1"/>
      <c r="W733" s="1"/>
      <c r="X733" s="1"/>
      <c r="Y733" s="1"/>
      <c r="Z733" s="1"/>
    </row>
    <row r="734" ht="10.5" customHeight="1">
      <c r="A734" s="1"/>
      <c r="B734" s="1"/>
      <c r="C734" s="113"/>
      <c r="D734" s="113"/>
      <c r="E734" s="113"/>
      <c r="F734" s="113"/>
      <c r="G734" s="778">
        <v>67.0</v>
      </c>
      <c r="H734" s="113"/>
      <c r="I734" s="113"/>
      <c r="J734" s="113"/>
      <c r="K734" s="113"/>
      <c r="L734" s="113"/>
      <c r="M734" s="113"/>
      <c r="N734" s="113"/>
      <c r="O734" s="113"/>
      <c r="P734" s="1"/>
      <c r="Q734" s="1"/>
      <c r="R734" s="1"/>
      <c r="S734" s="1"/>
      <c r="T734" s="1"/>
      <c r="U734" s="1"/>
      <c r="V734" s="1"/>
      <c r="W734" s="1"/>
      <c r="X734" s="1"/>
      <c r="Y734" s="1"/>
      <c r="Z734" s="1"/>
    </row>
    <row r="735" ht="10.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t="s">
        <v>1348</v>
      </c>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12" t="s">
        <v>1350</v>
      </c>
      <c r="C737" s="70"/>
      <c r="D737" s="273">
        <v>1978.0</v>
      </c>
      <c r="E737" s="273">
        <v>1980.0</v>
      </c>
      <c r="F737" s="273">
        <v>1981.0</v>
      </c>
      <c r="G737" s="273">
        <v>1983.0</v>
      </c>
      <c r="H737" s="273">
        <v>1988.0</v>
      </c>
      <c r="I737" s="273">
        <v>1993.0</v>
      </c>
      <c r="J737" s="273">
        <v>1996.0</v>
      </c>
      <c r="K737" s="781" t="s">
        <v>1352</v>
      </c>
      <c r="L737" s="782" t="s">
        <v>1354</v>
      </c>
      <c r="M737" s="1"/>
      <c r="N737" s="1"/>
      <c r="O737" s="1"/>
      <c r="P737" s="1"/>
      <c r="Q737" s="1"/>
      <c r="R737" s="1"/>
      <c r="S737" s="1"/>
      <c r="T737" s="1"/>
      <c r="U737" s="1"/>
      <c r="V737" s="1"/>
      <c r="W737" s="1"/>
      <c r="X737" s="1"/>
      <c r="Y737" s="1"/>
      <c r="Z737" s="1"/>
    </row>
    <row r="738" ht="12.0" customHeight="1">
      <c r="A738" s="1"/>
      <c r="B738" s="118"/>
      <c r="C738" s="94"/>
      <c r="D738" s="784" t="s">
        <v>1357</v>
      </c>
      <c r="E738" s="9"/>
      <c r="F738" s="9"/>
      <c r="G738" s="9"/>
      <c r="H738" s="9"/>
      <c r="I738" s="9"/>
      <c r="J738" s="9"/>
      <c r="K738" s="9"/>
      <c r="L738" s="10"/>
      <c r="M738" s="1"/>
      <c r="N738" s="1"/>
      <c r="O738" s="1"/>
      <c r="P738" s="1"/>
      <c r="Q738" s="1"/>
      <c r="R738" s="1"/>
      <c r="S738" s="1"/>
      <c r="T738" s="1"/>
      <c r="U738" s="1"/>
      <c r="V738" s="1"/>
      <c r="W738" s="1"/>
      <c r="X738" s="1"/>
      <c r="Y738" s="1"/>
      <c r="Z738" s="1"/>
    </row>
    <row r="739" ht="10.5" customHeight="1">
      <c r="A739" s="1"/>
      <c r="B739" s="129" t="s">
        <v>943</v>
      </c>
      <c r="C739" s="87"/>
      <c r="D739" s="786">
        <v>8734.0</v>
      </c>
      <c r="E739" s="786">
        <v>7944.0</v>
      </c>
      <c r="F739" s="786">
        <v>7526.0</v>
      </c>
      <c r="G739" s="786">
        <v>7407.0</v>
      </c>
      <c r="H739" s="786">
        <v>6539.0</v>
      </c>
      <c r="I739" s="786">
        <v>6275.0</v>
      </c>
      <c r="J739" s="786">
        <v>6116.0</v>
      </c>
      <c r="K739" s="788">
        <v>4367.0</v>
      </c>
      <c r="L739" s="789">
        <v>5279.0</v>
      </c>
      <c r="M739" s="1"/>
      <c r="N739" s="1"/>
      <c r="O739" s="1"/>
      <c r="P739" s="1"/>
      <c r="Q739" s="1"/>
      <c r="R739" s="1"/>
      <c r="S739" s="1"/>
      <c r="T739" s="1"/>
      <c r="U739" s="1"/>
      <c r="V739" s="1"/>
      <c r="W739" s="1"/>
      <c r="X739" s="1"/>
      <c r="Y739" s="1"/>
      <c r="Z739" s="1"/>
    </row>
    <row r="740" ht="10.5" customHeight="1">
      <c r="A740" s="1"/>
      <c r="B740" s="129" t="s">
        <v>1362</v>
      </c>
      <c r="C740" s="87"/>
      <c r="D740" s="786">
        <v>28602.0</v>
      </c>
      <c r="E740" s="786">
        <v>28291.0</v>
      </c>
      <c r="F740" s="786">
        <v>28456.0</v>
      </c>
      <c r="G740" s="786">
        <v>26932.0</v>
      </c>
      <c r="H740" s="786">
        <v>24083.0</v>
      </c>
      <c r="I740" s="786">
        <v>19834.0</v>
      </c>
      <c r="J740" s="786">
        <v>14047.0</v>
      </c>
      <c r="K740" s="788">
        <v>10896.0</v>
      </c>
      <c r="L740" s="789">
        <v>11818.0</v>
      </c>
      <c r="M740" s="1"/>
      <c r="N740" s="1"/>
      <c r="O740" s="1"/>
      <c r="P740" s="1"/>
      <c r="Q740" s="1"/>
      <c r="R740" s="1"/>
      <c r="S740" s="1"/>
      <c r="T740" s="1"/>
      <c r="U740" s="1"/>
      <c r="V740" s="1"/>
      <c r="W740" s="1"/>
      <c r="X740" s="1"/>
      <c r="Y740" s="1"/>
      <c r="Z740" s="1"/>
    </row>
    <row r="741" ht="10.5" customHeight="1">
      <c r="A741" s="1"/>
      <c r="B741" s="129" t="s">
        <v>1363</v>
      </c>
      <c r="C741" s="87"/>
      <c r="D741" s="786">
        <v>2445.0</v>
      </c>
      <c r="E741" s="786">
        <v>2615.0</v>
      </c>
      <c r="F741" s="786">
        <v>2551.0</v>
      </c>
      <c r="G741" s="786">
        <v>2768.0</v>
      </c>
      <c r="H741" s="786">
        <v>3458.0</v>
      </c>
      <c r="I741" s="786">
        <v>2071.0</v>
      </c>
      <c r="J741" s="786">
        <v>1563.0</v>
      </c>
      <c r="K741" s="788">
        <v>988.0</v>
      </c>
      <c r="L741" s="789">
        <v>854.0</v>
      </c>
      <c r="M741" s="1"/>
      <c r="N741" s="1"/>
      <c r="O741" s="1"/>
      <c r="P741" s="1"/>
      <c r="Q741" s="1"/>
      <c r="R741" s="1"/>
      <c r="S741" s="1"/>
      <c r="T741" s="1"/>
      <c r="U741" s="1"/>
      <c r="V741" s="1"/>
      <c r="W741" s="1"/>
      <c r="X741" s="1"/>
      <c r="Y741" s="1"/>
      <c r="Z741" s="1"/>
    </row>
    <row r="742" ht="10.5" customHeight="1">
      <c r="A742" s="1"/>
      <c r="B742" s="129" t="s">
        <v>1367</v>
      </c>
      <c r="C742" s="87"/>
      <c r="D742" s="786">
        <v>895.0</v>
      </c>
      <c r="E742" s="786">
        <v>831.0</v>
      </c>
      <c r="F742" s="786">
        <v>792.0</v>
      </c>
      <c r="G742" s="786">
        <v>850.0</v>
      </c>
      <c r="H742" s="786">
        <v>931.0</v>
      </c>
      <c r="I742" s="786">
        <v>945.0</v>
      </c>
      <c r="J742" s="786">
        <v>1164.0</v>
      </c>
      <c r="K742" s="788">
        <v>723.0</v>
      </c>
      <c r="L742" s="789">
        <v>910.0</v>
      </c>
      <c r="M742" s="1"/>
      <c r="N742" s="1"/>
      <c r="O742" s="1"/>
      <c r="P742" s="1"/>
      <c r="Q742" s="1"/>
      <c r="R742" s="1"/>
      <c r="S742" s="1"/>
      <c r="T742" s="1"/>
      <c r="U742" s="1"/>
      <c r="V742" s="1"/>
      <c r="W742" s="1"/>
      <c r="X742" s="1"/>
      <c r="Y742" s="1"/>
      <c r="Z742" s="1"/>
    </row>
    <row r="743" ht="10.5" customHeight="1">
      <c r="A743" s="1"/>
      <c r="B743" s="129" t="s">
        <v>1369</v>
      </c>
      <c r="C743" s="87"/>
      <c r="D743" s="786" t="s">
        <v>10</v>
      </c>
      <c r="E743" s="786" t="s">
        <v>10</v>
      </c>
      <c r="F743" s="786">
        <v>114.0</v>
      </c>
      <c r="G743" s="786" t="s">
        <v>10</v>
      </c>
      <c r="H743" s="786">
        <v>77.0</v>
      </c>
      <c r="I743" s="786" t="s">
        <v>10</v>
      </c>
      <c r="J743" s="786"/>
      <c r="K743" s="788">
        <v>21.0</v>
      </c>
      <c r="L743" s="789">
        <v>21.0</v>
      </c>
      <c r="M743" s="1"/>
      <c r="N743" s="1"/>
      <c r="O743" s="1"/>
      <c r="P743" s="1"/>
      <c r="Q743" s="1"/>
      <c r="R743" s="1"/>
      <c r="S743" s="1"/>
      <c r="T743" s="1"/>
      <c r="U743" s="1"/>
      <c r="V743" s="1"/>
      <c r="W743" s="1"/>
      <c r="X743" s="1"/>
      <c r="Y743" s="1"/>
      <c r="Z743" s="1"/>
    </row>
    <row r="744" ht="10.5" customHeight="1">
      <c r="A744" s="1"/>
      <c r="B744" s="129" t="s">
        <v>1372</v>
      </c>
      <c r="C744" s="87"/>
      <c r="D744" s="786" t="s">
        <v>10</v>
      </c>
      <c r="E744" s="786" t="s">
        <v>10</v>
      </c>
      <c r="F744" s="786">
        <v>5.0</v>
      </c>
      <c r="G744" s="786" t="s">
        <v>10</v>
      </c>
      <c r="H744" s="786">
        <v>2.0</v>
      </c>
      <c r="I744" s="786" t="s">
        <v>10</v>
      </c>
      <c r="J744" s="786">
        <v>40.0</v>
      </c>
      <c r="K744" s="788" t="s">
        <v>10</v>
      </c>
      <c r="L744" s="789" t="s">
        <v>10</v>
      </c>
      <c r="M744" s="1"/>
      <c r="N744" s="1"/>
      <c r="O744" s="1"/>
      <c r="P744" s="1"/>
      <c r="Q744" s="1"/>
      <c r="R744" s="1"/>
      <c r="S744" s="1"/>
      <c r="T744" s="1"/>
      <c r="U744" s="1"/>
      <c r="V744" s="1"/>
      <c r="W744" s="1"/>
      <c r="X744" s="1"/>
      <c r="Y744" s="1"/>
      <c r="Z744" s="1"/>
    </row>
    <row r="745" ht="10.5" customHeight="1">
      <c r="A745" s="1"/>
      <c r="B745" s="129" t="s">
        <v>1373</v>
      </c>
      <c r="C745" s="87"/>
      <c r="D745" s="786" t="s">
        <v>10</v>
      </c>
      <c r="E745" s="786" t="s">
        <v>10</v>
      </c>
      <c r="F745" s="786">
        <v>25.0</v>
      </c>
      <c r="G745" s="786" t="s">
        <v>10</v>
      </c>
      <c r="H745" s="786">
        <v>13.0</v>
      </c>
      <c r="I745" s="786" t="s">
        <v>10</v>
      </c>
      <c r="J745" s="786"/>
      <c r="K745" s="788">
        <v>7.0</v>
      </c>
      <c r="L745" s="789" t="s">
        <v>10</v>
      </c>
      <c r="M745" s="1"/>
      <c r="N745" s="1"/>
      <c r="O745" s="1"/>
      <c r="P745" s="1"/>
      <c r="Q745" s="1"/>
      <c r="R745" s="1"/>
      <c r="S745" s="1"/>
      <c r="T745" s="1"/>
      <c r="U745" s="1"/>
      <c r="V745" s="1"/>
      <c r="W745" s="1"/>
      <c r="X745" s="1"/>
      <c r="Y745" s="1"/>
      <c r="Z745" s="1"/>
    </row>
    <row r="746" ht="10.5" customHeight="1">
      <c r="A746" s="1"/>
      <c r="B746" s="129" t="s">
        <v>1374</v>
      </c>
      <c r="C746" s="87"/>
      <c r="D746" s="786" t="s">
        <v>10</v>
      </c>
      <c r="E746" s="786" t="s">
        <v>10</v>
      </c>
      <c r="F746" s="786">
        <v>107.0</v>
      </c>
      <c r="G746" s="786" t="s">
        <v>10</v>
      </c>
      <c r="H746" s="786">
        <v>251.0</v>
      </c>
      <c r="I746" s="786" t="s">
        <v>10</v>
      </c>
      <c r="J746" s="786">
        <v>459.0</v>
      </c>
      <c r="K746" s="788">
        <v>338.0</v>
      </c>
      <c r="L746" s="789">
        <v>244.0</v>
      </c>
      <c r="M746" s="1"/>
      <c r="N746" s="1"/>
      <c r="O746" s="1"/>
      <c r="P746" s="1"/>
      <c r="Q746" s="1"/>
      <c r="R746" s="1"/>
      <c r="S746" s="1"/>
      <c r="T746" s="1"/>
      <c r="U746" s="1"/>
      <c r="V746" s="1"/>
      <c r="W746" s="1"/>
      <c r="X746" s="1"/>
      <c r="Y746" s="1"/>
      <c r="Z746" s="1"/>
    </row>
    <row r="747" ht="10.5" customHeight="1">
      <c r="A747" s="1"/>
      <c r="B747" s="129" t="s">
        <v>1375</v>
      </c>
      <c r="C747" s="87"/>
      <c r="D747" s="786" t="s">
        <v>10</v>
      </c>
      <c r="E747" s="786">
        <v>28186.0</v>
      </c>
      <c r="F747" s="786">
        <v>36291.0</v>
      </c>
      <c r="G747" s="786">
        <v>47047.0</v>
      </c>
      <c r="H747" s="786">
        <v>51787.0</v>
      </c>
      <c r="I747" s="786" t="s">
        <v>10</v>
      </c>
      <c r="J747" s="786" t="s">
        <v>10</v>
      </c>
      <c r="K747" s="788">
        <v>185073.0</v>
      </c>
      <c r="L747" s="789">
        <v>242855.0</v>
      </c>
      <c r="M747" s="1"/>
      <c r="N747" s="1"/>
      <c r="O747" s="1"/>
      <c r="P747" s="1"/>
      <c r="Q747" s="1"/>
      <c r="R747" s="1"/>
      <c r="S747" s="1"/>
      <c r="T747" s="1"/>
      <c r="U747" s="1"/>
      <c r="V747" s="1"/>
      <c r="W747" s="1"/>
      <c r="X747" s="1"/>
      <c r="Y747" s="1"/>
      <c r="Z747" s="1"/>
    </row>
    <row r="748" ht="10.5" customHeight="1">
      <c r="A748" s="1"/>
      <c r="B748" s="140" t="s">
        <v>1376</v>
      </c>
      <c r="C748" s="94"/>
      <c r="D748" s="795" t="s">
        <v>10</v>
      </c>
      <c r="E748" s="795" t="s">
        <v>10</v>
      </c>
      <c r="F748" s="795">
        <v>12642.0</v>
      </c>
      <c r="G748" s="795" t="s">
        <v>10</v>
      </c>
      <c r="H748" s="795">
        <v>11320.0</v>
      </c>
      <c r="I748" s="795" t="s">
        <v>10</v>
      </c>
      <c r="J748" s="795" t="s">
        <v>10</v>
      </c>
      <c r="K748" s="796" t="s">
        <v>10</v>
      </c>
      <c r="L748" s="797" t="s">
        <v>10</v>
      </c>
      <c r="M748" s="1"/>
      <c r="N748" s="1"/>
      <c r="O748" s="1"/>
      <c r="P748" s="1"/>
      <c r="Q748" s="1"/>
      <c r="R748" s="1"/>
      <c r="S748" s="1"/>
      <c r="T748" s="1"/>
      <c r="U748" s="1"/>
      <c r="V748" s="1"/>
      <c r="W748" s="1"/>
      <c r="X748" s="1"/>
      <c r="Y748" s="1"/>
      <c r="Z748" s="1"/>
    </row>
    <row r="749" ht="14.25" customHeight="1">
      <c r="A749" s="1"/>
      <c r="B749" s="148" t="s">
        <v>1383</v>
      </c>
      <c r="C749" s="9"/>
      <c r="D749" s="9"/>
      <c r="E749" s="9"/>
      <c r="F749" s="9"/>
      <c r="G749" s="9"/>
      <c r="H749" s="9"/>
      <c r="I749" s="9"/>
      <c r="J749" s="9"/>
      <c r="K749" s="10"/>
      <c r="L749" s="796"/>
      <c r="M749" s="1"/>
      <c r="N749" s="1"/>
      <c r="O749" s="1"/>
      <c r="P749" s="1"/>
      <c r="Q749" s="1"/>
      <c r="R749" s="1"/>
      <c r="S749" s="1"/>
      <c r="T749" s="1"/>
      <c r="U749" s="1"/>
      <c r="V749" s="1"/>
      <c r="W749" s="1"/>
      <c r="X749" s="1"/>
      <c r="Y749" s="1"/>
      <c r="Z749" s="1"/>
    </row>
    <row r="750" ht="10.5" customHeight="1">
      <c r="A750" s="1"/>
      <c r="B750" s="129" t="s">
        <v>1385</v>
      </c>
      <c r="C750" s="87"/>
      <c r="D750" s="799" t="s">
        <v>10</v>
      </c>
      <c r="E750" s="799" t="s">
        <v>10</v>
      </c>
      <c r="F750" s="799">
        <v>280.0</v>
      </c>
      <c r="G750" s="799">
        <v>342.0</v>
      </c>
      <c r="H750" s="799" t="s">
        <v>10</v>
      </c>
      <c r="I750" s="799" t="s">
        <v>10</v>
      </c>
      <c r="J750" s="799" t="s">
        <v>10</v>
      </c>
      <c r="K750" s="800" t="s">
        <v>10</v>
      </c>
      <c r="L750" s="801" t="s">
        <v>10</v>
      </c>
      <c r="M750" s="1"/>
      <c r="N750" s="1"/>
      <c r="O750" s="1"/>
      <c r="P750" s="1"/>
      <c r="Q750" s="1"/>
      <c r="R750" s="1"/>
      <c r="S750" s="1"/>
      <c r="T750" s="1"/>
      <c r="U750" s="1"/>
      <c r="V750" s="1"/>
      <c r="W750" s="1"/>
      <c r="X750" s="1"/>
      <c r="Y750" s="1"/>
      <c r="Z750" s="1"/>
    </row>
    <row r="751" ht="10.5" customHeight="1">
      <c r="A751" s="1"/>
      <c r="B751" s="140" t="s">
        <v>1387</v>
      </c>
      <c r="C751" s="94"/>
      <c r="D751" s="803" t="s">
        <v>10</v>
      </c>
      <c r="E751" s="803" t="s">
        <v>10</v>
      </c>
      <c r="F751" s="803">
        <v>3.7</v>
      </c>
      <c r="G751" s="803">
        <v>4.6</v>
      </c>
      <c r="H751" s="803" t="s">
        <v>10</v>
      </c>
      <c r="I751" s="803" t="s">
        <v>10</v>
      </c>
      <c r="J751" s="803" t="s">
        <v>10</v>
      </c>
      <c r="K751" s="805" t="s">
        <v>10</v>
      </c>
      <c r="L751" s="806" t="s">
        <v>10</v>
      </c>
      <c r="M751" s="1"/>
      <c r="N751" s="1"/>
      <c r="O751" s="1"/>
      <c r="P751" s="1"/>
      <c r="Q751" s="1"/>
      <c r="R751" s="1"/>
      <c r="S751" s="1"/>
      <c r="T751" s="1"/>
      <c r="U751" s="1"/>
      <c r="V751" s="1"/>
      <c r="W751" s="1"/>
      <c r="X751" s="1"/>
      <c r="Y751" s="1"/>
      <c r="Z751" s="1"/>
    </row>
    <row r="752" ht="14.25" customHeight="1">
      <c r="A752" s="1"/>
      <c r="B752" s="60" t="s">
        <v>1388</v>
      </c>
      <c r="C752" s="60"/>
      <c r="D752" s="60"/>
      <c r="E752" s="60"/>
      <c r="F752" s="60"/>
      <c r="G752" s="60"/>
      <c r="H752" s="60"/>
      <c r="I752" s="60"/>
      <c r="J752" s="60"/>
      <c r="K752" s="1"/>
      <c r="L752" s="1"/>
      <c r="M752" s="1"/>
      <c r="N752" s="1"/>
      <c r="O752" s="1"/>
      <c r="P752" s="1"/>
      <c r="Q752" s="1"/>
      <c r="R752" s="1"/>
      <c r="S752" s="1"/>
      <c r="T752" s="1"/>
      <c r="U752" s="1"/>
      <c r="V752" s="1"/>
      <c r="W752" s="1"/>
      <c r="X752" s="1"/>
      <c r="Y752" s="1"/>
      <c r="Z752" s="1"/>
    </row>
    <row r="753" ht="6.0" customHeight="1">
      <c r="A753" s="1"/>
      <c r="B753" s="60"/>
      <c r="C753" s="60"/>
      <c r="D753" s="60"/>
      <c r="E753" s="60"/>
      <c r="F753" s="60"/>
      <c r="G753" s="60"/>
      <c r="H753" s="60"/>
      <c r="I753" s="60"/>
      <c r="J753" s="60"/>
      <c r="K753" s="1"/>
      <c r="L753" s="1"/>
      <c r="M753" s="1"/>
      <c r="N753" s="1"/>
      <c r="O753" s="1"/>
      <c r="P753" s="1"/>
      <c r="Q753" s="1"/>
      <c r="R753" s="1"/>
      <c r="S753" s="1"/>
      <c r="T753" s="1"/>
      <c r="U753" s="1"/>
      <c r="V753" s="1"/>
      <c r="W753" s="1"/>
      <c r="X753" s="1"/>
      <c r="Y753" s="1"/>
      <c r="Z753" s="1"/>
    </row>
    <row r="754" ht="10.5" customHeight="1">
      <c r="A754" s="1"/>
      <c r="B754" s="185" t="s">
        <v>1389</v>
      </c>
      <c r="C754" s="185"/>
      <c r="D754" s="185"/>
      <c r="E754" s="185"/>
      <c r="F754" s="185"/>
      <c r="G754" s="185"/>
      <c r="H754" s="185"/>
      <c r="I754" s="185"/>
      <c r="J754" s="185"/>
      <c r="K754" s="1"/>
      <c r="L754" s="1"/>
      <c r="M754" s="1"/>
      <c r="N754" s="1"/>
      <c r="O754" s="1"/>
      <c r="P754" s="1"/>
      <c r="Q754" s="1"/>
      <c r="R754" s="1"/>
      <c r="S754" s="1"/>
      <c r="T754" s="1"/>
      <c r="U754" s="1"/>
      <c r="V754" s="1"/>
      <c r="W754" s="1"/>
      <c r="X754" s="1"/>
      <c r="Y754" s="1"/>
      <c r="Z754" s="1"/>
    </row>
    <row r="755" ht="10.5" customHeight="1">
      <c r="A755" s="1"/>
      <c r="B755" s="185" t="s">
        <v>1390</v>
      </c>
      <c r="C755" s="185"/>
      <c r="D755" s="185"/>
      <c r="E755" s="185"/>
      <c r="F755" s="185"/>
      <c r="G755" s="185"/>
      <c r="H755" s="185"/>
      <c r="I755" s="185"/>
      <c r="J755" s="185"/>
      <c r="K755" s="1"/>
      <c r="L755" s="1"/>
      <c r="M755" s="1"/>
      <c r="N755" s="1"/>
      <c r="O755" s="1"/>
      <c r="P755" s="1"/>
      <c r="Q755" s="1"/>
      <c r="R755" s="1"/>
      <c r="S755" s="1"/>
      <c r="T755" s="1"/>
      <c r="U755" s="1"/>
      <c r="V755" s="1"/>
      <c r="W755" s="1"/>
      <c r="X755" s="1"/>
      <c r="Y755" s="1"/>
      <c r="Z755" s="1"/>
    </row>
    <row r="756" ht="10.5" customHeight="1">
      <c r="A756" s="1"/>
      <c r="B756" s="703" t="s">
        <v>1391</v>
      </c>
      <c r="K756" s="1"/>
      <c r="L756" s="1"/>
      <c r="M756" s="1"/>
      <c r="N756" s="1"/>
      <c r="O756" s="1"/>
      <c r="P756" s="1"/>
      <c r="Q756" s="1"/>
      <c r="R756" s="1"/>
      <c r="S756" s="1"/>
      <c r="T756" s="1"/>
      <c r="U756" s="1"/>
      <c r="V756" s="1"/>
      <c r="W756" s="1"/>
      <c r="X756" s="1"/>
      <c r="Y756" s="1"/>
      <c r="Z756" s="1"/>
    </row>
    <row r="757" ht="10.5" customHeight="1">
      <c r="A757" s="1"/>
      <c r="B757" s="242" t="s">
        <v>1392</v>
      </c>
      <c r="M757" s="1"/>
      <c r="N757" s="1"/>
      <c r="O757" s="1"/>
      <c r="P757" s="1"/>
      <c r="Q757" s="1"/>
      <c r="R757" s="1"/>
      <c r="S757" s="1"/>
      <c r="T757" s="1"/>
      <c r="U757" s="1"/>
      <c r="V757" s="1"/>
      <c r="W757" s="1"/>
      <c r="X757" s="1"/>
      <c r="Y757" s="1"/>
      <c r="Z757" s="1"/>
    </row>
    <row r="758" ht="10.5" customHeight="1">
      <c r="A758" s="1"/>
      <c r="B758" s="185"/>
      <c r="C758" s="15"/>
      <c r="D758" s="15"/>
      <c r="E758" s="15"/>
      <c r="F758" s="15"/>
      <c r="G758" s="15"/>
      <c r="H758" s="15"/>
      <c r="I758" s="15"/>
      <c r="J758" s="15"/>
      <c r="K758" s="15"/>
      <c r="L758" s="1"/>
      <c r="M758" s="1"/>
      <c r="N758" s="1"/>
      <c r="O758" s="1"/>
      <c r="P758" s="1"/>
      <c r="Q758" s="1"/>
      <c r="R758" s="1"/>
      <c r="S758" s="1"/>
      <c r="T758" s="1"/>
      <c r="U758" s="1"/>
      <c r="V758" s="1"/>
      <c r="W758" s="1"/>
      <c r="X758" s="1"/>
      <c r="Y758" s="1"/>
      <c r="Z758" s="1"/>
    </row>
    <row r="759" ht="10.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0.5" customHeight="1">
      <c r="A760" s="1"/>
      <c r="B760" s="1"/>
      <c r="C760" s="1"/>
      <c r="D760" s="1"/>
      <c r="E760" s="1"/>
      <c r="F760" s="1"/>
      <c r="G760" s="110">
        <v>68.0</v>
      </c>
      <c r="H760" s="1"/>
      <c r="I760" s="1"/>
      <c r="J760" s="1"/>
      <c r="K760" s="1"/>
      <c r="L760" s="1"/>
      <c r="M760" s="1"/>
      <c r="N760" s="1"/>
      <c r="O760" s="1"/>
      <c r="P760" s="1"/>
      <c r="Q760" s="1"/>
      <c r="R760" s="1"/>
      <c r="S760" s="1"/>
      <c r="T760" s="1"/>
      <c r="U760" s="1"/>
      <c r="V760" s="1"/>
      <c r="W760" s="1"/>
      <c r="X760" s="1"/>
      <c r="Y760" s="1"/>
      <c r="Z760" s="1"/>
    </row>
    <row r="761" ht="10.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t="s">
        <v>1393</v>
      </c>
      <c r="C762" s="1" t="s">
        <v>1394</v>
      </c>
      <c r="D762" s="1"/>
      <c r="E762" s="1"/>
      <c r="F762" s="1"/>
      <c r="G762" s="1"/>
      <c r="H762" s="1"/>
      <c r="I762" s="1"/>
      <c r="J762" s="1"/>
      <c r="K762" s="1"/>
      <c r="L762" s="1"/>
      <c r="M762" s="1"/>
      <c r="N762" s="1"/>
      <c r="O762" s="1"/>
      <c r="P762" s="1"/>
      <c r="Q762" s="1"/>
      <c r="R762" s="1"/>
      <c r="S762" s="1"/>
      <c r="T762" s="1"/>
      <c r="U762" s="1"/>
      <c r="V762" s="1"/>
      <c r="W762" s="1"/>
      <c r="X762" s="1"/>
      <c r="Y762" s="1"/>
      <c r="Z762" s="1"/>
    </row>
    <row r="763" ht="24.75" customHeight="1">
      <c r="A763" s="1"/>
      <c r="B763" s="189" t="s">
        <v>1</v>
      </c>
      <c r="C763" s="31" t="s">
        <v>1395</v>
      </c>
      <c r="D763" s="128" t="s">
        <v>1396</v>
      </c>
      <c r="E763" s="10"/>
      <c r="F763" s="128" t="s">
        <v>1397</v>
      </c>
      <c r="G763" s="10"/>
      <c r="H763" s="31" t="s">
        <v>1398</v>
      </c>
      <c r="I763" s="128" t="s">
        <v>1399</v>
      </c>
      <c r="J763" s="10"/>
      <c r="K763" s="1"/>
      <c r="L763" s="1"/>
      <c r="M763" s="1"/>
      <c r="N763" s="1"/>
      <c r="O763" s="1"/>
      <c r="P763" s="1"/>
      <c r="Q763" s="1"/>
      <c r="R763" s="1"/>
      <c r="S763" s="1"/>
      <c r="T763" s="1"/>
      <c r="U763" s="1"/>
      <c r="V763" s="1"/>
      <c r="W763" s="1"/>
      <c r="X763" s="1"/>
      <c r="Y763" s="1"/>
      <c r="Z763" s="1"/>
    </row>
    <row r="764" ht="11.25" customHeight="1">
      <c r="A764" s="1"/>
      <c r="B764" s="5"/>
      <c r="C764" s="6"/>
      <c r="D764" s="7" t="s">
        <v>2</v>
      </c>
      <c r="E764" s="7" t="s">
        <v>1040</v>
      </c>
      <c r="F764" s="7" t="s">
        <v>2</v>
      </c>
      <c r="G764" s="7" t="s">
        <v>1040</v>
      </c>
      <c r="H764" s="6"/>
      <c r="I764" s="7" t="s">
        <v>2</v>
      </c>
      <c r="J764" s="7" t="s">
        <v>1040</v>
      </c>
      <c r="K764" s="1"/>
      <c r="L764" s="1"/>
      <c r="M764" s="1"/>
      <c r="N764" s="1"/>
      <c r="O764" s="1"/>
      <c r="P764" s="1"/>
      <c r="Q764" s="1"/>
      <c r="R764" s="1"/>
      <c r="S764" s="1"/>
      <c r="T764" s="1"/>
      <c r="U764" s="1"/>
      <c r="V764" s="1"/>
      <c r="W764" s="1"/>
      <c r="X764" s="1"/>
      <c r="Y764" s="1"/>
      <c r="Z764" s="1"/>
    </row>
    <row r="765" ht="11.25" customHeight="1">
      <c r="A765" s="1"/>
      <c r="B765" s="6"/>
      <c r="C765" s="114" t="s">
        <v>49</v>
      </c>
      <c r="D765" s="10"/>
      <c r="E765" s="506" t="s">
        <v>1400</v>
      </c>
      <c r="F765" s="506" t="s">
        <v>49</v>
      </c>
      <c r="G765" s="506" t="s">
        <v>1400</v>
      </c>
      <c r="H765" s="506" t="s">
        <v>49</v>
      </c>
      <c r="I765" s="506" t="s">
        <v>49</v>
      </c>
      <c r="J765" s="506" t="s">
        <v>1400</v>
      </c>
      <c r="K765" s="1"/>
      <c r="L765" s="1"/>
      <c r="M765" s="1"/>
      <c r="N765" s="1"/>
      <c r="O765" s="1"/>
      <c r="P765" s="1"/>
      <c r="Q765" s="1"/>
      <c r="R765" s="1"/>
      <c r="S765" s="1"/>
      <c r="T765" s="1"/>
      <c r="U765" s="1"/>
      <c r="V765" s="1"/>
      <c r="W765" s="1"/>
      <c r="X765" s="1"/>
      <c r="Y765" s="1"/>
      <c r="Z765" s="1"/>
    </row>
    <row r="766" ht="10.5" customHeight="1">
      <c r="A766" s="1"/>
      <c r="B766" s="48" t="s">
        <v>56</v>
      </c>
      <c r="C766" s="130">
        <v>364.0</v>
      </c>
      <c r="D766" s="130">
        <v>338.0</v>
      </c>
      <c r="E766" s="249">
        <v>11.93</v>
      </c>
      <c r="F766" s="136">
        <v>890.0</v>
      </c>
      <c r="G766" s="739">
        <v>31.381514544220703</v>
      </c>
      <c r="H766" s="799">
        <v>161.0</v>
      </c>
      <c r="I766" s="799">
        <v>151.0</v>
      </c>
      <c r="J766" s="563">
        <v>5.2</v>
      </c>
      <c r="K766" s="1"/>
      <c r="L766" s="1"/>
      <c r="M766" s="1"/>
      <c r="N766" s="1"/>
      <c r="O766" s="1"/>
      <c r="P766" s="1"/>
      <c r="Q766" s="1"/>
      <c r="R766" s="1"/>
      <c r="S766" s="1"/>
      <c r="T766" s="1"/>
      <c r="U766" s="1"/>
      <c r="V766" s="1"/>
      <c r="W766" s="1"/>
      <c r="X766" s="1"/>
      <c r="Y766" s="1"/>
      <c r="Z766" s="1"/>
    </row>
    <row r="767" ht="10.5" customHeight="1">
      <c r="A767" s="1"/>
      <c r="B767" s="48" t="s">
        <v>81</v>
      </c>
      <c r="C767" s="130">
        <v>402.0</v>
      </c>
      <c r="D767" s="130">
        <v>379.0</v>
      </c>
      <c r="E767" s="249">
        <v>13.06</v>
      </c>
      <c r="F767" s="136">
        <v>932.0</v>
      </c>
      <c r="G767" s="739">
        <v>32.14532648062119</v>
      </c>
      <c r="H767" s="799">
        <v>171.0</v>
      </c>
      <c r="I767" s="799">
        <v>152.0</v>
      </c>
      <c r="J767" s="563">
        <v>5.12</v>
      </c>
      <c r="K767" s="1"/>
      <c r="L767" s="1"/>
      <c r="M767" s="1"/>
      <c r="N767" s="1"/>
      <c r="O767" s="1"/>
      <c r="P767" s="1"/>
      <c r="Q767" s="1"/>
      <c r="R767" s="1"/>
      <c r="S767" s="1"/>
      <c r="T767" s="1"/>
      <c r="U767" s="1"/>
      <c r="V767" s="1"/>
      <c r="W767" s="1"/>
      <c r="X767" s="1"/>
      <c r="Y767" s="1"/>
      <c r="Z767" s="1"/>
    </row>
    <row r="768" ht="10.5" customHeight="1">
      <c r="A768" s="1"/>
      <c r="B768" s="48" t="s">
        <v>86</v>
      </c>
      <c r="C768" s="130">
        <v>457.0</v>
      </c>
      <c r="D768" s="130">
        <v>437.0</v>
      </c>
      <c r="E768" s="249">
        <v>14.75</v>
      </c>
      <c r="F768" s="136">
        <v>1003.0</v>
      </c>
      <c r="G768" s="739">
        <v>33.80972310596258</v>
      </c>
      <c r="H768" s="799">
        <v>169.0</v>
      </c>
      <c r="I768" s="799">
        <v>152.0</v>
      </c>
      <c r="J768" s="563">
        <v>5.02</v>
      </c>
      <c r="K768" s="1"/>
      <c r="L768" s="1"/>
      <c r="M768" s="1"/>
      <c r="N768" s="1"/>
      <c r="O768" s="1"/>
      <c r="P768" s="1"/>
      <c r="Q768" s="1"/>
      <c r="R768" s="1"/>
      <c r="S768" s="1"/>
      <c r="T768" s="1"/>
      <c r="U768" s="1"/>
      <c r="V768" s="1"/>
      <c r="W768" s="1"/>
      <c r="X768" s="1"/>
      <c r="Y768" s="1"/>
      <c r="Z768" s="1"/>
    </row>
    <row r="769" ht="10.5" customHeight="1">
      <c r="A769" s="1"/>
      <c r="B769" s="48" t="s">
        <v>87</v>
      </c>
      <c r="C769" s="130">
        <v>480.0</v>
      </c>
      <c r="D769" s="130">
        <v>460.0</v>
      </c>
      <c r="E769" s="249">
        <v>15.18</v>
      </c>
      <c r="F769" s="136">
        <v>1009.0</v>
      </c>
      <c r="G769" s="739">
        <v>33.27165556920087</v>
      </c>
      <c r="H769" s="799">
        <v>167.0</v>
      </c>
      <c r="I769" s="799">
        <v>152.0</v>
      </c>
      <c r="J769" s="563">
        <v>4.91</v>
      </c>
      <c r="K769" s="1"/>
      <c r="L769" s="1"/>
      <c r="M769" s="1"/>
      <c r="N769" s="1"/>
      <c r="O769" s="1"/>
      <c r="P769" s="1"/>
      <c r="Q769" s="1"/>
      <c r="R769" s="1"/>
      <c r="S769" s="1"/>
      <c r="T769" s="1"/>
      <c r="U769" s="1"/>
      <c r="V769" s="1"/>
      <c r="W769" s="1"/>
      <c r="X769" s="1"/>
      <c r="Y769" s="1"/>
      <c r="Z769" s="1"/>
    </row>
    <row r="770" ht="10.5" customHeight="1">
      <c r="A770" s="1"/>
      <c r="B770" s="48" t="s">
        <v>90</v>
      </c>
      <c r="C770" s="130">
        <v>487.0</v>
      </c>
      <c r="D770" s="130">
        <v>485.0</v>
      </c>
      <c r="E770" s="249">
        <v>15.65</v>
      </c>
      <c r="F770" s="136">
        <v>1004.0</v>
      </c>
      <c r="G770" s="739">
        <v>32.37412878533506</v>
      </c>
      <c r="H770" s="799">
        <v>167.0</v>
      </c>
      <c r="I770" s="799">
        <v>153.0</v>
      </c>
      <c r="J770" s="563">
        <v>4.84</v>
      </c>
      <c r="K770" s="1"/>
      <c r="L770" s="1"/>
      <c r="M770" s="1"/>
      <c r="N770" s="1"/>
      <c r="O770" s="1"/>
      <c r="P770" s="1"/>
      <c r="Q770" s="1"/>
      <c r="R770" s="1"/>
      <c r="S770" s="1"/>
      <c r="T770" s="1"/>
      <c r="U770" s="1"/>
      <c r="V770" s="1"/>
      <c r="W770" s="1"/>
      <c r="X770" s="1"/>
      <c r="Y770" s="1"/>
      <c r="Z770" s="1"/>
    </row>
    <row r="771" ht="10.5" customHeight="1">
      <c r="A771" s="1"/>
      <c r="B771" s="48"/>
      <c r="C771" s="130"/>
      <c r="D771" s="130"/>
      <c r="E771" s="249"/>
      <c r="F771" s="136"/>
      <c r="G771" s="563"/>
      <c r="H771" s="799"/>
      <c r="I771" s="799"/>
      <c r="J771" s="563"/>
      <c r="K771" s="1"/>
      <c r="L771" s="1"/>
      <c r="M771" s="1"/>
      <c r="N771" s="1"/>
      <c r="O771" s="1"/>
      <c r="P771" s="1"/>
      <c r="Q771" s="1"/>
      <c r="R771" s="1"/>
      <c r="S771" s="1"/>
      <c r="T771" s="1"/>
      <c r="U771" s="1"/>
      <c r="V771" s="1"/>
      <c r="W771" s="1"/>
      <c r="X771" s="1"/>
      <c r="Y771" s="1"/>
      <c r="Z771" s="1"/>
    </row>
    <row r="772" ht="10.5" customHeight="1">
      <c r="A772" s="1"/>
      <c r="B772" s="48" t="s">
        <v>93</v>
      </c>
      <c r="C772" s="130">
        <v>474.0</v>
      </c>
      <c r="D772" s="130">
        <v>474.0</v>
      </c>
      <c r="E772" s="249">
        <v>14.96</v>
      </c>
      <c r="F772" s="136">
        <v>939.0</v>
      </c>
      <c r="G772" s="739">
        <v>29.632740514708303</v>
      </c>
      <c r="H772" s="799">
        <v>171.0</v>
      </c>
      <c r="I772" s="799">
        <v>160.0</v>
      </c>
      <c r="J772" s="563">
        <v>4.94</v>
      </c>
      <c r="K772" s="1"/>
      <c r="L772" s="1"/>
      <c r="M772" s="1"/>
      <c r="N772" s="1"/>
      <c r="O772" s="1"/>
      <c r="P772" s="1"/>
      <c r="Q772" s="1"/>
      <c r="R772" s="1"/>
      <c r="S772" s="1"/>
      <c r="T772" s="1"/>
      <c r="U772" s="1"/>
      <c r="V772" s="1"/>
      <c r="W772" s="1"/>
      <c r="X772" s="1"/>
      <c r="Y772" s="1"/>
      <c r="Z772" s="1"/>
    </row>
    <row r="773" ht="10.5" customHeight="1">
      <c r="A773" s="1"/>
      <c r="B773" s="48" t="s">
        <v>97</v>
      </c>
      <c r="C773" s="130">
        <v>498.0</v>
      </c>
      <c r="D773" s="130">
        <v>500.0</v>
      </c>
      <c r="E773" s="249">
        <v>15.43</v>
      </c>
      <c r="F773" s="136">
        <v>943.0</v>
      </c>
      <c r="G773" s="739">
        <v>29.107600346926425</v>
      </c>
      <c r="H773" s="799">
        <v>193.0</v>
      </c>
      <c r="I773" s="799">
        <v>183.0</v>
      </c>
      <c r="J773" s="563">
        <v>5.52</v>
      </c>
      <c r="K773" s="1"/>
      <c r="L773" s="1"/>
      <c r="M773" s="1"/>
      <c r="N773" s="1"/>
      <c r="O773" s="1"/>
      <c r="P773" s="1"/>
      <c r="Q773" s="1"/>
      <c r="R773" s="1"/>
      <c r="S773" s="1"/>
      <c r="T773" s="1"/>
      <c r="U773" s="1"/>
      <c r="V773" s="1"/>
      <c r="W773" s="1"/>
      <c r="X773" s="1"/>
      <c r="Y773" s="1"/>
      <c r="Z773" s="1"/>
    </row>
    <row r="774" ht="10.5" customHeight="1">
      <c r="A774" s="1"/>
      <c r="B774" s="48" t="s">
        <v>101</v>
      </c>
      <c r="C774" s="130">
        <v>541.0</v>
      </c>
      <c r="D774" s="130">
        <v>539.0</v>
      </c>
      <c r="E774" s="249">
        <v>16.26</v>
      </c>
      <c r="F774" s="136">
        <v>896.0</v>
      </c>
      <c r="G774" s="739">
        <v>27.056031558547794</v>
      </c>
      <c r="H774" s="799">
        <v>213.0</v>
      </c>
      <c r="I774" s="799">
        <v>201.0</v>
      </c>
      <c r="J774" s="563">
        <v>5.92</v>
      </c>
      <c r="K774" s="1"/>
      <c r="L774" s="1"/>
      <c r="M774" s="1"/>
      <c r="N774" s="1"/>
      <c r="O774" s="1"/>
      <c r="P774" s="1"/>
      <c r="Q774" s="1"/>
      <c r="R774" s="1"/>
      <c r="S774" s="1"/>
      <c r="T774" s="1"/>
      <c r="U774" s="1"/>
      <c r="V774" s="1"/>
      <c r="W774" s="1"/>
      <c r="X774" s="1"/>
      <c r="Y774" s="1"/>
      <c r="Z774" s="1"/>
    </row>
    <row r="775" ht="10.5" customHeight="1">
      <c r="A775" s="1"/>
      <c r="B775" s="48" t="s">
        <v>103</v>
      </c>
      <c r="C775" s="130">
        <v>582.0</v>
      </c>
      <c r="D775" s="130">
        <v>581.0</v>
      </c>
      <c r="E775" s="249">
        <v>17.14</v>
      </c>
      <c r="F775" s="136">
        <v>899.0</v>
      </c>
      <c r="G775" s="739">
        <v>26.53262685771257</v>
      </c>
      <c r="H775" s="799">
        <v>219.0</v>
      </c>
      <c r="I775" s="799">
        <v>205.0</v>
      </c>
      <c r="J775" s="563">
        <v>5.93</v>
      </c>
      <c r="K775" s="1"/>
      <c r="L775" s="1"/>
      <c r="M775" s="1"/>
      <c r="N775" s="1"/>
      <c r="O775" s="1"/>
      <c r="P775" s="1"/>
      <c r="Q775" s="1"/>
      <c r="R775" s="1"/>
      <c r="S775" s="1"/>
      <c r="T775" s="1"/>
      <c r="U775" s="1"/>
      <c r="V775" s="1"/>
      <c r="W775" s="1"/>
      <c r="X775" s="1"/>
      <c r="Y775" s="1"/>
      <c r="Z775" s="1"/>
    </row>
    <row r="776" ht="10.5" customHeight="1">
      <c r="A776" s="1"/>
      <c r="B776" s="48" t="s">
        <v>104</v>
      </c>
      <c r="C776" s="130">
        <v>609.0</v>
      </c>
      <c r="D776" s="130">
        <v>605.0</v>
      </c>
      <c r="E776" s="249">
        <v>17.46</v>
      </c>
      <c r="F776" s="136">
        <v>977.0</v>
      </c>
      <c r="G776" s="739">
        <v>28.218009548949905</v>
      </c>
      <c r="H776" s="799">
        <v>224.0</v>
      </c>
      <c r="I776" s="799">
        <v>209.0</v>
      </c>
      <c r="J776" s="563">
        <v>5.91</v>
      </c>
      <c r="K776" s="1"/>
      <c r="L776" s="1"/>
      <c r="M776" s="1"/>
      <c r="N776" s="1"/>
      <c r="O776" s="1"/>
      <c r="P776" s="1"/>
      <c r="Q776" s="1"/>
      <c r="R776" s="1"/>
      <c r="S776" s="1"/>
      <c r="T776" s="1"/>
      <c r="U776" s="1"/>
      <c r="V776" s="1"/>
      <c r="W776" s="1"/>
      <c r="X776" s="1"/>
      <c r="Y776" s="1"/>
      <c r="Z776" s="1"/>
    </row>
    <row r="777" ht="10.5" customHeight="1">
      <c r="A777" s="1"/>
      <c r="B777" s="48"/>
      <c r="C777" s="130"/>
      <c r="D777" s="130"/>
      <c r="E777" s="249"/>
      <c r="F777" s="136"/>
      <c r="G777" s="563"/>
      <c r="H777" s="799"/>
      <c r="I777" s="799"/>
      <c r="J777" s="563"/>
      <c r="K777" s="1"/>
      <c r="L777" s="1"/>
      <c r="M777" s="1"/>
      <c r="N777" s="1"/>
      <c r="O777" s="1"/>
      <c r="P777" s="1"/>
      <c r="Q777" s="1"/>
      <c r="R777" s="1"/>
      <c r="S777" s="1"/>
      <c r="T777" s="1"/>
      <c r="U777" s="1"/>
      <c r="V777" s="1"/>
      <c r="W777" s="1"/>
      <c r="X777" s="1"/>
      <c r="Y777" s="1"/>
      <c r="Z777" s="1"/>
    </row>
    <row r="778" ht="10.5" customHeight="1">
      <c r="A778" s="1"/>
      <c r="B778" s="48" t="s">
        <v>108</v>
      </c>
      <c r="C778" s="130">
        <v>593.0</v>
      </c>
      <c r="D778" s="130">
        <v>593.0</v>
      </c>
      <c r="E778" s="249">
        <v>16.74</v>
      </c>
      <c r="F778" s="136">
        <v>1050.0</v>
      </c>
      <c r="G778" s="739">
        <v>29.663939714770844</v>
      </c>
      <c r="H778" s="799">
        <v>232.0</v>
      </c>
      <c r="I778" s="799">
        <v>214.0</v>
      </c>
      <c r="J778" s="563">
        <v>5.91</v>
      </c>
      <c r="K778" s="1"/>
      <c r="L778" s="1"/>
      <c r="M778" s="1"/>
      <c r="N778" s="1"/>
      <c r="O778" s="1"/>
      <c r="P778" s="1"/>
      <c r="Q778" s="1"/>
      <c r="R778" s="1"/>
      <c r="S778" s="1"/>
      <c r="T778" s="1"/>
      <c r="U778" s="1"/>
      <c r="V778" s="1"/>
      <c r="W778" s="1"/>
      <c r="X778" s="1"/>
      <c r="Y778" s="1"/>
      <c r="Z778" s="1"/>
    </row>
    <row r="779" ht="10.5" customHeight="1">
      <c r="A779" s="1"/>
      <c r="B779" s="48" t="s">
        <v>111</v>
      </c>
      <c r="C779" s="130">
        <v>564.0</v>
      </c>
      <c r="D779" s="130">
        <v>571.0</v>
      </c>
      <c r="E779" s="249">
        <v>15.77</v>
      </c>
      <c r="F779" s="136">
        <v>1052.0</v>
      </c>
      <c r="G779" s="739">
        <v>29.05556080936852</v>
      </c>
      <c r="H779" s="799">
        <v>238.0</v>
      </c>
      <c r="I779" s="799">
        <v>223.0</v>
      </c>
      <c r="J779" s="563">
        <v>6.02</v>
      </c>
      <c r="K779" s="1"/>
      <c r="L779" s="1"/>
      <c r="M779" s="1"/>
      <c r="N779" s="1"/>
      <c r="O779" s="1"/>
      <c r="P779" s="1"/>
      <c r="Q779" s="1"/>
      <c r="R779" s="1"/>
      <c r="S779" s="1"/>
      <c r="T779" s="1"/>
      <c r="U779" s="1"/>
      <c r="V779" s="1"/>
      <c r="W779" s="1"/>
      <c r="X779" s="1"/>
      <c r="Y779" s="1"/>
      <c r="Z779" s="1"/>
    </row>
    <row r="780" ht="10.5" customHeight="1">
      <c r="A780" s="1"/>
      <c r="B780" s="48" t="s">
        <v>112</v>
      </c>
      <c r="C780" s="130">
        <v>577.0</v>
      </c>
      <c r="D780" s="130">
        <v>580.0</v>
      </c>
      <c r="E780" s="249">
        <v>15.67</v>
      </c>
      <c r="F780" s="136">
        <v>1036.0</v>
      </c>
      <c r="G780" s="739">
        <v>28.004554541533523</v>
      </c>
      <c r="H780" s="799">
        <v>235.0</v>
      </c>
      <c r="I780" s="799">
        <v>218.0</v>
      </c>
      <c r="J780" s="563">
        <v>5.76</v>
      </c>
      <c r="K780" s="1"/>
      <c r="L780" s="1"/>
      <c r="M780" s="1"/>
      <c r="N780" s="1"/>
      <c r="O780" s="1"/>
      <c r="P780" s="1"/>
      <c r="Q780" s="1"/>
      <c r="R780" s="1"/>
      <c r="S780" s="1"/>
      <c r="T780" s="1"/>
      <c r="U780" s="1"/>
      <c r="V780" s="1"/>
      <c r="W780" s="1"/>
      <c r="X780" s="1"/>
      <c r="Y780" s="1"/>
      <c r="Z780" s="1"/>
    </row>
    <row r="781" ht="10.5" customHeight="1">
      <c r="A781" s="1"/>
      <c r="B781" s="48" t="s">
        <v>113</v>
      </c>
      <c r="C781" s="130">
        <v>607.0</v>
      </c>
      <c r="D781" s="130">
        <v>609.0</v>
      </c>
      <c r="E781" s="249">
        <v>16.11</v>
      </c>
      <c r="F781" s="136">
        <v>940.0</v>
      </c>
      <c r="G781" s="739">
        <v>24.87842376167922</v>
      </c>
      <c r="H781" s="799">
        <v>251.0</v>
      </c>
      <c r="I781" s="799">
        <v>233.0</v>
      </c>
      <c r="J781" s="563">
        <v>6.04</v>
      </c>
      <c r="K781" s="1"/>
      <c r="L781" s="1"/>
      <c r="M781" s="1"/>
      <c r="N781" s="1"/>
      <c r="O781" s="1"/>
      <c r="P781" s="1"/>
      <c r="Q781" s="1"/>
      <c r="R781" s="1"/>
      <c r="S781" s="1"/>
      <c r="T781" s="1"/>
      <c r="U781" s="1"/>
      <c r="V781" s="1"/>
      <c r="W781" s="1"/>
      <c r="X781" s="1"/>
      <c r="Y781" s="1"/>
      <c r="Z781" s="1"/>
    </row>
    <row r="782" ht="10.5" customHeight="1">
      <c r="A782" s="1"/>
      <c r="B782" s="48" t="s">
        <v>114</v>
      </c>
      <c r="C782" s="130">
        <v>647.0</v>
      </c>
      <c r="D782" s="130">
        <v>662.0</v>
      </c>
      <c r="E782" s="249">
        <v>17.13</v>
      </c>
      <c r="F782" s="136">
        <v>829.0</v>
      </c>
      <c r="G782" s="739">
        <v>21.46188226631159</v>
      </c>
      <c r="H782" s="799">
        <v>290.0</v>
      </c>
      <c r="I782" s="799">
        <v>272.0</v>
      </c>
      <c r="J782" s="563">
        <v>6.9</v>
      </c>
      <c r="K782" s="1"/>
      <c r="L782" s="1"/>
      <c r="M782" s="1"/>
      <c r="N782" s="1"/>
      <c r="O782" s="1"/>
      <c r="P782" s="1"/>
      <c r="Q782" s="1"/>
      <c r="R782" s="1"/>
      <c r="S782" s="1"/>
      <c r="T782" s="1"/>
      <c r="U782" s="1"/>
      <c r="V782" s="1"/>
      <c r="W782" s="1"/>
      <c r="X782" s="1"/>
      <c r="Y782" s="1"/>
      <c r="Z782" s="1"/>
    </row>
    <row r="783" ht="10.5" customHeight="1">
      <c r="A783" s="1"/>
      <c r="B783" s="48"/>
      <c r="C783" s="130"/>
      <c r="D783" s="130"/>
      <c r="E783" s="249"/>
      <c r="F783" s="136"/>
      <c r="G783" s="563"/>
      <c r="H783" s="799"/>
      <c r="I783" s="799"/>
      <c r="J783" s="563"/>
      <c r="K783" s="1"/>
      <c r="L783" s="1"/>
      <c r="M783" s="1"/>
      <c r="N783" s="1"/>
      <c r="O783" s="1"/>
      <c r="P783" s="1"/>
      <c r="Q783" s="1"/>
      <c r="R783" s="1"/>
      <c r="S783" s="1"/>
      <c r="T783" s="1"/>
      <c r="U783" s="1"/>
      <c r="V783" s="1"/>
      <c r="W783" s="1"/>
      <c r="X783" s="1"/>
      <c r="Y783" s="1"/>
      <c r="Z783" s="1"/>
    </row>
    <row r="784" ht="10.5" customHeight="1">
      <c r="A784" s="1"/>
      <c r="B784" s="48" t="s">
        <v>115</v>
      </c>
      <c r="C784" s="130">
        <v>699.0</v>
      </c>
      <c r="D784" s="130">
        <v>736.0</v>
      </c>
      <c r="E784" s="249">
        <v>18.65</v>
      </c>
      <c r="F784" s="136">
        <v>865.0</v>
      </c>
      <c r="G784" s="739">
        <v>21.920984809383167</v>
      </c>
      <c r="H784" s="799">
        <v>282.0</v>
      </c>
      <c r="I784" s="799">
        <v>263.0</v>
      </c>
      <c r="J784" s="563">
        <v>6.49</v>
      </c>
      <c r="K784" s="1"/>
      <c r="L784" s="1"/>
      <c r="M784" s="1"/>
      <c r="N784" s="1"/>
      <c r="O784" s="1"/>
      <c r="P784" s="1"/>
      <c r="Q784" s="1"/>
      <c r="R784" s="1"/>
      <c r="S784" s="1"/>
      <c r="T784" s="1"/>
      <c r="U784" s="1"/>
      <c r="V784" s="1"/>
      <c r="W784" s="1"/>
      <c r="X784" s="1"/>
      <c r="Y784" s="1"/>
      <c r="Z784" s="1"/>
    </row>
    <row r="785" ht="10.5" customHeight="1">
      <c r="A785" s="1"/>
      <c r="B785" s="48" t="s">
        <v>117</v>
      </c>
      <c r="C785" s="130">
        <v>753.0</v>
      </c>
      <c r="D785" s="130">
        <v>826.0</v>
      </c>
      <c r="E785" s="249">
        <v>20.34</v>
      </c>
      <c r="F785" s="136">
        <v>849.0</v>
      </c>
      <c r="G785" s="739">
        <v>20.912709467319207</v>
      </c>
      <c r="H785" s="799">
        <v>314.0</v>
      </c>
      <c r="I785" s="799">
        <v>293.0</v>
      </c>
      <c r="J785" s="563">
        <v>7.11</v>
      </c>
      <c r="K785" s="1"/>
      <c r="L785" s="1"/>
      <c r="M785" s="1"/>
      <c r="N785" s="1"/>
      <c r="O785" s="1"/>
      <c r="P785" s="1"/>
      <c r="Q785" s="1"/>
      <c r="R785" s="1"/>
      <c r="S785" s="1"/>
      <c r="T785" s="1"/>
      <c r="U785" s="1"/>
      <c r="V785" s="1"/>
      <c r="W785" s="1"/>
      <c r="X785" s="1"/>
      <c r="Y785" s="1"/>
      <c r="Z785" s="1"/>
    </row>
    <row r="786" ht="10.5" customHeight="1">
      <c r="A786" s="1"/>
      <c r="B786" s="48" t="s">
        <v>121</v>
      </c>
      <c r="C786" s="130">
        <v>777.0</v>
      </c>
      <c r="D786" s="130">
        <v>854.0</v>
      </c>
      <c r="E786" s="249">
        <v>20.72</v>
      </c>
      <c r="F786" s="136">
        <v>835.0</v>
      </c>
      <c r="G786" s="739">
        <v>20.245760262293615</v>
      </c>
      <c r="H786" s="799">
        <v>323.0</v>
      </c>
      <c r="I786" s="799">
        <v>302.0</v>
      </c>
      <c r="J786" s="563">
        <v>7.16</v>
      </c>
      <c r="K786" s="1"/>
      <c r="L786" s="1"/>
      <c r="M786" s="1"/>
      <c r="N786" s="1"/>
      <c r="O786" s="1"/>
      <c r="P786" s="1"/>
      <c r="Q786" s="1"/>
      <c r="R786" s="1"/>
      <c r="S786" s="1"/>
      <c r="T786" s="1"/>
      <c r="U786" s="1"/>
      <c r="V786" s="1"/>
      <c r="W786" s="1"/>
      <c r="X786" s="1"/>
      <c r="Y786" s="1"/>
      <c r="Z786" s="1"/>
    </row>
    <row r="787" ht="10.5" customHeight="1">
      <c r="A787" s="1"/>
      <c r="B787" s="48" t="s">
        <v>122</v>
      </c>
      <c r="C787" s="130">
        <v>803.0</v>
      </c>
      <c r="D787" s="130">
        <v>874.0</v>
      </c>
      <c r="E787" s="249">
        <v>20.74</v>
      </c>
      <c r="F787" s="136">
        <v>839.0</v>
      </c>
      <c r="G787" s="739">
        <v>19.923566837053915</v>
      </c>
      <c r="H787" s="799">
        <v>318.0</v>
      </c>
      <c r="I787" s="799">
        <v>299.0</v>
      </c>
      <c r="J787" s="563">
        <v>6.95</v>
      </c>
      <c r="K787" s="1"/>
      <c r="L787" s="1"/>
      <c r="M787" s="1"/>
      <c r="N787" s="1"/>
      <c r="O787" s="1"/>
      <c r="P787" s="1"/>
      <c r="Q787" s="1"/>
      <c r="R787" s="1"/>
      <c r="S787" s="1"/>
      <c r="T787" s="1"/>
      <c r="U787" s="1"/>
      <c r="V787" s="1"/>
      <c r="W787" s="1"/>
      <c r="X787" s="1"/>
      <c r="Y787" s="1"/>
      <c r="Z787" s="1"/>
    </row>
    <row r="788" ht="10.5" customHeight="1">
      <c r="A788" s="1"/>
      <c r="B788" s="48" t="s">
        <v>123</v>
      </c>
      <c r="C788" s="130">
        <v>850.0</v>
      </c>
      <c r="D788" s="130">
        <v>927.0</v>
      </c>
      <c r="E788" s="249">
        <v>21.53</v>
      </c>
      <c r="F788" s="136">
        <v>965.0</v>
      </c>
      <c r="G788" s="739">
        <v>22.41814186378734</v>
      </c>
      <c r="H788" s="799">
        <v>329.0</v>
      </c>
      <c r="I788" s="799">
        <v>310.0</v>
      </c>
      <c r="J788" s="563">
        <v>7.09</v>
      </c>
      <c r="K788" s="1"/>
      <c r="L788" s="1"/>
      <c r="M788" s="1"/>
      <c r="N788" s="1"/>
      <c r="O788" s="1"/>
      <c r="P788" s="1"/>
      <c r="Q788" s="1"/>
      <c r="R788" s="1"/>
      <c r="S788" s="1"/>
      <c r="T788" s="1"/>
      <c r="U788" s="1"/>
      <c r="V788" s="1"/>
      <c r="W788" s="1"/>
      <c r="X788" s="1"/>
      <c r="Y788" s="1"/>
      <c r="Z788" s="1"/>
    </row>
    <row r="789" ht="10.5" customHeight="1">
      <c r="A789" s="1"/>
      <c r="B789" s="48"/>
      <c r="C789" s="130"/>
      <c r="D789" s="130"/>
      <c r="E789" s="249"/>
      <c r="F789" s="136"/>
      <c r="G789" s="563"/>
      <c r="H789" s="799"/>
      <c r="I789" s="799"/>
      <c r="J789" s="563"/>
      <c r="K789" s="1"/>
      <c r="L789" s="1"/>
      <c r="M789" s="1"/>
      <c r="N789" s="1"/>
      <c r="O789" s="1"/>
      <c r="P789" s="1"/>
      <c r="Q789" s="1"/>
      <c r="R789" s="1"/>
      <c r="S789" s="1"/>
      <c r="T789" s="1"/>
      <c r="U789" s="1"/>
      <c r="V789" s="1"/>
      <c r="W789" s="1"/>
      <c r="X789" s="1"/>
      <c r="Y789" s="1"/>
      <c r="Z789" s="1"/>
    </row>
    <row r="790" ht="10.5" customHeight="1">
      <c r="A790" s="1"/>
      <c r="B790" s="48" t="s">
        <v>125</v>
      </c>
      <c r="C790" s="130">
        <v>869.0</v>
      </c>
      <c r="D790" s="130">
        <v>938.0</v>
      </c>
      <c r="E790" s="249">
        <v>21.48</v>
      </c>
      <c r="F790" s="136">
        <v>828.0</v>
      </c>
      <c r="G790" s="739">
        <v>18.955396939614722</v>
      </c>
      <c r="H790" s="799">
        <v>330.0</v>
      </c>
      <c r="I790" s="799">
        <v>308.0</v>
      </c>
      <c r="J790" s="563">
        <v>6.92</v>
      </c>
      <c r="K790" s="1"/>
      <c r="L790" s="1"/>
      <c r="M790" s="1"/>
      <c r="N790" s="1"/>
      <c r="O790" s="1"/>
      <c r="P790" s="1"/>
      <c r="Q790" s="1"/>
      <c r="R790" s="1"/>
      <c r="S790" s="1"/>
      <c r="T790" s="1"/>
      <c r="U790" s="1"/>
      <c r="V790" s="1"/>
      <c r="W790" s="1"/>
      <c r="X790" s="1"/>
      <c r="Y790" s="1"/>
      <c r="Z790" s="1"/>
    </row>
    <row r="791" ht="10.5" customHeight="1">
      <c r="A791" s="1"/>
      <c r="B791" s="48" t="s">
        <v>127</v>
      </c>
      <c r="C791" s="130">
        <v>896.0</v>
      </c>
      <c r="D791" s="216">
        <v>965.0</v>
      </c>
      <c r="E791" s="252">
        <v>21.65</v>
      </c>
      <c r="F791" s="169">
        <v>871.0</v>
      </c>
      <c r="G791" s="739">
        <v>19.547310000179646</v>
      </c>
      <c r="H791" s="458">
        <v>340.0</v>
      </c>
      <c r="I791" s="458">
        <v>313.0</v>
      </c>
      <c r="J791" s="563">
        <v>6.88</v>
      </c>
      <c r="K791" s="1"/>
      <c r="L791" s="1"/>
      <c r="M791" s="1"/>
      <c r="N791" s="1"/>
      <c r="O791" s="1"/>
      <c r="P791" s="1"/>
      <c r="Q791" s="1"/>
      <c r="R791" s="1"/>
      <c r="S791" s="1"/>
      <c r="T791" s="1"/>
      <c r="U791" s="1"/>
      <c r="V791" s="1"/>
      <c r="W791" s="1"/>
      <c r="X791" s="1"/>
      <c r="Y791" s="1"/>
      <c r="Z791" s="1"/>
    </row>
    <row r="792" ht="10.5" customHeight="1">
      <c r="A792" s="1"/>
      <c r="B792" s="48" t="s">
        <v>128</v>
      </c>
      <c r="C792" s="130">
        <v>925.0</v>
      </c>
      <c r="D792" s="216">
        <v>1032.0</v>
      </c>
      <c r="E792" s="252">
        <v>22.71</v>
      </c>
      <c r="F792" s="169">
        <v>935.0</v>
      </c>
      <c r="G792" s="739">
        <v>20.58</v>
      </c>
      <c r="H792" s="458">
        <v>328.0</v>
      </c>
      <c r="I792" s="458">
        <v>305.0</v>
      </c>
      <c r="J792" s="563">
        <v>6.57</v>
      </c>
      <c r="K792" s="1"/>
      <c r="L792" s="1"/>
      <c r="M792" s="1"/>
      <c r="N792" s="1"/>
      <c r="O792" s="1"/>
      <c r="P792" s="1"/>
      <c r="Q792" s="1"/>
      <c r="R792" s="1"/>
      <c r="S792" s="1"/>
      <c r="T792" s="1"/>
      <c r="U792" s="1"/>
      <c r="V792" s="1"/>
      <c r="W792" s="1"/>
      <c r="X792" s="1"/>
      <c r="Y792" s="1"/>
      <c r="Z792" s="1"/>
    </row>
    <row r="793" ht="10.5" customHeight="1">
      <c r="A793" s="1"/>
      <c r="B793" s="48" t="s">
        <v>129</v>
      </c>
      <c r="C793" s="216">
        <v>1043.0</v>
      </c>
      <c r="D793" s="216">
        <v>1196.0</v>
      </c>
      <c r="E793" s="252">
        <v>25.76</v>
      </c>
      <c r="F793" s="169">
        <v>1002.0</v>
      </c>
      <c r="G793" s="739">
        <v>21.58791978977065</v>
      </c>
      <c r="H793" s="458">
        <v>348.0</v>
      </c>
      <c r="I793" s="458">
        <v>329.0</v>
      </c>
      <c r="J793" s="563">
        <v>7.06</v>
      </c>
      <c r="K793" s="1"/>
      <c r="L793" s="1"/>
      <c r="M793" s="1"/>
      <c r="N793" s="1"/>
      <c r="O793" s="1"/>
      <c r="P793" s="1"/>
      <c r="Q793" s="1"/>
      <c r="R793" s="1"/>
      <c r="S793" s="1"/>
      <c r="T793" s="1"/>
      <c r="U793" s="1"/>
      <c r="V793" s="1"/>
      <c r="W793" s="1"/>
      <c r="X793" s="1"/>
      <c r="Y793" s="1"/>
      <c r="Z793" s="1"/>
    </row>
    <row r="794" ht="10.5" customHeight="1">
      <c r="A794" s="1"/>
      <c r="B794" s="85" t="s">
        <v>130</v>
      </c>
      <c r="C794" s="216">
        <v>1273.0</v>
      </c>
      <c r="D794" s="216">
        <v>1455.0</v>
      </c>
      <c r="E794" s="252">
        <v>31.23</v>
      </c>
      <c r="F794" s="169">
        <v>1073.0</v>
      </c>
      <c r="G794" s="739">
        <v>23.02</v>
      </c>
      <c r="H794" s="458">
        <v>375.0</v>
      </c>
      <c r="I794" s="458">
        <v>357.0</v>
      </c>
      <c r="J794" s="461">
        <v>7.61</v>
      </c>
      <c r="K794" s="1"/>
      <c r="L794" s="1"/>
      <c r="M794" s="1"/>
      <c r="N794" s="1"/>
      <c r="O794" s="1"/>
      <c r="P794" s="1"/>
      <c r="Q794" s="1"/>
      <c r="R794" s="1"/>
      <c r="S794" s="1"/>
      <c r="T794" s="1"/>
      <c r="U794" s="1"/>
      <c r="V794" s="1"/>
      <c r="W794" s="1"/>
      <c r="X794" s="1"/>
      <c r="Y794" s="1"/>
      <c r="Z794" s="1"/>
    </row>
    <row r="795" ht="10.5" customHeight="1">
      <c r="A795" s="1"/>
      <c r="B795" s="48"/>
      <c r="C795" s="216"/>
      <c r="D795" s="216"/>
      <c r="E795" s="252"/>
      <c r="F795" s="169"/>
      <c r="G795" s="461"/>
      <c r="H795" s="458"/>
      <c r="I795" s="458"/>
      <c r="J795" s="461"/>
      <c r="K795" s="1"/>
      <c r="L795" s="1"/>
      <c r="M795" s="1"/>
      <c r="N795" s="1"/>
      <c r="O795" s="1"/>
      <c r="P795" s="1"/>
      <c r="Q795" s="1"/>
      <c r="R795" s="1"/>
      <c r="S795" s="1"/>
      <c r="T795" s="1"/>
      <c r="U795" s="1"/>
      <c r="V795" s="1"/>
      <c r="W795" s="1"/>
      <c r="X795" s="1"/>
      <c r="Y795" s="1"/>
      <c r="Z795" s="1"/>
    </row>
    <row r="796" ht="10.5" customHeight="1">
      <c r="A796" s="1"/>
      <c r="B796" s="48" t="s">
        <v>131</v>
      </c>
      <c r="C796" s="216">
        <v>1427.0</v>
      </c>
      <c r="D796" s="216">
        <v>1664.0</v>
      </c>
      <c r="E796" s="252">
        <v>35.48</v>
      </c>
      <c r="F796" s="169">
        <v>1194.0</v>
      </c>
      <c r="G796" s="739">
        <v>25.46</v>
      </c>
      <c r="H796" s="458">
        <v>412.0</v>
      </c>
      <c r="I796" s="458">
        <v>392.0</v>
      </c>
      <c r="J796" s="461">
        <v>8.26</v>
      </c>
      <c r="K796" s="1"/>
      <c r="L796" s="1"/>
      <c r="M796" s="1"/>
      <c r="N796" s="1"/>
      <c r="O796" s="1"/>
      <c r="P796" s="1"/>
      <c r="Q796" s="1"/>
      <c r="R796" s="1"/>
      <c r="S796" s="1"/>
      <c r="T796" s="1"/>
      <c r="U796" s="1"/>
      <c r="V796" s="1"/>
      <c r="W796" s="1"/>
      <c r="X796" s="1"/>
      <c r="Y796" s="1"/>
      <c r="Z796" s="1"/>
    </row>
    <row r="797" ht="10.5" customHeight="1">
      <c r="A797" s="1"/>
      <c r="B797" s="293">
        <v>38899.0</v>
      </c>
      <c r="C797" s="216">
        <v>1499.0</v>
      </c>
      <c r="D797" s="216">
        <v>1767.0</v>
      </c>
      <c r="E797" s="252">
        <v>37.28</v>
      </c>
      <c r="F797" s="169">
        <v>1273.0</v>
      </c>
      <c r="G797" s="739">
        <v>26.87</v>
      </c>
      <c r="H797" s="458">
        <v>438.0</v>
      </c>
      <c r="I797" s="458">
        <v>416.0</v>
      </c>
      <c r="J797" s="461">
        <v>8.7</v>
      </c>
      <c r="K797" s="1"/>
      <c r="L797" s="1"/>
      <c r="M797" s="1"/>
      <c r="N797" s="1"/>
      <c r="O797" s="1"/>
      <c r="P797" s="1"/>
      <c r="Q797" s="1"/>
      <c r="R797" s="1"/>
      <c r="S797" s="1"/>
      <c r="T797" s="1"/>
      <c r="U797" s="1"/>
      <c r="V797" s="1"/>
      <c r="W797" s="1"/>
      <c r="X797" s="1"/>
      <c r="Y797" s="1"/>
      <c r="Z797" s="1"/>
    </row>
    <row r="798" ht="10.5" customHeight="1">
      <c r="A798" s="1"/>
      <c r="B798" s="293">
        <v>39295.0</v>
      </c>
      <c r="C798" s="216">
        <v>1584.0</v>
      </c>
      <c r="D798" s="216">
        <v>1813.0</v>
      </c>
      <c r="E798" s="252">
        <v>37.89</v>
      </c>
      <c r="F798" s="169">
        <v>1154.0</v>
      </c>
      <c r="G798" s="739">
        <v>24.12</v>
      </c>
      <c r="H798" s="458">
        <v>426.0</v>
      </c>
      <c r="I798" s="458">
        <v>404.0</v>
      </c>
      <c r="J798" s="461">
        <v>8.3</v>
      </c>
      <c r="K798" s="1"/>
      <c r="L798" s="1"/>
      <c r="M798" s="1"/>
      <c r="N798" s="1"/>
      <c r="O798" s="1"/>
      <c r="P798" s="1"/>
      <c r="Q798" s="1"/>
      <c r="R798" s="1"/>
      <c r="S798" s="1"/>
      <c r="T798" s="1"/>
      <c r="U798" s="1"/>
      <c r="V798" s="1"/>
      <c r="W798" s="1"/>
      <c r="X798" s="1"/>
      <c r="Y798" s="1"/>
      <c r="Z798" s="1"/>
    </row>
    <row r="799" ht="10.5" customHeight="1">
      <c r="A799" s="1"/>
      <c r="B799" s="293">
        <v>39692.0</v>
      </c>
      <c r="C799" s="216">
        <v>1644.0</v>
      </c>
      <c r="D799" s="216">
        <v>1841.0</v>
      </c>
      <c r="E799" s="252">
        <v>37.81</v>
      </c>
      <c r="F799" s="169">
        <v>1162.0</v>
      </c>
      <c r="G799" s="739">
        <v>23.87</v>
      </c>
      <c r="H799" s="458">
        <v>404.0</v>
      </c>
      <c r="I799" s="458">
        <v>379.0</v>
      </c>
      <c r="J799" s="461">
        <v>7.69</v>
      </c>
      <c r="K799" s="1"/>
      <c r="L799" s="1"/>
      <c r="M799" s="1"/>
      <c r="N799" s="1"/>
      <c r="O799" s="1"/>
      <c r="P799" s="1"/>
      <c r="Q799" s="1"/>
      <c r="R799" s="1"/>
      <c r="S799" s="1"/>
      <c r="T799" s="1"/>
      <c r="U799" s="1"/>
      <c r="V799" s="1"/>
      <c r="W799" s="1"/>
      <c r="X799" s="1"/>
      <c r="Y799" s="1"/>
      <c r="Z799" s="1"/>
    </row>
    <row r="800" ht="10.5" customHeight="1">
      <c r="A800" s="1"/>
      <c r="B800" s="293">
        <v>40087.0</v>
      </c>
      <c r="C800" s="216">
        <v>1681.0</v>
      </c>
      <c r="D800" s="216">
        <v>1887.0</v>
      </c>
      <c r="E800" s="252">
        <v>38.25</v>
      </c>
      <c r="F800" s="169">
        <v>1269.0</v>
      </c>
      <c r="G800" s="739">
        <v>25.74</v>
      </c>
      <c r="H800" s="458">
        <v>413.0</v>
      </c>
      <c r="I800" s="458">
        <v>386.0</v>
      </c>
      <c r="J800" s="461">
        <v>7.72</v>
      </c>
      <c r="K800" s="1"/>
      <c r="L800" s="1"/>
      <c r="M800" s="1"/>
      <c r="N800" s="1"/>
      <c r="O800" s="1"/>
      <c r="P800" s="1"/>
      <c r="Q800" s="1"/>
      <c r="R800" s="1"/>
      <c r="S800" s="1"/>
      <c r="T800" s="1"/>
      <c r="U800" s="1"/>
      <c r="V800" s="1"/>
      <c r="W800" s="1"/>
      <c r="X800" s="1"/>
      <c r="Y800" s="1"/>
      <c r="Z800" s="1"/>
    </row>
    <row r="801" ht="10.5" customHeight="1">
      <c r="A801" s="1"/>
      <c r="B801" s="293"/>
      <c r="C801" s="216"/>
      <c r="D801" s="216"/>
      <c r="E801" s="252"/>
      <c r="F801" s="169"/>
      <c r="G801" s="461"/>
      <c r="H801" s="458"/>
      <c r="I801" s="458"/>
      <c r="J801" s="461"/>
      <c r="K801" s="1"/>
      <c r="L801" s="1"/>
      <c r="M801" s="1"/>
      <c r="N801" s="1"/>
      <c r="O801" s="1"/>
      <c r="P801" s="1"/>
      <c r="Q801" s="1"/>
      <c r="R801" s="1"/>
      <c r="S801" s="1"/>
      <c r="T801" s="1"/>
      <c r="U801" s="1"/>
      <c r="V801" s="1"/>
      <c r="W801" s="1"/>
      <c r="X801" s="1"/>
      <c r="Y801" s="1"/>
      <c r="Z801" s="1"/>
    </row>
    <row r="802" ht="10.5" customHeight="1">
      <c r="A802" s="1"/>
      <c r="B802" s="85" t="s">
        <v>139</v>
      </c>
      <c r="C802" s="216">
        <v>1721.0</v>
      </c>
      <c r="D802" s="216">
        <v>1987.0</v>
      </c>
      <c r="E802" s="252">
        <v>39.74</v>
      </c>
      <c r="F802" s="169">
        <v>1266.0</v>
      </c>
      <c r="G802" s="739">
        <v>25.32</v>
      </c>
      <c r="H802" s="216">
        <v>452.0</v>
      </c>
      <c r="I802" s="216">
        <v>426.0</v>
      </c>
      <c r="J802" s="252">
        <v>8.23</v>
      </c>
      <c r="K802" s="1"/>
      <c r="L802" s="1"/>
      <c r="M802" s="1"/>
      <c r="N802" s="1"/>
      <c r="O802" s="1"/>
      <c r="P802" s="1"/>
      <c r="Q802" s="1"/>
      <c r="R802" s="1"/>
      <c r="S802" s="1"/>
      <c r="T802" s="1"/>
      <c r="U802" s="1"/>
      <c r="V802" s="1"/>
      <c r="W802" s="1"/>
      <c r="X802" s="1"/>
      <c r="Y802" s="1"/>
      <c r="Z802" s="1"/>
    </row>
    <row r="803" ht="10.5" customHeight="1">
      <c r="A803" s="1"/>
      <c r="B803" s="85" t="s">
        <v>143</v>
      </c>
      <c r="C803" s="216">
        <v>1681.0</v>
      </c>
      <c r="D803" s="216">
        <v>2048.0</v>
      </c>
      <c r="E803" s="252">
        <v>39.56</v>
      </c>
      <c r="F803" s="169">
        <v>1258.0</v>
      </c>
      <c r="G803" s="739">
        <v>24.3</v>
      </c>
      <c r="H803" s="216">
        <v>477.0</v>
      </c>
      <c r="I803" s="216">
        <v>447.0</v>
      </c>
      <c r="J803" s="252">
        <v>8.56</v>
      </c>
      <c r="K803" s="1"/>
      <c r="L803" s="1"/>
      <c r="M803" s="1"/>
      <c r="N803" s="1"/>
      <c r="O803" s="1"/>
      <c r="P803" s="1"/>
      <c r="Q803" s="1"/>
      <c r="R803" s="1"/>
      <c r="S803" s="1"/>
      <c r="T803" s="1"/>
      <c r="U803" s="1"/>
      <c r="V803" s="1"/>
      <c r="W803" s="1"/>
      <c r="X803" s="1"/>
      <c r="Y803" s="1"/>
      <c r="Z803" s="1"/>
    </row>
    <row r="804" ht="9.75" customHeight="1">
      <c r="A804" s="1"/>
      <c r="B804" s="85" t="s">
        <v>149</v>
      </c>
      <c r="C804" s="216">
        <v>1691.0</v>
      </c>
      <c r="D804" s="216">
        <v>2061.0</v>
      </c>
      <c r="E804" s="252">
        <v>39.41</v>
      </c>
      <c r="F804" s="169">
        <v>1325.0</v>
      </c>
      <c r="G804" s="739">
        <v>25.34</v>
      </c>
      <c r="H804" s="216">
        <v>468.0</v>
      </c>
      <c r="I804" s="216">
        <v>433.0</v>
      </c>
      <c r="J804" s="252">
        <v>8.18</v>
      </c>
      <c r="K804" s="1"/>
      <c r="L804" s="1"/>
      <c r="M804" s="1"/>
      <c r="N804" s="1"/>
      <c r="O804" s="1"/>
      <c r="P804" s="1"/>
      <c r="Q804" s="1"/>
      <c r="R804" s="1"/>
      <c r="S804" s="1"/>
      <c r="T804" s="1"/>
      <c r="U804" s="1"/>
      <c r="V804" s="1"/>
      <c r="W804" s="1"/>
      <c r="X804" s="1"/>
      <c r="Y804" s="1"/>
      <c r="Z804" s="1"/>
    </row>
    <row r="805" ht="9.75" customHeight="1">
      <c r="A805" s="1"/>
      <c r="B805" s="85" t="s">
        <v>151</v>
      </c>
      <c r="C805" s="216">
        <v>1668.0</v>
      </c>
      <c r="D805" s="216">
        <v>2015.0</v>
      </c>
      <c r="E805" s="252">
        <v>38.03</v>
      </c>
      <c r="F805" s="169">
        <v>1405.0</v>
      </c>
      <c r="G805" s="739" t="s">
        <v>1407</v>
      </c>
      <c r="H805" s="216">
        <v>453.0</v>
      </c>
      <c r="I805" s="216">
        <v>418.0</v>
      </c>
      <c r="J805" s="252">
        <v>7.74</v>
      </c>
      <c r="K805" s="1"/>
      <c r="L805" s="1"/>
      <c r="M805" s="1"/>
      <c r="N805" s="1"/>
      <c r="O805" s="1"/>
      <c r="P805" s="1"/>
      <c r="Q805" s="1"/>
      <c r="R805" s="1"/>
      <c r="S805" s="1"/>
      <c r="T805" s="1"/>
      <c r="U805" s="1"/>
      <c r="V805" s="1"/>
      <c r="W805" s="1"/>
      <c r="X805" s="1"/>
      <c r="Y805" s="1"/>
      <c r="Z805" s="1"/>
    </row>
    <row r="806" ht="9.75" customHeight="1">
      <c r="A806" s="1"/>
      <c r="B806" s="85" t="s">
        <v>153</v>
      </c>
      <c r="C806" s="216">
        <v>1709.0</v>
      </c>
      <c r="D806" s="216">
        <v>2076.0</v>
      </c>
      <c r="E806" s="252">
        <v>39.44</v>
      </c>
      <c r="F806" s="169">
        <v>1470.0</v>
      </c>
      <c r="G806" s="739">
        <v>27.22</v>
      </c>
      <c r="H806" s="216">
        <v>477.0</v>
      </c>
      <c r="I806" s="216">
        <v>438.0</v>
      </c>
      <c r="J806" s="252">
        <v>7.96</v>
      </c>
      <c r="K806" s="1"/>
      <c r="L806" s="1"/>
      <c r="M806" s="1"/>
      <c r="N806" s="1"/>
      <c r="O806" s="1"/>
      <c r="P806" s="1"/>
      <c r="Q806" s="1"/>
      <c r="R806" s="1"/>
      <c r="S806" s="1"/>
      <c r="T806" s="1"/>
      <c r="U806" s="1"/>
      <c r="V806" s="1"/>
      <c r="W806" s="1"/>
      <c r="X806" s="1"/>
      <c r="Y806" s="1"/>
      <c r="Z806" s="1"/>
    </row>
    <row r="807" ht="9.75" customHeight="1">
      <c r="A807" s="1"/>
      <c r="B807" s="85"/>
      <c r="C807" s="216"/>
      <c r="D807" s="216"/>
      <c r="E807" s="252"/>
      <c r="F807" s="169"/>
      <c r="G807" s="739"/>
      <c r="H807" s="216"/>
      <c r="I807" s="216"/>
      <c r="J807" s="252"/>
      <c r="K807" s="1"/>
      <c r="L807" s="1"/>
      <c r="M807" s="1"/>
      <c r="N807" s="1"/>
      <c r="O807" s="1"/>
      <c r="P807" s="1"/>
      <c r="Q807" s="1"/>
      <c r="R807" s="1"/>
      <c r="S807" s="1"/>
      <c r="T807" s="1"/>
      <c r="U807" s="1"/>
      <c r="V807" s="1"/>
      <c r="W807" s="1"/>
      <c r="X807" s="1"/>
      <c r="Y807" s="1"/>
      <c r="Z807" s="1"/>
    </row>
    <row r="808" ht="9.75" customHeight="1">
      <c r="A808" s="1"/>
      <c r="B808" s="85" t="s">
        <v>155</v>
      </c>
      <c r="C808" s="216">
        <v>1704.0</v>
      </c>
      <c r="D808" s="216">
        <v>2200.0</v>
      </c>
      <c r="E808" s="252" t="s">
        <v>1411</v>
      </c>
      <c r="F808" s="169">
        <v>1526.0</v>
      </c>
      <c r="G808" s="739" t="s">
        <v>1412</v>
      </c>
      <c r="H808" s="216">
        <v>478.0</v>
      </c>
      <c r="I808" s="216">
        <v>441.0</v>
      </c>
      <c r="J808" s="252">
        <v>7.89</v>
      </c>
      <c r="K808" s="1"/>
      <c r="L808" s="1"/>
      <c r="M808" s="1"/>
      <c r="N808" s="1"/>
      <c r="O808" s="1"/>
      <c r="P808" s="1"/>
      <c r="Q808" s="1"/>
      <c r="R808" s="1"/>
      <c r="S808" s="1"/>
      <c r="T808" s="1"/>
      <c r="U808" s="1"/>
      <c r="V808" s="1"/>
      <c r="W808" s="1"/>
      <c r="X808" s="1"/>
      <c r="Y808" s="1"/>
      <c r="Z808" s="1"/>
    </row>
    <row r="809" ht="12.0" customHeight="1">
      <c r="A809" s="1"/>
      <c r="B809" s="96" t="s">
        <v>1414</v>
      </c>
      <c r="C809" s="240">
        <v>1676.0</v>
      </c>
      <c r="D809" s="240">
        <v>2167.0</v>
      </c>
      <c r="E809" s="263" t="s">
        <v>1415</v>
      </c>
      <c r="F809" s="260">
        <v>1473.0</v>
      </c>
      <c r="G809" s="745" t="s">
        <v>1416</v>
      </c>
      <c r="H809" s="240">
        <v>445.0</v>
      </c>
      <c r="I809" s="240">
        <v>412.0</v>
      </c>
      <c r="J809" s="263" t="s">
        <v>1417</v>
      </c>
      <c r="K809" s="253"/>
      <c r="L809" s="1"/>
      <c r="M809" s="1"/>
      <c r="N809" s="1"/>
      <c r="O809" s="1"/>
      <c r="P809" s="1"/>
      <c r="Q809" s="1"/>
      <c r="R809" s="1"/>
      <c r="S809" s="1"/>
      <c r="T809" s="1"/>
      <c r="U809" s="1"/>
      <c r="V809" s="1"/>
      <c r="W809" s="1"/>
      <c r="X809" s="1"/>
      <c r="Y809" s="1"/>
      <c r="Z809" s="1"/>
    </row>
    <row r="810">
      <c r="A810" s="1"/>
      <c r="B810" s="60" t="s">
        <v>1418</v>
      </c>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0.5" customHeight="1">
      <c r="A811" s="1"/>
      <c r="B811" s="1"/>
      <c r="C811" s="15"/>
      <c r="D811" s="15"/>
      <c r="E811" s="15"/>
      <c r="F811" s="15"/>
      <c r="G811" s="15"/>
      <c r="H811" s="15"/>
      <c r="I811" s="15"/>
      <c r="J811" s="15"/>
      <c r="K811" s="1"/>
      <c r="L811" s="1"/>
      <c r="M811" s="1"/>
      <c r="N811" s="1"/>
      <c r="O811" s="1"/>
      <c r="P811" s="1"/>
      <c r="Q811" s="1"/>
      <c r="R811" s="1"/>
      <c r="S811" s="1"/>
      <c r="T811" s="1"/>
      <c r="U811" s="1"/>
      <c r="V811" s="1"/>
      <c r="W811" s="1"/>
      <c r="X811" s="1"/>
      <c r="Y811" s="1"/>
      <c r="Z811" s="1"/>
    </row>
    <row r="812" ht="10.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0.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0.5" customHeight="1">
      <c r="A814" s="1"/>
      <c r="B814" s="1"/>
      <c r="C814" s="15"/>
      <c r="D814" s="15"/>
      <c r="E814" s="15"/>
      <c r="F814" s="15"/>
      <c r="G814" s="110">
        <v>69.0</v>
      </c>
      <c r="H814" s="15"/>
      <c r="I814" s="15"/>
      <c r="J814" s="15"/>
      <c r="K814" s="1"/>
      <c r="L814" s="1"/>
      <c r="M814" s="1"/>
      <c r="N814" s="1"/>
      <c r="O814" s="1"/>
      <c r="P814" s="1"/>
      <c r="Q814" s="1"/>
      <c r="R814" s="1"/>
      <c r="S814" s="1"/>
      <c r="T814" s="1"/>
      <c r="U814" s="1"/>
      <c r="V814" s="1"/>
      <c r="W814" s="1"/>
      <c r="X814" s="1"/>
      <c r="Y814" s="1"/>
      <c r="Z814" s="1"/>
    </row>
    <row r="815" ht="10.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t="s">
        <v>1419</v>
      </c>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89" t="s">
        <v>1420</v>
      </c>
      <c r="C817" s="128" t="s">
        <v>1421</v>
      </c>
      <c r="D817" s="9"/>
      <c r="E817" s="9"/>
      <c r="F817" s="10"/>
      <c r="G817" s="198" t="s">
        <v>1422</v>
      </c>
      <c r="H817" s="70"/>
      <c r="I817" s="198" t="s">
        <v>2</v>
      </c>
      <c r="J817" s="70"/>
      <c r="K817" s="1"/>
      <c r="L817" s="1"/>
      <c r="M817" s="1"/>
      <c r="N817" s="1"/>
      <c r="O817" s="1"/>
      <c r="P817" s="1"/>
      <c r="Q817" s="1"/>
      <c r="R817" s="1"/>
      <c r="S817" s="1"/>
      <c r="T817" s="1"/>
      <c r="U817" s="1"/>
      <c r="V817" s="1"/>
      <c r="W817" s="1"/>
      <c r="X817" s="1"/>
      <c r="Y817" s="1"/>
      <c r="Z817" s="1"/>
    </row>
    <row r="818" ht="23.25" customHeight="1">
      <c r="A818" s="1"/>
      <c r="B818" s="5"/>
      <c r="C818" s="202" t="s">
        <v>1423</v>
      </c>
      <c r="D818" s="94"/>
      <c r="E818" s="202" t="s">
        <v>1424</v>
      </c>
      <c r="F818" s="94"/>
      <c r="G818" s="118"/>
      <c r="H818" s="94"/>
      <c r="I818" s="118"/>
      <c r="J818" s="94"/>
      <c r="K818" s="236"/>
      <c r="L818" s="1"/>
      <c r="M818" s="1"/>
      <c r="N818" s="1"/>
      <c r="O818" s="1"/>
      <c r="P818" s="1"/>
      <c r="Q818" s="1"/>
      <c r="R818" s="1"/>
      <c r="S818" s="1"/>
      <c r="T818" s="1"/>
      <c r="U818" s="1"/>
      <c r="V818" s="1"/>
      <c r="W818" s="1"/>
      <c r="X818" s="1"/>
      <c r="Y818" s="1"/>
      <c r="Z818" s="1"/>
    </row>
    <row r="819" ht="11.25" customHeight="1">
      <c r="A819" s="1"/>
      <c r="B819" s="6"/>
      <c r="C819" s="8" t="s">
        <v>1425</v>
      </c>
      <c r="D819" s="9"/>
      <c r="E819" s="9"/>
      <c r="F819" s="9"/>
      <c r="G819" s="9"/>
      <c r="H819" s="9"/>
      <c r="I819" s="9"/>
      <c r="J819" s="10"/>
      <c r="K819" s="236"/>
      <c r="L819" s="1"/>
      <c r="M819" s="1"/>
      <c r="N819" s="1"/>
      <c r="O819" s="1"/>
      <c r="P819" s="1"/>
      <c r="Q819" s="1"/>
      <c r="R819" s="1"/>
      <c r="S819" s="1"/>
      <c r="T819" s="1"/>
      <c r="U819" s="1"/>
      <c r="V819" s="1"/>
      <c r="W819" s="1"/>
      <c r="X819" s="1"/>
      <c r="Y819" s="1"/>
      <c r="Z819" s="1"/>
    </row>
    <row r="820" ht="10.5" customHeight="1">
      <c r="A820" s="1"/>
      <c r="B820" s="48" t="s">
        <v>56</v>
      </c>
      <c r="C820" s="280">
        <v>360.0</v>
      </c>
      <c r="D820" s="87"/>
      <c r="E820" s="280">
        <v>424.0</v>
      </c>
      <c r="F820" s="87"/>
      <c r="G820" s="819">
        <v>1155.0</v>
      </c>
      <c r="H820" s="87"/>
      <c r="I820" s="819">
        <f t="shared" ref="I820:I824" si="41">SUM(C820:H820)</f>
        <v>1939</v>
      </c>
      <c r="J820" s="87"/>
      <c r="K820" s="1"/>
      <c r="L820" s="1"/>
      <c r="M820" s="1"/>
      <c r="N820" s="1"/>
      <c r="O820" s="1"/>
      <c r="P820" s="1"/>
      <c r="Q820" s="1"/>
      <c r="R820" s="1"/>
      <c r="S820" s="1"/>
      <c r="T820" s="1"/>
      <c r="U820" s="1"/>
      <c r="V820" s="1"/>
      <c r="W820" s="1"/>
      <c r="X820" s="1"/>
      <c r="Y820" s="1"/>
      <c r="Z820" s="1"/>
    </row>
    <row r="821" ht="10.5" customHeight="1">
      <c r="A821" s="1"/>
      <c r="B821" s="48" t="s">
        <v>81</v>
      </c>
      <c r="C821" s="280">
        <v>386.0</v>
      </c>
      <c r="D821" s="87"/>
      <c r="E821" s="280">
        <v>425.0</v>
      </c>
      <c r="F821" s="87"/>
      <c r="G821" s="819">
        <v>1141.0</v>
      </c>
      <c r="H821" s="87"/>
      <c r="I821" s="819">
        <f t="shared" si="41"/>
        <v>1952</v>
      </c>
      <c r="J821" s="87"/>
      <c r="K821" s="1"/>
      <c r="L821" s="1"/>
      <c r="M821" s="1"/>
      <c r="N821" s="1"/>
      <c r="O821" s="1"/>
      <c r="P821" s="1"/>
      <c r="Q821" s="1"/>
      <c r="R821" s="1"/>
      <c r="S821" s="1"/>
      <c r="T821" s="1"/>
      <c r="U821" s="1"/>
      <c r="V821" s="1"/>
      <c r="W821" s="1"/>
      <c r="X821" s="1"/>
      <c r="Y821" s="1"/>
      <c r="Z821" s="1"/>
    </row>
    <row r="822" ht="10.5" customHeight="1">
      <c r="A822" s="1"/>
      <c r="B822" s="48" t="s">
        <v>86</v>
      </c>
      <c r="C822" s="280">
        <v>399.0</v>
      </c>
      <c r="D822" s="87"/>
      <c r="E822" s="280">
        <v>467.0</v>
      </c>
      <c r="F822" s="87"/>
      <c r="G822" s="819">
        <v>1153.0</v>
      </c>
      <c r="H822" s="87"/>
      <c r="I822" s="819">
        <f t="shared" si="41"/>
        <v>2019</v>
      </c>
      <c r="J822" s="87"/>
      <c r="K822" s="1"/>
      <c r="L822" s="1"/>
      <c r="M822" s="1"/>
      <c r="N822" s="1"/>
      <c r="O822" s="1"/>
      <c r="P822" s="1"/>
      <c r="Q822" s="1"/>
      <c r="R822" s="1"/>
      <c r="S822" s="1"/>
      <c r="T822" s="1"/>
      <c r="U822" s="1"/>
      <c r="V822" s="1"/>
      <c r="W822" s="1"/>
      <c r="X822" s="1"/>
      <c r="Y822" s="1"/>
      <c r="Z822" s="1"/>
    </row>
    <row r="823" ht="10.5" customHeight="1">
      <c r="A823" s="1"/>
      <c r="B823" s="48" t="s">
        <v>87</v>
      </c>
      <c r="C823" s="280">
        <v>403.0</v>
      </c>
      <c r="D823" s="87"/>
      <c r="E823" s="280">
        <v>469.0</v>
      </c>
      <c r="F823" s="87"/>
      <c r="G823" s="819">
        <v>1155.0</v>
      </c>
      <c r="H823" s="87"/>
      <c r="I823" s="819">
        <f t="shared" si="41"/>
        <v>2027</v>
      </c>
      <c r="J823" s="87"/>
      <c r="K823" s="1"/>
      <c r="L823" s="1"/>
      <c r="M823" s="1"/>
      <c r="N823" s="1"/>
      <c r="O823" s="1"/>
      <c r="P823" s="1"/>
      <c r="Q823" s="1"/>
      <c r="R823" s="1"/>
      <c r="S823" s="1"/>
      <c r="T823" s="1"/>
      <c r="U823" s="1"/>
      <c r="V823" s="1"/>
      <c r="W823" s="1"/>
      <c r="X823" s="1"/>
      <c r="Y823" s="1"/>
      <c r="Z823" s="1"/>
    </row>
    <row r="824" ht="10.5" customHeight="1">
      <c r="A824" s="1"/>
      <c r="B824" s="48" t="s">
        <v>90</v>
      </c>
      <c r="C824" s="280">
        <v>402.0</v>
      </c>
      <c r="D824" s="87"/>
      <c r="E824" s="280">
        <v>446.0</v>
      </c>
      <c r="F824" s="87"/>
      <c r="G824" s="819">
        <v>1195.0</v>
      </c>
      <c r="H824" s="87"/>
      <c r="I824" s="819">
        <f t="shared" si="41"/>
        <v>2043</v>
      </c>
      <c r="J824" s="87"/>
      <c r="K824" s="1"/>
      <c r="L824" s="1"/>
      <c r="M824" s="1"/>
      <c r="N824" s="1"/>
      <c r="O824" s="1"/>
      <c r="P824" s="1"/>
      <c r="Q824" s="1"/>
      <c r="R824" s="1"/>
      <c r="S824" s="1"/>
      <c r="T824" s="1"/>
      <c r="U824" s="1"/>
      <c r="V824" s="1"/>
      <c r="W824" s="1"/>
      <c r="X824" s="1"/>
      <c r="Y824" s="1"/>
      <c r="Z824" s="1"/>
    </row>
    <row r="825" ht="10.5" customHeight="1">
      <c r="A825" s="1"/>
      <c r="B825" s="48"/>
      <c r="C825" s="280"/>
      <c r="D825" s="87"/>
      <c r="E825" s="280"/>
      <c r="F825" s="87"/>
      <c r="G825" s="819"/>
      <c r="H825" s="87"/>
      <c r="I825" s="819"/>
      <c r="J825" s="87"/>
      <c r="K825" s="1"/>
      <c r="L825" s="1"/>
      <c r="M825" s="1"/>
      <c r="N825" s="1"/>
      <c r="O825" s="1"/>
      <c r="P825" s="1"/>
      <c r="Q825" s="1"/>
      <c r="R825" s="1"/>
      <c r="S825" s="1"/>
      <c r="T825" s="1"/>
      <c r="U825" s="1"/>
      <c r="V825" s="1"/>
      <c r="W825" s="1"/>
      <c r="X825" s="1"/>
      <c r="Y825" s="1"/>
      <c r="Z825" s="1"/>
    </row>
    <row r="826" ht="10.5" customHeight="1">
      <c r="A826" s="1"/>
      <c r="B826" s="48" t="s">
        <v>93</v>
      </c>
      <c r="C826" s="280">
        <v>377.0</v>
      </c>
      <c r="D826" s="87"/>
      <c r="E826" s="280">
        <v>401.0</v>
      </c>
      <c r="F826" s="87"/>
      <c r="G826" s="819">
        <v>1002.0</v>
      </c>
      <c r="H826" s="87"/>
      <c r="I826" s="819">
        <f t="shared" ref="I826:I830" si="42">SUM(C826:H826)</f>
        <v>1780</v>
      </c>
      <c r="J826" s="87"/>
      <c r="K826" s="1"/>
      <c r="L826" s="1"/>
      <c r="M826" s="1"/>
      <c r="N826" s="1"/>
      <c r="O826" s="1"/>
      <c r="P826" s="1"/>
      <c r="Q826" s="1"/>
      <c r="R826" s="1"/>
      <c r="S826" s="1"/>
      <c r="T826" s="1"/>
      <c r="U826" s="1"/>
      <c r="V826" s="1"/>
      <c r="W826" s="1"/>
      <c r="X826" s="1"/>
      <c r="Y826" s="1"/>
      <c r="Z826" s="1"/>
    </row>
    <row r="827" ht="10.5" customHeight="1">
      <c r="A827" s="1"/>
      <c r="B827" s="48" t="s">
        <v>97</v>
      </c>
      <c r="C827" s="280">
        <v>393.0</v>
      </c>
      <c r="D827" s="87"/>
      <c r="E827" s="280">
        <v>514.0</v>
      </c>
      <c r="F827" s="87"/>
      <c r="G827" s="819">
        <v>980.0</v>
      </c>
      <c r="H827" s="87"/>
      <c r="I827" s="819">
        <f t="shared" si="42"/>
        <v>1887</v>
      </c>
      <c r="J827" s="87"/>
      <c r="K827" s="253"/>
      <c r="L827" s="1"/>
      <c r="M827" s="1"/>
      <c r="N827" s="1"/>
      <c r="O827" s="1"/>
      <c r="P827" s="1"/>
      <c r="Q827" s="1"/>
      <c r="R827" s="1"/>
      <c r="S827" s="1"/>
      <c r="T827" s="1"/>
      <c r="U827" s="1"/>
      <c r="V827" s="1"/>
      <c r="W827" s="1"/>
      <c r="X827" s="1"/>
      <c r="Y827" s="1"/>
      <c r="Z827" s="1"/>
    </row>
    <row r="828" ht="10.5" customHeight="1">
      <c r="A828" s="1"/>
      <c r="B828" s="48" t="s">
        <v>101</v>
      </c>
      <c r="C828" s="280">
        <v>449.0</v>
      </c>
      <c r="D828" s="87"/>
      <c r="E828" s="280">
        <v>561.0</v>
      </c>
      <c r="F828" s="87"/>
      <c r="G828" s="819">
        <v>1151.0</v>
      </c>
      <c r="H828" s="87"/>
      <c r="I828" s="819">
        <f t="shared" si="42"/>
        <v>2161</v>
      </c>
      <c r="J828" s="87"/>
      <c r="K828" s="253"/>
      <c r="L828" s="1"/>
      <c r="M828" s="1"/>
      <c r="N828" s="1"/>
      <c r="O828" s="1"/>
      <c r="P828" s="1"/>
      <c r="Q828" s="1"/>
      <c r="R828" s="1"/>
      <c r="S828" s="1"/>
      <c r="T828" s="1"/>
      <c r="U828" s="1"/>
      <c r="V828" s="1"/>
      <c r="W828" s="1"/>
      <c r="X828" s="1"/>
      <c r="Y828" s="1"/>
      <c r="Z828" s="1"/>
    </row>
    <row r="829" ht="10.5" customHeight="1">
      <c r="A829" s="1"/>
      <c r="B829" s="48" t="s">
        <v>103</v>
      </c>
      <c r="C829" s="280">
        <v>439.0</v>
      </c>
      <c r="D829" s="87"/>
      <c r="E829" s="280">
        <v>499.0</v>
      </c>
      <c r="F829" s="87"/>
      <c r="G829" s="819">
        <v>1126.0</v>
      </c>
      <c r="H829" s="87"/>
      <c r="I829" s="819">
        <f t="shared" si="42"/>
        <v>2064</v>
      </c>
      <c r="J829" s="87"/>
      <c r="K829" s="1"/>
      <c r="L829" s="1"/>
      <c r="M829" s="1"/>
      <c r="N829" s="1"/>
      <c r="O829" s="1"/>
      <c r="P829" s="1"/>
      <c r="Q829" s="1"/>
      <c r="R829" s="1"/>
      <c r="S829" s="1"/>
      <c r="T829" s="1"/>
      <c r="U829" s="1"/>
      <c r="V829" s="1"/>
      <c r="W829" s="1"/>
      <c r="X829" s="1"/>
      <c r="Y829" s="1"/>
      <c r="Z829" s="1"/>
    </row>
    <row r="830" ht="12.0" customHeight="1">
      <c r="A830" s="1"/>
      <c r="B830" s="48" t="s">
        <v>104</v>
      </c>
      <c r="C830" s="280">
        <v>472.0</v>
      </c>
      <c r="D830" s="87"/>
      <c r="E830" s="280">
        <v>506.0</v>
      </c>
      <c r="F830" s="87"/>
      <c r="G830" s="819">
        <v>1141.0</v>
      </c>
      <c r="H830" s="87"/>
      <c r="I830" s="819">
        <f t="shared" si="42"/>
        <v>2119</v>
      </c>
      <c r="J830" s="87"/>
      <c r="K830" s="1"/>
      <c r="L830" s="1"/>
      <c r="M830" s="1"/>
      <c r="N830" s="1"/>
      <c r="O830" s="1"/>
      <c r="P830" s="1"/>
      <c r="Q830" s="1"/>
      <c r="R830" s="1"/>
      <c r="S830" s="1"/>
      <c r="T830" s="1"/>
      <c r="U830" s="1"/>
      <c r="V830" s="1"/>
      <c r="W830" s="1"/>
      <c r="X830" s="1"/>
      <c r="Y830" s="1"/>
      <c r="Z830" s="1"/>
    </row>
    <row r="831" ht="10.5" customHeight="1">
      <c r="A831" s="1"/>
      <c r="B831" s="48"/>
      <c r="C831" s="280"/>
      <c r="D831" s="87"/>
      <c r="E831" s="280"/>
      <c r="F831" s="87"/>
      <c r="G831" s="819"/>
      <c r="H831" s="87"/>
      <c r="I831" s="819"/>
      <c r="J831" s="87"/>
      <c r="K831" s="1"/>
      <c r="L831" s="1"/>
      <c r="M831" s="1"/>
      <c r="N831" s="1"/>
      <c r="O831" s="1"/>
      <c r="P831" s="1"/>
      <c r="Q831" s="1"/>
      <c r="R831" s="1"/>
      <c r="S831" s="1"/>
      <c r="T831" s="1"/>
      <c r="U831" s="1"/>
      <c r="V831" s="1"/>
      <c r="W831" s="1"/>
      <c r="X831" s="1"/>
      <c r="Y831" s="1"/>
      <c r="Z831" s="1"/>
    </row>
    <row r="832" ht="10.5" customHeight="1">
      <c r="A832" s="1"/>
      <c r="B832" s="48" t="s">
        <v>108</v>
      </c>
      <c r="C832" s="280">
        <v>471.0</v>
      </c>
      <c r="D832" s="87"/>
      <c r="E832" s="280">
        <v>564.0</v>
      </c>
      <c r="F832" s="87"/>
      <c r="G832" s="819">
        <v>1128.0</v>
      </c>
      <c r="H832" s="87"/>
      <c r="I832" s="819">
        <f t="shared" ref="I832:I836" si="43">SUM(C832:H832)</f>
        <v>2163</v>
      </c>
      <c r="J832" s="87"/>
      <c r="K832" s="1"/>
      <c r="L832" s="1"/>
      <c r="M832" s="1"/>
      <c r="N832" s="1"/>
      <c r="O832" s="1"/>
      <c r="P832" s="1"/>
      <c r="Q832" s="1"/>
      <c r="R832" s="1"/>
      <c r="S832" s="1"/>
      <c r="T832" s="1"/>
      <c r="U832" s="1"/>
      <c r="V832" s="1"/>
      <c r="W832" s="1"/>
      <c r="X832" s="1"/>
      <c r="Y832" s="1"/>
      <c r="Z832" s="1"/>
    </row>
    <row r="833" ht="10.5" customHeight="1">
      <c r="A833" s="1"/>
      <c r="B833" s="48" t="s">
        <v>111</v>
      </c>
      <c r="C833" s="280">
        <v>436.0</v>
      </c>
      <c r="D833" s="87"/>
      <c r="E833" s="280">
        <v>522.0</v>
      </c>
      <c r="F833" s="87"/>
      <c r="G833" s="819">
        <v>1149.0</v>
      </c>
      <c r="H833" s="87"/>
      <c r="I833" s="819">
        <f t="shared" si="43"/>
        <v>2107</v>
      </c>
      <c r="J833" s="87"/>
      <c r="K833" s="1"/>
      <c r="L833" s="1"/>
      <c r="M833" s="1"/>
      <c r="N833" s="1"/>
      <c r="O833" s="1"/>
      <c r="P833" s="1"/>
      <c r="Q833" s="1"/>
      <c r="R833" s="1"/>
      <c r="S833" s="1"/>
      <c r="T833" s="1"/>
      <c r="U833" s="1"/>
      <c r="V833" s="1"/>
      <c r="W833" s="1"/>
      <c r="X833" s="1"/>
      <c r="Y833" s="1"/>
      <c r="Z833" s="1"/>
    </row>
    <row r="834" ht="10.5" customHeight="1">
      <c r="A834" s="1"/>
      <c r="B834" s="48" t="s">
        <v>112</v>
      </c>
      <c r="C834" s="280">
        <v>362.0</v>
      </c>
      <c r="D834" s="87"/>
      <c r="E834" s="280">
        <v>572.0</v>
      </c>
      <c r="F834" s="87"/>
      <c r="G834" s="819">
        <v>1068.0</v>
      </c>
      <c r="H834" s="87"/>
      <c r="I834" s="819">
        <f t="shared" si="43"/>
        <v>2002</v>
      </c>
      <c r="J834" s="87"/>
      <c r="K834" s="1"/>
      <c r="L834" s="1"/>
      <c r="M834" s="1"/>
      <c r="N834" s="1"/>
      <c r="O834" s="1"/>
      <c r="P834" s="1"/>
      <c r="Q834" s="1"/>
      <c r="R834" s="1"/>
      <c r="S834" s="1"/>
      <c r="T834" s="1"/>
      <c r="U834" s="1"/>
      <c r="V834" s="1"/>
      <c r="W834" s="1"/>
      <c r="X834" s="1"/>
      <c r="Y834" s="1"/>
      <c r="Z834" s="1"/>
    </row>
    <row r="835" ht="10.5" customHeight="1">
      <c r="A835" s="1"/>
      <c r="B835" s="48" t="s">
        <v>113</v>
      </c>
      <c r="C835" s="280">
        <v>395.0</v>
      </c>
      <c r="D835" s="87"/>
      <c r="E835" s="280">
        <v>547.0</v>
      </c>
      <c r="F835" s="87"/>
      <c r="G835" s="819">
        <v>1064.0</v>
      </c>
      <c r="H835" s="87"/>
      <c r="I835" s="819">
        <f t="shared" si="43"/>
        <v>2006</v>
      </c>
      <c r="J835" s="87"/>
      <c r="K835" s="1"/>
      <c r="L835" s="1"/>
      <c r="M835" s="1"/>
      <c r="N835" s="1"/>
      <c r="O835" s="1"/>
      <c r="P835" s="1"/>
      <c r="Q835" s="1"/>
      <c r="R835" s="1"/>
      <c r="S835" s="1"/>
      <c r="T835" s="1"/>
      <c r="U835" s="1"/>
      <c r="V835" s="1"/>
      <c r="W835" s="1"/>
      <c r="X835" s="1"/>
      <c r="Y835" s="1"/>
      <c r="Z835" s="1"/>
    </row>
    <row r="836" ht="10.5" customHeight="1">
      <c r="A836" s="1"/>
      <c r="B836" s="48" t="s">
        <v>114</v>
      </c>
      <c r="C836" s="280">
        <v>432.0</v>
      </c>
      <c r="D836" s="87"/>
      <c r="E836" s="280">
        <v>498.0</v>
      </c>
      <c r="F836" s="87"/>
      <c r="G836" s="819">
        <v>1367.0</v>
      </c>
      <c r="H836" s="87"/>
      <c r="I836" s="819">
        <f t="shared" si="43"/>
        <v>2297</v>
      </c>
      <c r="J836" s="87"/>
      <c r="K836" s="1"/>
      <c r="L836" s="1"/>
      <c r="M836" s="1"/>
      <c r="N836" s="1"/>
      <c r="O836" s="1"/>
      <c r="P836" s="1"/>
      <c r="Q836" s="1"/>
      <c r="R836" s="1"/>
      <c r="S836" s="1"/>
      <c r="T836" s="1"/>
      <c r="U836" s="1"/>
      <c r="V836" s="1"/>
      <c r="W836" s="1"/>
      <c r="X836" s="1"/>
      <c r="Y836" s="1"/>
      <c r="Z836" s="1"/>
    </row>
    <row r="837" ht="10.5" customHeight="1">
      <c r="A837" s="1"/>
      <c r="B837" s="48"/>
      <c r="C837" s="280"/>
      <c r="D837" s="87"/>
      <c r="E837" s="280"/>
      <c r="F837" s="87"/>
      <c r="G837" s="819"/>
      <c r="H837" s="87"/>
      <c r="I837" s="819"/>
      <c r="J837" s="87"/>
      <c r="K837" s="1"/>
      <c r="L837" s="1"/>
      <c r="M837" s="1"/>
      <c r="N837" s="1"/>
      <c r="O837" s="1"/>
      <c r="P837" s="1"/>
      <c r="Q837" s="1"/>
      <c r="R837" s="1"/>
      <c r="S837" s="1"/>
      <c r="T837" s="1"/>
      <c r="U837" s="1"/>
      <c r="V837" s="1"/>
      <c r="W837" s="1"/>
      <c r="X837" s="1"/>
      <c r="Y837" s="1"/>
      <c r="Z837" s="1"/>
    </row>
    <row r="838" ht="10.5" customHeight="1">
      <c r="A838" s="1"/>
      <c r="B838" s="48" t="s">
        <v>115</v>
      </c>
      <c r="C838" s="280">
        <v>419.0</v>
      </c>
      <c r="D838" s="87"/>
      <c r="E838" s="280">
        <v>575.0</v>
      </c>
      <c r="F838" s="87"/>
      <c r="G838" s="819">
        <v>1456.0</v>
      </c>
      <c r="H838" s="87"/>
      <c r="I838" s="819">
        <f t="shared" ref="I838:I842" si="44">SUM(C838:H838)</f>
        <v>2450</v>
      </c>
      <c r="J838" s="87"/>
      <c r="K838" s="1"/>
      <c r="L838" s="1"/>
      <c r="M838" s="1"/>
      <c r="N838" s="1"/>
      <c r="O838" s="1"/>
      <c r="P838" s="1"/>
      <c r="Q838" s="1"/>
      <c r="R838" s="1"/>
      <c r="S838" s="1"/>
      <c r="T838" s="1"/>
      <c r="U838" s="1"/>
      <c r="V838" s="1"/>
      <c r="W838" s="1"/>
      <c r="X838" s="1"/>
      <c r="Y838" s="1"/>
      <c r="Z838" s="1"/>
    </row>
    <row r="839" ht="10.5" customHeight="1">
      <c r="A839" s="1"/>
      <c r="B839" s="48" t="s">
        <v>117</v>
      </c>
      <c r="C839" s="280">
        <v>439.0</v>
      </c>
      <c r="D839" s="87"/>
      <c r="E839" s="280">
        <v>458.0</v>
      </c>
      <c r="F839" s="87"/>
      <c r="G839" s="819">
        <v>1540.0</v>
      </c>
      <c r="H839" s="87"/>
      <c r="I839" s="819">
        <f t="shared" si="44"/>
        <v>2437</v>
      </c>
      <c r="J839" s="87"/>
      <c r="K839" s="1"/>
      <c r="L839" s="1"/>
      <c r="M839" s="1"/>
      <c r="N839" s="1"/>
      <c r="O839" s="1"/>
      <c r="P839" s="1"/>
      <c r="Q839" s="1"/>
      <c r="R839" s="1"/>
      <c r="S839" s="1"/>
      <c r="T839" s="1"/>
      <c r="U839" s="1"/>
      <c r="V839" s="1"/>
      <c r="W839" s="1"/>
      <c r="X839" s="1"/>
      <c r="Y839" s="1"/>
      <c r="Z839" s="1"/>
    </row>
    <row r="840" ht="10.5" customHeight="1">
      <c r="A840" s="1"/>
      <c r="B840" s="48" t="s">
        <v>121</v>
      </c>
      <c r="C840" s="280">
        <v>398.0</v>
      </c>
      <c r="D840" s="87"/>
      <c r="E840" s="280">
        <v>523.0</v>
      </c>
      <c r="F840" s="87"/>
      <c r="G840" s="819">
        <v>1580.0</v>
      </c>
      <c r="H840" s="87"/>
      <c r="I840" s="819">
        <f t="shared" si="44"/>
        <v>2501</v>
      </c>
      <c r="J840" s="87"/>
      <c r="K840" s="1"/>
      <c r="L840" s="1"/>
      <c r="M840" s="1"/>
      <c r="N840" s="1"/>
      <c r="O840" s="1"/>
      <c r="P840" s="1"/>
      <c r="Q840" s="1"/>
      <c r="R840" s="1"/>
      <c r="S840" s="1"/>
      <c r="T840" s="1"/>
      <c r="U840" s="1"/>
      <c r="V840" s="1"/>
      <c r="W840" s="1"/>
      <c r="X840" s="1"/>
      <c r="Y840" s="1"/>
      <c r="Z840" s="1"/>
    </row>
    <row r="841" ht="10.5" customHeight="1">
      <c r="A841" s="1"/>
      <c r="B841" s="48" t="s">
        <v>122</v>
      </c>
      <c r="C841" s="280">
        <v>424.0</v>
      </c>
      <c r="D841" s="87"/>
      <c r="E841" s="280">
        <v>541.0</v>
      </c>
      <c r="F841" s="87"/>
      <c r="G841" s="819">
        <v>1578.0</v>
      </c>
      <c r="H841" s="87"/>
      <c r="I841" s="819">
        <f t="shared" si="44"/>
        <v>2543</v>
      </c>
      <c r="J841" s="87"/>
      <c r="K841" s="1"/>
      <c r="L841" s="1"/>
      <c r="M841" s="1"/>
      <c r="N841" s="1"/>
      <c r="O841" s="1"/>
      <c r="P841" s="1"/>
      <c r="Q841" s="1"/>
      <c r="R841" s="1"/>
      <c r="S841" s="1"/>
      <c r="T841" s="1"/>
      <c r="U841" s="1"/>
      <c r="V841" s="1"/>
      <c r="W841" s="1"/>
      <c r="X841" s="1"/>
      <c r="Y841" s="1"/>
      <c r="Z841" s="1"/>
    </row>
    <row r="842" ht="10.5" customHeight="1">
      <c r="A842" s="1"/>
      <c r="B842" s="48" t="s">
        <v>123</v>
      </c>
      <c r="C842" s="280">
        <v>410.0</v>
      </c>
      <c r="D842" s="87"/>
      <c r="E842" s="280">
        <v>488.0</v>
      </c>
      <c r="F842" s="87"/>
      <c r="G842" s="819">
        <v>1472.0</v>
      </c>
      <c r="H842" s="87"/>
      <c r="I842" s="819">
        <f t="shared" si="44"/>
        <v>2370</v>
      </c>
      <c r="J842" s="87"/>
      <c r="K842" s="1"/>
      <c r="L842" s="1"/>
      <c r="M842" s="1"/>
      <c r="N842" s="1"/>
      <c r="O842" s="1"/>
      <c r="P842" s="1"/>
      <c r="Q842" s="1"/>
      <c r="R842" s="1"/>
      <c r="S842" s="1"/>
      <c r="T842" s="1"/>
      <c r="U842" s="1"/>
      <c r="V842" s="1"/>
      <c r="W842" s="1"/>
      <c r="X842" s="1"/>
      <c r="Y842" s="1"/>
      <c r="Z842" s="1"/>
    </row>
    <row r="843" ht="10.5" customHeight="1">
      <c r="A843" s="1"/>
      <c r="B843" s="48"/>
      <c r="C843" s="280"/>
      <c r="D843" s="87"/>
      <c r="E843" s="280"/>
      <c r="F843" s="87"/>
      <c r="G843" s="819"/>
      <c r="H843" s="87"/>
      <c r="I843" s="819"/>
      <c r="J843" s="87"/>
      <c r="K843" s="1"/>
      <c r="L843" s="1"/>
      <c r="M843" s="1"/>
      <c r="N843" s="1"/>
      <c r="O843" s="1"/>
      <c r="P843" s="1"/>
      <c r="Q843" s="1"/>
      <c r="R843" s="1"/>
      <c r="S843" s="1"/>
      <c r="T843" s="1"/>
      <c r="U843" s="1"/>
      <c r="V843" s="1"/>
      <c r="W843" s="1"/>
      <c r="X843" s="1"/>
      <c r="Y843" s="1"/>
      <c r="Z843" s="1"/>
    </row>
    <row r="844" ht="10.5" customHeight="1">
      <c r="A844" s="1"/>
      <c r="B844" s="168" t="s">
        <v>125</v>
      </c>
      <c r="C844" s="280">
        <v>386.0</v>
      </c>
      <c r="D844" s="87"/>
      <c r="E844" s="280">
        <v>407.0</v>
      </c>
      <c r="F844" s="87"/>
      <c r="G844" s="819">
        <v>1565.0</v>
      </c>
      <c r="H844" s="87"/>
      <c r="I844" s="819">
        <f t="shared" ref="I844:I848" si="45">SUM(C844:H844)</f>
        <v>2358</v>
      </c>
      <c r="J844" s="87"/>
      <c r="K844" s="1"/>
      <c r="L844" s="1"/>
      <c r="M844" s="1"/>
      <c r="N844" s="1"/>
      <c r="O844" s="1"/>
      <c r="P844" s="1"/>
      <c r="Q844" s="1"/>
      <c r="R844" s="1"/>
      <c r="S844" s="1"/>
      <c r="T844" s="1"/>
      <c r="U844" s="1"/>
      <c r="V844" s="1"/>
      <c r="W844" s="1"/>
      <c r="X844" s="1"/>
      <c r="Y844" s="1"/>
      <c r="Z844" s="1"/>
    </row>
    <row r="845" ht="10.5" customHeight="1">
      <c r="A845" s="1"/>
      <c r="B845" s="168" t="s">
        <v>127</v>
      </c>
      <c r="C845" s="280">
        <v>420.0</v>
      </c>
      <c r="D845" s="87"/>
      <c r="E845" s="280">
        <v>413.0</v>
      </c>
      <c r="F845" s="87"/>
      <c r="G845" s="819">
        <v>1624.0</v>
      </c>
      <c r="H845" s="87"/>
      <c r="I845" s="819">
        <f t="shared" si="45"/>
        <v>2457</v>
      </c>
      <c r="J845" s="87"/>
      <c r="K845" s="1"/>
      <c r="L845" s="1"/>
      <c r="M845" s="1"/>
      <c r="N845" s="1"/>
      <c r="O845" s="1"/>
      <c r="P845" s="1"/>
      <c r="Q845" s="1"/>
      <c r="R845" s="1"/>
      <c r="S845" s="1"/>
      <c r="T845" s="1"/>
      <c r="U845" s="1"/>
      <c r="V845" s="1"/>
      <c r="W845" s="1"/>
      <c r="X845" s="1"/>
      <c r="Y845" s="1"/>
      <c r="Z845" s="1"/>
    </row>
    <row r="846" ht="10.5" customHeight="1">
      <c r="A846" s="1"/>
      <c r="B846" s="168" t="s">
        <v>128</v>
      </c>
      <c r="C846" s="280">
        <v>426.0</v>
      </c>
      <c r="D846" s="87"/>
      <c r="E846" s="280">
        <v>391.0</v>
      </c>
      <c r="F846" s="87"/>
      <c r="G846" s="819">
        <v>1537.0</v>
      </c>
      <c r="H846" s="87"/>
      <c r="I846" s="819">
        <f t="shared" si="45"/>
        <v>2354</v>
      </c>
      <c r="J846" s="87"/>
      <c r="K846" s="1"/>
      <c r="L846" s="1"/>
      <c r="M846" s="1"/>
      <c r="N846" s="1"/>
      <c r="O846" s="1"/>
      <c r="P846" s="1"/>
      <c r="Q846" s="1"/>
      <c r="R846" s="1"/>
      <c r="S846" s="1"/>
      <c r="T846" s="1"/>
      <c r="U846" s="1"/>
      <c r="V846" s="1"/>
      <c r="W846" s="1"/>
      <c r="X846" s="1"/>
      <c r="Y846" s="1"/>
      <c r="Z846" s="1"/>
    </row>
    <row r="847" ht="10.5" customHeight="1">
      <c r="A847" s="1"/>
      <c r="B847" s="85" t="s">
        <v>129</v>
      </c>
      <c r="C847" s="280">
        <v>448.0</v>
      </c>
      <c r="D847" s="87"/>
      <c r="E847" s="280">
        <v>420.0</v>
      </c>
      <c r="F847" s="87"/>
      <c r="G847" s="819">
        <v>1637.0</v>
      </c>
      <c r="H847" s="87"/>
      <c r="I847" s="819">
        <f t="shared" si="45"/>
        <v>2505</v>
      </c>
      <c r="J847" s="87"/>
      <c r="K847" s="1"/>
      <c r="L847" s="1"/>
      <c r="M847" s="1"/>
      <c r="N847" s="1"/>
      <c r="O847" s="1"/>
      <c r="P847" s="1"/>
      <c r="Q847" s="1"/>
      <c r="R847" s="1"/>
      <c r="S847" s="1"/>
      <c r="T847" s="1"/>
      <c r="U847" s="1"/>
      <c r="V847" s="1"/>
      <c r="W847" s="1"/>
      <c r="X847" s="1"/>
      <c r="Y847" s="1"/>
      <c r="Z847" s="1"/>
    </row>
    <row r="848" ht="10.5" customHeight="1">
      <c r="A848" s="1"/>
      <c r="B848" s="85" t="s">
        <v>130</v>
      </c>
      <c r="C848" s="280">
        <v>486.0</v>
      </c>
      <c r="D848" s="87"/>
      <c r="E848" s="280">
        <v>436.0</v>
      </c>
      <c r="F848" s="87"/>
      <c r="G848" s="819">
        <v>1735.0</v>
      </c>
      <c r="H848" s="87"/>
      <c r="I848" s="819">
        <f t="shared" si="45"/>
        <v>2657</v>
      </c>
      <c r="J848" s="87"/>
      <c r="K848" s="1"/>
      <c r="L848" s="1"/>
      <c r="M848" s="1"/>
      <c r="N848" s="1"/>
      <c r="O848" s="1"/>
      <c r="P848" s="1"/>
      <c r="Q848" s="1"/>
      <c r="R848" s="1"/>
      <c r="S848" s="1"/>
      <c r="T848" s="1"/>
      <c r="U848" s="1"/>
      <c r="V848" s="1"/>
      <c r="W848" s="1"/>
      <c r="X848" s="1"/>
      <c r="Y848" s="1"/>
      <c r="Z848" s="1"/>
    </row>
    <row r="849" ht="10.5" customHeight="1">
      <c r="A849" s="1"/>
      <c r="B849" s="85"/>
      <c r="C849" s="280"/>
      <c r="D849" s="87"/>
      <c r="E849" s="280"/>
      <c r="F849" s="87"/>
      <c r="G849" s="819"/>
      <c r="H849" s="87"/>
      <c r="I849" s="819"/>
      <c r="J849" s="87"/>
      <c r="K849" s="1"/>
      <c r="L849" s="1"/>
      <c r="M849" s="1"/>
      <c r="N849" s="1"/>
      <c r="O849" s="1"/>
      <c r="P849" s="1"/>
      <c r="Q849" s="1"/>
      <c r="R849" s="1"/>
      <c r="S849" s="1"/>
      <c r="T849" s="1"/>
      <c r="U849" s="1"/>
      <c r="V849" s="1"/>
      <c r="W849" s="1"/>
      <c r="X849" s="1"/>
      <c r="Y849" s="1"/>
      <c r="Z849" s="1"/>
    </row>
    <row r="850" ht="10.5" customHeight="1">
      <c r="A850" s="1"/>
      <c r="B850" s="85" t="s">
        <v>131</v>
      </c>
      <c r="C850" s="826">
        <v>1159.0</v>
      </c>
      <c r="F850" s="87"/>
      <c r="G850" s="819">
        <v>1206.0</v>
      </c>
      <c r="H850" s="87"/>
      <c r="I850" s="819">
        <f t="shared" ref="I850:I854" si="46">SUM(C850:H850)</f>
        <v>2365</v>
      </c>
      <c r="J850" s="87"/>
      <c r="K850" s="828"/>
      <c r="L850" s="1"/>
      <c r="M850" s="1"/>
      <c r="N850" s="1"/>
      <c r="O850" s="1"/>
      <c r="P850" s="1"/>
      <c r="Q850" s="1"/>
      <c r="R850" s="1"/>
      <c r="S850" s="1"/>
      <c r="T850" s="1"/>
      <c r="U850" s="1"/>
      <c r="V850" s="1"/>
      <c r="W850" s="1"/>
      <c r="X850" s="1"/>
      <c r="Y850" s="1"/>
      <c r="Z850" s="1"/>
    </row>
    <row r="851" ht="10.5" customHeight="1">
      <c r="A851" s="1"/>
      <c r="B851" s="85" t="s">
        <v>1444</v>
      </c>
      <c r="C851" s="826">
        <v>991.0</v>
      </c>
      <c r="F851" s="87"/>
      <c r="G851" s="829">
        <v>1522.0</v>
      </c>
      <c r="H851" s="87"/>
      <c r="I851" s="819">
        <f t="shared" si="46"/>
        <v>2513</v>
      </c>
      <c r="J851" s="87"/>
      <c r="K851" s="1"/>
      <c r="L851" s="1"/>
      <c r="M851" s="1"/>
      <c r="N851" s="1"/>
      <c r="O851" s="1"/>
      <c r="P851" s="1"/>
      <c r="Q851" s="1"/>
      <c r="R851" s="1"/>
      <c r="S851" s="1"/>
      <c r="T851" s="1"/>
      <c r="U851" s="1"/>
      <c r="V851" s="1"/>
      <c r="W851" s="1"/>
      <c r="X851" s="1"/>
      <c r="Y851" s="1"/>
      <c r="Z851" s="1"/>
    </row>
    <row r="852" ht="10.5" customHeight="1">
      <c r="A852" s="1"/>
      <c r="B852" s="85" t="s">
        <v>1445</v>
      </c>
      <c r="C852" s="830">
        <v>1073.0</v>
      </c>
      <c r="F852" s="87"/>
      <c r="G852" s="829">
        <v>1486.0</v>
      </c>
      <c r="H852" s="87"/>
      <c r="I852" s="819">
        <f t="shared" si="46"/>
        <v>2559</v>
      </c>
      <c r="J852" s="87"/>
      <c r="K852" s="1"/>
      <c r="L852" s="1"/>
      <c r="M852" s="1"/>
      <c r="N852" s="1"/>
      <c r="O852" s="1"/>
      <c r="P852" s="1"/>
      <c r="Q852" s="1"/>
      <c r="R852" s="1"/>
      <c r="S852" s="1"/>
      <c r="T852" s="1"/>
      <c r="U852" s="1"/>
      <c r="V852" s="1"/>
      <c r="W852" s="1"/>
      <c r="X852" s="1"/>
      <c r="Y852" s="1"/>
      <c r="Z852" s="1"/>
    </row>
    <row r="853" ht="10.5" customHeight="1">
      <c r="A853" s="1"/>
      <c r="B853" s="85" t="s">
        <v>1446</v>
      </c>
      <c r="C853" s="832">
        <v>1100.0</v>
      </c>
      <c r="F853" s="87"/>
      <c r="G853" s="829">
        <v>1525.0</v>
      </c>
      <c r="H853" s="87"/>
      <c r="I853" s="819">
        <f t="shared" si="46"/>
        <v>2625</v>
      </c>
      <c r="J853" s="87"/>
      <c r="K853" s="1"/>
      <c r="L853" s="1"/>
      <c r="M853" s="1"/>
      <c r="N853" s="1"/>
      <c r="O853" s="1"/>
      <c r="P853" s="1"/>
      <c r="Q853" s="1"/>
      <c r="R853" s="1"/>
      <c r="S853" s="1"/>
      <c r="T853" s="1"/>
      <c r="U853" s="1"/>
      <c r="V853" s="1"/>
      <c r="W853" s="1"/>
      <c r="X853" s="1"/>
      <c r="Y853" s="1"/>
      <c r="Z853" s="1"/>
    </row>
    <row r="854" ht="10.5" customHeight="1">
      <c r="A854" s="1"/>
      <c r="B854" s="85" t="s">
        <v>1447</v>
      </c>
      <c r="C854" s="830">
        <v>1103.0</v>
      </c>
      <c r="F854" s="87"/>
      <c r="G854" s="829">
        <v>1484.0</v>
      </c>
      <c r="H854" s="87"/>
      <c r="I854" s="819">
        <f t="shared" si="46"/>
        <v>2587</v>
      </c>
      <c r="J854" s="87"/>
      <c r="K854" s="1"/>
      <c r="L854" s="1"/>
      <c r="M854" s="1"/>
      <c r="N854" s="1"/>
      <c r="O854" s="1"/>
      <c r="P854" s="1"/>
      <c r="Q854" s="1"/>
      <c r="R854" s="1"/>
      <c r="S854" s="1"/>
      <c r="T854" s="1"/>
      <c r="U854" s="1"/>
      <c r="V854" s="1"/>
      <c r="W854" s="1"/>
      <c r="X854" s="1"/>
      <c r="Y854" s="1"/>
      <c r="Z854" s="1"/>
    </row>
    <row r="855" ht="10.5" customHeight="1">
      <c r="A855" s="1"/>
      <c r="B855" s="85"/>
      <c r="C855" s="830"/>
      <c r="D855" s="835"/>
      <c r="E855" s="835"/>
      <c r="F855" s="836"/>
      <c r="G855" s="829"/>
      <c r="H855" s="837"/>
      <c r="I855" s="819"/>
      <c r="J855" s="838"/>
      <c r="K855" s="1"/>
      <c r="L855" s="1"/>
      <c r="M855" s="1"/>
      <c r="N855" s="1"/>
      <c r="O855" s="1"/>
      <c r="P855" s="1"/>
      <c r="Q855" s="1"/>
      <c r="R855" s="1"/>
      <c r="S855" s="1"/>
      <c r="T855" s="1"/>
      <c r="U855" s="1"/>
      <c r="V855" s="1"/>
      <c r="W855" s="1"/>
      <c r="X855" s="1"/>
      <c r="Y855" s="1"/>
      <c r="Z855" s="1"/>
    </row>
    <row r="856" ht="10.5" customHeight="1">
      <c r="A856" s="1"/>
      <c r="B856" s="85" t="s">
        <v>1448</v>
      </c>
      <c r="C856" s="830">
        <v>1148.0</v>
      </c>
      <c r="F856" s="87"/>
      <c r="G856" s="819">
        <v>1563.0</v>
      </c>
      <c r="H856" s="87"/>
      <c r="I856" s="819">
        <f t="shared" ref="I856:I860" si="47">SUM(C856:H856)</f>
        <v>2711</v>
      </c>
      <c r="J856" s="87"/>
      <c r="K856" s="1"/>
      <c r="L856" s="1"/>
      <c r="M856" s="1"/>
      <c r="N856" s="1"/>
      <c r="O856" s="1"/>
      <c r="P856" s="1"/>
      <c r="Q856" s="1"/>
      <c r="R856" s="1"/>
      <c r="S856" s="1"/>
      <c r="T856" s="1"/>
      <c r="U856" s="1"/>
      <c r="V856" s="1"/>
      <c r="W856" s="1"/>
      <c r="X856" s="1"/>
      <c r="Y856" s="1"/>
      <c r="Z856" s="1"/>
    </row>
    <row r="857" ht="10.5" customHeight="1">
      <c r="A857" s="1"/>
      <c r="B857" s="85" t="s">
        <v>487</v>
      </c>
      <c r="C857" s="830">
        <v>1140.0</v>
      </c>
      <c r="F857" s="87"/>
      <c r="G857" s="819">
        <v>1580.0</v>
      </c>
      <c r="H857" s="87"/>
      <c r="I857" s="819">
        <f t="shared" si="47"/>
        <v>2720</v>
      </c>
      <c r="J857" s="87"/>
      <c r="K857" s="1"/>
      <c r="L857" s="1"/>
      <c r="M857" s="1"/>
      <c r="N857" s="1"/>
      <c r="O857" s="1"/>
      <c r="P857" s="1"/>
      <c r="Q857" s="1"/>
      <c r="R857" s="1"/>
      <c r="S857" s="1"/>
      <c r="T857" s="1"/>
      <c r="U857" s="1"/>
      <c r="V857" s="1"/>
      <c r="W857" s="1"/>
      <c r="X857" s="1"/>
      <c r="Y857" s="1"/>
      <c r="Z857" s="1"/>
    </row>
    <row r="858" ht="10.5" customHeight="1">
      <c r="A858" s="1"/>
      <c r="B858" s="85" t="s">
        <v>489</v>
      </c>
      <c r="C858" s="835">
        <v>1182.0</v>
      </c>
      <c r="F858" s="87"/>
      <c r="G858" s="819">
        <v>1661.0</v>
      </c>
      <c r="H858" s="87"/>
      <c r="I858" s="819">
        <f t="shared" si="47"/>
        <v>2843</v>
      </c>
      <c r="J858" s="87"/>
      <c r="K858" s="1"/>
      <c r="L858" s="1"/>
      <c r="M858" s="1"/>
      <c r="N858" s="1"/>
      <c r="O858" s="1"/>
      <c r="P858" s="1"/>
      <c r="Q858" s="1"/>
      <c r="R858" s="1"/>
      <c r="S858" s="1"/>
      <c r="T858" s="1"/>
      <c r="U858" s="1"/>
      <c r="V858" s="1"/>
      <c r="W858" s="1"/>
      <c r="X858" s="1"/>
      <c r="Y858" s="1"/>
      <c r="Z858" s="1"/>
    </row>
    <row r="859" ht="10.5" customHeight="1">
      <c r="A859" s="1"/>
      <c r="B859" s="85" t="s">
        <v>55</v>
      </c>
      <c r="C859" s="830">
        <v>1290.0</v>
      </c>
      <c r="F859" s="87"/>
      <c r="G859" s="819">
        <v>1616.0</v>
      </c>
      <c r="H859" s="87"/>
      <c r="I859" s="819">
        <f t="shared" si="47"/>
        <v>2906</v>
      </c>
      <c r="J859" s="87"/>
      <c r="K859" s="1"/>
      <c r="L859" s="1"/>
      <c r="M859" s="1"/>
      <c r="N859" s="1"/>
      <c r="O859" s="1"/>
      <c r="P859" s="1"/>
      <c r="Q859" s="1"/>
      <c r="R859" s="1"/>
      <c r="S859" s="1"/>
      <c r="T859" s="1"/>
      <c r="U859" s="1"/>
      <c r="V859" s="1"/>
      <c r="W859" s="1"/>
      <c r="X859" s="1"/>
      <c r="Y859" s="1"/>
      <c r="Z859" s="1"/>
    </row>
    <row r="860" ht="10.5" customHeight="1">
      <c r="A860" s="1"/>
      <c r="B860" s="85" t="s">
        <v>57</v>
      </c>
      <c r="C860" s="830">
        <v>1213.0</v>
      </c>
      <c r="F860" s="87"/>
      <c r="G860" s="819">
        <v>1766.0</v>
      </c>
      <c r="H860" s="87"/>
      <c r="I860" s="819">
        <f t="shared" si="47"/>
        <v>2979</v>
      </c>
      <c r="J860" s="87"/>
      <c r="K860" s="1"/>
      <c r="L860" s="1"/>
      <c r="M860" s="1"/>
      <c r="N860" s="1"/>
      <c r="O860" s="1"/>
      <c r="P860" s="1"/>
      <c r="Q860" s="1"/>
      <c r="R860" s="1"/>
      <c r="S860" s="1"/>
      <c r="T860" s="1"/>
      <c r="U860" s="1"/>
      <c r="V860" s="1"/>
      <c r="W860" s="1"/>
      <c r="X860" s="1"/>
      <c r="Y860" s="1"/>
      <c r="Z860" s="1"/>
    </row>
    <row r="861" ht="9.0" customHeight="1">
      <c r="A861" s="1"/>
      <c r="B861" s="85"/>
      <c r="C861" s="830"/>
      <c r="F861" s="87"/>
      <c r="G861" s="819"/>
      <c r="H861" s="87"/>
      <c r="I861" s="819"/>
      <c r="J861" s="87"/>
      <c r="K861" s="1"/>
      <c r="L861" s="1"/>
      <c r="M861" s="1"/>
      <c r="N861" s="1"/>
      <c r="O861" s="1"/>
      <c r="P861" s="1"/>
      <c r="Q861" s="1"/>
      <c r="R861" s="1"/>
      <c r="S861" s="1"/>
      <c r="T861" s="1"/>
      <c r="U861" s="1"/>
      <c r="V861" s="1"/>
      <c r="W861" s="1"/>
      <c r="X861" s="1"/>
      <c r="Y861" s="1"/>
      <c r="Z861" s="1"/>
    </row>
    <row r="862" ht="12.0" customHeight="1">
      <c r="A862" s="1"/>
      <c r="B862" s="96" t="s">
        <v>1460</v>
      </c>
      <c r="C862" s="844">
        <v>1166.0</v>
      </c>
      <c r="D862" s="35"/>
      <c r="E862" s="35"/>
      <c r="F862" s="94"/>
      <c r="G862" s="845">
        <v>1998.0</v>
      </c>
      <c r="H862" s="94"/>
      <c r="I862" s="845">
        <f>SUM(C862:H862)</f>
        <v>3164</v>
      </c>
      <c r="J862" s="94"/>
      <c r="K862" s="1"/>
      <c r="L862" s="1"/>
      <c r="M862" s="1"/>
      <c r="N862" s="1"/>
      <c r="O862" s="1"/>
      <c r="P862" s="1"/>
      <c r="Q862" s="1"/>
      <c r="R862" s="1"/>
      <c r="S862" s="1"/>
      <c r="T862" s="1"/>
      <c r="U862" s="1"/>
      <c r="V862" s="1"/>
      <c r="W862" s="1"/>
      <c r="X862" s="1"/>
      <c r="Y862" s="1"/>
      <c r="Z862" s="1"/>
    </row>
    <row r="863" ht="3.75" customHeight="1">
      <c r="A863" s="1"/>
      <c r="B863" s="29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0.5" customHeight="1">
      <c r="A864" s="1"/>
      <c r="B864" s="1" t="s">
        <v>1461</v>
      </c>
      <c r="C864" s="1" t="s">
        <v>1462</v>
      </c>
      <c r="D864" s="1"/>
      <c r="E864" s="1"/>
      <c r="F864" s="1"/>
      <c r="G864" s="1"/>
      <c r="H864" s="1"/>
      <c r="I864" s="1"/>
      <c r="J864" s="1"/>
      <c r="K864" s="1"/>
      <c r="L864" s="1"/>
      <c r="M864" s="1"/>
      <c r="N864" s="1"/>
      <c r="O864" s="1"/>
      <c r="P864" s="1"/>
      <c r="Q864" s="1"/>
      <c r="R864" s="1"/>
      <c r="S864" s="1"/>
      <c r="T864" s="1"/>
      <c r="U864" s="1"/>
      <c r="V864" s="1"/>
      <c r="W864" s="1"/>
      <c r="X864" s="1"/>
      <c r="Y864" s="1"/>
      <c r="Z864" s="1"/>
    </row>
    <row r="865" ht="10.5" customHeight="1">
      <c r="A865" s="1"/>
      <c r="B865" s="1"/>
      <c r="C865" s="1" t="s">
        <v>1463</v>
      </c>
      <c r="D865" s="1"/>
      <c r="E865" s="1"/>
      <c r="F865" s="1"/>
      <c r="G865" s="1"/>
      <c r="H865" s="1"/>
      <c r="I865" s="1"/>
      <c r="J865" s="1"/>
      <c r="K865" s="1"/>
      <c r="L865" s="1"/>
      <c r="M865" s="1"/>
      <c r="N865" s="1"/>
      <c r="O865" s="1"/>
      <c r="P865" s="1"/>
      <c r="Q865" s="1"/>
      <c r="R865" s="1"/>
      <c r="S865" s="1"/>
      <c r="T865" s="1"/>
      <c r="U865" s="1"/>
      <c r="V865" s="1"/>
      <c r="W865" s="1"/>
      <c r="X865" s="1"/>
      <c r="Y865" s="1"/>
      <c r="Z865" s="1"/>
    </row>
    <row r="866" ht="10.5" customHeight="1">
      <c r="A866" s="1"/>
      <c r="B866" s="291"/>
      <c r="C866" s="848" t="s">
        <v>1464</v>
      </c>
      <c r="D866" s="291"/>
      <c r="E866" s="291"/>
      <c r="F866" s="1"/>
      <c r="G866" s="1"/>
      <c r="H866" s="1"/>
      <c r="I866" s="1"/>
      <c r="J866" s="1"/>
      <c r="K866" s="1"/>
      <c r="L866" s="1"/>
      <c r="M866" s="1"/>
      <c r="N866" s="1"/>
      <c r="O866" s="1"/>
      <c r="P866" s="1"/>
      <c r="Q866" s="1"/>
      <c r="R866" s="1"/>
      <c r="S866" s="1"/>
      <c r="T866" s="1"/>
      <c r="U866" s="1"/>
      <c r="V866" s="1"/>
      <c r="W866" s="1"/>
      <c r="X866" s="1"/>
      <c r="Y866" s="1"/>
      <c r="Z866" s="1"/>
    </row>
    <row r="867" ht="10.5" customHeight="1">
      <c r="A867" s="1"/>
      <c r="B867" s="291"/>
      <c r="C867" s="848" t="s">
        <v>1465</v>
      </c>
      <c r="D867" s="291"/>
      <c r="E867" s="1"/>
      <c r="F867" s="1"/>
      <c r="G867" s="1"/>
      <c r="H867" s="1"/>
      <c r="I867" s="1"/>
      <c r="J867" s="1"/>
      <c r="K867" s="1"/>
      <c r="L867" s="1"/>
      <c r="M867" s="1"/>
      <c r="N867" s="1"/>
      <c r="O867" s="1"/>
      <c r="P867" s="1"/>
      <c r="Q867" s="1"/>
      <c r="R867" s="1"/>
      <c r="S867" s="1"/>
      <c r="T867" s="1"/>
      <c r="U867" s="1"/>
      <c r="V867" s="1"/>
      <c r="W867" s="1"/>
      <c r="X867" s="1"/>
      <c r="Y867" s="1"/>
      <c r="Z867" s="1"/>
    </row>
    <row r="868" ht="6.0" customHeight="1">
      <c r="A868" s="1"/>
      <c r="B868" s="291"/>
      <c r="C868" s="291"/>
      <c r="D868" s="291"/>
      <c r="E868" s="1"/>
      <c r="F868" s="1"/>
      <c r="G868" s="1"/>
      <c r="H868" s="1"/>
      <c r="I868" s="1"/>
      <c r="J868" s="1"/>
      <c r="K868" s="1"/>
      <c r="L868" s="1"/>
      <c r="M868" s="1"/>
      <c r="N868" s="1"/>
      <c r="O868" s="1"/>
      <c r="P868" s="1"/>
      <c r="Q868" s="1"/>
      <c r="R868" s="1"/>
      <c r="S868" s="1"/>
      <c r="T868" s="1"/>
      <c r="U868" s="1"/>
      <c r="V868" s="1"/>
      <c r="W868" s="1"/>
      <c r="X868" s="1"/>
      <c r="Y868" s="1"/>
      <c r="Z868" s="1"/>
    </row>
    <row r="869" ht="10.5" customHeight="1">
      <c r="A869" s="1"/>
      <c r="B869" s="281" t="s">
        <v>1466</v>
      </c>
      <c r="C869" s="281"/>
      <c r="D869" s="281"/>
      <c r="E869" s="281"/>
      <c r="F869" s="281"/>
      <c r="G869" s="680"/>
      <c r="H869" s="281"/>
      <c r="I869" s="281"/>
      <c r="J869" s="281"/>
      <c r="K869" s="1"/>
      <c r="L869" s="1"/>
      <c r="M869" s="1"/>
      <c r="N869" s="1"/>
      <c r="O869" s="1"/>
      <c r="P869" s="1"/>
      <c r="Q869" s="1"/>
      <c r="R869" s="1"/>
      <c r="S869" s="1"/>
      <c r="T869" s="1"/>
      <c r="U869" s="1"/>
      <c r="V869" s="1"/>
      <c r="W869" s="1"/>
      <c r="X869" s="1"/>
      <c r="Y869" s="1"/>
      <c r="Z869" s="1"/>
    </row>
    <row r="870" ht="10.5" customHeight="1">
      <c r="A870" s="1"/>
      <c r="B870" s="281" t="s">
        <v>1467</v>
      </c>
      <c r="C870" s="331"/>
      <c r="D870" s="331"/>
      <c r="E870" s="331"/>
      <c r="F870" s="331"/>
      <c r="G870" s="281"/>
      <c r="H870" s="281"/>
      <c r="I870" s="281"/>
      <c r="J870" s="281"/>
      <c r="K870" s="1"/>
      <c r="L870" s="1"/>
      <c r="M870" s="1"/>
      <c r="N870" s="1"/>
      <c r="O870" s="1"/>
      <c r="P870" s="1"/>
      <c r="Q870" s="1"/>
      <c r="R870" s="1"/>
      <c r="S870" s="1"/>
      <c r="T870" s="1"/>
      <c r="U870" s="1"/>
      <c r="V870" s="1"/>
      <c r="W870" s="1"/>
      <c r="X870" s="1"/>
      <c r="Y870" s="1"/>
      <c r="Z870" s="1"/>
    </row>
    <row r="871" ht="10.5" customHeight="1">
      <c r="A871" s="1"/>
      <c r="B871" s="849" t="s">
        <v>1468</v>
      </c>
      <c r="F871" s="281"/>
      <c r="G871" s="850"/>
      <c r="K871" s="1"/>
      <c r="L871" s="1"/>
      <c r="M871" s="1"/>
      <c r="N871" s="1"/>
      <c r="O871" s="1"/>
      <c r="P871" s="1"/>
      <c r="Q871" s="1"/>
      <c r="R871" s="1"/>
      <c r="S871" s="1"/>
      <c r="T871" s="1"/>
      <c r="U871" s="1"/>
      <c r="V871" s="1"/>
      <c r="W871" s="1"/>
      <c r="X871" s="1"/>
      <c r="Y871" s="1"/>
      <c r="Z871" s="1"/>
    </row>
    <row r="872" ht="10.5" customHeight="1">
      <c r="A872" s="1"/>
      <c r="B872" s="849" t="s">
        <v>1469</v>
      </c>
      <c r="K872" s="1"/>
      <c r="L872" s="1"/>
      <c r="M872" s="1"/>
      <c r="N872" s="1"/>
      <c r="O872" s="1"/>
      <c r="P872" s="1"/>
      <c r="Q872" s="1"/>
      <c r="R872" s="1"/>
      <c r="S872" s="1"/>
      <c r="T872" s="1"/>
      <c r="U872" s="1"/>
      <c r="V872" s="1"/>
      <c r="W872" s="1"/>
      <c r="X872" s="1"/>
      <c r="Y872" s="1"/>
      <c r="Z872" s="1"/>
    </row>
    <row r="873" ht="10.5" customHeight="1">
      <c r="A873" s="1"/>
      <c r="B873" s="281" t="s">
        <v>1470</v>
      </c>
      <c r="C873" s="331"/>
      <c r="D873" s="331"/>
      <c r="E873" s="331"/>
      <c r="F873" s="281"/>
      <c r="G873" s="281"/>
      <c r="H873" s="281"/>
      <c r="I873" s="281"/>
      <c r="J873" s="281"/>
      <c r="K873" s="1"/>
      <c r="L873" s="1"/>
      <c r="M873" s="1"/>
      <c r="N873" s="1"/>
      <c r="O873" s="1"/>
      <c r="P873" s="1"/>
      <c r="Q873" s="1"/>
      <c r="R873" s="1"/>
      <c r="S873" s="1"/>
      <c r="T873" s="1"/>
      <c r="U873" s="1"/>
      <c r="V873" s="1"/>
      <c r="W873" s="1"/>
      <c r="X873" s="1"/>
      <c r="Y873" s="1"/>
      <c r="Z873" s="1"/>
    </row>
    <row r="874" ht="10.5" customHeight="1">
      <c r="A874" s="1"/>
      <c r="B874" s="849" t="s">
        <v>1471</v>
      </c>
      <c r="I874" s="281"/>
      <c r="J874" s="281"/>
      <c r="K874" s="1"/>
      <c r="L874" s="1"/>
      <c r="M874" s="1"/>
      <c r="N874" s="1"/>
      <c r="O874" s="1"/>
      <c r="P874" s="1"/>
      <c r="Q874" s="1"/>
      <c r="R874" s="1"/>
      <c r="S874" s="1"/>
      <c r="T874" s="1"/>
      <c r="U874" s="1"/>
      <c r="V874" s="1"/>
      <c r="W874" s="1"/>
      <c r="X874" s="1"/>
      <c r="Y874" s="1"/>
      <c r="Z874" s="1"/>
    </row>
    <row r="875" ht="9.75" customHeight="1">
      <c r="A875" s="1"/>
      <c r="B875" s="281" t="s">
        <v>1472</v>
      </c>
      <c r="I875" s="680"/>
      <c r="J875" s="680"/>
      <c r="K875" s="1"/>
      <c r="L875" s="1"/>
      <c r="M875" s="1"/>
      <c r="N875" s="1"/>
      <c r="O875" s="1"/>
      <c r="P875" s="1"/>
      <c r="Q875" s="1"/>
      <c r="R875" s="1"/>
      <c r="S875" s="1"/>
      <c r="T875" s="1"/>
      <c r="U875" s="1"/>
      <c r="V875" s="1"/>
      <c r="W875" s="1"/>
      <c r="X875" s="1"/>
      <c r="Y875" s="1"/>
      <c r="Z875" s="1"/>
    </row>
    <row r="876" ht="10.5" customHeight="1">
      <c r="A876" s="1"/>
      <c r="B876" s="281" t="s">
        <v>1473</v>
      </c>
      <c r="C876" s="281"/>
      <c r="D876" s="281"/>
      <c r="E876" s="281"/>
      <c r="F876" s="851"/>
      <c r="G876" s="851"/>
      <c r="H876" s="852"/>
      <c r="I876" s="680"/>
      <c r="J876" s="680"/>
      <c r="K876" s="1"/>
      <c r="L876" s="1"/>
      <c r="M876" s="1"/>
      <c r="N876" s="1"/>
      <c r="O876" s="1"/>
      <c r="P876" s="1"/>
      <c r="Q876" s="1"/>
      <c r="R876" s="1"/>
      <c r="S876" s="1"/>
      <c r="T876" s="1"/>
      <c r="U876" s="1"/>
      <c r="V876" s="1"/>
      <c r="W876" s="1"/>
      <c r="X876" s="1"/>
      <c r="Y876" s="1"/>
      <c r="Z876" s="1"/>
    </row>
    <row r="877" ht="10.5" customHeight="1">
      <c r="A877" s="1"/>
      <c r="B877" s="1"/>
      <c r="C877" s="1"/>
      <c r="D877" s="1"/>
      <c r="E877" s="1"/>
      <c r="F877" s="172"/>
      <c r="G877" s="172"/>
      <c r="H877" s="852"/>
      <c r="I877" s="420"/>
      <c r="J877" s="420"/>
      <c r="K877" s="1"/>
      <c r="L877" s="1"/>
      <c r="M877" s="1"/>
      <c r="N877" s="1"/>
      <c r="O877" s="1"/>
      <c r="P877" s="1"/>
      <c r="Q877" s="1"/>
      <c r="R877" s="1"/>
      <c r="S877" s="1"/>
      <c r="T877" s="1"/>
      <c r="U877" s="1"/>
      <c r="V877" s="1"/>
      <c r="W877" s="1"/>
      <c r="X877" s="1"/>
      <c r="Y877" s="1"/>
      <c r="Z877" s="1"/>
    </row>
    <row r="878" ht="10.5" customHeight="1">
      <c r="A878" s="1"/>
      <c r="B878" s="60"/>
      <c r="C878" s="60"/>
      <c r="D878" s="60"/>
      <c r="E878" s="1"/>
      <c r="F878" s="1"/>
      <c r="G878" s="698"/>
      <c r="H878" s="1"/>
      <c r="I878" s="1"/>
      <c r="J878" s="1"/>
      <c r="K878" s="1"/>
      <c r="L878" s="1"/>
      <c r="M878" s="1"/>
      <c r="N878" s="1"/>
      <c r="O878" s="1"/>
      <c r="P878" s="1"/>
      <c r="Q878" s="1"/>
      <c r="R878" s="1"/>
      <c r="S878" s="1"/>
      <c r="T878" s="1"/>
      <c r="U878" s="1"/>
      <c r="V878" s="1"/>
      <c r="W878" s="1"/>
      <c r="X878" s="1"/>
      <c r="Y878" s="1"/>
      <c r="Z878" s="1"/>
    </row>
    <row r="879" ht="10.5" customHeight="1">
      <c r="A879" s="1"/>
      <c r="B879" s="60"/>
      <c r="C879" s="60"/>
      <c r="D879" s="60"/>
      <c r="E879" s="1"/>
      <c r="F879" s="1"/>
      <c r="G879" s="1"/>
      <c r="H879" s="1"/>
      <c r="I879" s="1"/>
      <c r="J879" s="1"/>
      <c r="K879" s="1"/>
      <c r="L879" s="1"/>
      <c r="M879" s="1"/>
      <c r="N879" s="1"/>
      <c r="O879" s="1"/>
      <c r="P879" s="1"/>
      <c r="Q879" s="1"/>
      <c r="R879" s="1"/>
      <c r="S879" s="1"/>
      <c r="T879" s="1"/>
      <c r="U879" s="1"/>
      <c r="V879" s="1"/>
      <c r="W879" s="1"/>
      <c r="X879" s="1"/>
      <c r="Y879" s="1"/>
      <c r="Z879" s="1"/>
    </row>
    <row r="880" ht="10.5" customHeight="1">
      <c r="A880" s="1"/>
      <c r="B880" s="60"/>
      <c r="C880" s="60"/>
      <c r="D880" s="60"/>
      <c r="E880" s="1"/>
      <c r="F880" s="1"/>
      <c r="G880" s="1"/>
      <c r="H880" s="1"/>
      <c r="I880" s="1"/>
      <c r="J880" s="1"/>
      <c r="K880" s="1"/>
      <c r="L880" s="1"/>
      <c r="M880" s="1"/>
      <c r="N880" s="1"/>
      <c r="O880" s="1"/>
      <c r="P880" s="1"/>
      <c r="Q880" s="1"/>
      <c r="R880" s="1"/>
      <c r="S880" s="1"/>
      <c r="T880" s="1"/>
      <c r="U880" s="1"/>
      <c r="V880" s="1"/>
      <c r="W880" s="1"/>
      <c r="X880" s="1"/>
      <c r="Y880" s="1"/>
      <c r="Z880" s="1"/>
    </row>
    <row r="881" ht="10.5" customHeight="1">
      <c r="A881" s="1"/>
      <c r="B881" s="60"/>
      <c r="C881" s="60"/>
      <c r="D881" s="60"/>
      <c r="E881" s="1"/>
      <c r="F881" s="1"/>
      <c r="G881" s="1"/>
      <c r="H881" s="1"/>
      <c r="I881" s="1"/>
      <c r="J881" s="1"/>
      <c r="K881" s="1"/>
      <c r="L881" s="1"/>
      <c r="M881" s="1"/>
      <c r="N881" s="1"/>
      <c r="O881" s="1"/>
      <c r="P881" s="1"/>
      <c r="Q881" s="1"/>
      <c r="R881" s="1"/>
      <c r="S881" s="1"/>
      <c r="T881" s="1"/>
      <c r="U881" s="1"/>
      <c r="V881" s="1"/>
      <c r="W881" s="1"/>
      <c r="X881" s="1"/>
      <c r="Y881" s="1"/>
      <c r="Z881" s="1"/>
    </row>
    <row r="882" ht="10.5" customHeight="1">
      <c r="A882" s="1"/>
      <c r="B882" s="60"/>
      <c r="C882" s="152"/>
      <c r="D882" s="152"/>
      <c r="E882" s="1"/>
      <c r="F882" s="1"/>
      <c r="G882" s="1"/>
      <c r="H882" s="1"/>
      <c r="I882" s="1"/>
      <c r="J882" s="1"/>
      <c r="K882" s="1"/>
      <c r="L882" s="1"/>
      <c r="M882" s="1"/>
      <c r="N882" s="1"/>
      <c r="O882" s="1"/>
      <c r="P882" s="1"/>
      <c r="Q882" s="1"/>
      <c r="R882" s="1"/>
      <c r="S882" s="1"/>
      <c r="T882" s="1"/>
      <c r="U882" s="1"/>
      <c r="V882" s="1"/>
      <c r="W882" s="1"/>
      <c r="X882" s="1"/>
      <c r="Y882" s="1"/>
      <c r="Z882" s="1"/>
    </row>
    <row r="883" ht="10.5" customHeight="1">
      <c r="A883" s="1"/>
      <c r="B883" s="60"/>
      <c r="C883" s="152"/>
      <c r="D883" s="152"/>
      <c r="E883" s="1"/>
      <c r="F883" s="1"/>
      <c r="G883" s="1"/>
      <c r="H883" s="1"/>
      <c r="I883" s="1"/>
      <c r="J883" s="1"/>
      <c r="K883" s="1"/>
      <c r="L883" s="1"/>
      <c r="M883" s="1"/>
      <c r="N883" s="1"/>
      <c r="O883" s="1"/>
      <c r="P883" s="1"/>
      <c r="Q883" s="1"/>
      <c r="R883" s="1"/>
      <c r="S883" s="1"/>
      <c r="T883" s="1"/>
      <c r="U883" s="1"/>
      <c r="V883" s="1"/>
      <c r="W883" s="1"/>
      <c r="X883" s="1"/>
      <c r="Y883" s="1"/>
      <c r="Z883" s="1"/>
    </row>
    <row r="884" ht="10.5" customHeight="1">
      <c r="A884" s="1"/>
      <c r="B884" s="60"/>
      <c r="C884" s="60"/>
      <c r="D884" s="60"/>
      <c r="E884" s="1"/>
      <c r="F884" s="1"/>
      <c r="G884" s="1"/>
      <c r="H884" s="1"/>
      <c r="I884" s="1"/>
      <c r="J884" s="1"/>
      <c r="K884" s="1"/>
      <c r="L884" s="1"/>
      <c r="M884" s="1"/>
      <c r="N884" s="1"/>
      <c r="O884" s="1"/>
      <c r="P884" s="1"/>
      <c r="Q884" s="1"/>
      <c r="R884" s="1"/>
      <c r="S884" s="1"/>
      <c r="T884" s="1"/>
      <c r="U884" s="1"/>
      <c r="V884" s="1"/>
      <c r="W884" s="1"/>
      <c r="X884" s="1"/>
      <c r="Y884" s="1"/>
      <c r="Z884" s="1"/>
    </row>
    <row r="885" ht="10.5" customHeight="1">
      <c r="A885" s="1"/>
      <c r="B885" s="60"/>
      <c r="C885" s="60"/>
      <c r="D885" s="60"/>
      <c r="E885" s="1"/>
      <c r="F885" s="1"/>
      <c r="G885" s="1"/>
      <c r="H885" s="1"/>
      <c r="I885" s="1"/>
      <c r="J885" s="1"/>
      <c r="K885" s="1"/>
      <c r="L885" s="1"/>
      <c r="M885" s="1"/>
      <c r="N885" s="1"/>
      <c r="O885" s="1"/>
      <c r="P885" s="1"/>
      <c r="Q885" s="1"/>
      <c r="R885" s="1"/>
      <c r="S885" s="1"/>
      <c r="T885" s="1"/>
      <c r="U885" s="1"/>
      <c r="V885" s="1"/>
      <c r="W885" s="1"/>
      <c r="X885" s="1"/>
      <c r="Y885" s="1"/>
      <c r="Z885" s="1"/>
    </row>
    <row r="886" ht="10.5" customHeight="1">
      <c r="A886" s="1"/>
      <c r="B886" s="1"/>
      <c r="C886" s="1"/>
      <c r="D886" s="1"/>
      <c r="E886" s="1"/>
      <c r="F886" s="1"/>
      <c r="G886" s="110">
        <v>70.0</v>
      </c>
      <c r="H886" s="1"/>
      <c r="I886" s="1"/>
      <c r="J886" s="1"/>
      <c r="K886" s="1"/>
      <c r="L886" s="1"/>
      <c r="M886" s="1"/>
      <c r="N886" s="1"/>
      <c r="O886" s="1"/>
      <c r="P886" s="1"/>
      <c r="Q886" s="1"/>
      <c r="R886" s="1"/>
      <c r="S886" s="1"/>
      <c r="T886" s="1"/>
      <c r="U886" s="1"/>
      <c r="V886" s="1"/>
      <c r="W886" s="1"/>
      <c r="X886" s="1"/>
      <c r="Y886" s="1"/>
      <c r="Z886" s="1"/>
    </row>
    <row r="887" ht="10.5" customHeight="1">
      <c r="A887" s="1"/>
      <c r="B887" s="1"/>
      <c r="C887" s="15"/>
      <c r="D887" s="1"/>
      <c r="E887" s="15"/>
      <c r="F887" s="1"/>
      <c r="G887" s="15"/>
      <c r="H887" s="1"/>
      <c r="I887" s="15"/>
      <c r="J887" s="1"/>
      <c r="K887" s="1"/>
      <c r="L887" s="1"/>
      <c r="M887" s="1"/>
      <c r="N887" s="1"/>
      <c r="O887" s="1"/>
      <c r="P887" s="1"/>
      <c r="Q887" s="1"/>
      <c r="R887" s="1"/>
      <c r="S887" s="1"/>
      <c r="T887" s="1"/>
      <c r="U887" s="1"/>
      <c r="V887" s="1"/>
      <c r="W887" s="1"/>
      <c r="X887" s="1"/>
      <c r="Y887" s="1"/>
      <c r="Z887" s="1"/>
    </row>
    <row r="888" ht="11.25" customHeight="1">
      <c r="A888" s="1"/>
      <c r="B888" s="1" t="s">
        <v>1474</v>
      </c>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89" t="s">
        <v>1475</v>
      </c>
      <c r="C889" s="128" t="s">
        <v>1476</v>
      </c>
      <c r="D889" s="10"/>
      <c r="E889" s="128" t="s">
        <v>1477</v>
      </c>
      <c r="F889" s="10"/>
      <c r="G889" s="31" t="s">
        <v>1478</v>
      </c>
      <c r="H889" s="31" t="s">
        <v>1479</v>
      </c>
      <c r="I889" s="31" t="s">
        <v>1480</v>
      </c>
      <c r="J889" s="1"/>
      <c r="K889" s="1"/>
      <c r="L889" s="1"/>
      <c r="M889" s="1"/>
      <c r="N889" s="1"/>
      <c r="O889" s="1"/>
      <c r="P889" s="1"/>
      <c r="Q889" s="1"/>
      <c r="R889" s="1"/>
      <c r="S889" s="1"/>
      <c r="T889" s="1"/>
      <c r="U889" s="1"/>
      <c r="V889" s="1"/>
      <c r="W889" s="1"/>
      <c r="X889" s="1"/>
      <c r="Y889" s="1"/>
      <c r="Z889" s="1"/>
    </row>
    <row r="890" ht="23.25" customHeight="1">
      <c r="A890" s="1"/>
      <c r="B890" s="5"/>
      <c r="C890" s="7" t="s">
        <v>1481</v>
      </c>
      <c r="D890" s="7" t="s">
        <v>1482</v>
      </c>
      <c r="E890" s="7" t="s">
        <v>1483</v>
      </c>
      <c r="F890" s="7" t="s">
        <v>1484</v>
      </c>
      <c r="G890" s="6"/>
      <c r="H890" s="6"/>
      <c r="I890" s="6"/>
      <c r="J890" s="1"/>
      <c r="K890" s="1"/>
      <c r="L890" s="1"/>
      <c r="M890" s="1"/>
      <c r="N890" s="1"/>
      <c r="O890" s="1"/>
      <c r="P890" s="1"/>
      <c r="Q890" s="1"/>
      <c r="R890" s="1"/>
      <c r="S890" s="1"/>
      <c r="T890" s="1"/>
      <c r="U890" s="1"/>
      <c r="V890" s="1"/>
      <c r="W890" s="1"/>
      <c r="X890" s="1"/>
      <c r="Y890" s="1"/>
      <c r="Z890" s="1"/>
    </row>
    <row r="891" ht="11.25" customHeight="1">
      <c r="A891" s="1"/>
      <c r="B891" s="6"/>
      <c r="C891" s="8" t="s">
        <v>520</v>
      </c>
      <c r="D891" s="9"/>
      <c r="E891" s="9"/>
      <c r="F891" s="9"/>
      <c r="G891" s="9"/>
      <c r="H891" s="9"/>
      <c r="I891" s="10"/>
      <c r="J891" s="271"/>
      <c r="K891" s="1"/>
      <c r="L891" s="1"/>
      <c r="M891" s="1"/>
      <c r="N891" s="1"/>
      <c r="O891" s="1"/>
      <c r="P891" s="1"/>
      <c r="Q891" s="1"/>
      <c r="R891" s="1"/>
      <c r="S891" s="1"/>
      <c r="T891" s="1"/>
      <c r="U891" s="1"/>
      <c r="V891" s="1"/>
      <c r="W891" s="1"/>
      <c r="X891" s="1"/>
      <c r="Y891" s="1"/>
      <c r="Z891" s="1"/>
    </row>
    <row r="892" ht="10.5" customHeight="1">
      <c r="A892" s="1"/>
      <c r="B892" s="48" t="s">
        <v>264</v>
      </c>
      <c r="C892" s="136">
        <v>43964.0</v>
      </c>
      <c r="D892" s="136">
        <v>44814.0</v>
      </c>
      <c r="E892" s="136">
        <v>17680.0</v>
      </c>
      <c r="F892" s="136">
        <v>17735.0</v>
      </c>
      <c r="G892" s="136">
        <v>42211.0</v>
      </c>
      <c r="H892" s="136">
        <v>7423.0</v>
      </c>
      <c r="I892" s="136">
        <v>11670.0</v>
      </c>
      <c r="J892" s="1"/>
      <c r="K892" s="1"/>
      <c r="L892" s="1"/>
      <c r="M892" s="1"/>
      <c r="N892" s="1"/>
      <c r="O892" s="1"/>
      <c r="P892" s="1"/>
      <c r="Q892" s="1"/>
      <c r="R892" s="1"/>
      <c r="S892" s="1"/>
      <c r="T892" s="1"/>
      <c r="U892" s="1"/>
      <c r="V892" s="1"/>
      <c r="W892" s="1"/>
      <c r="X892" s="1"/>
      <c r="Y892" s="1"/>
      <c r="Z892" s="1"/>
    </row>
    <row r="893" ht="10.5" customHeight="1">
      <c r="A893" s="1"/>
      <c r="B893" s="48" t="s">
        <v>267</v>
      </c>
      <c r="C893" s="136">
        <v>45419.0</v>
      </c>
      <c r="D893" s="136">
        <v>46219.0</v>
      </c>
      <c r="E893" s="136">
        <v>19250.0</v>
      </c>
      <c r="F893" s="136">
        <v>19300.0</v>
      </c>
      <c r="G893" s="136">
        <v>42960.0</v>
      </c>
      <c r="H893" s="136">
        <v>7602.0</v>
      </c>
      <c r="I893" s="136">
        <v>13312.0</v>
      </c>
      <c r="J893" s="1"/>
      <c r="K893" s="1"/>
      <c r="L893" s="1"/>
      <c r="M893" s="1"/>
      <c r="N893" s="1"/>
      <c r="O893" s="1"/>
      <c r="P893" s="1"/>
      <c r="Q893" s="1"/>
      <c r="R893" s="1"/>
      <c r="S893" s="1"/>
      <c r="T893" s="1"/>
      <c r="U893" s="1"/>
      <c r="V893" s="1"/>
      <c r="W893" s="1"/>
      <c r="X893" s="1"/>
      <c r="Y893" s="1"/>
      <c r="Z893" s="1"/>
    </row>
    <row r="894" ht="10.5" customHeight="1">
      <c r="A894" s="1"/>
      <c r="B894" s="48" t="s">
        <v>268</v>
      </c>
      <c r="C894" s="136">
        <v>38370.0</v>
      </c>
      <c r="D894" s="136">
        <v>39170.0</v>
      </c>
      <c r="E894" s="136">
        <v>20888.0</v>
      </c>
      <c r="F894" s="136">
        <v>20933.0</v>
      </c>
      <c r="G894" s="136">
        <v>45293.0</v>
      </c>
      <c r="H894" s="136">
        <v>9349.0</v>
      </c>
      <c r="I894" s="136">
        <v>13364.0</v>
      </c>
      <c r="J894" s="1"/>
      <c r="K894" s="1"/>
      <c r="L894" s="1"/>
      <c r="M894" s="1"/>
      <c r="N894" s="1"/>
      <c r="O894" s="1"/>
      <c r="P894" s="1"/>
      <c r="Q894" s="1"/>
      <c r="R894" s="1"/>
      <c r="S894" s="1"/>
      <c r="T894" s="1"/>
      <c r="U894" s="1"/>
      <c r="V894" s="1"/>
      <c r="W894" s="1"/>
      <c r="X894" s="1"/>
      <c r="Y894" s="1"/>
      <c r="Z894" s="1"/>
    </row>
    <row r="895" ht="10.5" customHeight="1">
      <c r="A895" s="1"/>
      <c r="B895" s="48" t="s">
        <v>269</v>
      </c>
      <c r="C895" s="136">
        <v>31609.0</v>
      </c>
      <c r="D895" s="136">
        <v>32389.0</v>
      </c>
      <c r="E895" s="136">
        <v>19430.0</v>
      </c>
      <c r="F895" s="136">
        <v>19470.0</v>
      </c>
      <c r="G895" s="136">
        <v>44904.0</v>
      </c>
      <c r="H895" s="136">
        <v>7794.0</v>
      </c>
      <c r="I895" s="136">
        <v>13934.0</v>
      </c>
      <c r="J895" s="1"/>
      <c r="K895" s="1"/>
      <c r="L895" s="1"/>
      <c r="M895" s="1"/>
      <c r="N895" s="1"/>
      <c r="O895" s="1"/>
      <c r="P895" s="1"/>
      <c r="Q895" s="1"/>
      <c r="R895" s="1"/>
      <c r="S895" s="1"/>
      <c r="T895" s="1"/>
      <c r="U895" s="1"/>
      <c r="V895" s="1"/>
      <c r="W895" s="1"/>
      <c r="X895" s="1"/>
      <c r="Y895" s="1"/>
      <c r="Z895" s="1"/>
    </row>
    <row r="896" ht="10.5" customHeight="1">
      <c r="A896" s="1"/>
      <c r="B896" s="48" t="s">
        <v>270</v>
      </c>
      <c r="C896" s="136">
        <v>26572.0</v>
      </c>
      <c r="D896" s="136">
        <v>27352.0</v>
      </c>
      <c r="E896" s="136">
        <v>22003.0</v>
      </c>
      <c r="F896" s="136">
        <v>22043.0</v>
      </c>
      <c r="G896" s="136">
        <v>50194.0</v>
      </c>
      <c r="H896" s="136">
        <v>6909.0</v>
      </c>
      <c r="I896" s="136">
        <v>15745.0</v>
      </c>
      <c r="J896" s="1"/>
      <c r="K896" s="1"/>
      <c r="L896" s="1"/>
      <c r="M896" s="1"/>
      <c r="N896" s="1"/>
      <c r="O896" s="1"/>
      <c r="P896" s="1"/>
      <c r="Q896" s="1"/>
      <c r="R896" s="1"/>
      <c r="S896" s="1"/>
      <c r="T896" s="1"/>
      <c r="U896" s="1"/>
      <c r="V896" s="1"/>
      <c r="W896" s="1"/>
      <c r="X896" s="1"/>
      <c r="Y896" s="1"/>
      <c r="Z896" s="1"/>
    </row>
    <row r="897" ht="10.5" customHeight="1">
      <c r="A897" s="1"/>
      <c r="B897" s="48"/>
      <c r="C897" s="136"/>
      <c r="D897" s="136"/>
      <c r="E897" s="136"/>
      <c r="F897" s="136"/>
      <c r="G897" s="136"/>
      <c r="H897" s="136"/>
      <c r="I897" s="136"/>
      <c r="J897" s="1"/>
      <c r="K897" s="1"/>
      <c r="L897" s="1"/>
      <c r="M897" s="1"/>
      <c r="N897" s="1"/>
      <c r="O897" s="1"/>
      <c r="P897" s="1"/>
      <c r="Q897" s="1"/>
      <c r="R897" s="1"/>
      <c r="S897" s="1"/>
      <c r="T897" s="1"/>
      <c r="U897" s="1"/>
      <c r="V897" s="1"/>
      <c r="W897" s="1"/>
      <c r="X897" s="1"/>
      <c r="Y897" s="1"/>
      <c r="Z897" s="1"/>
    </row>
    <row r="898" ht="10.5" customHeight="1">
      <c r="A898" s="1"/>
      <c r="B898" s="48" t="s">
        <v>271</v>
      </c>
      <c r="C898" s="136">
        <v>26163.0</v>
      </c>
      <c r="D898" s="136">
        <v>26883.0</v>
      </c>
      <c r="E898" s="136">
        <v>29534.0</v>
      </c>
      <c r="F898" s="136">
        <v>29574.0</v>
      </c>
      <c r="G898" s="136">
        <v>53740.0</v>
      </c>
      <c r="H898" s="136">
        <v>9544.0</v>
      </c>
      <c r="I898" s="136">
        <v>18915.0</v>
      </c>
      <c r="J898" s="1"/>
      <c r="K898" s="1"/>
      <c r="L898" s="1"/>
      <c r="M898" s="1"/>
      <c r="N898" s="1"/>
      <c r="O898" s="1"/>
      <c r="P898" s="1"/>
      <c r="Q898" s="1"/>
      <c r="R898" s="1"/>
      <c r="S898" s="1"/>
      <c r="T898" s="1"/>
      <c r="U898" s="1"/>
      <c r="V898" s="1"/>
      <c r="W898" s="1"/>
      <c r="X898" s="1"/>
      <c r="Y898" s="1"/>
      <c r="Z898" s="1"/>
    </row>
    <row r="899" ht="10.5" customHeight="1">
      <c r="A899" s="1"/>
      <c r="B899" s="48" t="s">
        <v>272</v>
      </c>
      <c r="C899" s="136">
        <v>23869.0</v>
      </c>
      <c r="D899" s="136">
        <v>24519.0</v>
      </c>
      <c r="E899" s="136">
        <v>28729.0</v>
      </c>
      <c r="F899" s="136">
        <v>28769.0</v>
      </c>
      <c r="G899" s="136">
        <v>46612.0</v>
      </c>
      <c r="H899" s="136">
        <v>8353.0</v>
      </c>
      <c r="I899" s="136">
        <v>20657.0</v>
      </c>
      <c r="J899" s="1"/>
      <c r="K899" s="1"/>
      <c r="L899" s="1"/>
      <c r="M899" s="1"/>
      <c r="N899" s="1"/>
      <c r="O899" s="1"/>
      <c r="P899" s="1"/>
      <c r="Q899" s="1"/>
      <c r="R899" s="1"/>
      <c r="S899" s="1"/>
      <c r="T899" s="1"/>
      <c r="U899" s="1"/>
      <c r="V899" s="1"/>
      <c r="W899" s="1"/>
      <c r="X899" s="1"/>
      <c r="Y899" s="1"/>
      <c r="Z899" s="1"/>
    </row>
    <row r="900" ht="10.5" customHeight="1">
      <c r="A900" s="1"/>
      <c r="B900" s="48" t="s">
        <v>274</v>
      </c>
      <c r="C900" s="136">
        <v>16962.0</v>
      </c>
      <c r="D900" s="136">
        <v>17612.0</v>
      </c>
      <c r="E900" s="136">
        <v>28504.0</v>
      </c>
      <c r="F900" s="136">
        <v>28544.0</v>
      </c>
      <c r="G900" s="136">
        <v>43195.0</v>
      </c>
      <c r="H900" s="136">
        <v>11193.0</v>
      </c>
      <c r="I900" s="136">
        <v>14513.0</v>
      </c>
      <c r="J900" s="1"/>
      <c r="K900" s="1"/>
      <c r="L900" s="1"/>
      <c r="M900" s="1"/>
      <c r="N900" s="1"/>
      <c r="O900" s="1"/>
      <c r="P900" s="1"/>
      <c r="Q900" s="1"/>
      <c r="R900" s="1"/>
      <c r="S900" s="1"/>
      <c r="T900" s="1"/>
      <c r="U900" s="1"/>
      <c r="V900" s="1"/>
      <c r="W900" s="1"/>
      <c r="X900" s="1"/>
      <c r="Y900" s="1"/>
      <c r="Z900" s="1"/>
    </row>
    <row r="901" ht="10.5" customHeight="1">
      <c r="A901" s="1"/>
      <c r="B901" s="48" t="s">
        <v>275</v>
      </c>
      <c r="C901" s="136">
        <v>15750.0</v>
      </c>
      <c r="D901" s="136">
        <v>16160.0</v>
      </c>
      <c r="E901" s="136">
        <v>27118.0</v>
      </c>
      <c r="F901" s="136">
        <v>27159.0</v>
      </c>
      <c r="G901" s="136">
        <v>37607.0</v>
      </c>
      <c r="H901" s="136">
        <v>11689.0</v>
      </c>
      <c r="I901" s="136">
        <v>14943.0</v>
      </c>
      <c r="J901" s="1"/>
      <c r="K901" s="1"/>
      <c r="L901" s="1"/>
      <c r="M901" s="1"/>
      <c r="N901" s="1"/>
      <c r="O901" s="1"/>
      <c r="P901" s="1"/>
      <c r="Q901" s="1"/>
      <c r="R901" s="1"/>
      <c r="S901" s="1"/>
      <c r="T901" s="1"/>
      <c r="U901" s="1"/>
      <c r="V901" s="1"/>
      <c r="W901" s="1"/>
      <c r="X901" s="1"/>
      <c r="Y901" s="1"/>
      <c r="Z901" s="1"/>
    </row>
    <row r="902" ht="10.5" customHeight="1">
      <c r="A902" s="1"/>
      <c r="B902" s="48" t="s">
        <v>276</v>
      </c>
      <c r="C902" s="136">
        <v>18751.0</v>
      </c>
      <c r="D902" s="136">
        <v>19091.0</v>
      </c>
      <c r="E902" s="136">
        <v>33528.0</v>
      </c>
      <c r="F902" s="136">
        <v>33578.0</v>
      </c>
      <c r="G902" s="136">
        <v>41642.0</v>
      </c>
      <c r="H902" s="136">
        <v>8563.0</v>
      </c>
      <c r="I902" s="136">
        <v>20133.0</v>
      </c>
      <c r="J902" s="1"/>
      <c r="K902" s="1"/>
      <c r="L902" s="1"/>
      <c r="M902" s="1"/>
      <c r="N902" s="1"/>
      <c r="O902" s="1"/>
      <c r="P902" s="1"/>
      <c r="Q902" s="1"/>
      <c r="R902" s="1"/>
      <c r="S902" s="1"/>
      <c r="T902" s="1"/>
      <c r="U902" s="1"/>
      <c r="V902" s="1"/>
      <c r="W902" s="1"/>
      <c r="X902" s="1"/>
      <c r="Y902" s="1"/>
      <c r="Z902" s="1"/>
    </row>
    <row r="903" ht="10.5" customHeight="1">
      <c r="A903" s="1"/>
      <c r="B903" s="48"/>
      <c r="C903" s="136"/>
      <c r="D903" s="136"/>
      <c r="E903" s="136"/>
      <c r="F903" s="136"/>
      <c r="G903" s="136"/>
      <c r="H903" s="136"/>
      <c r="I903" s="136"/>
      <c r="J903" s="1"/>
      <c r="K903" s="1"/>
      <c r="L903" s="1"/>
      <c r="M903" s="1"/>
      <c r="N903" s="1"/>
      <c r="O903" s="1"/>
      <c r="P903" s="1"/>
      <c r="Q903" s="1"/>
      <c r="R903" s="1"/>
      <c r="S903" s="1"/>
      <c r="T903" s="1"/>
      <c r="U903" s="1"/>
      <c r="V903" s="1"/>
      <c r="W903" s="1"/>
      <c r="X903" s="1"/>
      <c r="Y903" s="1"/>
      <c r="Z903" s="1"/>
    </row>
    <row r="904" ht="10.5" customHeight="1">
      <c r="A904" s="1"/>
      <c r="B904" s="48" t="s">
        <v>56</v>
      </c>
      <c r="C904" s="136">
        <v>16586.0</v>
      </c>
      <c r="D904" s="136">
        <v>16876.0</v>
      </c>
      <c r="E904" s="136">
        <v>32309.0</v>
      </c>
      <c r="F904" s="136">
        <v>32361.0</v>
      </c>
      <c r="G904" s="136">
        <v>41367.0</v>
      </c>
      <c r="H904" s="136">
        <v>12873.0</v>
      </c>
      <c r="I904" s="136">
        <v>18069.0</v>
      </c>
      <c r="J904" s="1"/>
      <c r="K904" s="1"/>
      <c r="L904" s="1"/>
      <c r="M904" s="1"/>
      <c r="N904" s="1"/>
      <c r="O904" s="1"/>
      <c r="P904" s="1"/>
      <c r="Q904" s="1"/>
      <c r="R904" s="1"/>
      <c r="S904" s="1"/>
      <c r="T904" s="1"/>
      <c r="U904" s="1"/>
      <c r="V904" s="1"/>
      <c r="W904" s="1"/>
      <c r="X904" s="1"/>
      <c r="Y904" s="1"/>
      <c r="Z904" s="1"/>
    </row>
    <row r="905" ht="10.5" customHeight="1">
      <c r="A905" s="1"/>
      <c r="B905" s="48" t="s">
        <v>81</v>
      </c>
      <c r="C905" s="136">
        <v>14532.0</v>
      </c>
      <c r="D905" s="136">
        <v>14792.0</v>
      </c>
      <c r="E905" s="136">
        <v>34675.0</v>
      </c>
      <c r="F905" s="136">
        <v>34729.0</v>
      </c>
      <c r="G905" s="136">
        <v>36913.0</v>
      </c>
      <c r="H905" s="136">
        <v>13512.0</v>
      </c>
      <c r="I905" s="136">
        <v>16517.0</v>
      </c>
      <c r="J905" s="1"/>
      <c r="K905" s="1"/>
      <c r="L905" s="1"/>
      <c r="M905" s="1"/>
      <c r="N905" s="1"/>
      <c r="O905" s="1"/>
      <c r="P905" s="1"/>
      <c r="Q905" s="1"/>
      <c r="R905" s="1"/>
      <c r="S905" s="1"/>
      <c r="T905" s="1"/>
      <c r="U905" s="1"/>
      <c r="V905" s="1"/>
      <c r="W905" s="1"/>
      <c r="X905" s="1"/>
      <c r="Y905" s="1"/>
      <c r="Z905" s="1"/>
    </row>
    <row r="906" ht="10.5" customHeight="1">
      <c r="A906" s="1"/>
      <c r="B906" s="48" t="s">
        <v>86</v>
      </c>
      <c r="C906" s="136">
        <v>20598.0</v>
      </c>
      <c r="D906" s="136">
        <v>20813.0</v>
      </c>
      <c r="E906" s="136">
        <v>35815.0</v>
      </c>
      <c r="F906" s="136">
        <v>35871.0</v>
      </c>
      <c r="G906" s="136">
        <v>32114.0</v>
      </c>
      <c r="H906" s="136">
        <v>10041.0</v>
      </c>
      <c r="I906" s="136">
        <v>26676.0</v>
      </c>
      <c r="J906" s="1"/>
      <c r="K906" s="1"/>
      <c r="L906" s="1"/>
      <c r="M906" s="1"/>
      <c r="N906" s="1"/>
      <c r="O906" s="1"/>
      <c r="P906" s="1"/>
      <c r="Q906" s="1"/>
      <c r="R906" s="1"/>
      <c r="S906" s="1"/>
      <c r="T906" s="1"/>
      <c r="U906" s="1"/>
      <c r="V906" s="1"/>
      <c r="W906" s="1"/>
      <c r="X906" s="1"/>
      <c r="Y906" s="1"/>
      <c r="Z906" s="1"/>
    </row>
    <row r="907" ht="10.5" customHeight="1">
      <c r="A907" s="1"/>
      <c r="B907" s="48" t="s">
        <v>87</v>
      </c>
      <c r="C907" s="136">
        <v>18147.0</v>
      </c>
      <c r="D907" s="136">
        <v>18317.0</v>
      </c>
      <c r="E907" s="136">
        <v>36156.0</v>
      </c>
      <c r="F907" s="136">
        <v>36214.0</v>
      </c>
      <c r="G907" s="136">
        <v>30743.0</v>
      </c>
      <c r="H907" s="136">
        <v>12317.0</v>
      </c>
      <c r="I907" s="136">
        <v>23824.0</v>
      </c>
      <c r="J907" s="1"/>
      <c r="K907" s="1"/>
      <c r="L907" s="1"/>
      <c r="M907" s="1"/>
      <c r="N907" s="1"/>
      <c r="O907" s="1"/>
      <c r="P907" s="1"/>
      <c r="Q907" s="1"/>
      <c r="R907" s="1"/>
      <c r="S907" s="1"/>
      <c r="T907" s="1"/>
      <c r="U907" s="1"/>
      <c r="V907" s="1"/>
      <c r="W907" s="1"/>
      <c r="X907" s="1"/>
      <c r="Y907" s="1"/>
      <c r="Z907" s="1"/>
    </row>
    <row r="908" ht="10.5" customHeight="1">
      <c r="A908" s="1"/>
      <c r="B908" s="48" t="s">
        <v>90</v>
      </c>
      <c r="C908" s="136">
        <v>16300.0</v>
      </c>
      <c r="D908" s="136">
        <v>16420.0</v>
      </c>
      <c r="E908" s="136">
        <v>36098.0</v>
      </c>
      <c r="F908" s="136">
        <v>36154.0</v>
      </c>
      <c r="G908" s="136">
        <v>24280.0</v>
      </c>
      <c r="H908" s="136">
        <v>11786.0</v>
      </c>
      <c r="I908" s="136">
        <v>21881.0</v>
      </c>
      <c r="J908" s="1"/>
      <c r="K908" s="1"/>
      <c r="L908" s="1"/>
      <c r="M908" s="1"/>
      <c r="N908" s="1"/>
      <c r="O908" s="1"/>
      <c r="P908" s="1"/>
      <c r="Q908" s="1"/>
      <c r="R908" s="1"/>
      <c r="S908" s="1"/>
      <c r="T908" s="1"/>
      <c r="U908" s="1"/>
      <c r="V908" s="1"/>
      <c r="W908" s="1"/>
      <c r="X908" s="1"/>
      <c r="Y908" s="1"/>
      <c r="Z908" s="1"/>
    </row>
    <row r="909" ht="10.5" customHeight="1">
      <c r="A909" s="1"/>
      <c r="B909" s="48"/>
      <c r="C909" s="136"/>
      <c r="D909" s="136"/>
      <c r="E909" s="136"/>
      <c r="F909" s="136"/>
      <c r="G909" s="136"/>
      <c r="H909" s="136"/>
      <c r="I909" s="136"/>
      <c r="J909" s="1"/>
      <c r="K909" s="1"/>
      <c r="L909" s="1"/>
      <c r="M909" s="1"/>
      <c r="N909" s="1"/>
      <c r="O909" s="1"/>
      <c r="P909" s="1"/>
      <c r="Q909" s="1"/>
      <c r="R909" s="1"/>
      <c r="S909" s="1"/>
      <c r="T909" s="1"/>
      <c r="U909" s="1"/>
      <c r="V909" s="1"/>
      <c r="W909" s="1"/>
      <c r="X909" s="1"/>
      <c r="Y909" s="1"/>
      <c r="Z909" s="1"/>
    </row>
    <row r="910" ht="10.5" customHeight="1">
      <c r="A910" s="1"/>
      <c r="B910" s="48" t="s">
        <v>93</v>
      </c>
      <c r="C910" s="136">
        <v>17536.0</v>
      </c>
      <c r="D910" s="136">
        <v>17626.0</v>
      </c>
      <c r="E910" s="136">
        <v>33846.0</v>
      </c>
      <c r="F910" s="136">
        <v>33897.0</v>
      </c>
      <c r="G910" s="136">
        <v>22996.0</v>
      </c>
      <c r="H910" s="136">
        <v>11370.0</v>
      </c>
      <c r="I910" s="136">
        <v>24540.0</v>
      </c>
      <c r="J910" s="1"/>
      <c r="K910" s="1"/>
      <c r="L910" s="1"/>
      <c r="M910" s="1"/>
      <c r="N910" s="1"/>
      <c r="O910" s="1"/>
      <c r="P910" s="1"/>
      <c r="Q910" s="1"/>
      <c r="R910" s="1"/>
      <c r="S910" s="1"/>
      <c r="T910" s="1"/>
      <c r="U910" s="1"/>
      <c r="V910" s="1"/>
      <c r="W910" s="1"/>
      <c r="X910" s="1"/>
      <c r="Y910" s="1"/>
      <c r="Z910" s="1"/>
    </row>
    <row r="911" ht="10.5" customHeight="1">
      <c r="A911" s="1"/>
      <c r="B911" s="48" t="s">
        <v>97</v>
      </c>
      <c r="C911" s="136">
        <v>13171.0</v>
      </c>
      <c r="D911" s="136">
        <v>13241.0</v>
      </c>
      <c r="E911" s="136">
        <v>35313.0</v>
      </c>
      <c r="F911" s="136">
        <v>35363.0</v>
      </c>
      <c r="G911" s="136">
        <v>24708.0</v>
      </c>
      <c r="H911" s="136">
        <v>10312.0</v>
      </c>
      <c r="I911" s="136">
        <v>14159.0</v>
      </c>
      <c r="J911" s="1"/>
      <c r="K911" s="1"/>
      <c r="L911" s="1"/>
      <c r="M911" s="1"/>
      <c r="N911" s="1"/>
      <c r="O911" s="1"/>
      <c r="P911" s="1"/>
      <c r="Q911" s="1"/>
      <c r="R911" s="1"/>
      <c r="S911" s="1"/>
      <c r="T911" s="1"/>
      <c r="U911" s="1"/>
      <c r="V911" s="1"/>
      <c r="W911" s="1"/>
      <c r="X911" s="1"/>
      <c r="Y911" s="1"/>
      <c r="Z911" s="1"/>
    </row>
    <row r="912" ht="10.5" customHeight="1">
      <c r="A912" s="1"/>
      <c r="B912" s="48" t="s">
        <v>101</v>
      </c>
      <c r="C912" s="136">
        <v>11918.0</v>
      </c>
      <c r="D912" s="136">
        <v>11968.0</v>
      </c>
      <c r="E912" s="136">
        <v>40336.0</v>
      </c>
      <c r="F912" s="136">
        <v>40386.0</v>
      </c>
      <c r="G912" s="136">
        <v>23740.0</v>
      </c>
      <c r="H912" s="136">
        <v>8555.0</v>
      </c>
      <c r="I912" s="136">
        <v>12961.0</v>
      </c>
      <c r="J912" s="1"/>
      <c r="K912" s="1"/>
      <c r="L912" s="1"/>
      <c r="M912" s="1"/>
      <c r="N912" s="1"/>
      <c r="O912" s="1"/>
      <c r="P912" s="1"/>
      <c r="Q912" s="1"/>
      <c r="R912" s="1"/>
      <c r="S912" s="1"/>
      <c r="T912" s="1"/>
      <c r="U912" s="1"/>
      <c r="V912" s="1"/>
      <c r="W912" s="1"/>
      <c r="X912" s="1"/>
      <c r="Y912" s="1"/>
      <c r="Z912" s="1"/>
    </row>
    <row r="913" ht="10.5" customHeight="1">
      <c r="A913" s="1"/>
      <c r="B913" s="48" t="s">
        <v>103</v>
      </c>
      <c r="C913" s="136">
        <v>15520.0</v>
      </c>
      <c r="D913" s="136">
        <v>15550.0</v>
      </c>
      <c r="E913" s="136">
        <v>39451.0</v>
      </c>
      <c r="F913" s="136">
        <v>39501.0</v>
      </c>
      <c r="G913" s="136">
        <v>20162.0</v>
      </c>
      <c r="H913" s="136">
        <v>8741.0</v>
      </c>
      <c r="I913" s="136">
        <v>19915.0</v>
      </c>
      <c r="J913" s="1"/>
      <c r="K913" s="1"/>
      <c r="L913" s="1"/>
      <c r="M913" s="1"/>
      <c r="N913" s="1"/>
      <c r="O913" s="1"/>
      <c r="P913" s="1"/>
      <c r="Q913" s="1"/>
      <c r="R913" s="1"/>
      <c r="S913" s="1"/>
      <c r="T913" s="1"/>
      <c r="U913" s="1"/>
      <c r="V913" s="1"/>
      <c r="W913" s="1"/>
      <c r="X913" s="1"/>
      <c r="Y913" s="1"/>
      <c r="Z913" s="1"/>
    </row>
    <row r="914" ht="10.5" customHeight="1">
      <c r="A914" s="1"/>
      <c r="B914" s="48" t="s">
        <v>104</v>
      </c>
      <c r="C914" s="136">
        <v>16676.0</v>
      </c>
      <c r="D914" s="136">
        <v>16686.0</v>
      </c>
      <c r="E914" s="136">
        <v>42420.0</v>
      </c>
      <c r="F914" s="136">
        <v>42470.0</v>
      </c>
      <c r="G914" s="136">
        <v>22709.0</v>
      </c>
      <c r="H914" s="136">
        <v>10477.0</v>
      </c>
      <c r="I914" s="136">
        <v>20234.0</v>
      </c>
      <c r="J914" s="1"/>
      <c r="K914" s="1"/>
      <c r="L914" s="1"/>
      <c r="M914" s="1"/>
      <c r="N914" s="1"/>
      <c r="O914" s="1"/>
      <c r="P914" s="1"/>
      <c r="Q914" s="1"/>
      <c r="R914" s="1"/>
      <c r="S914" s="1"/>
      <c r="T914" s="1"/>
      <c r="U914" s="1"/>
      <c r="V914" s="1"/>
      <c r="W914" s="1"/>
      <c r="X914" s="1"/>
      <c r="Y914" s="1"/>
      <c r="Z914" s="1"/>
    </row>
    <row r="915" ht="10.5" customHeight="1">
      <c r="A915" s="1"/>
      <c r="B915" s="48"/>
      <c r="C915" s="136"/>
      <c r="D915" s="136"/>
      <c r="E915" s="136"/>
      <c r="F915" s="136"/>
      <c r="G915" s="136"/>
      <c r="H915" s="136"/>
      <c r="I915" s="136"/>
      <c r="J915" s="1"/>
      <c r="K915" s="1"/>
      <c r="L915" s="1"/>
      <c r="M915" s="1"/>
      <c r="N915" s="1"/>
      <c r="O915" s="1"/>
      <c r="P915" s="1"/>
      <c r="Q915" s="1"/>
      <c r="R915" s="1"/>
      <c r="S915" s="1"/>
      <c r="T915" s="1"/>
      <c r="U915" s="1"/>
      <c r="V915" s="1"/>
      <c r="W915" s="1"/>
      <c r="X915" s="1"/>
      <c r="Y915" s="1"/>
      <c r="Z915" s="1"/>
    </row>
    <row r="916" ht="10.5" customHeight="1">
      <c r="A916" s="1"/>
      <c r="B916" s="48" t="s">
        <v>108</v>
      </c>
      <c r="C916" s="136">
        <v>21448.0</v>
      </c>
      <c r="D916" s="136">
        <v>21453.0</v>
      </c>
      <c r="E916" s="136">
        <v>42270.0</v>
      </c>
      <c r="F916" s="136">
        <v>42320.0</v>
      </c>
      <c r="G916" s="136">
        <v>18707.0</v>
      </c>
      <c r="H916" s="136">
        <v>12392.0</v>
      </c>
      <c r="I916" s="136">
        <v>25833.0</v>
      </c>
      <c r="J916" s="1"/>
      <c r="K916" s="1"/>
      <c r="L916" s="1"/>
      <c r="M916" s="1"/>
      <c r="N916" s="1"/>
      <c r="O916" s="1"/>
      <c r="P916" s="1"/>
      <c r="Q916" s="1"/>
      <c r="R916" s="1"/>
      <c r="S916" s="1"/>
      <c r="T916" s="1"/>
      <c r="U916" s="1"/>
      <c r="V916" s="1"/>
      <c r="W916" s="1"/>
      <c r="X916" s="1"/>
      <c r="Y916" s="1"/>
      <c r="Z916" s="1"/>
    </row>
    <row r="917" ht="10.5" customHeight="1">
      <c r="A917" s="1"/>
      <c r="B917" s="48" t="s">
        <v>111</v>
      </c>
      <c r="C917" s="136">
        <v>15317.0</v>
      </c>
      <c r="D917" s="136">
        <v>15320.0</v>
      </c>
      <c r="E917" s="136">
        <v>39131.0</v>
      </c>
      <c r="F917" s="136">
        <v>39181.0</v>
      </c>
      <c r="G917" s="136">
        <v>18137.0</v>
      </c>
      <c r="H917" s="136">
        <v>10529.0</v>
      </c>
      <c r="I917" s="136">
        <v>16469.0</v>
      </c>
      <c r="J917" s="1"/>
      <c r="K917" s="1"/>
      <c r="L917" s="1"/>
      <c r="M917" s="1"/>
      <c r="N917" s="1"/>
      <c r="O917" s="1"/>
      <c r="P917" s="1"/>
      <c r="Q917" s="1"/>
      <c r="R917" s="1"/>
      <c r="S917" s="1"/>
      <c r="T917" s="1"/>
      <c r="U917" s="1"/>
      <c r="V917" s="1"/>
      <c r="W917" s="1"/>
      <c r="X917" s="1"/>
      <c r="Y917" s="1"/>
      <c r="Z917" s="1"/>
    </row>
    <row r="918" ht="10.5" customHeight="1">
      <c r="A918" s="1"/>
      <c r="B918" s="48" t="s">
        <v>112</v>
      </c>
      <c r="C918" s="136">
        <v>17040.0</v>
      </c>
      <c r="D918" s="136">
        <v>17043.0</v>
      </c>
      <c r="E918" s="136">
        <v>32501.0</v>
      </c>
      <c r="F918" s="136">
        <v>32551.0</v>
      </c>
      <c r="G918" s="136">
        <v>19374.0</v>
      </c>
      <c r="H918" s="136">
        <v>14660.0</v>
      </c>
      <c r="I918" s="136">
        <v>21064.0</v>
      </c>
      <c r="J918" s="1"/>
      <c r="K918" s="1"/>
      <c r="L918" s="1"/>
      <c r="M918" s="1"/>
      <c r="N918" s="1"/>
      <c r="O918" s="1"/>
      <c r="P918" s="1"/>
      <c r="Q918" s="1"/>
      <c r="R918" s="1"/>
      <c r="S918" s="1"/>
      <c r="T918" s="1"/>
      <c r="U918" s="1"/>
      <c r="V918" s="1"/>
      <c r="W918" s="1"/>
      <c r="X918" s="1"/>
      <c r="Y918" s="1"/>
      <c r="Z918" s="1"/>
    </row>
    <row r="919" ht="10.5" customHeight="1">
      <c r="A919" s="1"/>
      <c r="B919" s="48" t="s">
        <v>113</v>
      </c>
      <c r="C919" s="136">
        <v>14563.0</v>
      </c>
      <c r="D919" s="136">
        <v>14566.0</v>
      </c>
      <c r="E919" s="136">
        <v>35460.0</v>
      </c>
      <c r="F919" s="136">
        <v>35510.0</v>
      </c>
      <c r="G919" s="136">
        <v>19091.0</v>
      </c>
      <c r="H919" s="136">
        <v>14428.0</v>
      </c>
      <c r="I919" s="136">
        <v>15401.0</v>
      </c>
      <c r="J919" s="1"/>
      <c r="K919" s="1"/>
      <c r="L919" s="1"/>
      <c r="M919" s="1"/>
      <c r="N919" s="1"/>
      <c r="O919" s="1"/>
      <c r="P919" s="1"/>
      <c r="Q919" s="1"/>
      <c r="R919" s="1"/>
      <c r="S919" s="1"/>
      <c r="T919" s="1"/>
      <c r="U919" s="1"/>
      <c r="V919" s="1"/>
      <c r="W919" s="1"/>
      <c r="X919" s="1"/>
      <c r="Y919" s="1"/>
      <c r="Z919" s="1"/>
    </row>
    <row r="920" ht="10.5" customHeight="1">
      <c r="A920" s="1"/>
      <c r="B920" s="48" t="s">
        <v>114</v>
      </c>
      <c r="C920" s="136">
        <v>11946.0</v>
      </c>
      <c r="D920" s="136">
        <v>11949.0</v>
      </c>
      <c r="E920" s="136">
        <v>38832.0</v>
      </c>
      <c r="F920" s="136">
        <v>38882.0</v>
      </c>
      <c r="G920" s="136">
        <v>20714.0</v>
      </c>
      <c r="H920" s="136">
        <v>13830.0</v>
      </c>
      <c r="I920" s="136">
        <v>12396.0</v>
      </c>
      <c r="J920" s="1"/>
      <c r="K920" s="1"/>
      <c r="L920" s="1"/>
      <c r="M920" s="1"/>
      <c r="N920" s="1"/>
      <c r="O920" s="1"/>
      <c r="P920" s="1"/>
      <c r="Q920" s="1"/>
      <c r="R920" s="1"/>
      <c r="S920" s="1"/>
      <c r="T920" s="1"/>
      <c r="U920" s="1"/>
      <c r="V920" s="1"/>
      <c r="W920" s="1"/>
      <c r="X920" s="1"/>
      <c r="Y920" s="1"/>
      <c r="Z920" s="1"/>
    </row>
    <row r="921" ht="10.5" customHeight="1">
      <c r="A921" s="1"/>
      <c r="B921" s="48"/>
      <c r="C921" s="136"/>
      <c r="D921" s="136"/>
      <c r="E921" s="136"/>
      <c r="F921" s="136"/>
      <c r="G921" s="136"/>
      <c r="H921" s="136"/>
      <c r="I921" s="136"/>
      <c r="J921" s="1"/>
      <c r="K921" s="1"/>
      <c r="L921" s="1"/>
      <c r="M921" s="1"/>
      <c r="N921" s="1"/>
      <c r="O921" s="1"/>
      <c r="P921" s="1"/>
      <c r="Q921" s="1"/>
      <c r="R921" s="1"/>
      <c r="S921" s="1"/>
      <c r="T921" s="1"/>
      <c r="U921" s="1"/>
      <c r="V921" s="1"/>
      <c r="W921" s="1"/>
      <c r="X921" s="1"/>
      <c r="Y921" s="1"/>
      <c r="Z921" s="1"/>
    </row>
    <row r="922" ht="10.5" customHeight="1">
      <c r="A922" s="1"/>
      <c r="B922" s="48" t="s">
        <v>115</v>
      </c>
      <c r="C922" s="136">
        <v>14595.0</v>
      </c>
      <c r="D922" s="136">
        <v>14598.0</v>
      </c>
      <c r="E922" s="136">
        <v>36577.0</v>
      </c>
      <c r="F922" s="136">
        <v>36627.0</v>
      </c>
      <c r="G922" s="136">
        <v>22331.0</v>
      </c>
      <c r="H922" s="136">
        <v>10215.0</v>
      </c>
      <c r="I922" s="136">
        <v>19061.0</v>
      </c>
      <c r="J922" s="1"/>
      <c r="K922" s="1"/>
      <c r="L922" s="1"/>
      <c r="M922" s="1"/>
      <c r="N922" s="1"/>
      <c r="O922" s="1"/>
      <c r="P922" s="1"/>
      <c r="Q922" s="1"/>
      <c r="R922" s="1"/>
      <c r="S922" s="1"/>
      <c r="T922" s="1"/>
      <c r="U922" s="1"/>
      <c r="V922" s="1"/>
      <c r="W922" s="1"/>
      <c r="X922" s="1"/>
      <c r="Y922" s="1"/>
      <c r="Z922" s="1"/>
    </row>
    <row r="923" ht="10.5" customHeight="1">
      <c r="A923" s="1"/>
      <c r="B923" s="48" t="s">
        <v>117</v>
      </c>
      <c r="C923" s="136">
        <v>6310.0</v>
      </c>
      <c r="D923" s="136">
        <v>6313.0</v>
      </c>
      <c r="E923" s="136">
        <v>38368.0</v>
      </c>
      <c r="F923" s="136">
        <v>38418.0</v>
      </c>
      <c r="G923" s="136">
        <v>17308.0</v>
      </c>
      <c r="H923" s="136">
        <v>10280.0</v>
      </c>
      <c r="I923" s="136">
        <v>5435.0</v>
      </c>
      <c r="J923" s="1"/>
      <c r="K923" s="1"/>
      <c r="L923" s="1"/>
      <c r="M923" s="1"/>
      <c r="N923" s="1"/>
      <c r="O923" s="1"/>
      <c r="P923" s="1"/>
      <c r="Q923" s="1"/>
      <c r="R923" s="1"/>
      <c r="S923" s="1"/>
      <c r="T923" s="1"/>
      <c r="U923" s="1"/>
      <c r="V923" s="1"/>
      <c r="W923" s="1"/>
      <c r="X923" s="1"/>
      <c r="Y923" s="1"/>
      <c r="Z923" s="1"/>
    </row>
    <row r="924" ht="10.5" customHeight="1">
      <c r="A924" s="1"/>
      <c r="B924" s="48" t="s">
        <v>121</v>
      </c>
      <c r="C924" s="136">
        <v>12790.0</v>
      </c>
      <c r="D924" s="136">
        <v>12793.0</v>
      </c>
      <c r="E924" s="136">
        <v>35714.0</v>
      </c>
      <c r="F924" s="136">
        <v>35764.0</v>
      </c>
      <c r="G924" s="136">
        <v>25042.0</v>
      </c>
      <c r="H924" s="136">
        <v>11838.0</v>
      </c>
      <c r="I924" s="136">
        <v>13606.0</v>
      </c>
      <c r="J924" s="1"/>
      <c r="K924" s="1"/>
      <c r="L924" s="1"/>
      <c r="M924" s="1"/>
      <c r="N924" s="1"/>
      <c r="O924" s="1"/>
      <c r="P924" s="1"/>
      <c r="Q924" s="1"/>
      <c r="R924" s="1"/>
      <c r="S924" s="1"/>
      <c r="T924" s="1"/>
      <c r="U924" s="1"/>
      <c r="V924" s="1"/>
      <c r="W924" s="1"/>
      <c r="X924" s="1"/>
      <c r="Y924" s="1"/>
      <c r="Z924" s="1"/>
    </row>
    <row r="925" ht="10.5" customHeight="1">
      <c r="A925" s="1"/>
      <c r="B925" s="48" t="s">
        <v>122</v>
      </c>
      <c r="C925" s="136">
        <v>17189.0</v>
      </c>
      <c r="D925" s="136">
        <v>17192.0</v>
      </c>
      <c r="E925" s="136">
        <v>38117.0</v>
      </c>
      <c r="F925" s="136">
        <v>38167.0</v>
      </c>
      <c r="G925" s="136">
        <v>20053.0</v>
      </c>
      <c r="H925" s="136">
        <v>10269.0</v>
      </c>
      <c r="I925" s="136">
        <v>21325.0</v>
      </c>
      <c r="J925" s="1"/>
      <c r="K925" s="1"/>
      <c r="L925" s="1"/>
      <c r="M925" s="1"/>
      <c r="N925" s="1"/>
      <c r="O925" s="1"/>
      <c r="P925" s="1"/>
      <c r="Q925" s="1"/>
      <c r="R925" s="1"/>
      <c r="S925" s="1"/>
      <c r="T925" s="1"/>
      <c r="U925" s="1"/>
      <c r="V925" s="1"/>
      <c r="W925" s="1"/>
      <c r="X925" s="1"/>
      <c r="Y925" s="1"/>
      <c r="Z925" s="1"/>
    </row>
    <row r="926" ht="10.5" customHeight="1">
      <c r="A926" s="1"/>
      <c r="B926" s="48" t="s">
        <v>123</v>
      </c>
      <c r="C926" s="136">
        <v>8481.0</v>
      </c>
      <c r="D926" s="136">
        <v>8484.0</v>
      </c>
      <c r="E926" s="136">
        <v>36847.0</v>
      </c>
      <c r="F926" s="136">
        <v>36897.0</v>
      </c>
      <c r="G926" s="136">
        <v>21046.0</v>
      </c>
      <c r="H926" s="136">
        <v>11427.0</v>
      </c>
      <c r="I926" s="136">
        <v>5839.0</v>
      </c>
      <c r="J926" s="1"/>
      <c r="K926" s="1"/>
      <c r="L926" s="1"/>
      <c r="M926" s="1"/>
      <c r="N926" s="1"/>
      <c r="O926" s="1"/>
      <c r="P926" s="1"/>
      <c r="Q926" s="1"/>
      <c r="R926" s="1"/>
      <c r="S926" s="1"/>
      <c r="T926" s="1"/>
      <c r="U926" s="1"/>
      <c r="V926" s="1"/>
      <c r="W926" s="1"/>
      <c r="X926" s="1"/>
      <c r="Y926" s="1"/>
      <c r="Z926" s="1"/>
    </row>
    <row r="927" ht="10.5" customHeight="1">
      <c r="A927" s="1"/>
      <c r="B927" s="48"/>
      <c r="C927" s="136"/>
      <c r="D927" s="136"/>
      <c r="E927" s="136"/>
      <c r="F927" s="136"/>
      <c r="G927" s="136"/>
      <c r="H927" s="136"/>
      <c r="I927" s="136"/>
      <c r="J927" s="1"/>
      <c r="K927" s="1"/>
      <c r="L927" s="1"/>
      <c r="M927" s="1"/>
      <c r="N927" s="1"/>
      <c r="O927" s="1"/>
      <c r="P927" s="1"/>
      <c r="Q927" s="1"/>
      <c r="R927" s="1"/>
      <c r="S927" s="1"/>
      <c r="T927" s="1"/>
      <c r="U927" s="1"/>
      <c r="V927" s="1"/>
      <c r="W927" s="1"/>
      <c r="X927" s="1"/>
      <c r="Y927" s="1"/>
      <c r="Z927" s="1"/>
    </row>
    <row r="928" ht="10.5" customHeight="1">
      <c r="A928" s="1"/>
      <c r="B928" s="48" t="s">
        <v>125</v>
      </c>
      <c r="C928" s="136">
        <v>8923.0</v>
      </c>
      <c r="D928" s="136">
        <v>8926.0</v>
      </c>
      <c r="E928" s="136">
        <v>35281.0</v>
      </c>
      <c r="F928" s="136">
        <v>35331.0</v>
      </c>
      <c r="G928" s="136">
        <v>20221.0</v>
      </c>
      <c r="H928" s="136">
        <v>10369.0</v>
      </c>
      <c r="I928" s="136">
        <v>8112.0</v>
      </c>
      <c r="J928" s="1"/>
      <c r="K928" s="1"/>
      <c r="L928" s="1"/>
      <c r="M928" s="1"/>
      <c r="N928" s="1"/>
      <c r="O928" s="1"/>
      <c r="P928" s="1"/>
      <c r="Q928" s="1"/>
      <c r="R928" s="1"/>
      <c r="S928" s="1"/>
      <c r="T928" s="1"/>
      <c r="U928" s="1"/>
      <c r="V928" s="1"/>
      <c r="W928" s="1"/>
      <c r="X928" s="1"/>
      <c r="Y928" s="1"/>
      <c r="Z928" s="1"/>
    </row>
    <row r="929" ht="10.5" customHeight="1">
      <c r="A929" s="1"/>
      <c r="B929" s="48" t="s">
        <v>127</v>
      </c>
      <c r="C929" s="169">
        <v>10961.0</v>
      </c>
      <c r="D929" s="169">
        <v>10964.0</v>
      </c>
      <c r="E929" s="169">
        <v>37752.0</v>
      </c>
      <c r="F929" s="169">
        <v>37802.0</v>
      </c>
      <c r="G929" s="169">
        <v>23376.0</v>
      </c>
      <c r="H929" s="169">
        <v>12728.0</v>
      </c>
      <c r="I929" s="169">
        <v>12078.0</v>
      </c>
      <c r="J929" s="1"/>
      <c r="K929" s="1"/>
      <c r="L929" s="1"/>
      <c r="M929" s="1"/>
      <c r="N929" s="1"/>
      <c r="O929" s="1"/>
      <c r="P929" s="1"/>
      <c r="Q929" s="1"/>
      <c r="R929" s="1"/>
      <c r="S929" s="1"/>
      <c r="T929" s="1"/>
      <c r="U929" s="1"/>
      <c r="V929" s="1"/>
      <c r="W929" s="1"/>
      <c r="X929" s="1"/>
      <c r="Y929" s="1"/>
      <c r="Z929" s="1"/>
    </row>
    <row r="930" ht="10.5" customHeight="1">
      <c r="A930" s="1"/>
      <c r="B930" s="168" t="s">
        <v>128</v>
      </c>
      <c r="C930" s="169">
        <v>8531.0</v>
      </c>
      <c r="D930" s="169">
        <v>8534.0</v>
      </c>
      <c r="E930" s="169">
        <v>35200.0</v>
      </c>
      <c r="F930" s="169">
        <v>35250.0</v>
      </c>
      <c r="G930" s="169">
        <v>24066.0</v>
      </c>
      <c r="H930" s="169">
        <v>12500.0</v>
      </c>
      <c r="I930" s="169">
        <v>19086.0</v>
      </c>
      <c r="J930" s="1"/>
      <c r="K930" s="1"/>
      <c r="L930" s="1"/>
      <c r="M930" s="1"/>
      <c r="N930" s="1"/>
      <c r="O930" s="1"/>
      <c r="P930" s="1"/>
      <c r="Q930" s="1"/>
      <c r="R930" s="1"/>
      <c r="S930" s="1"/>
      <c r="T930" s="1"/>
      <c r="U930" s="1"/>
      <c r="V930" s="1"/>
      <c r="W930" s="1"/>
      <c r="X930" s="1"/>
      <c r="Y930" s="1"/>
      <c r="Z930" s="1"/>
    </row>
    <row r="931" ht="10.5" customHeight="1">
      <c r="A931" s="1"/>
      <c r="B931" s="168" t="s">
        <v>129</v>
      </c>
      <c r="C931" s="169">
        <v>11231.0</v>
      </c>
      <c r="D931" s="169">
        <v>11234.0</v>
      </c>
      <c r="E931" s="169">
        <v>36717.0</v>
      </c>
      <c r="F931" s="169">
        <v>36767.0</v>
      </c>
      <c r="G931" s="169">
        <v>24851.0</v>
      </c>
      <c r="H931" s="169">
        <v>12290.0</v>
      </c>
      <c r="I931" s="169">
        <v>12455.0</v>
      </c>
      <c r="J931" s="1"/>
      <c r="K931" s="1"/>
      <c r="L931" s="1"/>
      <c r="M931" s="1"/>
      <c r="N931" s="1"/>
      <c r="O931" s="1"/>
      <c r="P931" s="1"/>
      <c r="Q931" s="1"/>
      <c r="R931" s="1"/>
      <c r="S931" s="1"/>
      <c r="T931" s="1"/>
      <c r="U931" s="1"/>
      <c r="V931" s="1"/>
      <c r="W931" s="1"/>
      <c r="X931" s="1"/>
      <c r="Y931" s="1"/>
      <c r="Z931" s="1"/>
    </row>
    <row r="932" ht="10.5" customHeight="1">
      <c r="A932" s="1"/>
      <c r="B932" s="85" t="s">
        <v>130</v>
      </c>
      <c r="C932" s="169">
        <v>12814.0</v>
      </c>
      <c r="D932" s="169">
        <v>12817.0</v>
      </c>
      <c r="E932" s="169">
        <v>36832.0</v>
      </c>
      <c r="F932" s="169">
        <v>36882.0</v>
      </c>
      <c r="G932" s="169">
        <v>25125.0</v>
      </c>
      <c r="H932" s="169">
        <v>15272.0</v>
      </c>
      <c r="I932" s="169">
        <v>13138.0</v>
      </c>
      <c r="J932" s="1"/>
      <c r="K932" s="1"/>
      <c r="L932" s="1"/>
      <c r="M932" s="1"/>
      <c r="N932" s="1"/>
      <c r="O932" s="1"/>
      <c r="P932" s="1"/>
      <c r="Q932" s="1"/>
      <c r="R932" s="1"/>
      <c r="S932" s="1"/>
      <c r="T932" s="1"/>
      <c r="U932" s="1"/>
      <c r="V932" s="1"/>
      <c r="W932" s="1"/>
      <c r="X932" s="1"/>
      <c r="Y932" s="1"/>
      <c r="Z932" s="1"/>
    </row>
    <row r="933" ht="10.5" customHeight="1">
      <c r="A933" s="1"/>
      <c r="B933" s="85"/>
      <c r="C933" s="376"/>
      <c r="D933" s="815"/>
      <c r="E933" s="863"/>
      <c r="F933" s="864"/>
      <c r="G933" s="786"/>
      <c r="H933" s="169"/>
      <c r="I933" s="169"/>
      <c r="J933" s="253"/>
      <c r="K933" s="1"/>
      <c r="L933" s="1"/>
      <c r="M933" s="1"/>
      <c r="N933" s="1"/>
      <c r="O933" s="1"/>
      <c r="P933" s="1"/>
      <c r="Q933" s="1"/>
      <c r="R933" s="1"/>
      <c r="S933" s="1"/>
      <c r="T933" s="1"/>
      <c r="U933" s="1"/>
      <c r="V933" s="1"/>
      <c r="W933" s="1"/>
      <c r="X933" s="1"/>
      <c r="Y933" s="1"/>
      <c r="Z933" s="1"/>
    </row>
    <row r="934" ht="10.5" customHeight="1">
      <c r="A934" s="1"/>
      <c r="B934" s="85" t="s">
        <v>1492</v>
      </c>
      <c r="C934" s="786" t="s">
        <v>10</v>
      </c>
      <c r="D934" s="801">
        <v>14769.0</v>
      </c>
      <c r="E934" s="786" t="s">
        <v>10</v>
      </c>
      <c r="F934" s="801">
        <v>69336.0</v>
      </c>
      <c r="G934" s="786" t="s">
        <v>10</v>
      </c>
      <c r="H934" s="169">
        <v>8306.0</v>
      </c>
      <c r="I934" s="169">
        <v>3865.0</v>
      </c>
      <c r="J934" s="1"/>
      <c r="K934" s="1"/>
      <c r="L934" s="1"/>
      <c r="M934" s="1"/>
      <c r="N934" s="1"/>
      <c r="O934" s="1"/>
      <c r="P934" s="1"/>
      <c r="Q934" s="1"/>
      <c r="R934" s="1"/>
      <c r="S934" s="1"/>
      <c r="T934" s="1"/>
      <c r="U934" s="1"/>
      <c r="V934" s="1"/>
      <c r="W934" s="1"/>
      <c r="X934" s="1"/>
      <c r="Y934" s="1"/>
      <c r="Z934" s="1"/>
    </row>
    <row r="935" ht="10.5" customHeight="1">
      <c r="A935" s="1"/>
      <c r="B935" s="85" t="s">
        <v>1444</v>
      </c>
      <c r="C935" s="786" t="s">
        <v>10</v>
      </c>
      <c r="D935" s="801">
        <v>16817.0</v>
      </c>
      <c r="E935" s="786" t="s">
        <v>10</v>
      </c>
      <c r="F935" s="801">
        <v>72323.0</v>
      </c>
      <c r="G935" s="786" t="s">
        <v>10</v>
      </c>
      <c r="H935" s="169">
        <v>9197.0</v>
      </c>
      <c r="I935" s="169">
        <v>4854.0</v>
      </c>
      <c r="J935" s="1"/>
      <c r="K935" s="1"/>
      <c r="L935" s="1"/>
      <c r="M935" s="1"/>
      <c r="N935" s="1"/>
      <c r="O935" s="1"/>
      <c r="P935" s="1"/>
      <c r="Q935" s="1"/>
      <c r="R935" s="1"/>
      <c r="S935" s="1"/>
      <c r="T935" s="1"/>
      <c r="U935" s="1"/>
      <c r="V935" s="1"/>
      <c r="W935" s="1"/>
      <c r="X935" s="1"/>
      <c r="Y935" s="1"/>
      <c r="Z935" s="1"/>
    </row>
    <row r="936" ht="12.0" customHeight="1">
      <c r="A936" s="1"/>
      <c r="B936" s="85" t="s">
        <v>1445</v>
      </c>
      <c r="C936" s="786" t="s">
        <v>10</v>
      </c>
      <c r="D936" s="801">
        <v>17326.0</v>
      </c>
      <c r="E936" s="786" t="s">
        <v>10</v>
      </c>
      <c r="F936" s="801">
        <v>73784.0</v>
      </c>
      <c r="G936" s="786" t="s">
        <v>10</v>
      </c>
      <c r="H936" s="169">
        <v>9598.0</v>
      </c>
      <c r="I936" s="169">
        <v>4279.0</v>
      </c>
      <c r="J936" s="1"/>
      <c r="K936" s="1"/>
      <c r="L936" s="1"/>
      <c r="M936" s="1"/>
      <c r="N936" s="1"/>
      <c r="O936" s="1"/>
      <c r="P936" s="1"/>
      <c r="Q936" s="1"/>
      <c r="R936" s="1"/>
      <c r="S936" s="1"/>
      <c r="T936" s="1"/>
      <c r="U936" s="1"/>
      <c r="V936" s="1"/>
      <c r="W936" s="1"/>
      <c r="X936" s="1"/>
      <c r="Y936" s="1"/>
      <c r="Z936" s="1"/>
    </row>
    <row r="937" ht="10.5" customHeight="1">
      <c r="A937" s="1"/>
      <c r="B937" s="690" t="s">
        <v>1446</v>
      </c>
      <c r="C937" s="786" t="s">
        <v>10</v>
      </c>
      <c r="D937" s="801">
        <v>17732.0</v>
      </c>
      <c r="E937" s="786" t="s">
        <v>10</v>
      </c>
      <c r="F937" s="867">
        <v>72435.0</v>
      </c>
      <c r="G937" s="169">
        <v>12463.0</v>
      </c>
      <c r="H937" s="169">
        <v>9929.0</v>
      </c>
      <c r="I937" s="169">
        <v>5193.0</v>
      </c>
      <c r="J937" s="1"/>
      <c r="K937" s="1"/>
      <c r="L937" s="1"/>
      <c r="M937" s="1"/>
      <c r="N937" s="1"/>
      <c r="O937" s="1"/>
      <c r="P937" s="1"/>
      <c r="Q937" s="1"/>
      <c r="R937" s="1"/>
      <c r="S937" s="1"/>
      <c r="T937" s="1"/>
      <c r="U937" s="1"/>
      <c r="V937" s="1"/>
      <c r="W937" s="1"/>
      <c r="X937" s="1"/>
      <c r="Y937" s="1"/>
      <c r="Z937" s="1"/>
    </row>
    <row r="938" ht="10.5" customHeight="1">
      <c r="A938" s="1"/>
      <c r="B938" s="690" t="s">
        <v>1447</v>
      </c>
      <c r="C938" s="786" t="s">
        <v>10</v>
      </c>
      <c r="D938" s="801">
        <v>17760.0</v>
      </c>
      <c r="E938" s="786" t="s">
        <v>10</v>
      </c>
      <c r="F938" s="867">
        <v>72639.0</v>
      </c>
      <c r="G938" s="169">
        <v>11356.0</v>
      </c>
      <c r="H938" s="169">
        <v>8480.0</v>
      </c>
      <c r="I938" s="136">
        <v>4687.0</v>
      </c>
      <c r="J938" s="253"/>
      <c r="K938" s="1"/>
      <c r="L938" s="1"/>
      <c r="M938" s="1"/>
      <c r="N938" s="1"/>
      <c r="O938" s="1"/>
      <c r="P938" s="1"/>
      <c r="Q938" s="1"/>
      <c r="R938" s="1"/>
      <c r="S938" s="1"/>
      <c r="T938" s="1"/>
      <c r="U938" s="1"/>
      <c r="V938" s="1"/>
      <c r="W938" s="1"/>
      <c r="X938" s="1"/>
      <c r="Y938" s="1"/>
      <c r="Z938" s="1"/>
    </row>
    <row r="939" ht="10.5" customHeight="1">
      <c r="A939" s="1"/>
      <c r="B939" s="180"/>
      <c r="C939" s="786"/>
      <c r="D939" s="627"/>
      <c r="E939" s="786"/>
      <c r="F939" s="253"/>
      <c r="G939" s="627"/>
      <c r="H939" s="627"/>
      <c r="I939" s="627"/>
      <c r="J939" s="1"/>
      <c r="K939" s="1"/>
      <c r="L939" s="1"/>
      <c r="M939" s="1"/>
      <c r="N939" s="1"/>
      <c r="O939" s="1"/>
      <c r="P939" s="1"/>
      <c r="Q939" s="1"/>
      <c r="R939" s="1"/>
      <c r="S939" s="1"/>
      <c r="T939" s="1"/>
      <c r="U939" s="1"/>
      <c r="V939" s="1"/>
      <c r="W939" s="1"/>
      <c r="X939" s="1"/>
      <c r="Y939" s="1"/>
      <c r="Z939" s="1"/>
    </row>
    <row r="940" ht="10.5" customHeight="1">
      <c r="A940" s="1"/>
      <c r="B940" s="690" t="s">
        <v>1448</v>
      </c>
      <c r="C940" s="786" t="s">
        <v>10</v>
      </c>
      <c r="D940" s="801">
        <v>17159.0</v>
      </c>
      <c r="E940" s="786" t="s">
        <v>10</v>
      </c>
      <c r="F940" s="801">
        <v>78099.0</v>
      </c>
      <c r="G940" s="136">
        <v>10729.0</v>
      </c>
      <c r="H940" s="169">
        <v>8865.0</v>
      </c>
      <c r="I940" s="169">
        <v>4554.0</v>
      </c>
      <c r="J940" s="1"/>
      <c r="K940" s="1"/>
      <c r="L940" s="1"/>
      <c r="M940" s="1"/>
      <c r="N940" s="1"/>
      <c r="O940" s="1"/>
      <c r="P940" s="1"/>
      <c r="Q940" s="1"/>
      <c r="R940" s="1"/>
      <c r="S940" s="1"/>
      <c r="T940" s="1"/>
      <c r="U940" s="1"/>
      <c r="V940" s="1"/>
      <c r="W940" s="1"/>
      <c r="X940" s="1"/>
      <c r="Y940" s="1"/>
      <c r="Z940" s="1"/>
    </row>
    <row r="941" ht="10.5" customHeight="1">
      <c r="A941" s="1"/>
      <c r="B941" s="690" t="s">
        <v>487</v>
      </c>
      <c r="C941" s="786" t="s">
        <v>10</v>
      </c>
      <c r="D941" s="801">
        <v>16536.0</v>
      </c>
      <c r="E941" s="786" t="s">
        <v>10</v>
      </c>
      <c r="F941" s="801">
        <v>82727.0</v>
      </c>
      <c r="G941" s="136">
        <v>10623.0</v>
      </c>
      <c r="H941" s="169">
        <v>9427.0</v>
      </c>
      <c r="I941" s="169">
        <v>4604.0</v>
      </c>
      <c r="J941" s="1"/>
      <c r="K941" s="1"/>
      <c r="L941" s="1"/>
      <c r="M941" s="1"/>
      <c r="N941" s="1"/>
      <c r="O941" s="1"/>
      <c r="P941" s="1"/>
      <c r="Q941" s="1"/>
      <c r="R941" s="1"/>
      <c r="S941" s="1"/>
      <c r="T941" s="1"/>
      <c r="U941" s="1"/>
      <c r="V941" s="1"/>
      <c r="W941" s="1"/>
      <c r="X941" s="1"/>
      <c r="Y941" s="1"/>
      <c r="Z941" s="1"/>
    </row>
    <row r="942" ht="10.5" customHeight="1">
      <c r="A942" s="1"/>
      <c r="B942" s="690" t="s">
        <v>489</v>
      </c>
      <c r="C942" s="786" t="s">
        <v>10</v>
      </c>
      <c r="D942" s="801">
        <v>17429.0</v>
      </c>
      <c r="E942" s="786" t="s">
        <v>10</v>
      </c>
      <c r="F942" s="867">
        <v>87537.0</v>
      </c>
      <c r="G942" s="169">
        <v>11014.0</v>
      </c>
      <c r="H942" s="169">
        <v>9929.0</v>
      </c>
      <c r="I942" s="169">
        <v>5193.0</v>
      </c>
      <c r="J942" s="1"/>
      <c r="K942" s="1"/>
      <c r="L942" s="1"/>
      <c r="M942" s="1"/>
      <c r="N942" s="1"/>
      <c r="O942" s="1"/>
      <c r="P942" s="1"/>
      <c r="Q942" s="1"/>
      <c r="R942" s="1"/>
      <c r="S942" s="1"/>
      <c r="T942" s="1"/>
      <c r="U942" s="1"/>
      <c r="V942" s="1"/>
      <c r="W942" s="1"/>
      <c r="X942" s="1"/>
      <c r="Y942" s="1"/>
      <c r="Z942" s="1"/>
    </row>
    <row r="943" ht="10.5" customHeight="1">
      <c r="A943" s="1"/>
      <c r="B943" s="690" t="s">
        <v>55</v>
      </c>
      <c r="C943" s="786" t="s">
        <v>10</v>
      </c>
      <c r="D943" s="801">
        <v>18750.0</v>
      </c>
      <c r="E943" s="786" t="s">
        <v>10</v>
      </c>
      <c r="F943" s="867">
        <v>88789.0</v>
      </c>
      <c r="G943" s="169">
        <v>11364.0</v>
      </c>
      <c r="H943" s="169">
        <v>10352.0</v>
      </c>
      <c r="I943" s="169">
        <v>5377.0</v>
      </c>
      <c r="J943" s="1"/>
      <c r="K943" s="1"/>
      <c r="L943" s="1"/>
      <c r="M943" s="1"/>
      <c r="N943" s="1"/>
      <c r="O943" s="1"/>
      <c r="P943" s="1"/>
      <c r="Q943" s="1"/>
      <c r="R943" s="1"/>
      <c r="S943" s="1"/>
      <c r="T943" s="1"/>
      <c r="U943" s="1"/>
      <c r="V943" s="1"/>
      <c r="W943" s="1"/>
      <c r="X943" s="1"/>
      <c r="Y943" s="1"/>
      <c r="Z943" s="1"/>
    </row>
    <row r="944" ht="10.5" customHeight="1">
      <c r="A944" s="1"/>
      <c r="B944" s="690" t="s">
        <v>57</v>
      </c>
      <c r="C944" s="376" t="s">
        <v>10</v>
      </c>
      <c r="D944" s="867" t="s">
        <v>10</v>
      </c>
      <c r="E944" s="376" t="s">
        <v>10</v>
      </c>
      <c r="F944" s="867" t="s">
        <v>10</v>
      </c>
      <c r="G944" s="789" t="s">
        <v>10</v>
      </c>
      <c r="H944" s="789" t="s">
        <v>10</v>
      </c>
      <c r="I944" s="801" t="s">
        <v>10</v>
      </c>
      <c r="J944" s="1"/>
      <c r="K944" s="1"/>
      <c r="L944" s="1"/>
      <c r="M944" s="1"/>
      <c r="N944" s="1"/>
      <c r="O944" s="1"/>
      <c r="P944" s="1"/>
      <c r="Q944" s="1"/>
      <c r="R944" s="1"/>
      <c r="S944" s="1"/>
      <c r="T944" s="1"/>
      <c r="U944" s="1"/>
      <c r="V944" s="1"/>
      <c r="W944" s="1"/>
      <c r="X944" s="1"/>
      <c r="Y944" s="1"/>
      <c r="Z944" s="1"/>
    </row>
    <row r="945" ht="10.5" customHeight="1">
      <c r="A945" s="1"/>
      <c r="B945" s="690"/>
      <c r="C945" s="786"/>
      <c r="D945" s="801"/>
      <c r="E945" s="786"/>
      <c r="F945" s="867"/>
      <c r="G945" s="169"/>
      <c r="H945" s="169"/>
      <c r="I945" s="169"/>
      <c r="J945" s="1"/>
      <c r="K945" s="1"/>
      <c r="L945" s="1"/>
      <c r="M945" s="1"/>
      <c r="N945" s="1"/>
      <c r="O945" s="1"/>
      <c r="P945" s="1"/>
      <c r="Q945" s="1"/>
      <c r="R945" s="1"/>
      <c r="S945" s="1"/>
      <c r="T945" s="1"/>
      <c r="U945" s="1"/>
      <c r="V945" s="1"/>
      <c r="W945" s="1"/>
      <c r="X945" s="1"/>
      <c r="Y945" s="1"/>
      <c r="Z945" s="1"/>
    </row>
    <row r="946" ht="10.5" customHeight="1">
      <c r="A946" s="1"/>
      <c r="B946" s="875" t="s">
        <v>58</v>
      </c>
      <c r="C946" s="378" t="s">
        <v>10</v>
      </c>
      <c r="D946" s="877" t="s">
        <v>10</v>
      </c>
      <c r="E946" s="378" t="s">
        <v>10</v>
      </c>
      <c r="F946" s="877" t="s">
        <v>10</v>
      </c>
      <c r="G946" s="797" t="s">
        <v>10</v>
      </c>
      <c r="H946" s="797" t="s">
        <v>10</v>
      </c>
      <c r="I946" s="806" t="s">
        <v>10</v>
      </c>
      <c r="J946" s="1"/>
      <c r="K946" s="1"/>
      <c r="L946" s="1"/>
      <c r="M946" s="1"/>
      <c r="N946" s="1"/>
      <c r="O946" s="1"/>
      <c r="P946" s="1"/>
      <c r="Q946" s="1"/>
      <c r="R946" s="1"/>
      <c r="S946" s="1"/>
      <c r="T946" s="1"/>
      <c r="U946" s="1"/>
      <c r="V946" s="1"/>
      <c r="W946" s="1"/>
      <c r="X946" s="1"/>
      <c r="Y946" s="1"/>
      <c r="Z946" s="1"/>
    </row>
    <row r="947" ht="3.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9.75" customHeight="1">
      <c r="A948" s="1"/>
      <c r="B948" s="60" t="s">
        <v>1501</v>
      </c>
      <c r="C948" s="1" t="s">
        <v>1462</v>
      </c>
      <c r="D948" s="698"/>
      <c r="E948" s="698"/>
      <c r="F948" s="698"/>
      <c r="G948" s="698"/>
      <c r="H948" s="698"/>
      <c r="I948" s="698"/>
      <c r="J948" s="1"/>
      <c r="K948" s="1"/>
      <c r="L948" s="1"/>
      <c r="M948" s="1"/>
      <c r="N948" s="1"/>
      <c r="O948" s="1"/>
      <c r="P948" s="1"/>
      <c r="Q948" s="1"/>
      <c r="R948" s="1"/>
      <c r="S948" s="1"/>
      <c r="T948" s="1"/>
      <c r="U948" s="1"/>
      <c r="V948" s="1"/>
      <c r="W948" s="1"/>
      <c r="X948" s="1"/>
      <c r="Y948" s="1"/>
      <c r="Z948" s="1"/>
    </row>
    <row r="949" ht="9.75" customHeight="1">
      <c r="A949" s="1"/>
      <c r="B949" s="60"/>
      <c r="C949" s="1" t="s">
        <v>1463</v>
      </c>
      <c r="D949" s="698"/>
      <c r="E949" s="698"/>
      <c r="F949" s="698"/>
      <c r="G949" s="698"/>
      <c r="H949" s="698"/>
      <c r="I949" s="698"/>
      <c r="J949" s="1"/>
      <c r="K949" s="1"/>
      <c r="L949" s="1"/>
      <c r="M949" s="1"/>
      <c r="N949" s="1"/>
      <c r="O949" s="1"/>
      <c r="P949" s="1"/>
      <c r="Q949" s="1"/>
      <c r="R949" s="1"/>
      <c r="S949" s="1"/>
      <c r="T949" s="1"/>
      <c r="U949" s="1"/>
      <c r="V949" s="1"/>
      <c r="W949" s="1"/>
      <c r="X949" s="1"/>
      <c r="Y949" s="1"/>
      <c r="Z949" s="1"/>
    </row>
    <row r="950" ht="10.5" customHeight="1">
      <c r="A950" s="1"/>
      <c r="B950" s="60"/>
      <c r="C950" s="848" t="s">
        <v>1464</v>
      </c>
      <c r="D950" s="1"/>
      <c r="E950" s="1"/>
      <c r="F950" s="1"/>
      <c r="G950" s="1"/>
      <c r="H950" s="1"/>
      <c r="I950" s="1"/>
      <c r="J950" s="1"/>
      <c r="K950" s="1"/>
      <c r="L950" s="1"/>
      <c r="M950" s="1"/>
      <c r="N950" s="1"/>
      <c r="O950" s="1"/>
      <c r="P950" s="1"/>
      <c r="Q950" s="1"/>
      <c r="R950" s="1"/>
      <c r="S950" s="1"/>
      <c r="T950" s="1"/>
      <c r="U950" s="1"/>
      <c r="V950" s="1"/>
      <c r="W950" s="1"/>
      <c r="X950" s="1"/>
      <c r="Y950" s="1"/>
      <c r="Z950" s="1"/>
    </row>
    <row r="951" ht="10.5" customHeight="1">
      <c r="A951" s="1"/>
      <c r="B951" s="60"/>
      <c r="C951" s="848" t="s">
        <v>1465</v>
      </c>
      <c r="D951" s="1"/>
      <c r="E951" s="1"/>
      <c r="F951" s="1"/>
      <c r="G951" s="1"/>
      <c r="H951" s="1"/>
      <c r="I951" s="1"/>
      <c r="J951" s="1"/>
      <c r="K951" s="1"/>
      <c r="L951" s="1"/>
      <c r="M951" s="1"/>
      <c r="N951" s="1"/>
      <c r="O951" s="1"/>
      <c r="P951" s="1"/>
      <c r="Q951" s="1"/>
      <c r="R951" s="1"/>
      <c r="S951" s="1"/>
      <c r="T951" s="1"/>
      <c r="U951" s="1"/>
      <c r="V951" s="1"/>
      <c r="W951" s="1"/>
      <c r="X951" s="1"/>
      <c r="Y951" s="1"/>
      <c r="Z951" s="1"/>
    </row>
    <row r="952" ht="6.0" customHeight="1">
      <c r="A952" s="1"/>
      <c r="B952" s="60"/>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0.5" customHeight="1">
      <c r="A953" s="1"/>
      <c r="B953" s="185" t="s">
        <v>1502</v>
      </c>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0.5" customHeight="1">
      <c r="A954" s="1"/>
      <c r="B954" s="185" t="s">
        <v>1503</v>
      </c>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0.5" customHeight="1">
      <c r="A955" s="1"/>
      <c r="B955" s="185" t="s">
        <v>1504</v>
      </c>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0.5" customHeight="1">
      <c r="A956" s="1"/>
      <c r="B956" s="281" t="s">
        <v>1505</v>
      </c>
      <c r="C956" s="15"/>
      <c r="D956" s="15"/>
      <c r="E956" s="15"/>
      <c r="F956" s="15"/>
      <c r="G956" s="15"/>
      <c r="H956" s="15"/>
      <c r="I956" s="15"/>
      <c r="J956" s="1"/>
      <c r="K956" s="1"/>
      <c r="L956" s="1"/>
      <c r="M956" s="1"/>
      <c r="N956" s="1"/>
      <c r="O956" s="1"/>
      <c r="P956" s="1"/>
      <c r="Q956" s="1"/>
      <c r="R956" s="1"/>
      <c r="S956" s="1"/>
      <c r="T956" s="1"/>
      <c r="U956" s="1"/>
      <c r="V956" s="1"/>
      <c r="W956" s="1"/>
      <c r="X956" s="1"/>
      <c r="Y956" s="1"/>
      <c r="Z956" s="1"/>
    </row>
    <row r="957" ht="10.5" customHeight="1">
      <c r="A957" s="1"/>
      <c r="B957" s="281"/>
      <c r="C957" s="15"/>
      <c r="D957" s="15"/>
      <c r="E957" s="15"/>
      <c r="F957" s="15"/>
      <c r="G957" s="15"/>
      <c r="H957" s="15"/>
      <c r="I957" s="15"/>
      <c r="J957" s="1"/>
      <c r="K957" s="1"/>
      <c r="L957" s="1"/>
      <c r="M957" s="1"/>
      <c r="N957" s="1"/>
      <c r="O957" s="1"/>
      <c r="P957" s="1"/>
      <c r="Q957" s="1"/>
      <c r="R957" s="1"/>
      <c r="S957" s="1"/>
      <c r="T957" s="1"/>
      <c r="U957" s="1"/>
      <c r="V957" s="1"/>
      <c r="W957" s="1"/>
      <c r="X957" s="1"/>
      <c r="Y957" s="1"/>
      <c r="Z957" s="1"/>
    </row>
    <row r="958" ht="10.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0.5" customHeight="1">
      <c r="A959" s="1"/>
      <c r="B959" s="1"/>
      <c r="C959" s="1"/>
      <c r="D959" s="1"/>
      <c r="E959" s="1"/>
      <c r="F959" s="1"/>
      <c r="G959" s="110">
        <v>71.0</v>
      </c>
      <c r="H959" s="1"/>
      <c r="I959" s="1"/>
      <c r="J959" s="1"/>
      <c r="K959" s="1"/>
      <c r="L959" s="1"/>
      <c r="M959" s="1"/>
      <c r="N959" s="1"/>
      <c r="O959" s="1"/>
      <c r="P959" s="1"/>
      <c r="Q959" s="1"/>
      <c r="R959" s="1"/>
      <c r="S959" s="1"/>
      <c r="T959" s="1"/>
      <c r="U959" s="1"/>
      <c r="V959" s="1"/>
      <c r="W959" s="1"/>
      <c r="X959" s="1"/>
      <c r="Y959" s="1"/>
      <c r="Z959" s="1"/>
    </row>
    <row r="960" ht="10.5" customHeight="1">
      <c r="A960" s="1"/>
      <c r="B960" s="1"/>
      <c r="C960" s="15"/>
      <c r="D960" s="15"/>
      <c r="E960" s="15"/>
      <c r="F960" s="15"/>
      <c r="G960" s="15"/>
      <c r="H960" s="15"/>
      <c r="I960" s="15"/>
      <c r="J960" s="1"/>
      <c r="K960" s="1"/>
      <c r="L960" s="1"/>
      <c r="M960" s="1"/>
      <c r="N960" s="1"/>
      <c r="O960" s="1"/>
      <c r="P960" s="1"/>
      <c r="Q960" s="1"/>
      <c r="R960" s="1"/>
      <c r="S960" s="1"/>
      <c r="T960" s="1"/>
      <c r="U960" s="1"/>
      <c r="V960" s="1"/>
      <c r="W960" s="1"/>
      <c r="X960" s="1"/>
      <c r="Y960" s="1"/>
      <c r="Z960" s="1"/>
    </row>
    <row r="961" ht="11.25" customHeight="1">
      <c r="A961" s="1"/>
      <c r="B961" s="1" t="s">
        <v>1506</v>
      </c>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29" t="s">
        <v>1507</v>
      </c>
      <c r="C962" s="198" t="s">
        <v>1508</v>
      </c>
      <c r="D962" s="70"/>
      <c r="E962" s="29" t="s">
        <v>938</v>
      </c>
      <c r="F962" s="128" t="s">
        <v>1509</v>
      </c>
      <c r="G962" s="10"/>
      <c r="H962" s="236"/>
      <c r="I962" s="1"/>
      <c r="J962" s="1"/>
      <c r="K962" s="1"/>
      <c r="L962" s="1"/>
      <c r="M962" s="1"/>
      <c r="N962" s="1"/>
      <c r="O962" s="1"/>
      <c r="P962" s="1"/>
      <c r="Q962" s="1"/>
      <c r="R962" s="1"/>
      <c r="S962" s="1"/>
      <c r="T962" s="1"/>
      <c r="U962" s="1"/>
      <c r="V962" s="1"/>
      <c r="W962" s="1"/>
      <c r="X962" s="1"/>
      <c r="Y962" s="1"/>
      <c r="Z962" s="1"/>
    </row>
    <row r="963" ht="11.25" customHeight="1">
      <c r="A963" s="1"/>
      <c r="B963" s="5"/>
      <c r="C963" s="128" t="s">
        <v>1510</v>
      </c>
      <c r="D963" s="10"/>
      <c r="E963" s="5"/>
      <c r="F963" s="128" t="s">
        <v>1511</v>
      </c>
      <c r="G963" s="10"/>
      <c r="H963" s="236"/>
      <c r="I963" s="1"/>
      <c r="J963" s="1"/>
      <c r="K963" s="1"/>
      <c r="L963" s="1"/>
      <c r="M963" s="1"/>
      <c r="N963" s="1"/>
      <c r="O963" s="1"/>
      <c r="P963" s="1"/>
      <c r="Q963" s="1"/>
      <c r="R963" s="1"/>
      <c r="S963" s="1"/>
      <c r="T963" s="1"/>
      <c r="U963" s="1"/>
      <c r="V963" s="1"/>
      <c r="W963" s="1"/>
      <c r="X963" s="1"/>
      <c r="Y963" s="1"/>
      <c r="Z963" s="1"/>
    </row>
    <row r="964" ht="11.25" customHeight="1">
      <c r="A964" s="1"/>
      <c r="B964" s="6"/>
      <c r="C964" s="128" t="s">
        <v>1512</v>
      </c>
      <c r="D964" s="10"/>
      <c r="E964" s="6"/>
      <c r="F964" s="128" t="s">
        <v>1513</v>
      </c>
      <c r="G964" s="10"/>
      <c r="H964" s="236"/>
      <c r="I964" s="1"/>
      <c r="J964" s="1"/>
      <c r="K964" s="1"/>
      <c r="L964" s="1"/>
      <c r="M964" s="1"/>
      <c r="N964" s="1"/>
      <c r="O964" s="1"/>
      <c r="P964" s="1"/>
      <c r="Q964" s="1"/>
      <c r="R964" s="1"/>
      <c r="S964" s="1"/>
      <c r="T964" s="1"/>
      <c r="U964" s="1"/>
      <c r="V964" s="1"/>
      <c r="W964" s="1"/>
      <c r="X964" s="1"/>
      <c r="Y964" s="1"/>
      <c r="Z964" s="1"/>
    </row>
    <row r="965" ht="10.5" customHeight="1">
      <c r="A965" s="1"/>
      <c r="B965" s="129" t="s">
        <v>264</v>
      </c>
      <c r="C965" s="287">
        <v>7.2</v>
      </c>
      <c r="D965" s="70"/>
      <c r="E965" s="90" t="s">
        <v>264</v>
      </c>
      <c r="F965" s="883">
        <v>22.57</v>
      </c>
      <c r="G965" s="70"/>
      <c r="H965" s="1"/>
      <c r="I965" s="1"/>
      <c r="J965" s="1"/>
      <c r="K965" s="1"/>
      <c r="L965" s="1"/>
      <c r="M965" s="1"/>
      <c r="N965" s="1"/>
      <c r="O965" s="1"/>
      <c r="P965" s="1"/>
      <c r="Q965" s="1"/>
      <c r="R965" s="1"/>
      <c r="S965" s="1"/>
      <c r="T965" s="1"/>
      <c r="U965" s="1"/>
      <c r="V965" s="1"/>
      <c r="W965" s="1"/>
      <c r="X965" s="1"/>
      <c r="Y965" s="1"/>
      <c r="Z965" s="1"/>
    </row>
    <row r="966" ht="10.5" customHeight="1">
      <c r="A966" s="1"/>
      <c r="B966" s="129" t="s">
        <v>267</v>
      </c>
      <c r="C966" s="284">
        <v>7.6</v>
      </c>
      <c r="D966" s="87"/>
      <c r="E966" s="90" t="s">
        <v>267</v>
      </c>
      <c r="F966" s="388">
        <v>24.0</v>
      </c>
      <c r="G966" s="87"/>
      <c r="H966" s="1"/>
      <c r="I966" s="1"/>
      <c r="J966" s="1"/>
      <c r="K966" s="1"/>
      <c r="L966" s="1"/>
      <c r="M966" s="1"/>
      <c r="N966" s="1"/>
      <c r="O966" s="1"/>
      <c r="P966" s="1"/>
      <c r="Q966" s="1"/>
      <c r="R966" s="1"/>
      <c r="S966" s="1"/>
      <c r="T966" s="1"/>
      <c r="U966" s="1"/>
      <c r="V966" s="1"/>
      <c r="W966" s="1"/>
      <c r="X966" s="1"/>
      <c r="Y966" s="1"/>
      <c r="Z966" s="1"/>
    </row>
    <row r="967" ht="10.5" customHeight="1">
      <c r="A967" s="1"/>
      <c r="B967" s="129" t="s">
        <v>268</v>
      </c>
      <c r="C967" s="284">
        <v>8.1</v>
      </c>
      <c r="D967" s="87"/>
      <c r="E967" s="90" t="s">
        <v>268</v>
      </c>
      <c r="F967" s="388">
        <v>28.0</v>
      </c>
      <c r="G967" s="87"/>
      <c r="H967" s="1"/>
      <c r="I967" s="1"/>
      <c r="J967" s="1"/>
      <c r="K967" s="1"/>
      <c r="L967" s="1"/>
      <c r="M967" s="1"/>
      <c r="N967" s="1"/>
      <c r="O967" s="1"/>
      <c r="P967" s="1"/>
      <c r="Q967" s="1"/>
      <c r="R967" s="1"/>
      <c r="S967" s="1"/>
      <c r="T967" s="1"/>
      <c r="U967" s="1"/>
      <c r="V967" s="1"/>
      <c r="W967" s="1"/>
      <c r="X967" s="1"/>
      <c r="Y967" s="1"/>
      <c r="Z967" s="1"/>
    </row>
    <row r="968" ht="10.5" customHeight="1">
      <c r="A968" s="1"/>
      <c r="B968" s="129" t="s">
        <v>269</v>
      </c>
      <c r="C968" s="284">
        <v>9.4</v>
      </c>
      <c r="D968" s="87"/>
      <c r="E968" s="90" t="s">
        <v>269</v>
      </c>
      <c r="F968" s="388">
        <v>29.17</v>
      </c>
      <c r="G968" s="87"/>
      <c r="H968" s="1"/>
      <c r="I968" s="1"/>
      <c r="J968" s="1"/>
      <c r="K968" s="1"/>
      <c r="L968" s="1"/>
      <c r="M968" s="1"/>
      <c r="N968" s="1"/>
      <c r="O968" s="1"/>
      <c r="P968" s="1"/>
      <c r="Q968" s="1"/>
      <c r="R968" s="1"/>
      <c r="S968" s="1"/>
      <c r="T968" s="1"/>
      <c r="U968" s="1"/>
      <c r="V968" s="1"/>
      <c r="W968" s="1"/>
      <c r="X968" s="1"/>
      <c r="Y968" s="1"/>
      <c r="Z968" s="1"/>
    </row>
    <row r="969" ht="10.5" customHeight="1">
      <c r="A969" s="1"/>
      <c r="B969" s="129" t="s">
        <v>270</v>
      </c>
      <c r="C969" s="284">
        <v>12.3</v>
      </c>
      <c r="D969" s="87"/>
      <c r="E969" s="90" t="s">
        <v>270</v>
      </c>
      <c r="F969" s="388">
        <v>30.47</v>
      </c>
      <c r="G969" s="87"/>
      <c r="H969" s="1"/>
      <c r="I969" s="1"/>
      <c r="J969" s="1"/>
      <c r="K969" s="1"/>
      <c r="L969" s="1"/>
      <c r="M969" s="1"/>
      <c r="N969" s="1"/>
      <c r="O969" s="1"/>
      <c r="P969" s="1"/>
      <c r="Q969" s="1"/>
      <c r="R969" s="1"/>
      <c r="S969" s="1"/>
      <c r="T969" s="1"/>
      <c r="U969" s="1"/>
      <c r="V969" s="1"/>
      <c r="W969" s="1"/>
      <c r="X969" s="1"/>
      <c r="Y969" s="1"/>
      <c r="Z969" s="1"/>
    </row>
    <row r="970" ht="10.5" customHeight="1">
      <c r="A970" s="1"/>
      <c r="B970" s="129"/>
      <c r="C970" s="284"/>
      <c r="D970" s="87"/>
      <c r="E970" s="90"/>
      <c r="F970" s="388"/>
      <c r="G970" s="87"/>
      <c r="H970" s="1"/>
      <c r="I970" s="1"/>
      <c r="J970" s="1"/>
      <c r="K970" s="1"/>
      <c r="L970" s="1"/>
      <c r="M970" s="1"/>
      <c r="N970" s="1"/>
      <c r="O970" s="1"/>
      <c r="P970" s="1"/>
      <c r="Q970" s="1"/>
      <c r="R970" s="1"/>
      <c r="S970" s="1"/>
      <c r="T970" s="1"/>
      <c r="U970" s="1"/>
      <c r="V970" s="1"/>
      <c r="W970" s="1"/>
      <c r="X970" s="1"/>
      <c r="Y970" s="1"/>
      <c r="Z970" s="1"/>
    </row>
    <row r="971" ht="10.5" customHeight="1">
      <c r="A971" s="1"/>
      <c r="B971" s="129" t="s">
        <v>271</v>
      </c>
      <c r="C971" s="284">
        <v>14.9</v>
      </c>
      <c r="D971" s="87"/>
      <c r="E971" s="90" t="s">
        <v>271</v>
      </c>
      <c r="F971" s="388">
        <v>30.47</v>
      </c>
      <c r="G971" s="87"/>
      <c r="H971" s="1"/>
      <c r="I971" s="1"/>
      <c r="J971" s="1"/>
      <c r="K971" s="1"/>
      <c r="L971" s="1"/>
      <c r="M971" s="1"/>
      <c r="N971" s="1"/>
      <c r="O971" s="1"/>
      <c r="P971" s="1"/>
      <c r="Q971" s="1"/>
      <c r="R971" s="1"/>
      <c r="S971" s="1"/>
      <c r="T971" s="1"/>
      <c r="U971" s="1"/>
      <c r="V971" s="1"/>
      <c r="W971" s="1"/>
      <c r="X971" s="1"/>
      <c r="Y971" s="1"/>
      <c r="Z971" s="1"/>
    </row>
    <row r="972" ht="10.5" customHeight="1">
      <c r="A972" s="1"/>
      <c r="B972" s="129" t="s">
        <v>272</v>
      </c>
      <c r="C972" s="284">
        <v>15.5</v>
      </c>
      <c r="D972" s="87"/>
      <c r="E972" s="90" t="s">
        <v>272</v>
      </c>
      <c r="F972" s="388">
        <v>33.1</v>
      </c>
      <c r="G972" s="87"/>
      <c r="H972" s="1"/>
      <c r="I972" s="1"/>
      <c r="J972" s="1"/>
      <c r="K972" s="1"/>
      <c r="L972" s="1"/>
      <c r="M972" s="1"/>
      <c r="N972" s="1"/>
      <c r="O972" s="1"/>
      <c r="P972" s="1"/>
      <c r="Q972" s="1"/>
      <c r="R972" s="1"/>
      <c r="S972" s="1"/>
      <c r="T972" s="1"/>
      <c r="U972" s="1"/>
      <c r="V972" s="1"/>
      <c r="W972" s="1"/>
      <c r="X972" s="1"/>
      <c r="Y972" s="1"/>
      <c r="Z972" s="1"/>
    </row>
    <row r="973" ht="10.5" customHeight="1">
      <c r="A973" s="1"/>
      <c r="B973" s="129" t="s">
        <v>274</v>
      </c>
      <c r="C973" s="284">
        <v>15.8</v>
      </c>
      <c r="D973" s="87"/>
      <c r="E973" s="90" t="s">
        <v>274</v>
      </c>
      <c r="F973" s="388">
        <v>34.9</v>
      </c>
      <c r="G973" s="87"/>
      <c r="H973" s="1"/>
      <c r="I973" s="1"/>
      <c r="J973" s="1"/>
      <c r="K973" s="1"/>
      <c r="L973" s="1"/>
      <c r="M973" s="1"/>
      <c r="N973" s="1"/>
      <c r="O973" s="1"/>
      <c r="P973" s="1"/>
      <c r="Q973" s="1"/>
      <c r="R973" s="1"/>
      <c r="S973" s="1"/>
      <c r="T973" s="1"/>
      <c r="U973" s="1"/>
      <c r="V973" s="1"/>
      <c r="W973" s="1"/>
      <c r="X973" s="1"/>
      <c r="Y973" s="1"/>
      <c r="Z973" s="1"/>
    </row>
    <row r="974" ht="10.5" customHeight="1">
      <c r="A974" s="1"/>
      <c r="B974" s="129" t="s">
        <v>275</v>
      </c>
      <c r="C974" s="284">
        <v>17.5</v>
      </c>
      <c r="D974" s="87"/>
      <c r="E974" s="90" t="s">
        <v>275</v>
      </c>
      <c r="F974" s="388">
        <v>34.55</v>
      </c>
      <c r="G974" s="87"/>
      <c r="H974" s="1"/>
      <c r="I974" s="1"/>
      <c r="J974" s="1"/>
      <c r="K974" s="1"/>
      <c r="L974" s="1"/>
      <c r="M974" s="1"/>
      <c r="N974" s="1"/>
      <c r="O974" s="1"/>
      <c r="P974" s="1"/>
      <c r="Q974" s="1"/>
      <c r="R974" s="1"/>
      <c r="S974" s="1"/>
      <c r="T974" s="1"/>
      <c r="U974" s="1"/>
      <c r="V974" s="1"/>
      <c r="W974" s="1"/>
      <c r="X974" s="1"/>
      <c r="Y974" s="1"/>
      <c r="Z974" s="1"/>
    </row>
    <row r="975" ht="10.5" customHeight="1">
      <c r="A975" s="1"/>
      <c r="B975" s="129" t="s">
        <v>276</v>
      </c>
      <c r="C975" s="284">
        <v>21.0</v>
      </c>
      <c r="D975" s="87"/>
      <c r="E975" s="90" t="s">
        <v>276</v>
      </c>
      <c r="F975" s="388">
        <v>32.98</v>
      </c>
      <c r="G975" s="87"/>
      <c r="H975" s="1"/>
      <c r="I975" s="1"/>
      <c r="J975" s="1"/>
      <c r="K975" s="1"/>
      <c r="L975" s="1"/>
      <c r="M975" s="1"/>
      <c r="N975" s="1"/>
      <c r="O975" s="1"/>
      <c r="P975" s="1"/>
      <c r="Q975" s="1"/>
      <c r="R975" s="1"/>
      <c r="S975" s="1"/>
      <c r="T975" s="1"/>
      <c r="U975" s="1"/>
      <c r="V975" s="1"/>
      <c r="W975" s="1"/>
      <c r="X975" s="1"/>
      <c r="Y975" s="1"/>
      <c r="Z975" s="1"/>
    </row>
    <row r="976" ht="10.5" customHeight="1">
      <c r="A976" s="1"/>
      <c r="B976" s="129"/>
      <c r="C976" s="284"/>
      <c r="D976" s="87"/>
      <c r="E976" s="90"/>
      <c r="F976" s="388"/>
      <c r="G976" s="87"/>
      <c r="H976" s="1"/>
      <c r="I976" s="1"/>
      <c r="J976" s="1"/>
      <c r="K976" s="1"/>
      <c r="L976" s="1"/>
      <c r="M976" s="1"/>
      <c r="N976" s="1"/>
      <c r="O976" s="1"/>
      <c r="P976" s="1"/>
      <c r="Q976" s="1"/>
      <c r="R976" s="1"/>
      <c r="S976" s="1"/>
      <c r="T976" s="1"/>
      <c r="U976" s="1"/>
      <c r="V976" s="1"/>
      <c r="W976" s="1"/>
      <c r="X976" s="1"/>
      <c r="Y976" s="1"/>
      <c r="Z976" s="1"/>
    </row>
    <row r="977" ht="10.5" customHeight="1">
      <c r="A977" s="1"/>
      <c r="B977" s="129" t="s">
        <v>56</v>
      </c>
      <c r="C977" s="284">
        <v>24.5</v>
      </c>
      <c r="D977" s="87"/>
      <c r="E977" s="90" t="s">
        <v>56</v>
      </c>
      <c r="F977" s="388">
        <v>46.23</v>
      </c>
      <c r="G977" s="87"/>
      <c r="H977" s="1"/>
      <c r="I977" s="1"/>
      <c r="J977" s="1"/>
      <c r="K977" s="1"/>
      <c r="L977" s="1"/>
      <c r="M977" s="1"/>
      <c r="N977" s="1"/>
      <c r="O977" s="1"/>
      <c r="P977" s="1"/>
      <c r="Q977" s="1"/>
      <c r="R977" s="1"/>
      <c r="S977" s="1"/>
      <c r="T977" s="1"/>
      <c r="U977" s="1"/>
      <c r="V977" s="1"/>
      <c r="W977" s="1"/>
      <c r="X977" s="1"/>
      <c r="Y977" s="1"/>
      <c r="Z977" s="1"/>
    </row>
    <row r="978" ht="10.5" customHeight="1">
      <c r="A978" s="1"/>
      <c r="B978" s="129" t="s">
        <v>81</v>
      </c>
      <c r="C978" s="284">
        <v>29.3</v>
      </c>
      <c r="D978" s="87"/>
      <c r="E978" s="90" t="s">
        <v>81</v>
      </c>
      <c r="F978" s="388">
        <v>57.24</v>
      </c>
      <c r="G978" s="87"/>
      <c r="H978" s="1"/>
      <c r="I978" s="1"/>
      <c r="J978" s="1"/>
      <c r="K978" s="1"/>
      <c r="L978" s="1"/>
      <c r="M978" s="1"/>
      <c r="N978" s="1"/>
      <c r="O978" s="1"/>
      <c r="P978" s="1"/>
      <c r="Q978" s="1"/>
      <c r="R978" s="1"/>
      <c r="S978" s="1"/>
      <c r="T978" s="1"/>
      <c r="U978" s="1"/>
      <c r="V978" s="1"/>
      <c r="W978" s="1"/>
      <c r="X978" s="1"/>
      <c r="Y978" s="1"/>
      <c r="Z978" s="1"/>
    </row>
    <row r="979" ht="10.5" customHeight="1">
      <c r="A979" s="1"/>
      <c r="B979" s="129" t="s">
        <v>86</v>
      </c>
      <c r="C979" s="284">
        <v>31.6</v>
      </c>
      <c r="D979" s="87"/>
      <c r="E979" s="90" t="s">
        <v>86</v>
      </c>
      <c r="F979" s="388">
        <v>73.0</v>
      </c>
      <c r="G979" s="87"/>
      <c r="H979" s="1"/>
      <c r="I979" s="1"/>
      <c r="J979" s="1"/>
      <c r="K979" s="1"/>
      <c r="L979" s="1"/>
      <c r="M979" s="1"/>
      <c r="N979" s="1"/>
      <c r="O979" s="1"/>
      <c r="P979" s="1"/>
      <c r="Q979" s="1"/>
      <c r="R979" s="1"/>
      <c r="S979" s="1"/>
      <c r="T979" s="1"/>
      <c r="U979" s="1"/>
      <c r="V979" s="1"/>
      <c r="W979" s="1"/>
      <c r="X979" s="1"/>
      <c r="Y979" s="1"/>
      <c r="Z979" s="1"/>
    </row>
    <row r="980" ht="10.5" customHeight="1">
      <c r="A980" s="1"/>
      <c r="B980" s="129" t="s">
        <v>87</v>
      </c>
      <c r="C980" s="284">
        <v>32.2</v>
      </c>
      <c r="D980" s="87"/>
      <c r="E980" s="90" t="s">
        <v>87</v>
      </c>
      <c r="F980" s="388">
        <v>68.0</v>
      </c>
      <c r="G980" s="87"/>
      <c r="H980" s="1"/>
      <c r="I980" s="1"/>
      <c r="J980" s="1"/>
      <c r="K980" s="1"/>
      <c r="L980" s="1"/>
      <c r="M980" s="1"/>
      <c r="N980" s="1"/>
      <c r="O980" s="1"/>
      <c r="P980" s="1"/>
      <c r="Q980" s="1"/>
      <c r="R980" s="1"/>
      <c r="S980" s="1"/>
      <c r="T980" s="1"/>
      <c r="U980" s="1"/>
      <c r="V980" s="1"/>
      <c r="W980" s="1"/>
      <c r="X980" s="1"/>
      <c r="Y980" s="1"/>
      <c r="Z980" s="1"/>
    </row>
    <row r="981" ht="10.5" customHeight="1">
      <c r="A981" s="1"/>
      <c r="B981" s="129" t="s">
        <v>90</v>
      </c>
      <c r="C981" s="284">
        <v>34.9</v>
      </c>
      <c r="D981" s="87"/>
      <c r="E981" s="90" t="s">
        <v>90</v>
      </c>
      <c r="F981" s="388">
        <v>69.0</v>
      </c>
      <c r="G981" s="87"/>
      <c r="H981" s="1"/>
      <c r="I981" s="1"/>
      <c r="J981" s="1"/>
      <c r="K981" s="1"/>
      <c r="L981" s="1"/>
      <c r="M981" s="1"/>
      <c r="N981" s="1"/>
      <c r="O981" s="1"/>
      <c r="P981" s="1"/>
      <c r="Q981" s="1"/>
      <c r="R981" s="1"/>
      <c r="S981" s="1"/>
      <c r="T981" s="1"/>
      <c r="U981" s="1"/>
      <c r="V981" s="1"/>
      <c r="W981" s="1"/>
      <c r="X981" s="1"/>
      <c r="Y981" s="1"/>
      <c r="Z981" s="1"/>
    </row>
    <row r="982" ht="10.5" customHeight="1">
      <c r="A982" s="1"/>
      <c r="B982" s="129"/>
      <c r="C982" s="284"/>
      <c r="D982" s="87"/>
      <c r="E982" s="90"/>
      <c r="F982" s="388"/>
      <c r="G982" s="87"/>
      <c r="H982" s="1"/>
      <c r="I982" s="1"/>
      <c r="J982" s="1"/>
      <c r="K982" s="1"/>
      <c r="L982" s="1"/>
      <c r="M982" s="1"/>
      <c r="N982" s="1"/>
      <c r="O982" s="1"/>
      <c r="P982" s="1"/>
      <c r="Q982" s="1"/>
      <c r="R982" s="1"/>
      <c r="S982" s="1"/>
      <c r="T982" s="1"/>
      <c r="U982" s="1"/>
      <c r="V982" s="1"/>
      <c r="W982" s="1"/>
      <c r="X982" s="1"/>
      <c r="Y982" s="1"/>
      <c r="Z982" s="1"/>
    </row>
    <row r="983" ht="10.5" customHeight="1">
      <c r="A983" s="1"/>
      <c r="B983" s="129" t="s">
        <v>93</v>
      </c>
      <c r="C983" s="284">
        <v>37.9</v>
      </c>
      <c r="D983" s="87"/>
      <c r="E983" s="90" t="s">
        <v>93</v>
      </c>
      <c r="F983" s="388">
        <v>75.0</v>
      </c>
      <c r="G983" s="87"/>
      <c r="H983" s="1"/>
      <c r="I983" s="1"/>
      <c r="J983" s="1"/>
      <c r="K983" s="1"/>
      <c r="L983" s="1"/>
      <c r="M983" s="1"/>
      <c r="N983" s="1"/>
      <c r="O983" s="1"/>
      <c r="P983" s="1"/>
      <c r="Q983" s="1"/>
      <c r="R983" s="1"/>
      <c r="S983" s="1"/>
      <c r="T983" s="1"/>
      <c r="U983" s="1"/>
      <c r="V983" s="1"/>
      <c r="W983" s="1"/>
      <c r="X983" s="1"/>
      <c r="Y983" s="1"/>
      <c r="Z983" s="1"/>
    </row>
    <row r="984" ht="10.5" customHeight="1">
      <c r="A984" s="1"/>
      <c r="B984" s="129" t="s">
        <v>97</v>
      </c>
      <c r="C984" s="284">
        <v>38.3</v>
      </c>
      <c r="D984" s="87"/>
      <c r="E984" s="90" t="s">
        <v>97</v>
      </c>
      <c r="F984" s="388">
        <v>117.0</v>
      </c>
      <c r="G984" s="87"/>
      <c r="H984" s="1"/>
      <c r="I984" s="1"/>
      <c r="J984" s="1"/>
      <c r="K984" s="1"/>
      <c r="L984" s="1"/>
      <c r="M984" s="1"/>
      <c r="N984" s="1"/>
      <c r="O984" s="1"/>
      <c r="P984" s="1"/>
      <c r="Q984" s="1"/>
      <c r="R984" s="1"/>
      <c r="S984" s="1"/>
      <c r="T984" s="1"/>
      <c r="U984" s="1"/>
      <c r="V984" s="1"/>
      <c r="W984" s="1"/>
      <c r="X984" s="1"/>
      <c r="Y984" s="1"/>
      <c r="Z984" s="1"/>
    </row>
    <row r="985" ht="10.5" customHeight="1">
      <c r="A985" s="1"/>
      <c r="B985" s="129" t="s">
        <v>101</v>
      </c>
      <c r="C985" s="284">
        <v>45.1</v>
      </c>
      <c r="D985" s="87"/>
      <c r="E985" s="90" t="s">
        <v>101</v>
      </c>
      <c r="F985" s="388">
        <v>116.0</v>
      </c>
      <c r="G985" s="87"/>
      <c r="H985" s="1"/>
      <c r="I985" s="1"/>
      <c r="J985" s="1"/>
      <c r="K985" s="1"/>
      <c r="L985" s="1"/>
      <c r="M985" s="1"/>
      <c r="N985" s="1"/>
      <c r="O985" s="1"/>
      <c r="P985" s="1"/>
      <c r="Q985" s="1"/>
      <c r="R985" s="1"/>
      <c r="S985" s="1"/>
      <c r="T985" s="1"/>
      <c r="U985" s="1"/>
      <c r="V985" s="1"/>
      <c r="W985" s="1"/>
      <c r="X985" s="1"/>
      <c r="Y985" s="1"/>
      <c r="Z985" s="1"/>
    </row>
    <row r="986" ht="10.5" customHeight="1">
      <c r="A986" s="1"/>
      <c r="B986" s="129" t="s">
        <v>103</v>
      </c>
      <c r="C986" s="284">
        <v>53.1</v>
      </c>
      <c r="D986" s="87"/>
      <c r="E986" s="90" t="s">
        <v>103</v>
      </c>
      <c r="F986" s="388">
        <v>127.0</v>
      </c>
      <c r="G986" s="87"/>
      <c r="H986" s="1"/>
      <c r="I986" s="1"/>
      <c r="J986" s="1"/>
      <c r="K986" s="1"/>
      <c r="L986" s="1"/>
      <c r="M986" s="1"/>
      <c r="N986" s="1"/>
      <c r="O986" s="1"/>
      <c r="P986" s="1"/>
      <c r="Q986" s="1"/>
      <c r="R986" s="1"/>
      <c r="S986" s="1"/>
      <c r="T986" s="1"/>
      <c r="U986" s="1"/>
      <c r="V986" s="1"/>
      <c r="W986" s="1"/>
      <c r="X986" s="1"/>
      <c r="Y986" s="1"/>
      <c r="Z986" s="1"/>
    </row>
    <row r="987" ht="10.5" customHeight="1">
      <c r="A987" s="1"/>
      <c r="B987" s="129" t="s">
        <v>104</v>
      </c>
      <c r="C987" s="284">
        <v>61.8</v>
      </c>
      <c r="D987" s="87"/>
      <c r="E987" s="90" t="s">
        <v>104</v>
      </c>
      <c r="F987" s="388">
        <v>161.0</v>
      </c>
      <c r="G987" s="87"/>
      <c r="H987" s="1"/>
      <c r="I987" s="1"/>
      <c r="J987" s="1"/>
      <c r="K987" s="1"/>
      <c r="L987" s="1"/>
      <c r="M987" s="1"/>
      <c r="N987" s="1"/>
      <c r="O987" s="1"/>
      <c r="P987" s="1"/>
      <c r="Q987" s="1"/>
      <c r="R987" s="1"/>
      <c r="S987" s="1"/>
      <c r="T987" s="1"/>
      <c r="U987" s="1"/>
      <c r="V987" s="1"/>
      <c r="W987" s="1"/>
      <c r="X987" s="1"/>
      <c r="Y987" s="1"/>
      <c r="Z987" s="1"/>
    </row>
    <row r="988" ht="10.5" customHeight="1">
      <c r="A988" s="1"/>
      <c r="B988" s="129"/>
      <c r="C988" s="284"/>
      <c r="D988" s="87"/>
      <c r="E988" s="90"/>
      <c r="F988" s="388"/>
      <c r="G988" s="87"/>
      <c r="H988" s="1"/>
      <c r="I988" s="1"/>
      <c r="J988" s="1"/>
      <c r="K988" s="1"/>
      <c r="L988" s="1"/>
      <c r="M988" s="1"/>
      <c r="N988" s="1"/>
      <c r="O988" s="1"/>
      <c r="P988" s="1"/>
      <c r="Q988" s="1"/>
      <c r="R988" s="1"/>
      <c r="S988" s="1"/>
      <c r="T988" s="1"/>
      <c r="U988" s="1"/>
      <c r="V988" s="1"/>
      <c r="W988" s="1"/>
      <c r="X988" s="1"/>
      <c r="Y988" s="1"/>
      <c r="Z988" s="1"/>
    </row>
    <row r="989" ht="10.5" customHeight="1">
      <c r="A989" s="1"/>
      <c r="B989" s="129" t="s">
        <v>108</v>
      </c>
      <c r="C989" s="284">
        <v>62.7</v>
      </c>
      <c r="D989" s="87"/>
      <c r="E989" s="90" t="s">
        <v>108</v>
      </c>
      <c r="F989" s="388">
        <v>186.0</v>
      </c>
      <c r="G989" s="87"/>
      <c r="H989" s="1"/>
      <c r="I989" s="1"/>
      <c r="J989" s="1"/>
      <c r="K989" s="1"/>
      <c r="L989" s="1"/>
      <c r="M989" s="1"/>
      <c r="N989" s="1"/>
      <c r="O989" s="1"/>
      <c r="P989" s="1"/>
      <c r="Q989" s="1"/>
      <c r="R989" s="1"/>
      <c r="S989" s="1"/>
      <c r="T989" s="1"/>
      <c r="U989" s="1"/>
      <c r="V989" s="1"/>
      <c r="W989" s="1"/>
      <c r="X989" s="1"/>
      <c r="Y989" s="1"/>
      <c r="Z989" s="1"/>
    </row>
    <row r="990" ht="10.5" customHeight="1">
      <c r="A990" s="1"/>
      <c r="B990" s="129" t="s">
        <v>111</v>
      </c>
      <c r="C990" s="284">
        <v>67.4</v>
      </c>
      <c r="D990" s="87"/>
      <c r="E990" s="90" t="s">
        <v>111</v>
      </c>
      <c r="F990" s="388">
        <v>218.49</v>
      </c>
      <c r="G990" s="87"/>
      <c r="H990" s="1"/>
      <c r="I990" s="1"/>
      <c r="J990" s="1"/>
      <c r="K990" s="1"/>
      <c r="L990" s="1"/>
      <c r="M990" s="1"/>
      <c r="N990" s="1"/>
      <c r="O990" s="1"/>
      <c r="P990" s="1"/>
      <c r="Q990" s="1"/>
      <c r="R990" s="1"/>
      <c r="S990" s="1"/>
      <c r="T990" s="1"/>
      <c r="U990" s="1"/>
      <c r="V990" s="1"/>
      <c r="W990" s="1"/>
      <c r="X990" s="1"/>
      <c r="Y990" s="1"/>
      <c r="Z990" s="1"/>
    </row>
    <row r="991" ht="10.5" customHeight="1">
      <c r="A991" s="1"/>
      <c r="B991" s="129" t="s">
        <v>112</v>
      </c>
      <c r="C991" s="284">
        <v>78.4</v>
      </c>
      <c r="D991" s="87"/>
      <c r="E991" s="90" t="s">
        <v>112</v>
      </c>
      <c r="F991" s="388">
        <v>221.9</v>
      </c>
      <c r="G991" s="87"/>
      <c r="H991" s="1"/>
      <c r="I991" s="1"/>
      <c r="J991" s="1"/>
      <c r="K991" s="1"/>
      <c r="L991" s="1"/>
      <c r="M991" s="1"/>
      <c r="N991" s="1"/>
      <c r="O991" s="1"/>
      <c r="P991" s="1"/>
      <c r="Q991" s="1"/>
      <c r="R991" s="1"/>
      <c r="S991" s="1"/>
      <c r="T991" s="1"/>
      <c r="U991" s="1"/>
      <c r="V991" s="1"/>
      <c r="W991" s="1"/>
      <c r="X991" s="1"/>
      <c r="Y991" s="1"/>
      <c r="Z991" s="1"/>
    </row>
    <row r="992" ht="10.5" customHeight="1">
      <c r="A992" s="1"/>
      <c r="B992" s="129" t="s">
        <v>113</v>
      </c>
      <c r="C992" s="284">
        <v>81.3</v>
      </c>
      <c r="D992" s="87"/>
      <c r="E992" s="90" t="s">
        <v>113</v>
      </c>
      <c r="F992" s="388">
        <v>324.54</v>
      </c>
      <c r="G992" s="87"/>
      <c r="H992" s="1"/>
      <c r="I992" s="1"/>
      <c r="J992" s="1"/>
      <c r="K992" s="1"/>
      <c r="L992" s="1"/>
      <c r="M992" s="1"/>
      <c r="N992" s="1"/>
      <c r="O992" s="1"/>
      <c r="P992" s="1"/>
      <c r="Q992" s="1"/>
      <c r="R992" s="1"/>
      <c r="S992" s="1"/>
      <c r="T992" s="1"/>
      <c r="U992" s="1"/>
      <c r="V992" s="1"/>
      <c r="W992" s="1"/>
      <c r="X992" s="1"/>
      <c r="Y992" s="1"/>
      <c r="Z992" s="1"/>
    </row>
    <row r="993" ht="10.5" customHeight="1">
      <c r="A993" s="1"/>
      <c r="B993" s="129" t="s">
        <v>114</v>
      </c>
      <c r="C993" s="284">
        <v>88.2</v>
      </c>
      <c r="D993" s="87"/>
      <c r="E993" s="90" t="s">
        <v>114</v>
      </c>
      <c r="F993" s="388">
        <v>365.49</v>
      </c>
      <c r="G993" s="87"/>
      <c r="H993" s="1"/>
      <c r="I993" s="1"/>
      <c r="J993" s="1"/>
      <c r="K993" s="1"/>
      <c r="L993" s="1"/>
      <c r="M993" s="1"/>
      <c r="N993" s="1"/>
      <c r="O993" s="1"/>
      <c r="P993" s="1"/>
      <c r="Q993" s="1"/>
      <c r="R993" s="1"/>
      <c r="S993" s="1"/>
      <c r="T993" s="1"/>
      <c r="U993" s="1"/>
      <c r="V993" s="1"/>
      <c r="W993" s="1"/>
      <c r="X993" s="1"/>
      <c r="Y993" s="1"/>
      <c r="Z993" s="1"/>
    </row>
    <row r="994" ht="10.5" customHeight="1">
      <c r="A994" s="1"/>
      <c r="B994" s="129"/>
      <c r="C994" s="284"/>
      <c r="D994" s="87"/>
      <c r="E994" s="90"/>
      <c r="F994" s="388"/>
      <c r="G994" s="87"/>
      <c r="H994" s="1"/>
      <c r="I994" s="1"/>
      <c r="J994" s="1"/>
      <c r="K994" s="1"/>
      <c r="L994" s="1"/>
      <c r="M994" s="1"/>
      <c r="N994" s="1"/>
      <c r="O994" s="1"/>
      <c r="P994" s="1"/>
      <c r="Q994" s="1"/>
      <c r="R994" s="1"/>
      <c r="S994" s="1"/>
      <c r="T994" s="1"/>
      <c r="U994" s="1"/>
      <c r="V994" s="1"/>
      <c r="W994" s="1"/>
      <c r="X994" s="1"/>
      <c r="Y994" s="1"/>
      <c r="Z994" s="1"/>
    </row>
    <row r="995" ht="10.5" customHeight="1">
      <c r="A995" s="1"/>
      <c r="B995" s="129" t="s">
        <v>115</v>
      </c>
      <c r="C995" s="284">
        <v>92.1</v>
      </c>
      <c r="D995" s="87"/>
      <c r="E995" s="90" t="s">
        <v>115</v>
      </c>
      <c r="F995" s="388">
        <v>326.37</v>
      </c>
      <c r="G995" s="87"/>
      <c r="H995" s="1"/>
      <c r="I995" s="1"/>
      <c r="J995" s="1"/>
      <c r="K995" s="1"/>
      <c r="L995" s="1"/>
      <c r="M995" s="1"/>
      <c r="N995" s="1"/>
      <c r="O995" s="1"/>
      <c r="P995" s="1"/>
      <c r="Q995" s="1"/>
      <c r="R995" s="1"/>
      <c r="S995" s="1"/>
      <c r="T995" s="1"/>
      <c r="U995" s="1"/>
      <c r="V995" s="1"/>
      <c r="W995" s="1"/>
      <c r="X995" s="1"/>
      <c r="Y995" s="1"/>
      <c r="Z995" s="1"/>
    </row>
    <row r="996" ht="10.5" customHeight="1">
      <c r="A996" s="1"/>
      <c r="B996" s="129" t="s">
        <v>117</v>
      </c>
      <c r="C996" s="284">
        <v>103.5</v>
      </c>
      <c r="D996" s="87"/>
      <c r="E996" s="90" t="s">
        <v>117</v>
      </c>
      <c r="F996" s="388">
        <v>375.09</v>
      </c>
      <c r="G996" s="87"/>
      <c r="H996" s="1"/>
      <c r="I996" s="1"/>
      <c r="J996" s="1"/>
      <c r="K996" s="1"/>
      <c r="L996" s="1"/>
      <c r="M996" s="1"/>
      <c r="N996" s="1"/>
      <c r="O996" s="1"/>
      <c r="P996" s="1"/>
      <c r="Q996" s="1"/>
      <c r="R996" s="1"/>
      <c r="S996" s="1"/>
      <c r="T996" s="1"/>
      <c r="U996" s="1"/>
      <c r="V996" s="1"/>
      <c r="W996" s="1"/>
      <c r="X996" s="1"/>
      <c r="Y996" s="1"/>
      <c r="Z996" s="1"/>
    </row>
    <row r="997" ht="10.5" customHeight="1">
      <c r="A997" s="1"/>
      <c r="B997" s="129" t="s">
        <v>121</v>
      </c>
      <c r="C997" s="284">
        <v>130.0</v>
      </c>
      <c r="D997" s="87"/>
      <c r="E997" s="90" t="s">
        <v>121</v>
      </c>
      <c r="F997" s="388">
        <v>382.35</v>
      </c>
      <c r="G997" s="87"/>
      <c r="H997" s="1"/>
      <c r="I997" s="1"/>
      <c r="J997" s="1"/>
      <c r="K997" s="1"/>
      <c r="L997" s="1"/>
      <c r="M997" s="1"/>
      <c r="N997" s="1"/>
      <c r="O997" s="1"/>
      <c r="P997" s="1"/>
      <c r="Q997" s="1"/>
      <c r="R997" s="1"/>
      <c r="S997" s="1"/>
      <c r="T997" s="1"/>
      <c r="U997" s="1"/>
      <c r="V997" s="1"/>
      <c r="W997" s="1"/>
      <c r="X997" s="1"/>
      <c r="Y997" s="1"/>
      <c r="Z997" s="1"/>
    </row>
    <row r="998" ht="10.5" customHeight="1">
      <c r="A998" s="1"/>
      <c r="B998" s="129" t="s">
        <v>122</v>
      </c>
      <c r="C998" s="284">
        <v>117.6</v>
      </c>
      <c r="D998" s="87"/>
      <c r="E998" s="90" t="s">
        <v>122</v>
      </c>
      <c r="F998" s="388">
        <v>356.79</v>
      </c>
      <c r="G998" s="87"/>
      <c r="H998" s="1"/>
      <c r="I998" s="1"/>
      <c r="J998" s="1"/>
      <c r="K998" s="1"/>
      <c r="L998" s="1"/>
      <c r="M998" s="1"/>
      <c r="N998" s="1"/>
      <c r="O998" s="1"/>
      <c r="P998" s="1"/>
      <c r="Q998" s="1"/>
      <c r="R998" s="1"/>
      <c r="S998" s="1"/>
      <c r="T998" s="1"/>
      <c r="U998" s="1"/>
      <c r="V998" s="1"/>
      <c r="W998" s="1"/>
      <c r="X998" s="1"/>
      <c r="Y998" s="1"/>
      <c r="Z998" s="1"/>
    </row>
    <row r="999" ht="10.5" customHeight="1">
      <c r="A999" s="1"/>
      <c r="B999" s="129" t="s">
        <v>123</v>
      </c>
      <c r="C999" s="284">
        <v>116.1</v>
      </c>
      <c r="D999" s="87"/>
      <c r="E999" s="90" t="s">
        <v>123</v>
      </c>
      <c r="F999" s="388">
        <v>357.0</v>
      </c>
      <c r="G999" s="87"/>
      <c r="H999" s="1"/>
      <c r="I999" s="1"/>
      <c r="J999" s="1"/>
      <c r="K999" s="1"/>
      <c r="L999" s="1"/>
      <c r="M999" s="1"/>
      <c r="N999" s="1"/>
      <c r="O999" s="1"/>
      <c r="P999" s="1"/>
      <c r="Q999" s="1"/>
      <c r="R999" s="1"/>
      <c r="S999" s="1"/>
      <c r="T999" s="1"/>
      <c r="U999" s="1"/>
      <c r="V999" s="1"/>
      <c r="W999" s="1"/>
      <c r="X999" s="1"/>
      <c r="Y999" s="1"/>
      <c r="Z999" s="1"/>
    </row>
    <row r="1000" ht="10.5" customHeight="1">
      <c r="A1000" s="1"/>
      <c r="B1000" s="129"/>
      <c r="C1000" s="284"/>
      <c r="D1000" s="87"/>
      <c r="E1000" s="90"/>
      <c r="F1000" s="388"/>
      <c r="G1000" s="87"/>
      <c r="H1000" s="1"/>
      <c r="I1000" s="1"/>
      <c r="J1000" s="1"/>
      <c r="K1000" s="1"/>
      <c r="L1000" s="1"/>
      <c r="M1000" s="1"/>
      <c r="N1000" s="1"/>
      <c r="O1000" s="1"/>
      <c r="P1000" s="1"/>
      <c r="Q1000" s="1"/>
      <c r="R1000" s="1"/>
      <c r="S1000" s="1"/>
      <c r="T1000" s="1"/>
      <c r="U1000" s="1"/>
      <c r="V1000" s="1"/>
      <c r="W1000" s="1"/>
      <c r="X1000" s="1"/>
      <c r="Y1000" s="1"/>
      <c r="Z1000" s="1"/>
    </row>
    <row r="1001" ht="10.5" customHeight="1">
      <c r="A1001" s="1"/>
      <c r="B1001" s="129" t="s">
        <v>125</v>
      </c>
      <c r="C1001" s="284">
        <v>132.9</v>
      </c>
      <c r="D1001" s="87"/>
      <c r="E1001" s="890" t="s">
        <v>125</v>
      </c>
      <c r="F1001" s="388">
        <v>398.25</v>
      </c>
      <c r="G1001" s="87"/>
      <c r="H1001" s="1"/>
      <c r="I1001" s="1"/>
      <c r="J1001" s="1"/>
      <c r="K1001" s="1"/>
      <c r="L1001" s="1"/>
      <c r="M1001" s="1"/>
      <c r="N1001" s="1"/>
      <c r="O1001" s="1"/>
      <c r="P1001" s="1"/>
      <c r="Q1001" s="1"/>
      <c r="R1001" s="1"/>
      <c r="S1001" s="1"/>
      <c r="T1001" s="1"/>
      <c r="U1001" s="1"/>
      <c r="V1001" s="1"/>
      <c r="W1001" s="1"/>
      <c r="X1001" s="1"/>
      <c r="Y1001" s="1"/>
      <c r="Z1001" s="1"/>
    </row>
    <row r="1002" ht="10.5" customHeight="1">
      <c r="A1002" s="1"/>
      <c r="B1002" s="238" t="s">
        <v>127</v>
      </c>
      <c r="C1002" s="284">
        <v>149.8</v>
      </c>
      <c r="D1002" s="87"/>
      <c r="E1002" s="437" t="s">
        <v>127</v>
      </c>
      <c r="F1002" s="388">
        <v>439.33</v>
      </c>
      <c r="G1002" s="87"/>
      <c r="H1002" s="1"/>
      <c r="I1002" s="1"/>
      <c r="J1002" s="1"/>
      <c r="K1002" s="1"/>
      <c r="L1002" s="1"/>
      <c r="M1002" s="1"/>
      <c r="N1002" s="1"/>
      <c r="O1002" s="1"/>
      <c r="P1002" s="1"/>
      <c r="Q1002" s="1"/>
      <c r="R1002" s="1"/>
      <c r="S1002" s="1"/>
      <c r="T1002" s="1"/>
      <c r="U1002" s="1"/>
      <c r="V1002" s="1"/>
      <c r="W1002" s="1"/>
      <c r="X1002" s="1"/>
      <c r="Y1002" s="1"/>
      <c r="Z1002" s="1"/>
    </row>
    <row r="1003" ht="10.5" customHeight="1">
      <c r="A1003" s="1"/>
      <c r="B1003" s="238" t="s">
        <v>128</v>
      </c>
      <c r="C1003" s="284">
        <v>183.5</v>
      </c>
      <c r="D1003" s="87"/>
      <c r="E1003" s="238" t="s">
        <v>128</v>
      </c>
      <c r="F1003" s="388">
        <v>529.67</v>
      </c>
      <c r="G1003" s="87"/>
      <c r="H1003" s="1"/>
      <c r="I1003" s="1"/>
      <c r="J1003" s="1"/>
      <c r="K1003" s="1"/>
      <c r="L1003" s="1"/>
      <c r="M1003" s="1"/>
      <c r="N1003" s="1"/>
      <c r="O1003" s="1"/>
      <c r="P1003" s="1"/>
      <c r="Q1003" s="1"/>
      <c r="R1003" s="1"/>
      <c r="S1003" s="1"/>
      <c r="T1003" s="1"/>
      <c r="U1003" s="1"/>
      <c r="V1003" s="1"/>
      <c r="W1003" s="1"/>
      <c r="X1003" s="1"/>
      <c r="Y1003" s="1"/>
      <c r="Z1003" s="1"/>
    </row>
    <row r="1004" ht="10.5" customHeight="1">
      <c r="A1004" s="1"/>
      <c r="B1004" s="238" t="s">
        <v>129</v>
      </c>
      <c r="C1004" s="284">
        <v>199.6</v>
      </c>
      <c r="D1004" s="87"/>
      <c r="E1004" s="238" t="s">
        <v>129</v>
      </c>
      <c r="F1004" s="388">
        <v>562.58</v>
      </c>
      <c r="G1004" s="87"/>
      <c r="H1004" s="1"/>
      <c r="I1004" s="1"/>
      <c r="J1004" s="1"/>
      <c r="K1004" s="1"/>
      <c r="L1004" s="1"/>
      <c r="M1004" s="1"/>
      <c r="N1004" s="1"/>
      <c r="O1004" s="1"/>
      <c r="P1004" s="1"/>
      <c r="Q1004" s="1"/>
      <c r="R1004" s="1"/>
      <c r="S1004" s="1"/>
      <c r="T1004" s="1"/>
      <c r="U1004" s="1"/>
      <c r="V1004" s="1"/>
      <c r="W1004" s="1"/>
      <c r="X1004" s="1"/>
      <c r="Y1004" s="1"/>
      <c r="Z1004" s="1"/>
    </row>
    <row r="1005" ht="10.5" customHeight="1">
      <c r="A1005" s="1"/>
      <c r="B1005" s="238" t="s">
        <v>130</v>
      </c>
      <c r="C1005" s="284">
        <v>194.9</v>
      </c>
      <c r="D1005" s="87"/>
      <c r="E1005" s="238" t="s">
        <v>130</v>
      </c>
      <c r="F1005" s="388">
        <v>572.95</v>
      </c>
      <c r="G1005" s="87"/>
      <c r="H1005" s="1"/>
      <c r="I1005" s="1"/>
      <c r="J1005" s="1"/>
      <c r="K1005" s="1"/>
      <c r="L1005" s="1"/>
      <c r="M1005" s="1"/>
      <c r="N1005" s="1"/>
      <c r="O1005" s="1"/>
      <c r="P1005" s="1"/>
      <c r="Q1005" s="1"/>
      <c r="R1005" s="1"/>
      <c r="S1005" s="1"/>
      <c r="T1005" s="1"/>
      <c r="U1005" s="1"/>
      <c r="V1005" s="1"/>
      <c r="W1005" s="1"/>
      <c r="X1005" s="1"/>
      <c r="Y1005" s="1"/>
      <c r="Z1005" s="1"/>
    </row>
    <row r="1006" ht="10.5" customHeight="1">
      <c r="A1006" s="1"/>
      <c r="B1006" s="238"/>
      <c r="C1006" s="284"/>
      <c r="D1006" s="87"/>
      <c r="E1006" s="238"/>
      <c r="F1006" s="388"/>
      <c r="G1006" s="87"/>
      <c r="H1006" s="1"/>
      <c r="I1006" s="1"/>
      <c r="J1006" s="1"/>
      <c r="K1006" s="1"/>
      <c r="L1006" s="1"/>
      <c r="M1006" s="1"/>
      <c r="N1006" s="1"/>
      <c r="O1006" s="1"/>
      <c r="P1006" s="1"/>
      <c r="Q1006" s="1"/>
      <c r="R1006" s="1"/>
      <c r="S1006" s="1"/>
      <c r="T1006" s="1"/>
      <c r="U1006" s="1"/>
      <c r="V1006" s="1"/>
      <c r="W1006" s="1"/>
      <c r="X1006" s="1"/>
      <c r="Y1006" s="1"/>
      <c r="Z1006" s="1"/>
    </row>
    <row r="1007" ht="10.5" customHeight="1">
      <c r="A1007" s="1"/>
      <c r="B1007" s="238" t="s">
        <v>131</v>
      </c>
      <c r="C1007" s="284">
        <v>182.0</v>
      </c>
      <c r="D1007" s="87"/>
      <c r="E1007" s="238" t="s">
        <v>131</v>
      </c>
      <c r="F1007" s="388">
        <v>599.9</v>
      </c>
      <c r="G1007" s="87"/>
      <c r="H1007" s="1"/>
      <c r="I1007" s="1"/>
      <c r="J1007" s="1"/>
      <c r="K1007" s="1"/>
      <c r="L1007" s="1"/>
      <c r="M1007" s="1"/>
      <c r="N1007" s="1"/>
      <c r="O1007" s="1"/>
      <c r="P1007" s="1"/>
      <c r="Q1007" s="1"/>
      <c r="R1007" s="1"/>
      <c r="S1007" s="1"/>
      <c r="T1007" s="1"/>
      <c r="U1007" s="1"/>
      <c r="V1007" s="1"/>
      <c r="W1007" s="1"/>
      <c r="X1007" s="1"/>
      <c r="Y1007" s="1"/>
      <c r="Z1007" s="1"/>
    </row>
    <row r="1008" ht="10.5" customHeight="1">
      <c r="A1008" s="1"/>
      <c r="B1008" s="238" t="s">
        <v>133</v>
      </c>
      <c r="C1008" s="284">
        <v>193.9</v>
      </c>
      <c r="D1008" s="87"/>
      <c r="E1008" s="238" t="s">
        <v>133</v>
      </c>
      <c r="F1008" s="388">
        <v>669.53</v>
      </c>
      <c r="G1008" s="87"/>
      <c r="H1008" s="1"/>
      <c r="I1008" s="1"/>
      <c r="J1008" s="1"/>
      <c r="K1008" s="1"/>
      <c r="L1008" s="1"/>
      <c r="M1008" s="1"/>
      <c r="N1008" s="1"/>
      <c r="O1008" s="1"/>
      <c r="P1008" s="1"/>
      <c r="Q1008" s="1"/>
      <c r="R1008" s="1"/>
      <c r="S1008" s="1"/>
      <c r="T1008" s="1"/>
      <c r="U1008" s="1"/>
      <c r="V1008" s="1"/>
      <c r="W1008" s="1"/>
      <c r="X1008" s="1"/>
      <c r="Y1008" s="1"/>
      <c r="Z1008" s="1"/>
    </row>
    <row r="1009" ht="10.5" customHeight="1">
      <c r="A1009" s="1"/>
      <c r="B1009" s="238" t="s">
        <v>134</v>
      </c>
      <c r="C1009" s="284">
        <v>273.5</v>
      </c>
      <c r="D1009" s="87"/>
      <c r="E1009" s="238" t="s">
        <v>134</v>
      </c>
      <c r="F1009" s="388">
        <v>749.9</v>
      </c>
      <c r="G1009" s="87"/>
      <c r="H1009" s="1"/>
      <c r="I1009" s="1"/>
      <c r="J1009" s="1"/>
      <c r="K1009" s="1"/>
      <c r="L1009" s="1"/>
      <c r="M1009" s="1"/>
      <c r="N1009" s="1"/>
      <c r="O1009" s="1"/>
      <c r="P1009" s="1"/>
      <c r="Q1009" s="1"/>
      <c r="R1009" s="1"/>
      <c r="S1009" s="1"/>
      <c r="T1009" s="1"/>
      <c r="U1009" s="1"/>
      <c r="V1009" s="1"/>
      <c r="W1009" s="1"/>
      <c r="X1009" s="1"/>
      <c r="Y1009" s="1"/>
      <c r="Z1009" s="1"/>
    </row>
    <row r="1010" ht="10.5" customHeight="1">
      <c r="A1010" s="1"/>
      <c r="B1010" s="293">
        <v>39692.0</v>
      </c>
      <c r="C1010" s="284">
        <v>303.1</v>
      </c>
      <c r="D1010" s="87"/>
      <c r="E1010" s="293">
        <v>39692.0</v>
      </c>
      <c r="F1010" s="388">
        <v>883.23</v>
      </c>
      <c r="G1010" s="87"/>
      <c r="H1010" s="1"/>
      <c r="I1010" s="1"/>
      <c r="J1010" s="1"/>
      <c r="K1010" s="1"/>
      <c r="L1010" s="1"/>
      <c r="M1010" s="1"/>
      <c r="N1010" s="1"/>
      <c r="O1010" s="1"/>
      <c r="P1010" s="1"/>
      <c r="Q1010" s="1"/>
      <c r="R1010" s="1"/>
      <c r="S1010" s="1"/>
      <c r="T1010" s="1"/>
      <c r="U1010" s="1"/>
      <c r="V1010" s="1"/>
      <c r="W1010" s="1"/>
      <c r="X1010" s="1"/>
      <c r="Y1010" s="1"/>
      <c r="Z1010" s="1"/>
    </row>
    <row r="1011" ht="10.5" customHeight="1">
      <c r="A1011" s="1"/>
      <c r="B1011" s="293">
        <v>40087.0</v>
      </c>
      <c r="C1011" s="284">
        <v>305.2</v>
      </c>
      <c r="D1011" s="87"/>
      <c r="E1011" s="293">
        <v>40087.0</v>
      </c>
      <c r="F1011" s="388">
        <v>935.8</v>
      </c>
      <c r="G1011" s="87"/>
      <c r="H1011" s="1"/>
      <c r="I1011" s="1"/>
      <c r="J1011" s="1"/>
      <c r="K1011" s="1"/>
      <c r="L1011" s="1"/>
      <c r="M1011" s="1"/>
      <c r="N1011" s="1"/>
      <c r="O1011" s="1"/>
      <c r="P1011" s="1"/>
      <c r="Q1011" s="1"/>
      <c r="R1011" s="1"/>
      <c r="S1011" s="1"/>
      <c r="T1011" s="1"/>
      <c r="U1011" s="1"/>
      <c r="V1011" s="1"/>
      <c r="W1011" s="1"/>
      <c r="X1011" s="1"/>
      <c r="Y1011" s="1"/>
      <c r="Z1011" s="1"/>
    </row>
    <row r="1012" ht="10.5" customHeight="1">
      <c r="A1012" s="1"/>
      <c r="B1012" s="293"/>
      <c r="C1012" s="284"/>
      <c r="D1012" s="87"/>
      <c r="E1012" s="293"/>
      <c r="F1012" s="388"/>
      <c r="G1012" s="87"/>
      <c r="H1012" s="1"/>
      <c r="I1012" s="1"/>
      <c r="J1012" s="1"/>
      <c r="K1012" s="1"/>
      <c r="L1012" s="1"/>
      <c r="M1012" s="1"/>
      <c r="N1012" s="1"/>
      <c r="O1012" s="1"/>
      <c r="P1012" s="1"/>
      <c r="Q1012" s="1"/>
      <c r="R1012" s="1"/>
      <c r="S1012" s="1"/>
      <c r="T1012" s="1"/>
      <c r="U1012" s="1"/>
      <c r="V1012" s="1"/>
      <c r="W1012" s="1"/>
      <c r="X1012" s="1"/>
      <c r="Y1012" s="1"/>
      <c r="Z1012" s="1"/>
    </row>
    <row r="1013" ht="10.5" customHeight="1">
      <c r="A1013" s="1"/>
      <c r="B1013" s="11" t="s">
        <v>139</v>
      </c>
      <c r="C1013" s="284">
        <v>294.0</v>
      </c>
      <c r="D1013" s="87"/>
      <c r="E1013" s="11" t="s">
        <v>139</v>
      </c>
      <c r="F1013" s="388">
        <v>896.97</v>
      </c>
      <c r="G1013" s="87"/>
      <c r="H1013" s="1"/>
      <c r="I1013" s="1"/>
      <c r="J1013" s="1"/>
      <c r="K1013" s="1"/>
      <c r="L1013" s="1"/>
      <c r="M1013" s="1"/>
      <c r="N1013" s="1"/>
      <c r="O1013" s="1"/>
      <c r="P1013" s="1"/>
      <c r="Q1013" s="1"/>
      <c r="R1013" s="1"/>
      <c r="S1013" s="1"/>
      <c r="T1013" s="1"/>
      <c r="U1013" s="1"/>
      <c r="V1013" s="1"/>
      <c r="W1013" s="1"/>
      <c r="X1013" s="1"/>
      <c r="Y1013" s="1"/>
      <c r="Z1013" s="1"/>
    </row>
    <row r="1014" ht="10.5" customHeight="1">
      <c r="A1014" s="1"/>
      <c r="B1014" s="11" t="s">
        <v>143</v>
      </c>
      <c r="C1014" s="284">
        <v>299.2</v>
      </c>
      <c r="D1014" s="87"/>
      <c r="E1014" s="11" t="s">
        <v>143</v>
      </c>
      <c r="F1014" s="388">
        <v>924.1</v>
      </c>
      <c r="G1014" s="87"/>
      <c r="H1014" s="1"/>
      <c r="I1014" s="1"/>
      <c r="J1014" s="1"/>
      <c r="K1014" s="1"/>
      <c r="L1014" s="1"/>
      <c r="M1014" s="1"/>
      <c r="N1014" s="1"/>
      <c r="O1014" s="1"/>
      <c r="P1014" s="1"/>
      <c r="Q1014" s="1"/>
      <c r="R1014" s="1"/>
      <c r="S1014" s="1"/>
      <c r="T1014" s="1"/>
      <c r="U1014" s="1"/>
      <c r="V1014" s="1"/>
      <c r="W1014" s="1"/>
      <c r="X1014" s="1"/>
      <c r="Y1014" s="1"/>
      <c r="Z1014" s="1"/>
    </row>
    <row r="1015" ht="10.5" customHeight="1">
      <c r="A1015" s="1"/>
      <c r="B1015" s="11" t="s">
        <v>149</v>
      </c>
      <c r="C1015" s="284">
        <v>348.5</v>
      </c>
      <c r="D1015" s="87"/>
      <c r="E1015" s="11" t="s">
        <v>149</v>
      </c>
      <c r="F1015" s="388">
        <v>994.6</v>
      </c>
      <c r="G1015" s="87"/>
      <c r="H1015" s="1"/>
      <c r="I1015" s="1"/>
      <c r="J1015" s="1"/>
      <c r="K1015" s="1"/>
      <c r="L1015" s="1"/>
      <c r="M1015" s="1"/>
      <c r="N1015" s="1"/>
      <c r="O1015" s="1"/>
      <c r="P1015" s="1"/>
      <c r="Q1015" s="1"/>
      <c r="R1015" s="1"/>
      <c r="S1015" s="1"/>
      <c r="T1015" s="1"/>
      <c r="U1015" s="1"/>
      <c r="V1015" s="1"/>
      <c r="W1015" s="1"/>
      <c r="X1015" s="1"/>
      <c r="Y1015" s="1"/>
      <c r="Z1015" s="1"/>
    </row>
    <row r="1016" ht="10.5" customHeight="1">
      <c r="A1016" s="1"/>
      <c r="B1016" s="11" t="s">
        <v>151</v>
      </c>
      <c r="C1016" s="284">
        <v>382.0</v>
      </c>
      <c r="D1016" s="87"/>
      <c r="E1016" s="11" t="s">
        <v>151</v>
      </c>
      <c r="F1016" s="388">
        <v>1072.1</v>
      </c>
      <c r="G1016" s="87"/>
      <c r="H1016" s="1"/>
      <c r="I1016" s="1"/>
      <c r="J1016" s="1"/>
      <c r="K1016" s="1"/>
      <c r="L1016" s="1"/>
      <c r="M1016" s="1"/>
      <c r="N1016" s="1"/>
      <c r="O1016" s="1"/>
      <c r="P1016" s="1"/>
      <c r="Q1016" s="1"/>
      <c r="R1016" s="1"/>
      <c r="S1016" s="1"/>
      <c r="T1016" s="1"/>
      <c r="U1016" s="1"/>
      <c r="V1016" s="1"/>
      <c r="W1016" s="1"/>
      <c r="X1016" s="1"/>
      <c r="Y1016" s="1"/>
      <c r="Z1016" s="1"/>
    </row>
    <row r="1017" ht="10.5" customHeight="1">
      <c r="A1017" s="1"/>
      <c r="B1017" s="11" t="s">
        <v>153</v>
      </c>
      <c r="C1017" s="284">
        <v>431.3</v>
      </c>
      <c r="D1017" s="87"/>
      <c r="E1017" s="11" t="s">
        <v>153</v>
      </c>
      <c r="F1017" s="388">
        <v>1135.8</v>
      </c>
      <c r="G1017" s="87"/>
      <c r="H1017" s="1"/>
      <c r="I1017" s="1"/>
      <c r="J1017" s="1"/>
      <c r="K1017" s="1"/>
      <c r="L1017" s="1"/>
      <c r="M1017" s="1"/>
      <c r="N1017" s="1"/>
      <c r="O1017" s="1"/>
      <c r="P1017" s="1"/>
      <c r="Q1017" s="1"/>
      <c r="R1017" s="1"/>
      <c r="S1017" s="1"/>
      <c r="T1017" s="1"/>
      <c r="U1017" s="1"/>
      <c r="V1017" s="1"/>
      <c r="W1017" s="1"/>
      <c r="X1017" s="1"/>
      <c r="Y1017" s="1"/>
      <c r="Z1017" s="1"/>
    </row>
    <row r="1018" ht="10.5" customHeight="1">
      <c r="A1018" s="1"/>
      <c r="B1018" s="11"/>
      <c r="C1018" s="284"/>
      <c r="D1018" s="815"/>
      <c r="E1018" s="11"/>
      <c r="F1018" s="388"/>
      <c r="G1018" s="815"/>
      <c r="H1018" s="1"/>
      <c r="I1018" s="1"/>
      <c r="J1018" s="1"/>
      <c r="K1018" s="1"/>
      <c r="L1018" s="1"/>
      <c r="M1018" s="1"/>
      <c r="N1018" s="1"/>
      <c r="O1018" s="1"/>
      <c r="P1018" s="1"/>
      <c r="Q1018" s="1"/>
      <c r="R1018" s="1"/>
      <c r="S1018" s="1"/>
      <c r="T1018" s="1"/>
      <c r="U1018" s="1"/>
      <c r="V1018" s="1"/>
      <c r="W1018" s="1"/>
      <c r="X1018" s="1"/>
      <c r="Y1018" s="1"/>
      <c r="Z1018" s="1"/>
    </row>
    <row r="1019" ht="10.5" customHeight="1">
      <c r="A1019" s="1"/>
      <c r="B1019" s="11" t="s">
        <v>155</v>
      </c>
      <c r="C1019" s="284">
        <v>412.8</v>
      </c>
      <c r="D1019" s="87"/>
      <c r="E1019" s="11" t="s">
        <v>155</v>
      </c>
      <c r="F1019" s="388">
        <v>1197.9</v>
      </c>
      <c r="G1019" s="87"/>
      <c r="H1019" s="1"/>
      <c r="I1019" s="1"/>
      <c r="J1019" s="1"/>
      <c r="K1019" s="1"/>
      <c r="L1019" s="1"/>
      <c r="M1019" s="1"/>
      <c r="N1019" s="1"/>
      <c r="O1019" s="1"/>
      <c r="P1019" s="1"/>
      <c r="Q1019" s="1"/>
      <c r="R1019" s="1"/>
      <c r="S1019" s="1"/>
      <c r="T1019" s="1"/>
      <c r="U1019" s="1"/>
      <c r="V1019" s="1"/>
      <c r="W1019" s="1"/>
      <c r="X1019" s="1"/>
      <c r="Y1019" s="1"/>
      <c r="Z1019" s="1"/>
    </row>
    <row r="1020" ht="10.5" customHeight="1">
      <c r="A1020" s="1"/>
      <c r="B1020" s="52" t="s">
        <v>160</v>
      </c>
      <c r="C1020" s="296">
        <v>462.7</v>
      </c>
      <c r="D1020" s="94"/>
      <c r="E1020" s="52" t="s">
        <v>160</v>
      </c>
      <c r="F1020" s="900">
        <v>1231.1</v>
      </c>
      <c r="G1020" s="94"/>
      <c r="H1020" s="1"/>
      <c r="I1020" s="1"/>
      <c r="J1020" s="1"/>
      <c r="K1020" s="1"/>
      <c r="L1020" s="1"/>
      <c r="M1020" s="1"/>
      <c r="N1020" s="1"/>
      <c r="O1020" s="1"/>
      <c r="P1020" s="1"/>
      <c r="Q1020" s="1"/>
      <c r="R1020" s="1"/>
      <c r="S1020" s="1"/>
      <c r="T1020" s="1"/>
      <c r="U1020" s="1"/>
      <c r="V1020" s="1"/>
      <c r="W1020" s="1"/>
      <c r="X1020" s="1"/>
      <c r="Y1020" s="1"/>
      <c r="Z1020" s="1"/>
    </row>
    <row r="1021" ht="6.0" customHeight="1">
      <c r="A1021" s="1"/>
      <c r="B1021" s="242"/>
      <c r="C1021" s="285"/>
      <c r="D1021" s="285"/>
      <c r="E1021" s="242"/>
      <c r="F1021" s="391"/>
      <c r="G1021" s="391"/>
      <c r="H1021" s="1"/>
      <c r="I1021" s="1"/>
      <c r="J1021" s="1"/>
      <c r="K1021" s="1"/>
      <c r="L1021" s="1"/>
      <c r="M1021" s="1"/>
      <c r="N1021" s="1"/>
      <c r="O1021" s="1"/>
      <c r="P1021" s="1"/>
      <c r="Q1021" s="1"/>
      <c r="R1021" s="1"/>
      <c r="S1021" s="1"/>
      <c r="T1021" s="1"/>
      <c r="U1021" s="1"/>
      <c r="V1021" s="1"/>
      <c r="W1021" s="1"/>
      <c r="X1021" s="1"/>
      <c r="Y1021" s="1"/>
      <c r="Z1021" s="1"/>
    </row>
    <row r="1022" ht="10.5" customHeight="1">
      <c r="A1022" s="1"/>
      <c r="B1022" s="185" t="s">
        <v>1526</v>
      </c>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0.5" customHeight="1">
      <c r="A1023" s="1"/>
      <c r="B1023" s="185" t="s">
        <v>1527</v>
      </c>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0.5" customHeight="1">
      <c r="A1024" s="1"/>
      <c r="B1024" s="185" t="s">
        <v>1528</v>
      </c>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0.5" customHeight="1">
      <c r="A1025" s="1"/>
      <c r="B1025" s="1"/>
      <c r="C1025" s="612"/>
      <c r="D1025" s="1"/>
      <c r="E1025" s="1"/>
      <c r="F1025" s="612"/>
      <c r="G1025" s="1"/>
      <c r="H1025" s="1"/>
      <c r="I1025" s="1"/>
      <c r="J1025" s="1"/>
      <c r="K1025" s="1"/>
      <c r="L1025" s="1"/>
      <c r="M1025" s="1"/>
      <c r="N1025" s="1"/>
      <c r="O1025" s="1"/>
      <c r="P1025" s="1"/>
      <c r="Q1025" s="1"/>
      <c r="R1025" s="1"/>
      <c r="S1025" s="1"/>
      <c r="T1025" s="1"/>
      <c r="U1025" s="1"/>
      <c r="V1025" s="1"/>
      <c r="W1025" s="1"/>
      <c r="X1025" s="1"/>
      <c r="Y1025" s="1"/>
      <c r="Z1025" s="1"/>
    </row>
    <row r="1026" ht="10.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0.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0.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0.5" customHeight="1">
      <c r="A1029" s="1"/>
      <c r="B1029" s="1"/>
      <c r="C1029" s="612"/>
      <c r="D1029" s="1"/>
      <c r="E1029" s="1"/>
      <c r="F1029" s="612"/>
      <c r="G1029" s="110">
        <v>72.0</v>
      </c>
      <c r="H1029" s="1"/>
      <c r="I1029" s="1"/>
      <c r="J1029" s="1"/>
      <c r="K1029" s="1"/>
      <c r="L1029" s="1"/>
      <c r="M1029" s="1"/>
      <c r="N1029" s="1"/>
      <c r="O1029" s="1"/>
      <c r="P1029" s="1"/>
      <c r="Q1029" s="1"/>
      <c r="R1029" s="1"/>
      <c r="S1029" s="1"/>
      <c r="T1029" s="1"/>
      <c r="U1029" s="1"/>
      <c r="V1029" s="1"/>
      <c r="W1029" s="1"/>
      <c r="X1029" s="1"/>
      <c r="Y1029" s="1"/>
      <c r="Z1029" s="1"/>
    </row>
    <row r="1030" ht="10.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1.25" customHeight="1">
      <c r="A1031" s="1"/>
      <c r="B1031" s="1" t="s">
        <v>1533</v>
      </c>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23.25" customHeight="1">
      <c r="A1032" s="1"/>
      <c r="B1032" s="189" t="s">
        <v>1534</v>
      </c>
      <c r="C1032" s="128" t="s">
        <v>1476</v>
      </c>
      <c r="D1032" s="10"/>
      <c r="E1032" s="128" t="s">
        <v>1477</v>
      </c>
      <c r="F1032" s="10"/>
      <c r="G1032" s="128" t="s">
        <v>1424</v>
      </c>
      <c r="H1032" s="10"/>
      <c r="I1032" s="448" t="s">
        <v>1508</v>
      </c>
      <c r="J1032" s="10"/>
      <c r="K1032" s="625"/>
      <c r="L1032" s="1"/>
      <c r="M1032" s="1"/>
      <c r="N1032" s="1"/>
      <c r="O1032" s="1"/>
      <c r="P1032" s="1"/>
      <c r="Q1032" s="1"/>
      <c r="R1032" s="1"/>
      <c r="S1032" s="1"/>
      <c r="T1032" s="1"/>
      <c r="U1032" s="1"/>
      <c r="V1032" s="1"/>
      <c r="W1032" s="1"/>
      <c r="X1032" s="1"/>
      <c r="Y1032" s="1"/>
      <c r="Z1032" s="1"/>
    </row>
    <row r="1033" ht="11.25" customHeight="1">
      <c r="A1033" s="1"/>
      <c r="B1033" s="5"/>
      <c r="C1033" s="7" t="s">
        <v>2</v>
      </c>
      <c r="D1033" s="7" t="s">
        <v>1040</v>
      </c>
      <c r="E1033" s="7" t="s">
        <v>2</v>
      </c>
      <c r="F1033" s="7" t="s">
        <v>1040</v>
      </c>
      <c r="G1033" s="7" t="s">
        <v>1540</v>
      </c>
      <c r="H1033" s="190" t="s">
        <v>1040</v>
      </c>
      <c r="I1033" s="7" t="s">
        <v>2</v>
      </c>
      <c r="J1033" s="7" t="s">
        <v>1040</v>
      </c>
      <c r="K1033" s="1"/>
      <c r="L1033" s="1"/>
      <c r="M1033" s="1"/>
      <c r="N1033" s="1"/>
      <c r="O1033" s="1"/>
      <c r="P1033" s="1"/>
      <c r="Q1033" s="1"/>
      <c r="R1033" s="1"/>
      <c r="S1033" s="1"/>
      <c r="T1033" s="1"/>
      <c r="U1033" s="1"/>
      <c r="V1033" s="1"/>
      <c r="W1033" s="1"/>
      <c r="X1033" s="1"/>
      <c r="Y1033" s="1"/>
      <c r="Z1033" s="1"/>
    </row>
    <row r="1034" ht="11.25" customHeight="1">
      <c r="A1034" s="1"/>
      <c r="B1034" s="6"/>
      <c r="C1034" s="7" t="s">
        <v>49</v>
      </c>
      <c r="D1034" s="7" t="s">
        <v>1400</v>
      </c>
      <c r="E1034" s="7" t="s">
        <v>49</v>
      </c>
      <c r="F1034" s="7" t="s">
        <v>1400</v>
      </c>
      <c r="G1034" s="7" t="s">
        <v>49</v>
      </c>
      <c r="H1034" s="7" t="s">
        <v>1400</v>
      </c>
      <c r="I1034" s="7" t="s">
        <v>49</v>
      </c>
      <c r="J1034" s="7" t="s">
        <v>1400</v>
      </c>
      <c r="K1034" s="1"/>
      <c r="L1034" s="1"/>
      <c r="M1034" s="1"/>
      <c r="N1034" s="1"/>
      <c r="O1034" s="1"/>
      <c r="P1034" s="1"/>
      <c r="Q1034" s="1"/>
      <c r="R1034" s="1"/>
      <c r="S1034" s="1"/>
      <c r="T1034" s="1"/>
      <c r="U1034" s="1"/>
      <c r="V1034" s="1"/>
      <c r="W1034" s="1"/>
      <c r="X1034" s="1"/>
      <c r="Y1034" s="1"/>
      <c r="Z1034" s="1"/>
    </row>
    <row r="1035" ht="10.5" customHeight="1">
      <c r="A1035" s="1"/>
      <c r="B1035" s="48" t="s">
        <v>264</v>
      </c>
      <c r="C1035" s="130">
        <v>56.0</v>
      </c>
      <c r="D1035" s="250">
        <v>2.4</v>
      </c>
      <c r="E1035" s="130">
        <v>26.0</v>
      </c>
      <c r="F1035" s="250">
        <v>1.1</v>
      </c>
      <c r="G1035" s="130">
        <v>610.0</v>
      </c>
      <c r="H1035" s="250">
        <v>25.8</v>
      </c>
      <c r="I1035" s="136">
        <v>992.0</v>
      </c>
      <c r="J1035" s="693">
        <v>42.7</v>
      </c>
      <c r="K1035" s="1"/>
      <c r="L1035" s="1"/>
      <c r="M1035" s="1"/>
      <c r="N1035" s="1"/>
      <c r="O1035" s="1"/>
      <c r="P1035" s="1"/>
      <c r="Q1035" s="1"/>
      <c r="R1035" s="1"/>
      <c r="S1035" s="1"/>
      <c r="T1035" s="1"/>
      <c r="U1035" s="1"/>
      <c r="V1035" s="1"/>
      <c r="W1035" s="1"/>
      <c r="X1035" s="1"/>
      <c r="Y1035" s="1"/>
      <c r="Z1035" s="1"/>
    </row>
    <row r="1036" ht="10.5" customHeight="1">
      <c r="A1036" s="1"/>
      <c r="B1036" s="48" t="s">
        <v>267</v>
      </c>
      <c r="C1036" s="130">
        <v>42.0</v>
      </c>
      <c r="D1036" s="250">
        <v>1.7</v>
      </c>
      <c r="E1036" s="130">
        <v>24.0</v>
      </c>
      <c r="F1036" s="250">
        <v>1.0</v>
      </c>
      <c r="G1036" s="130">
        <v>461.0</v>
      </c>
      <c r="H1036" s="250">
        <v>19.0</v>
      </c>
      <c r="I1036" s="136">
        <v>965.0</v>
      </c>
      <c r="J1036" s="693">
        <v>40.6</v>
      </c>
      <c r="K1036" s="1"/>
      <c r="L1036" s="1"/>
      <c r="M1036" s="1"/>
      <c r="N1036" s="1"/>
      <c r="O1036" s="1"/>
      <c r="P1036" s="1"/>
      <c r="Q1036" s="1"/>
      <c r="R1036" s="1"/>
      <c r="S1036" s="1"/>
      <c r="T1036" s="1"/>
      <c r="U1036" s="1"/>
      <c r="V1036" s="1"/>
      <c r="W1036" s="1"/>
      <c r="X1036" s="1"/>
      <c r="Y1036" s="1"/>
      <c r="Z1036" s="1"/>
    </row>
    <row r="1037" ht="10.5" customHeight="1">
      <c r="A1037" s="1"/>
      <c r="B1037" s="48" t="s">
        <v>268</v>
      </c>
      <c r="C1037" s="130">
        <v>38.0</v>
      </c>
      <c r="D1037" s="250">
        <v>1.5</v>
      </c>
      <c r="E1037" s="130">
        <v>25.0</v>
      </c>
      <c r="F1037" s="250">
        <v>1.0</v>
      </c>
      <c r="G1037" s="130">
        <v>486.0</v>
      </c>
      <c r="H1037" s="250">
        <v>19.6</v>
      </c>
      <c r="I1037" s="136">
        <v>1015.0</v>
      </c>
      <c r="J1037" s="693">
        <v>41.8</v>
      </c>
      <c r="K1037" s="1"/>
      <c r="L1037" s="1"/>
      <c r="M1037" s="1"/>
      <c r="N1037" s="1"/>
      <c r="O1037" s="1"/>
      <c r="P1037" s="1"/>
      <c r="Q1037" s="1"/>
      <c r="R1037" s="1"/>
      <c r="S1037" s="1"/>
      <c r="T1037" s="1"/>
      <c r="U1037" s="1"/>
      <c r="V1037" s="1"/>
      <c r="W1037" s="1"/>
      <c r="X1037" s="1"/>
      <c r="Y1037" s="1"/>
      <c r="Z1037" s="1"/>
    </row>
    <row r="1038" ht="10.5" customHeight="1">
      <c r="A1038" s="1"/>
      <c r="B1038" s="48" t="s">
        <v>269</v>
      </c>
      <c r="C1038" s="130">
        <v>33.0</v>
      </c>
      <c r="D1038" s="250">
        <v>1.3</v>
      </c>
      <c r="E1038" s="130">
        <v>27.0</v>
      </c>
      <c r="F1038" s="250">
        <v>1.1</v>
      </c>
      <c r="G1038" s="130">
        <v>564.0</v>
      </c>
      <c r="H1038" s="250">
        <v>22.3</v>
      </c>
      <c r="I1038" s="136">
        <v>1022.0</v>
      </c>
      <c r="J1038" s="693">
        <v>41.2</v>
      </c>
      <c r="K1038" s="1"/>
      <c r="L1038" s="1"/>
      <c r="M1038" s="1"/>
      <c r="N1038" s="1"/>
      <c r="O1038" s="1"/>
      <c r="P1038" s="1"/>
      <c r="Q1038" s="1"/>
      <c r="R1038" s="1"/>
      <c r="S1038" s="1"/>
      <c r="T1038" s="1"/>
      <c r="U1038" s="1"/>
      <c r="V1038" s="1"/>
      <c r="W1038" s="1"/>
      <c r="X1038" s="1"/>
      <c r="Y1038" s="1"/>
      <c r="Z1038" s="1"/>
    </row>
    <row r="1039" ht="10.5" customHeight="1">
      <c r="A1039" s="1"/>
      <c r="B1039" s="48" t="s">
        <v>270</v>
      </c>
      <c r="C1039" s="130">
        <v>21.0</v>
      </c>
      <c r="D1039" s="250">
        <v>0.8</v>
      </c>
      <c r="E1039" s="130">
        <v>28.0</v>
      </c>
      <c r="F1039" s="250">
        <v>1.1</v>
      </c>
      <c r="G1039" s="130">
        <v>454.0</v>
      </c>
      <c r="H1039" s="250">
        <v>17.5</v>
      </c>
      <c r="I1039" s="136">
        <v>1026.0</v>
      </c>
      <c r="J1039" s="693">
        <v>40.4</v>
      </c>
      <c r="K1039" s="1"/>
      <c r="L1039" s="1"/>
      <c r="M1039" s="1"/>
      <c r="N1039" s="1"/>
      <c r="O1039" s="1"/>
      <c r="P1039" s="1"/>
      <c r="Q1039" s="1"/>
      <c r="R1039" s="1"/>
      <c r="S1039" s="1"/>
      <c r="T1039" s="1"/>
      <c r="U1039" s="1"/>
      <c r="V1039" s="1"/>
      <c r="W1039" s="1"/>
      <c r="X1039" s="1"/>
      <c r="Y1039" s="1"/>
      <c r="Z1039" s="1"/>
    </row>
    <row r="1040" ht="10.5" customHeight="1">
      <c r="A1040" s="1"/>
      <c r="B1040" s="48"/>
      <c r="C1040" s="130"/>
      <c r="D1040" s="250"/>
      <c r="E1040" s="130"/>
      <c r="F1040" s="250"/>
      <c r="G1040" s="130"/>
      <c r="H1040" s="250"/>
      <c r="I1040" s="136"/>
      <c r="J1040" s="693"/>
      <c r="K1040" s="1"/>
      <c r="L1040" s="1"/>
      <c r="M1040" s="1"/>
      <c r="N1040" s="1"/>
      <c r="O1040" s="1"/>
      <c r="P1040" s="1"/>
      <c r="Q1040" s="1"/>
      <c r="R1040" s="1"/>
      <c r="S1040" s="1"/>
      <c r="T1040" s="1"/>
      <c r="U1040" s="1"/>
      <c r="V1040" s="1"/>
      <c r="W1040" s="1"/>
      <c r="X1040" s="1"/>
      <c r="Y1040" s="1"/>
      <c r="Z1040" s="1"/>
    </row>
    <row r="1041" ht="10.5" customHeight="1">
      <c r="A1041" s="1"/>
      <c r="B1041" s="48" t="s">
        <v>271</v>
      </c>
      <c r="C1041" s="130">
        <v>23.0</v>
      </c>
      <c r="D1041" s="250">
        <v>0.9</v>
      </c>
      <c r="E1041" s="130">
        <v>30.0</v>
      </c>
      <c r="F1041" s="250">
        <v>1.1</v>
      </c>
      <c r="G1041" s="130">
        <v>421.0</v>
      </c>
      <c r="H1041" s="250">
        <v>15.8</v>
      </c>
      <c r="I1041" s="136">
        <v>1096.0</v>
      </c>
      <c r="J1041" s="693">
        <v>42.2</v>
      </c>
      <c r="K1041" s="1"/>
      <c r="L1041" s="1"/>
      <c r="M1041" s="1"/>
      <c r="N1041" s="1"/>
      <c r="O1041" s="1"/>
      <c r="P1041" s="1"/>
      <c r="Q1041" s="1"/>
      <c r="R1041" s="1"/>
      <c r="S1041" s="1"/>
      <c r="T1041" s="1"/>
      <c r="U1041" s="1"/>
      <c r="V1041" s="1"/>
      <c r="W1041" s="1"/>
      <c r="X1041" s="1"/>
      <c r="Y1041" s="1"/>
      <c r="Z1041" s="1"/>
    </row>
    <row r="1042" ht="10.5" customHeight="1">
      <c r="A1042" s="1"/>
      <c r="B1042" s="48" t="s">
        <v>272</v>
      </c>
      <c r="C1042" s="130">
        <v>19.0</v>
      </c>
      <c r="D1042" s="250">
        <v>0.7</v>
      </c>
      <c r="E1042" s="130">
        <v>26.0</v>
      </c>
      <c r="F1042" s="250">
        <v>1.0</v>
      </c>
      <c r="G1042" s="130">
        <v>483.0</v>
      </c>
      <c r="H1042" s="250">
        <v>17.8</v>
      </c>
      <c r="I1042" s="136">
        <v>1096.0</v>
      </c>
      <c r="J1042" s="693">
        <v>41.3</v>
      </c>
      <c r="K1042" s="1"/>
      <c r="L1042" s="1"/>
      <c r="M1042" s="1"/>
      <c r="N1042" s="1"/>
      <c r="O1042" s="1"/>
      <c r="P1042" s="1"/>
      <c r="Q1042" s="1"/>
      <c r="R1042" s="1"/>
      <c r="S1042" s="1"/>
      <c r="T1042" s="1"/>
      <c r="U1042" s="1"/>
      <c r="V1042" s="1"/>
      <c r="W1042" s="1"/>
      <c r="X1042" s="1"/>
      <c r="Y1042" s="1"/>
      <c r="Z1042" s="1"/>
    </row>
    <row r="1043" ht="10.5" customHeight="1">
      <c r="A1043" s="1"/>
      <c r="B1043" s="48" t="s">
        <v>274</v>
      </c>
      <c r="C1043" s="130">
        <v>19.0</v>
      </c>
      <c r="D1043" s="250">
        <v>0.7</v>
      </c>
      <c r="E1043" s="130">
        <v>25.0</v>
      </c>
      <c r="F1043" s="250">
        <v>0.9</v>
      </c>
      <c r="G1043" s="130">
        <v>484.0</v>
      </c>
      <c r="H1043" s="250">
        <v>17.4</v>
      </c>
      <c r="I1043" s="136">
        <v>1096.0</v>
      </c>
      <c r="J1043" s="693">
        <v>40.4</v>
      </c>
      <c r="K1043" s="1"/>
      <c r="L1043" s="1"/>
      <c r="M1043" s="1"/>
      <c r="N1043" s="1"/>
      <c r="O1043" s="1"/>
      <c r="P1043" s="1"/>
      <c r="Q1043" s="1"/>
      <c r="R1043" s="1"/>
      <c r="S1043" s="1"/>
      <c r="T1043" s="1"/>
      <c r="U1043" s="1"/>
      <c r="V1043" s="1"/>
      <c r="W1043" s="1"/>
      <c r="X1043" s="1"/>
      <c r="Y1043" s="1"/>
      <c r="Z1043" s="1"/>
    </row>
    <row r="1044" ht="10.5" customHeight="1">
      <c r="A1044" s="1"/>
      <c r="B1044" s="48" t="s">
        <v>275</v>
      </c>
      <c r="C1044" s="130">
        <v>10.0</v>
      </c>
      <c r="D1044" s="250">
        <v>0.4</v>
      </c>
      <c r="E1044" s="130">
        <v>27.0</v>
      </c>
      <c r="F1044" s="250">
        <v>0.9</v>
      </c>
      <c r="G1044" s="130">
        <v>389.0</v>
      </c>
      <c r="H1044" s="250">
        <v>13.7</v>
      </c>
      <c r="I1044" s="136">
        <v>1135.0</v>
      </c>
      <c r="J1044" s="693">
        <v>40.9</v>
      </c>
      <c r="K1044" s="1"/>
      <c r="L1044" s="1"/>
      <c r="M1044" s="1"/>
      <c r="N1044" s="1"/>
      <c r="O1044" s="1"/>
      <c r="P1044" s="1"/>
      <c r="Q1044" s="1"/>
      <c r="R1044" s="1"/>
      <c r="S1044" s="1"/>
      <c r="T1044" s="1"/>
      <c r="U1044" s="1"/>
      <c r="V1044" s="1"/>
      <c r="W1044" s="1"/>
      <c r="X1044" s="1"/>
      <c r="Y1044" s="1"/>
      <c r="Z1044" s="1"/>
    </row>
    <row r="1045" ht="10.5" customHeight="1">
      <c r="A1045" s="1"/>
      <c r="B1045" s="48" t="s">
        <v>276</v>
      </c>
      <c r="C1045" s="130">
        <v>24.0</v>
      </c>
      <c r="D1045" s="250">
        <v>0.8</v>
      </c>
      <c r="E1045" s="130">
        <v>33.0</v>
      </c>
      <c r="F1045" s="250">
        <v>1.1</v>
      </c>
      <c r="G1045" s="130">
        <v>415.0</v>
      </c>
      <c r="H1045" s="250">
        <v>14.2</v>
      </c>
      <c r="I1045" s="136">
        <v>1112.0</v>
      </c>
      <c r="J1045" s="693">
        <v>39.2</v>
      </c>
      <c r="K1045" s="1"/>
      <c r="L1045" s="1"/>
      <c r="M1045" s="1"/>
      <c r="N1045" s="1"/>
      <c r="O1045" s="1"/>
      <c r="P1045" s="1"/>
      <c r="Q1045" s="1"/>
      <c r="R1045" s="1"/>
      <c r="S1045" s="1"/>
      <c r="T1045" s="1"/>
      <c r="U1045" s="1"/>
      <c r="V1045" s="1"/>
      <c r="W1045" s="1"/>
      <c r="X1045" s="1"/>
      <c r="Y1045" s="1"/>
      <c r="Z1045" s="1"/>
    </row>
    <row r="1046" ht="10.5" customHeight="1">
      <c r="A1046" s="1"/>
      <c r="B1046" s="48"/>
      <c r="C1046" s="130"/>
      <c r="D1046" s="250"/>
      <c r="E1046" s="130"/>
      <c r="F1046" s="250"/>
      <c r="G1046" s="130"/>
      <c r="H1046" s="250"/>
      <c r="I1046" s="136"/>
      <c r="J1046" s="693"/>
      <c r="K1046" s="1"/>
      <c r="L1046" s="1"/>
      <c r="M1046" s="1"/>
      <c r="N1046" s="1"/>
      <c r="O1046" s="1"/>
      <c r="P1046" s="1"/>
      <c r="Q1046" s="1"/>
      <c r="R1046" s="1"/>
      <c r="S1046" s="1"/>
      <c r="T1046" s="1"/>
      <c r="U1046" s="1"/>
      <c r="V1046" s="1"/>
      <c r="W1046" s="1"/>
      <c r="X1046" s="1"/>
      <c r="Y1046" s="1"/>
      <c r="Z1046" s="1"/>
    </row>
    <row r="1047" ht="10.5" customHeight="1">
      <c r="A1047" s="1"/>
      <c r="B1047" s="48" t="s">
        <v>56</v>
      </c>
      <c r="C1047" s="130">
        <v>19.0</v>
      </c>
      <c r="D1047" s="250">
        <v>0.6</v>
      </c>
      <c r="E1047" s="130">
        <v>34.0</v>
      </c>
      <c r="F1047" s="250">
        <v>1.1</v>
      </c>
      <c r="G1047" s="130">
        <v>510.0</v>
      </c>
      <c r="H1047" s="250">
        <v>17.0</v>
      </c>
      <c r="I1047" s="136">
        <v>1181.0</v>
      </c>
      <c r="J1047" s="693">
        <v>40.7</v>
      </c>
      <c r="K1047" s="1"/>
      <c r="L1047" s="1"/>
      <c r="M1047" s="1"/>
      <c r="N1047" s="1"/>
      <c r="O1047" s="1"/>
      <c r="P1047" s="1"/>
      <c r="Q1047" s="1"/>
      <c r="R1047" s="1"/>
      <c r="S1047" s="1"/>
      <c r="T1047" s="1"/>
      <c r="U1047" s="1"/>
      <c r="V1047" s="1"/>
      <c r="W1047" s="1"/>
      <c r="X1047" s="1"/>
      <c r="Y1047" s="1"/>
      <c r="Z1047" s="1"/>
    </row>
    <row r="1048" ht="10.5" customHeight="1">
      <c r="A1048" s="1"/>
      <c r="B1048" s="48" t="s">
        <v>81</v>
      </c>
      <c r="C1048" s="130">
        <v>12.0</v>
      </c>
      <c r="D1048" s="250">
        <v>0.4</v>
      </c>
      <c r="E1048" s="130">
        <v>31.0</v>
      </c>
      <c r="F1048" s="250">
        <v>1.0</v>
      </c>
      <c r="G1048" s="130">
        <v>455.0</v>
      </c>
      <c r="H1048" s="250">
        <v>14.8</v>
      </c>
      <c r="I1048" s="136">
        <v>1167.0</v>
      </c>
      <c r="J1048" s="693">
        <v>39.4</v>
      </c>
      <c r="K1048" s="1"/>
      <c r="L1048" s="1"/>
      <c r="M1048" s="1"/>
      <c r="N1048" s="1"/>
      <c r="O1048" s="1"/>
      <c r="P1048" s="1"/>
      <c r="Q1048" s="1"/>
      <c r="R1048" s="1"/>
      <c r="S1048" s="1"/>
      <c r="T1048" s="1"/>
      <c r="U1048" s="1"/>
      <c r="V1048" s="1"/>
      <c r="W1048" s="1"/>
      <c r="X1048" s="1"/>
      <c r="Y1048" s="1"/>
      <c r="Z1048" s="1"/>
    </row>
    <row r="1049" ht="10.5" customHeight="1">
      <c r="A1049" s="1"/>
      <c r="B1049" s="48" t="s">
        <v>86</v>
      </c>
      <c r="C1049" s="130">
        <v>21.0</v>
      </c>
      <c r="D1049" s="250">
        <v>0.7</v>
      </c>
      <c r="E1049" s="130">
        <v>40.0</v>
      </c>
      <c r="F1049" s="250">
        <v>1.3</v>
      </c>
      <c r="G1049" s="130">
        <v>345.0</v>
      </c>
      <c r="H1049" s="250">
        <v>11.0</v>
      </c>
      <c r="I1049" s="136">
        <v>1179.0</v>
      </c>
      <c r="J1049" s="693">
        <v>38.9</v>
      </c>
      <c r="K1049" s="1"/>
      <c r="L1049" s="1"/>
      <c r="M1049" s="1"/>
      <c r="N1049" s="1"/>
      <c r="O1049" s="1"/>
      <c r="P1049" s="1"/>
      <c r="Q1049" s="1"/>
      <c r="R1049" s="1"/>
      <c r="S1049" s="1"/>
      <c r="T1049" s="1"/>
      <c r="U1049" s="1"/>
      <c r="V1049" s="1"/>
      <c r="W1049" s="1"/>
      <c r="X1049" s="1"/>
      <c r="Y1049" s="1"/>
      <c r="Z1049" s="1"/>
    </row>
    <row r="1050" ht="10.5" customHeight="1">
      <c r="A1050" s="1"/>
      <c r="B1050" s="48" t="s">
        <v>87</v>
      </c>
      <c r="C1050" s="130">
        <v>18.0</v>
      </c>
      <c r="D1050" s="250">
        <v>0.6</v>
      </c>
      <c r="E1050" s="130">
        <v>35.0</v>
      </c>
      <c r="F1050" s="250">
        <v>1.1</v>
      </c>
      <c r="G1050" s="130">
        <v>417.0</v>
      </c>
      <c r="H1050" s="250">
        <v>12.9</v>
      </c>
      <c r="I1050" s="136">
        <v>1181.0</v>
      </c>
      <c r="J1050" s="693">
        <v>38.1</v>
      </c>
      <c r="K1050" s="1"/>
      <c r="L1050" s="1"/>
      <c r="M1050" s="1"/>
      <c r="N1050" s="1"/>
      <c r="O1050" s="1"/>
      <c r="P1050" s="1"/>
      <c r="Q1050" s="1"/>
      <c r="R1050" s="1"/>
      <c r="S1050" s="1"/>
      <c r="T1050" s="1"/>
      <c r="U1050" s="1"/>
      <c r="V1050" s="1"/>
      <c r="W1050" s="1"/>
      <c r="X1050" s="1"/>
      <c r="Y1050" s="1"/>
      <c r="Z1050" s="1"/>
    </row>
    <row r="1051" ht="10.5" customHeight="1">
      <c r="A1051" s="1"/>
      <c r="B1051" s="48" t="s">
        <v>90</v>
      </c>
      <c r="C1051" s="130">
        <v>16.0</v>
      </c>
      <c r="D1051" s="250">
        <v>0.5</v>
      </c>
      <c r="E1051" s="130">
        <v>30.0</v>
      </c>
      <c r="F1051" s="250">
        <v>0.9</v>
      </c>
      <c r="G1051" s="130">
        <v>396.0</v>
      </c>
      <c r="H1051" s="250">
        <v>12.2</v>
      </c>
      <c r="I1051" s="136">
        <v>1222.0</v>
      </c>
      <c r="J1051" s="693">
        <v>38.6</v>
      </c>
      <c r="K1051" s="1"/>
      <c r="L1051" s="1"/>
      <c r="M1051" s="1"/>
      <c r="N1051" s="1"/>
      <c r="O1051" s="1"/>
      <c r="P1051" s="1"/>
      <c r="Q1051" s="1"/>
      <c r="R1051" s="1"/>
      <c r="S1051" s="1"/>
      <c r="T1051" s="1"/>
      <c r="U1051" s="1"/>
      <c r="V1051" s="1"/>
      <c r="W1051" s="1"/>
      <c r="X1051" s="1"/>
      <c r="Y1051" s="1"/>
      <c r="Z1051" s="1"/>
    </row>
    <row r="1052" ht="10.5" customHeight="1">
      <c r="A1052" s="1"/>
      <c r="B1052" s="48"/>
      <c r="C1052" s="130"/>
      <c r="D1052" s="250"/>
      <c r="E1052" s="130"/>
      <c r="F1052" s="250"/>
      <c r="G1052" s="130"/>
      <c r="H1052" s="250"/>
      <c r="I1052" s="136"/>
      <c r="J1052" s="693"/>
      <c r="K1052" s="1"/>
      <c r="L1052" s="1"/>
      <c r="M1052" s="1"/>
      <c r="N1052" s="1"/>
      <c r="O1052" s="1"/>
      <c r="P1052" s="1"/>
      <c r="Q1052" s="1"/>
      <c r="R1052" s="1"/>
      <c r="S1052" s="1"/>
      <c r="T1052" s="1"/>
      <c r="U1052" s="1"/>
      <c r="V1052" s="1"/>
      <c r="W1052" s="1"/>
      <c r="X1052" s="1"/>
      <c r="Y1052" s="1"/>
      <c r="Z1052" s="1"/>
    </row>
    <row r="1053" ht="10.5" customHeight="1">
      <c r="A1053" s="1"/>
      <c r="B1053" s="48" t="s">
        <v>93</v>
      </c>
      <c r="C1053" s="130">
        <v>14.0</v>
      </c>
      <c r="D1053" s="250">
        <v>0.4</v>
      </c>
      <c r="E1053" s="130">
        <v>37.0</v>
      </c>
      <c r="F1053" s="250">
        <v>1.1</v>
      </c>
      <c r="G1053" s="130">
        <v>412.0</v>
      </c>
      <c r="H1053" s="250">
        <v>12.4</v>
      </c>
      <c r="I1053" s="136">
        <v>1025.0</v>
      </c>
      <c r="J1053" s="693">
        <v>31.6</v>
      </c>
      <c r="K1053" s="1"/>
      <c r="L1053" s="1"/>
      <c r="M1053" s="1"/>
      <c r="N1053" s="1"/>
      <c r="O1053" s="1"/>
      <c r="P1053" s="1"/>
      <c r="Q1053" s="1"/>
      <c r="R1053" s="1"/>
      <c r="S1053" s="1"/>
      <c r="T1053" s="1"/>
      <c r="U1053" s="1"/>
      <c r="V1053" s="1"/>
      <c r="W1053" s="1"/>
      <c r="X1053" s="1"/>
      <c r="Y1053" s="1"/>
      <c r="Z1053" s="1"/>
    </row>
    <row r="1054" ht="10.5" customHeight="1">
      <c r="A1054" s="1"/>
      <c r="B1054" s="48" t="s">
        <v>97</v>
      </c>
      <c r="C1054" s="130">
        <v>16.0</v>
      </c>
      <c r="D1054" s="250">
        <v>0.5</v>
      </c>
      <c r="E1054" s="130">
        <v>32.0</v>
      </c>
      <c r="F1054" s="250">
        <v>0.9</v>
      </c>
      <c r="G1054" s="130">
        <v>376.0</v>
      </c>
      <c r="H1054" s="250">
        <v>11.1</v>
      </c>
      <c r="I1054" s="136">
        <v>1003.0</v>
      </c>
      <c r="J1054" s="693">
        <v>30.3</v>
      </c>
      <c r="K1054" s="1"/>
      <c r="L1054" s="1"/>
      <c r="M1054" s="1"/>
      <c r="N1054" s="1"/>
      <c r="O1054" s="1"/>
      <c r="P1054" s="1"/>
      <c r="Q1054" s="1"/>
      <c r="R1054" s="1"/>
      <c r="S1054" s="1"/>
      <c r="T1054" s="1"/>
      <c r="U1054" s="1"/>
      <c r="V1054" s="1"/>
      <c r="W1054" s="1"/>
      <c r="X1054" s="1"/>
      <c r="Y1054" s="1"/>
      <c r="Z1054" s="1"/>
    </row>
    <row r="1055" ht="10.5" customHeight="1">
      <c r="A1055" s="1"/>
      <c r="B1055" s="48" t="s">
        <v>101</v>
      </c>
      <c r="C1055" s="130">
        <v>16.0</v>
      </c>
      <c r="D1055" s="250">
        <v>0.5</v>
      </c>
      <c r="E1055" s="130">
        <v>38.0</v>
      </c>
      <c r="F1055" s="250">
        <v>1.1</v>
      </c>
      <c r="G1055" s="130">
        <v>398.0</v>
      </c>
      <c r="H1055" s="250">
        <v>11.4</v>
      </c>
      <c r="I1055" s="136">
        <v>1177.0</v>
      </c>
      <c r="J1055" s="693">
        <v>34.7</v>
      </c>
      <c r="K1055" s="1"/>
      <c r="L1055" s="1"/>
      <c r="M1055" s="1"/>
      <c r="N1055" s="1"/>
      <c r="O1055" s="1"/>
      <c r="P1055" s="1"/>
      <c r="Q1055" s="1"/>
      <c r="R1055" s="1"/>
      <c r="S1055" s="1"/>
      <c r="T1055" s="1"/>
      <c r="U1055" s="1"/>
      <c r="V1055" s="1"/>
      <c r="W1055" s="1"/>
      <c r="X1055" s="1"/>
      <c r="Y1055" s="1"/>
      <c r="Z1055" s="1"/>
    </row>
    <row r="1056" ht="10.5" customHeight="1">
      <c r="A1056" s="1"/>
      <c r="B1056" s="48" t="s">
        <v>103</v>
      </c>
      <c r="C1056" s="130">
        <v>18.0</v>
      </c>
      <c r="D1056" s="250">
        <v>0.5</v>
      </c>
      <c r="E1056" s="130">
        <v>42.0</v>
      </c>
      <c r="F1056" s="250">
        <v>1.2</v>
      </c>
      <c r="G1056" s="130">
        <v>362.0</v>
      </c>
      <c r="H1056" s="250">
        <v>10.2</v>
      </c>
      <c r="I1056" s="136">
        <v>1152.0</v>
      </c>
      <c r="J1056" s="693">
        <v>33.3</v>
      </c>
      <c r="K1056" s="1"/>
      <c r="L1056" s="1"/>
      <c r="M1056" s="1"/>
      <c r="N1056" s="1"/>
      <c r="O1056" s="1"/>
      <c r="P1056" s="1"/>
      <c r="Q1056" s="1"/>
      <c r="R1056" s="1"/>
      <c r="S1056" s="1"/>
      <c r="T1056" s="1"/>
      <c r="U1056" s="1"/>
      <c r="V1056" s="1"/>
      <c r="W1056" s="1"/>
      <c r="X1056" s="1"/>
      <c r="Y1056" s="1"/>
      <c r="Z1056" s="1"/>
    </row>
    <row r="1057" ht="10.5" customHeight="1">
      <c r="A1057" s="1"/>
      <c r="B1057" s="48" t="s">
        <v>104</v>
      </c>
      <c r="C1057" s="130">
        <v>16.0</v>
      </c>
      <c r="D1057" s="250">
        <v>0.5</v>
      </c>
      <c r="E1057" s="130">
        <v>42.0</v>
      </c>
      <c r="F1057" s="250">
        <v>1.2</v>
      </c>
      <c r="G1057" s="130">
        <v>380.0</v>
      </c>
      <c r="H1057" s="250">
        <v>10.5</v>
      </c>
      <c r="I1057" s="136">
        <v>1167.0</v>
      </c>
      <c r="J1057" s="693">
        <v>33.0</v>
      </c>
      <c r="K1057" s="1"/>
      <c r="L1057" s="1"/>
      <c r="M1057" s="1"/>
      <c r="N1057" s="1"/>
      <c r="O1057" s="1"/>
      <c r="P1057" s="1"/>
      <c r="Q1057" s="1"/>
      <c r="R1057" s="1"/>
      <c r="S1057" s="1"/>
      <c r="T1057" s="1"/>
      <c r="U1057" s="1"/>
      <c r="V1057" s="1"/>
      <c r="W1057" s="1"/>
      <c r="X1057" s="1"/>
      <c r="Y1057" s="1"/>
      <c r="Z1057" s="1"/>
    </row>
    <row r="1058" ht="10.5" customHeight="1">
      <c r="A1058" s="1"/>
      <c r="B1058" s="48"/>
      <c r="C1058" s="130"/>
      <c r="D1058" s="250"/>
      <c r="E1058" s="130"/>
      <c r="F1058" s="250"/>
      <c r="G1058" s="130"/>
      <c r="H1058" s="250"/>
      <c r="I1058" s="136"/>
      <c r="J1058" s="693"/>
      <c r="K1058" s="1"/>
      <c r="L1058" s="1"/>
      <c r="M1058" s="1"/>
      <c r="N1058" s="1"/>
      <c r="O1058" s="1"/>
      <c r="P1058" s="1"/>
      <c r="Q1058" s="1"/>
      <c r="R1058" s="1"/>
      <c r="S1058" s="1"/>
      <c r="T1058" s="1"/>
      <c r="U1058" s="1"/>
      <c r="V1058" s="1"/>
      <c r="W1058" s="1"/>
      <c r="X1058" s="1"/>
      <c r="Y1058" s="1"/>
      <c r="Z1058" s="1"/>
    </row>
    <row r="1059" ht="10.5" customHeight="1">
      <c r="A1059" s="1"/>
      <c r="B1059" s="48" t="s">
        <v>108</v>
      </c>
      <c r="C1059" s="130">
        <v>18.0</v>
      </c>
      <c r="D1059" s="250">
        <v>0.5</v>
      </c>
      <c r="E1059" s="130">
        <v>43.0</v>
      </c>
      <c r="F1059" s="250">
        <v>1.2</v>
      </c>
      <c r="G1059" s="130">
        <v>469.0</v>
      </c>
      <c r="H1059" s="250">
        <v>12.7</v>
      </c>
      <c r="I1059" s="136">
        <v>1153.0</v>
      </c>
      <c r="J1059" s="693">
        <v>31.9</v>
      </c>
      <c r="K1059" s="1"/>
      <c r="L1059" s="1"/>
      <c r="M1059" s="1"/>
      <c r="N1059" s="1"/>
      <c r="O1059" s="1"/>
      <c r="P1059" s="1"/>
      <c r="Q1059" s="1"/>
      <c r="R1059" s="1"/>
      <c r="S1059" s="1"/>
      <c r="T1059" s="1"/>
      <c r="U1059" s="1"/>
      <c r="V1059" s="1"/>
      <c r="W1059" s="1"/>
      <c r="X1059" s="1"/>
      <c r="Y1059" s="1"/>
      <c r="Z1059" s="1"/>
    </row>
    <row r="1060" ht="10.5" customHeight="1">
      <c r="A1060" s="1"/>
      <c r="B1060" s="48" t="s">
        <v>111</v>
      </c>
      <c r="C1060" s="130">
        <v>14.0</v>
      </c>
      <c r="D1060" s="250">
        <v>0.4</v>
      </c>
      <c r="E1060" s="130">
        <v>43.0</v>
      </c>
      <c r="F1060" s="250">
        <v>1.1</v>
      </c>
      <c r="G1060" s="130">
        <v>465.0</v>
      </c>
      <c r="H1060" s="250">
        <v>12.4</v>
      </c>
      <c r="I1060" s="136">
        <v>1174.0</v>
      </c>
      <c r="J1060" s="693">
        <v>31.8</v>
      </c>
      <c r="K1060" s="1"/>
      <c r="L1060" s="1"/>
      <c r="M1060" s="1"/>
      <c r="N1060" s="1"/>
      <c r="O1060" s="1"/>
      <c r="P1060" s="1"/>
      <c r="Q1060" s="1"/>
      <c r="R1060" s="1"/>
      <c r="S1060" s="1"/>
      <c r="T1060" s="1"/>
      <c r="U1060" s="1"/>
      <c r="V1060" s="1"/>
      <c r="W1060" s="1"/>
      <c r="X1060" s="1"/>
      <c r="Y1060" s="1"/>
      <c r="Z1060" s="1"/>
    </row>
    <row r="1061" ht="10.5" customHeight="1">
      <c r="A1061" s="1"/>
      <c r="B1061" s="48" t="s">
        <v>112</v>
      </c>
      <c r="C1061" s="130">
        <v>15.0</v>
      </c>
      <c r="D1061" s="250">
        <v>0.4</v>
      </c>
      <c r="E1061" s="130">
        <v>31.0</v>
      </c>
      <c r="F1061" s="250">
        <v>0.8</v>
      </c>
      <c r="G1061" s="130">
        <v>298.0</v>
      </c>
      <c r="H1061" s="250">
        <v>7.8</v>
      </c>
      <c r="I1061" s="136">
        <v>1092.0</v>
      </c>
      <c r="J1061" s="693">
        <v>28.9</v>
      </c>
      <c r="K1061" s="1"/>
      <c r="L1061" s="1"/>
      <c r="M1061" s="1"/>
      <c r="N1061" s="1"/>
      <c r="O1061" s="1"/>
      <c r="P1061" s="1"/>
      <c r="Q1061" s="1"/>
      <c r="R1061" s="1"/>
      <c r="S1061" s="1"/>
      <c r="T1061" s="1"/>
      <c r="U1061" s="1"/>
      <c r="V1061" s="1"/>
      <c r="W1061" s="1"/>
      <c r="X1061" s="1"/>
      <c r="Y1061" s="1"/>
      <c r="Z1061" s="1"/>
    </row>
    <row r="1062" ht="10.5" customHeight="1">
      <c r="A1062" s="1"/>
      <c r="B1062" s="48" t="s">
        <v>113</v>
      </c>
      <c r="C1062" s="130">
        <v>15.0</v>
      </c>
      <c r="D1062" s="250">
        <v>0.4</v>
      </c>
      <c r="E1062" s="130">
        <v>34.0</v>
      </c>
      <c r="F1062" s="250">
        <v>0.9</v>
      </c>
      <c r="G1062" s="130">
        <v>397.0</v>
      </c>
      <c r="H1062" s="250">
        <v>10.3</v>
      </c>
      <c r="I1062" s="136">
        <v>1088.0</v>
      </c>
      <c r="J1062" s="693">
        <v>28.2</v>
      </c>
      <c r="K1062" s="1"/>
      <c r="L1062" s="1"/>
      <c r="M1062" s="1"/>
      <c r="N1062" s="1"/>
      <c r="O1062" s="1"/>
      <c r="P1062" s="1"/>
      <c r="Q1062" s="1"/>
      <c r="R1062" s="1"/>
      <c r="S1062" s="1"/>
      <c r="T1062" s="1"/>
      <c r="U1062" s="1"/>
      <c r="V1062" s="1"/>
      <c r="W1062" s="1"/>
      <c r="X1062" s="1"/>
      <c r="Y1062" s="1"/>
      <c r="Z1062" s="1"/>
    </row>
    <row r="1063" ht="10.5" customHeight="1">
      <c r="A1063" s="1"/>
      <c r="B1063" s="48" t="s">
        <v>114</v>
      </c>
      <c r="C1063" s="130">
        <v>14.0</v>
      </c>
      <c r="D1063" s="250">
        <v>0.4</v>
      </c>
      <c r="E1063" s="130">
        <v>41.0</v>
      </c>
      <c r="F1063" s="250">
        <v>1.0</v>
      </c>
      <c r="G1063" s="130">
        <v>437.0</v>
      </c>
      <c r="H1063" s="250">
        <v>11.2</v>
      </c>
      <c r="I1063" s="136">
        <v>1397.0</v>
      </c>
      <c r="J1063" s="693">
        <v>35.4</v>
      </c>
      <c r="K1063" s="1"/>
      <c r="L1063" s="1"/>
      <c r="M1063" s="1"/>
      <c r="N1063" s="1"/>
      <c r="O1063" s="1"/>
      <c r="P1063" s="1"/>
      <c r="Q1063" s="1"/>
      <c r="R1063" s="1"/>
      <c r="S1063" s="1"/>
      <c r="T1063" s="1"/>
      <c r="U1063" s="1"/>
      <c r="V1063" s="1"/>
      <c r="W1063" s="1"/>
      <c r="X1063" s="1"/>
      <c r="Y1063" s="1"/>
      <c r="Z1063" s="1"/>
    </row>
    <row r="1064" ht="10.5" customHeight="1">
      <c r="A1064" s="1"/>
      <c r="B1064" s="48"/>
      <c r="C1064" s="130"/>
      <c r="D1064" s="250"/>
      <c r="E1064" s="130"/>
      <c r="F1064" s="250"/>
      <c r="G1064" s="130"/>
      <c r="H1064" s="250"/>
      <c r="I1064" s="136"/>
      <c r="J1064" s="693"/>
      <c r="K1064" s="1"/>
      <c r="L1064" s="1"/>
      <c r="M1064" s="1"/>
      <c r="N1064" s="1"/>
      <c r="O1064" s="1"/>
      <c r="P1064" s="1"/>
      <c r="Q1064" s="1"/>
      <c r="R1064" s="1"/>
      <c r="S1064" s="1"/>
      <c r="T1064" s="1"/>
      <c r="U1064" s="1"/>
      <c r="V1064" s="1"/>
      <c r="W1064" s="1"/>
      <c r="X1064" s="1"/>
      <c r="Y1064" s="1"/>
      <c r="Z1064" s="1"/>
    </row>
    <row r="1065" ht="10.5" customHeight="1">
      <c r="A1065" s="1"/>
      <c r="B1065" s="48" t="s">
        <v>115</v>
      </c>
      <c r="C1065" s="130">
        <v>15.0</v>
      </c>
      <c r="D1065" s="250">
        <v>0.4</v>
      </c>
      <c r="E1065" s="130">
        <v>45.0</v>
      </c>
      <c r="F1065" s="250">
        <v>1.1</v>
      </c>
      <c r="G1065" s="130">
        <v>305.0</v>
      </c>
      <c r="H1065" s="250">
        <v>7.7</v>
      </c>
      <c r="I1065" s="136">
        <v>1487.0</v>
      </c>
      <c r="J1065" s="693">
        <v>36.6</v>
      </c>
      <c r="K1065" s="1"/>
      <c r="L1065" s="1"/>
      <c r="M1065" s="1"/>
      <c r="N1065" s="1"/>
      <c r="O1065" s="1"/>
      <c r="P1065" s="1"/>
      <c r="Q1065" s="1"/>
      <c r="R1065" s="1"/>
      <c r="S1065" s="1"/>
      <c r="T1065" s="1"/>
      <c r="U1065" s="1"/>
      <c r="V1065" s="1"/>
      <c r="W1065" s="1"/>
      <c r="X1065" s="1"/>
      <c r="Y1065" s="1"/>
      <c r="Z1065" s="1"/>
    </row>
    <row r="1066" ht="10.5" customHeight="1">
      <c r="A1066" s="1"/>
      <c r="B1066" s="48" t="s">
        <v>117</v>
      </c>
      <c r="C1066" s="130">
        <v>12.0</v>
      </c>
      <c r="D1066" s="250">
        <v>0.3</v>
      </c>
      <c r="E1066" s="130">
        <v>39.0</v>
      </c>
      <c r="F1066" s="250">
        <v>1.0</v>
      </c>
      <c r="G1066" s="130">
        <v>295.0</v>
      </c>
      <c r="H1066" s="250">
        <v>7.3</v>
      </c>
      <c r="I1066" s="136">
        <v>1571.0</v>
      </c>
      <c r="J1066" s="693">
        <v>38.1</v>
      </c>
      <c r="K1066" s="1"/>
      <c r="L1066" s="1"/>
      <c r="M1066" s="1"/>
      <c r="N1066" s="1"/>
      <c r="O1066" s="1"/>
      <c r="P1066" s="1"/>
      <c r="Q1066" s="1"/>
      <c r="R1066" s="1"/>
      <c r="S1066" s="1"/>
      <c r="T1066" s="1"/>
      <c r="U1066" s="1"/>
      <c r="V1066" s="1"/>
      <c r="W1066" s="1"/>
      <c r="X1066" s="1"/>
      <c r="Y1066" s="1"/>
      <c r="Z1066" s="1"/>
    </row>
    <row r="1067" ht="10.5" customHeight="1">
      <c r="A1067" s="1"/>
      <c r="B1067" s="48" t="s">
        <v>121</v>
      </c>
      <c r="C1067" s="130">
        <v>15.0</v>
      </c>
      <c r="D1067" s="250">
        <v>0.4</v>
      </c>
      <c r="E1067" s="130">
        <v>45.0</v>
      </c>
      <c r="F1067" s="250">
        <v>1.1</v>
      </c>
      <c r="G1067" s="130">
        <v>311.0</v>
      </c>
      <c r="H1067" s="250">
        <v>7.6</v>
      </c>
      <c r="I1067" s="136">
        <v>1608.0</v>
      </c>
      <c r="J1067" s="693">
        <v>38.2</v>
      </c>
      <c r="K1067" s="1"/>
      <c r="L1067" s="1"/>
      <c r="M1067" s="1"/>
      <c r="N1067" s="1"/>
      <c r="O1067" s="1"/>
      <c r="P1067" s="1"/>
      <c r="Q1067" s="1"/>
      <c r="R1067" s="1"/>
      <c r="S1067" s="1"/>
      <c r="T1067" s="1"/>
      <c r="U1067" s="1"/>
      <c r="V1067" s="1"/>
      <c r="W1067" s="1"/>
      <c r="X1067" s="1"/>
      <c r="Y1067" s="1"/>
      <c r="Z1067" s="1"/>
    </row>
    <row r="1068" ht="10.5" customHeight="1">
      <c r="A1068" s="1"/>
      <c r="B1068" s="48" t="s">
        <v>122</v>
      </c>
      <c r="C1068" s="130">
        <v>13.0</v>
      </c>
      <c r="D1068" s="250">
        <v>0.3</v>
      </c>
      <c r="E1068" s="130">
        <v>37.0</v>
      </c>
      <c r="F1068" s="250">
        <v>0.9</v>
      </c>
      <c r="G1068" s="130">
        <v>349.0</v>
      </c>
      <c r="H1068" s="250">
        <v>8.3</v>
      </c>
      <c r="I1068" s="136">
        <v>1606.0</v>
      </c>
      <c r="J1068" s="693">
        <v>37.3</v>
      </c>
      <c r="K1068" s="1"/>
      <c r="L1068" s="1"/>
      <c r="M1068" s="1"/>
      <c r="N1068" s="1"/>
      <c r="O1068" s="1"/>
      <c r="P1068" s="1"/>
      <c r="Q1068" s="1"/>
      <c r="R1068" s="1"/>
      <c r="S1068" s="1"/>
      <c r="T1068" s="1"/>
      <c r="U1068" s="1"/>
      <c r="V1068" s="1"/>
      <c r="W1068" s="1"/>
      <c r="X1068" s="1"/>
      <c r="Y1068" s="1"/>
      <c r="Z1068" s="1"/>
    </row>
    <row r="1069" ht="10.5" customHeight="1">
      <c r="A1069" s="1"/>
      <c r="B1069" s="48" t="s">
        <v>123</v>
      </c>
      <c r="C1069" s="130">
        <v>10.0</v>
      </c>
      <c r="D1069" s="250">
        <v>0.2</v>
      </c>
      <c r="E1069" s="130">
        <v>39.0</v>
      </c>
      <c r="F1069" s="250">
        <v>0.9</v>
      </c>
      <c r="G1069" s="130">
        <v>273.0</v>
      </c>
      <c r="H1069" s="250">
        <v>6.4</v>
      </c>
      <c r="I1069" s="136">
        <v>1284.0</v>
      </c>
      <c r="J1069" s="693">
        <v>29.4</v>
      </c>
      <c r="K1069" s="1"/>
      <c r="L1069" s="1"/>
      <c r="M1069" s="1"/>
      <c r="N1069" s="1"/>
      <c r="O1069" s="1"/>
      <c r="P1069" s="1"/>
      <c r="Q1069" s="1"/>
      <c r="R1069" s="1"/>
      <c r="S1069" s="1"/>
      <c r="T1069" s="1"/>
      <c r="U1069" s="1"/>
      <c r="V1069" s="1"/>
      <c r="W1069" s="1"/>
      <c r="X1069" s="1"/>
      <c r="Y1069" s="1"/>
      <c r="Z1069" s="1"/>
    </row>
    <row r="1070" ht="10.5" customHeight="1">
      <c r="A1070" s="1"/>
      <c r="B1070" s="48"/>
      <c r="C1070" s="130"/>
      <c r="D1070" s="250"/>
      <c r="E1070" s="130"/>
      <c r="F1070" s="250"/>
      <c r="G1070" s="130"/>
      <c r="H1070" s="250"/>
      <c r="I1070" s="136"/>
      <c r="J1070" s="693"/>
      <c r="K1070" s="1"/>
      <c r="L1070" s="1"/>
      <c r="M1070" s="1"/>
      <c r="N1070" s="1"/>
      <c r="O1070" s="1"/>
      <c r="P1070" s="1"/>
      <c r="Q1070" s="1"/>
      <c r="R1070" s="1"/>
      <c r="S1070" s="1"/>
      <c r="T1070" s="1"/>
      <c r="U1070" s="1"/>
      <c r="V1070" s="1"/>
      <c r="W1070" s="1"/>
      <c r="X1070" s="1"/>
      <c r="Y1070" s="1"/>
      <c r="Z1070" s="1"/>
    </row>
    <row r="1071" ht="10.5" customHeight="1">
      <c r="A1071" s="1"/>
      <c r="B1071" s="48" t="s">
        <v>125</v>
      </c>
      <c r="C1071" s="130">
        <v>12.0</v>
      </c>
      <c r="D1071" s="250">
        <v>0.3</v>
      </c>
      <c r="E1071" s="130">
        <v>37.0</v>
      </c>
      <c r="F1071" s="250">
        <v>0.8</v>
      </c>
      <c r="G1071" s="130">
        <v>328.0</v>
      </c>
      <c r="H1071" s="250">
        <v>7.5</v>
      </c>
      <c r="I1071" s="136">
        <v>1575.0</v>
      </c>
      <c r="J1071" s="693">
        <v>35.4</v>
      </c>
      <c r="K1071" s="1"/>
      <c r="L1071" s="1"/>
      <c r="M1071" s="1"/>
      <c r="N1071" s="1"/>
      <c r="O1071" s="1"/>
      <c r="P1071" s="1"/>
      <c r="Q1071" s="1"/>
      <c r="R1071" s="1"/>
      <c r="S1071" s="1"/>
      <c r="T1071" s="1"/>
      <c r="U1071" s="1"/>
      <c r="V1071" s="1"/>
      <c r="W1071" s="1"/>
      <c r="X1071" s="1"/>
      <c r="Y1071" s="1"/>
      <c r="Z1071" s="1"/>
    </row>
    <row r="1072" ht="10.5" customHeight="1">
      <c r="A1072" s="1"/>
      <c r="B1072" s="48" t="s">
        <v>127</v>
      </c>
      <c r="C1072" s="216">
        <v>12.0</v>
      </c>
      <c r="D1072" s="54">
        <v>0.3</v>
      </c>
      <c r="E1072" s="216">
        <v>38.0</v>
      </c>
      <c r="F1072" s="54">
        <v>0.8</v>
      </c>
      <c r="G1072" s="216">
        <v>323.0</v>
      </c>
      <c r="H1072" s="54">
        <v>7.2</v>
      </c>
      <c r="I1072" s="169">
        <v>1611.0</v>
      </c>
      <c r="J1072" s="693">
        <v>35.4</v>
      </c>
      <c r="K1072" s="1"/>
      <c r="L1072" s="1"/>
      <c r="M1072" s="1"/>
      <c r="N1072" s="1"/>
      <c r="O1072" s="1"/>
      <c r="P1072" s="1"/>
      <c r="Q1072" s="1"/>
      <c r="R1072" s="1"/>
      <c r="S1072" s="1"/>
      <c r="T1072" s="1"/>
      <c r="U1072" s="1"/>
      <c r="V1072" s="1"/>
      <c r="W1072" s="1"/>
      <c r="X1072" s="1"/>
      <c r="Y1072" s="1"/>
      <c r="Z1072" s="1"/>
    </row>
    <row r="1073" ht="10.5" customHeight="1">
      <c r="A1073" s="1"/>
      <c r="B1073" s="48" t="s">
        <v>128</v>
      </c>
      <c r="C1073" s="216">
        <v>9.0</v>
      </c>
      <c r="D1073" s="54">
        <v>0.2</v>
      </c>
      <c r="E1073" s="216">
        <v>36.0</v>
      </c>
      <c r="F1073" s="54">
        <v>0.8</v>
      </c>
      <c r="G1073" s="216">
        <v>476.0</v>
      </c>
      <c r="H1073" s="54">
        <v>10.4</v>
      </c>
      <c r="I1073" s="169">
        <v>1528.0</v>
      </c>
      <c r="J1073" s="693">
        <v>32.9</v>
      </c>
      <c r="K1073" s="1"/>
      <c r="L1073" s="1"/>
      <c r="M1073" s="1"/>
      <c r="N1073" s="1"/>
      <c r="O1073" s="1"/>
      <c r="P1073" s="1"/>
      <c r="Q1073" s="1"/>
      <c r="R1073" s="1"/>
      <c r="S1073" s="1"/>
      <c r="T1073" s="1"/>
      <c r="U1073" s="1"/>
      <c r="V1073" s="1"/>
      <c r="W1073" s="1"/>
      <c r="X1073" s="1"/>
      <c r="Y1073" s="1"/>
      <c r="Z1073" s="1"/>
    </row>
    <row r="1074" ht="10.5" customHeight="1">
      <c r="A1074" s="1"/>
      <c r="B1074" s="85" t="s">
        <v>129</v>
      </c>
      <c r="C1074" s="216">
        <v>15.0</v>
      </c>
      <c r="D1074" s="54">
        <v>0.3</v>
      </c>
      <c r="E1074" s="216">
        <v>39.0</v>
      </c>
      <c r="F1074" s="54">
        <v>0.8</v>
      </c>
      <c r="G1074" s="216">
        <v>374.0</v>
      </c>
      <c r="H1074" s="54">
        <v>8.1</v>
      </c>
      <c r="I1074" s="169">
        <v>1626.0</v>
      </c>
      <c r="J1074" s="693">
        <v>34.9</v>
      </c>
      <c r="K1074" s="1"/>
      <c r="L1074" s="1"/>
      <c r="M1074" s="1"/>
      <c r="N1074" s="1"/>
      <c r="O1074" s="1"/>
      <c r="P1074" s="1"/>
      <c r="Q1074" s="1"/>
      <c r="R1074" s="1"/>
      <c r="S1074" s="1"/>
      <c r="T1074" s="1"/>
      <c r="U1074" s="1"/>
      <c r="V1074" s="1"/>
      <c r="W1074" s="1"/>
      <c r="X1074" s="1"/>
      <c r="Y1074" s="1"/>
      <c r="Z1074" s="1"/>
    </row>
    <row r="1075" ht="10.5" customHeight="1">
      <c r="A1075" s="1"/>
      <c r="B1075" s="85" t="s">
        <v>130</v>
      </c>
      <c r="C1075" s="216">
        <v>12.0</v>
      </c>
      <c r="D1075" s="54">
        <v>0.3</v>
      </c>
      <c r="E1075" s="216">
        <v>38.0</v>
      </c>
      <c r="F1075" s="54">
        <v>0.8</v>
      </c>
      <c r="G1075" s="216">
        <v>340.0</v>
      </c>
      <c r="H1075" s="54">
        <v>7.3</v>
      </c>
      <c r="I1075" s="169">
        <v>1835.0</v>
      </c>
      <c r="J1075" s="693">
        <v>39.1</v>
      </c>
      <c r="K1075" s="1"/>
      <c r="L1075" s="1"/>
      <c r="M1075" s="1"/>
      <c r="N1075" s="1"/>
      <c r="O1075" s="1"/>
      <c r="P1075" s="1"/>
      <c r="Q1075" s="1"/>
      <c r="R1075" s="1"/>
      <c r="S1075" s="1"/>
      <c r="T1075" s="1"/>
      <c r="U1075" s="1"/>
      <c r="V1075" s="1"/>
      <c r="W1075" s="1"/>
      <c r="X1075" s="1"/>
      <c r="Y1075" s="1"/>
      <c r="Z1075" s="1"/>
    </row>
    <row r="1076" ht="10.5" customHeight="1">
      <c r="A1076" s="1"/>
      <c r="B1076" s="85"/>
      <c r="C1076" s="216"/>
      <c r="D1076" s="54"/>
      <c r="E1076" s="216"/>
      <c r="F1076" s="54"/>
      <c r="G1076" s="216"/>
      <c r="H1076" s="54"/>
      <c r="I1076" s="169"/>
      <c r="J1076" s="693"/>
      <c r="K1076" s="1"/>
      <c r="L1076" s="1"/>
      <c r="M1076" s="1"/>
      <c r="N1076" s="1"/>
      <c r="O1076" s="1"/>
      <c r="P1076" s="1"/>
      <c r="Q1076" s="1"/>
      <c r="R1076" s="1"/>
      <c r="S1076" s="1"/>
      <c r="T1076" s="1"/>
      <c r="U1076" s="1"/>
      <c r="V1076" s="1"/>
      <c r="W1076" s="1"/>
      <c r="X1076" s="1"/>
      <c r="Y1076" s="1"/>
      <c r="Z1076" s="1"/>
    </row>
    <row r="1077" ht="10.5" customHeight="1">
      <c r="A1077" s="1"/>
      <c r="B1077" s="85" t="s">
        <v>131</v>
      </c>
      <c r="C1077" s="130" t="s">
        <v>10</v>
      </c>
      <c r="D1077" s="250" t="s">
        <v>10</v>
      </c>
      <c r="E1077" s="130" t="s">
        <v>10</v>
      </c>
      <c r="F1077" s="250" t="s">
        <v>10</v>
      </c>
      <c r="G1077" s="130" t="s">
        <v>10</v>
      </c>
      <c r="H1077" s="250" t="s">
        <v>10</v>
      </c>
      <c r="I1077" s="136">
        <v>1697.0</v>
      </c>
      <c r="J1077" s="693">
        <v>35.8</v>
      </c>
      <c r="K1077" s="1"/>
      <c r="L1077" s="1"/>
      <c r="M1077" s="1"/>
      <c r="N1077" s="1"/>
      <c r="O1077" s="1"/>
      <c r="P1077" s="1"/>
      <c r="Q1077" s="1"/>
      <c r="R1077" s="1"/>
      <c r="S1077" s="1"/>
      <c r="T1077" s="1"/>
      <c r="U1077" s="1"/>
      <c r="V1077" s="1"/>
      <c r="W1077" s="1"/>
      <c r="X1077" s="1"/>
      <c r="Y1077" s="1"/>
      <c r="Z1077" s="1"/>
    </row>
    <row r="1078" ht="10.5" customHeight="1">
      <c r="A1078" s="1"/>
      <c r="B1078" s="85" t="s">
        <v>133</v>
      </c>
      <c r="C1078" s="130" t="s">
        <v>10</v>
      </c>
      <c r="D1078" s="250" t="s">
        <v>10</v>
      </c>
      <c r="E1078" s="130" t="s">
        <v>10</v>
      </c>
      <c r="F1078" s="250" t="s">
        <v>10</v>
      </c>
      <c r="G1078" s="130" t="s">
        <v>10</v>
      </c>
      <c r="H1078" s="250" t="s">
        <v>10</v>
      </c>
      <c r="I1078" s="136">
        <v>1799.0</v>
      </c>
      <c r="J1078" s="693">
        <v>37.6</v>
      </c>
      <c r="K1078" s="1"/>
      <c r="L1078" s="1"/>
      <c r="M1078" s="1"/>
      <c r="N1078" s="1"/>
      <c r="O1078" s="1"/>
      <c r="P1078" s="1"/>
      <c r="Q1078" s="1"/>
      <c r="R1078" s="1"/>
      <c r="S1078" s="1"/>
      <c r="T1078" s="1"/>
      <c r="U1078" s="1"/>
      <c r="V1078" s="1"/>
      <c r="W1078" s="1"/>
      <c r="X1078" s="1"/>
      <c r="Y1078" s="1"/>
      <c r="Z1078" s="1"/>
    </row>
    <row r="1079" ht="10.5" customHeight="1">
      <c r="A1079" s="1"/>
      <c r="B1079" s="85" t="s">
        <v>134</v>
      </c>
      <c r="C1079" s="130" t="s">
        <v>10</v>
      </c>
      <c r="D1079" s="250" t="s">
        <v>10</v>
      </c>
      <c r="E1079" s="130" t="s">
        <v>10</v>
      </c>
      <c r="F1079" s="250" t="s">
        <v>10</v>
      </c>
      <c r="G1079" s="130" t="s">
        <v>10</v>
      </c>
      <c r="H1079" s="250" t="s">
        <v>10</v>
      </c>
      <c r="I1079" s="136">
        <v>1819.0</v>
      </c>
      <c r="J1079" s="693">
        <v>37.4</v>
      </c>
      <c r="K1079" s="1"/>
      <c r="L1079" s="1"/>
      <c r="M1079" s="1"/>
      <c r="N1079" s="1"/>
      <c r="O1079" s="1"/>
      <c r="P1079" s="1"/>
      <c r="Q1079" s="1"/>
      <c r="R1079" s="1"/>
      <c r="S1079" s="1"/>
      <c r="T1079" s="1"/>
      <c r="U1079" s="1"/>
      <c r="V1079" s="1"/>
      <c r="W1079" s="1"/>
      <c r="X1079" s="1"/>
      <c r="Y1079" s="1"/>
      <c r="Z1079" s="1"/>
    </row>
    <row r="1080" ht="10.5" customHeight="1">
      <c r="A1080" s="1"/>
      <c r="B1080" s="85" t="s">
        <v>135</v>
      </c>
      <c r="C1080" s="216" t="s">
        <v>10</v>
      </c>
      <c r="D1080" s="54" t="s">
        <v>10</v>
      </c>
      <c r="E1080" s="216" t="s">
        <v>10</v>
      </c>
      <c r="F1080" s="54" t="s">
        <v>10</v>
      </c>
      <c r="G1080" s="216" t="s">
        <v>10</v>
      </c>
      <c r="H1080" s="54" t="s">
        <v>10</v>
      </c>
      <c r="I1080" s="169">
        <v>1788.0</v>
      </c>
      <c r="J1080" s="693">
        <v>36.3</v>
      </c>
      <c r="K1080" s="1"/>
      <c r="L1080" s="1"/>
      <c r="M1080" s="1"/>
      <c r="N1080" s="1"/>
      <c r="O1080" s="1"/>
      <c r="P1080" s="1"/>
      <c r="Q1080" s="1"/>
      <c r="R1080" s="1"/>
      <c r="S1080" s="1"/>
      <c r="T1080" s="1"/>
      <c r="U1080" s="1"/>
      <c r="V1080" s="1"/>
      <c r="W1080" s="1"/>
      <c r="X1080" s="1"/>
      <c r="Y1080" s="1"/>
      <c r="Z1080" s="1"/>
    </row>
    <row r="1081" ht="10.5" customHeight="1">
      <c r="A1081" s="1"/>
      <c r="B1081" s="85" t="s">
        <v>138</v>
      </c>
      <c r="C1081" s="216" t="s">
        <v>10</v>
      </c>
      <c r="D1081" s="54" t="s">
        <v>10</v>
      </c>
      <c r="E1081" s="216" t="s">
        <v>10</v>
      </c>
      <c r="F1081" s="54" t="s">
        <v>10</v>
      </c>
      <c r="G1081" s="216" t="s">
        <v>10</v>
      </c>
      <c r="H1081" s="54" t="s">
        <v>10</v>
      </c>
      <c r="I1081" s="169">
        <v>1868.0</v>
      </c>
      <c r="J1081" s="54">
        <v>37.4</v>
      </c>
      <c r="K1081" s="1"/>
      <c r="L1081" s="1"/>
      <c r="M1081" s="1"/>
      <c r="N1081" s="1"/>
      <c r="O1081" s="1"/>
      <c r="P1081" s="1"/>
      <c r="Q1081" s="1"/>
      <c r="R1081" s="1"/>
      <c r="S1081" s="1"/>
      <c r="T1081" s="1"/>
      <c r="U1081" s="1"/>
      <c r="V1081" s="1"/>
      <c r="W1081" s="1"/>
      <c r="X1081" s="1"/>
      <c r="Y1081" s="1"/>
      <c r="Z1081" s="1"/>
    </row>
    <row r="1082" ht="10.5" customHeight="1">
      <c r="A1082" s="1"/>
      <c r="B1082" s="85"/>
      <c r="C1082" s="216"/>
      <c r="D1082" s="54"/>
      <c r="E1082" s="216"/>
      <c r="F1082" s="54"/>
      <c r="G1082" s="216"/>
      <c r="H1082" s="54"/>
      <c r="I1082" s="169"/>
      <c r="J1082" s="693"/>
      <c r="K1082" s="1"/>
      <c r="L1082" s="1"/>
      <c r="M1082" s="1"/>
      <c r="N1082" s="1"/>
      <c r="O1082" s="1"/>
      <c r="P1082" s="1"/>
      <c r="Q1082" s="1"/>
      <c r="R1082" s="1"/>
      <c r="S1082" s="1"/>
      <c r="T1082" s="1"/>
      <c r="U1082" s="1"/>
      <c r="V1082" s="1"/>
      <c r="W1082" s="1"/>
      <c r="X1082" s="1"/>
      <c r="Y1082" s="1"/>
      <c r="Z1082" s="1"/>
    </row>
    <row r="1083" ht="10.5" customHeight="1">
      <c r="A1083" s="1"/>
      <c r="B1083" s="11" t="s">
        <v>139</v>
      </c>
      <c r="C1083" s="458" t="s">
        <v>10</v>
      </c>
      <c r="D1083" s="258" t="s">
        <v>10</v>
      </c>
      <c r="E1083" s="458" t="s">
        <v>10</v>
      </c>
      <c r="F1083" s="258" t="s">
        <v>10</v>
      </c>
      <c r="G1083" s="458" t="s">
        <v>10</v>
      </c>
      <c r="H1083" s="258" t="s">
        <v>10</v>
      </c>
      <c r="I1083" s="376">
        <v>1852.0</v>
      </c>
      <c r="J1083" s="258">
        <v>35.8</v>
      </c>
      <c r="K1083" s="1"/>
      <c r="L1083" s="1"/>
      <c r="M1083" s="1"/>
      <c r="N1083" s="1"/>
      <c r="O1083" s="1"/>
      <c r="P1083" s="1"/>
      <c r="Q1083" s="1"/>
      <c r="R1083" s="1"/>
      <c r="S1083" s="1"/>
      <c r="T1083" s="1"/>
      <c r="U1083" s="1"/>
      <c r="V1083" s="1"/>
      <c r="W1083" s="1"/>
      <c r="X1083" s="1"/>
      <c r="Y1083" s="1"/>
      <c r="Z1083" s="1"/>
    </row>
    <row r="1084" ht="10.5" customHeight="1">
      <c r="A1084" s="1"/>
      <c r="B1084" s="11" t="s">
        <v>143</v>
      </c>
      <c r="C1084" s="458" t="s">
        <v>10</v>
      </c>
      <c r="D1084" s="258" t="s">
        <v>10</v>
      </c>
      <c r="E1084" s="458" t="s">
        <v>10</v>
      </c>
      <c r="F1084" s="258" t="s">
        <v>10</v>
      </c>
      <c r="G1084" s="458" t="s">
        <v>10</v>
      </c>
      <c r="H1084" s="258" t="s">
        <v>10</v>
      </c>
      <c r="I1084" s="376">
        <v>1916.0</v>
      </c>
      <c r="J1084" s="258">
        <v>36.6</v>
      </c>
      <c r="K1084" s="1"/>
      <c r="L1084" s="1"/>
      <c r="M1084" s="1"/>
      <c r="N1084" s="1"/>
      <c r="O1084" s="1"/>
      <c r="P1084" s="1"/>
      <c r="Q1084" s="1"/>
      <c r="R1084" s="1"/>
      <c r="S1084" s="1"/>
      <c r="T1084" s="1"/>
      <c r="U1084" s="1"/>
      <c r="V1084" s="1"/>
      <c r="W1084" s="1"/>
      <c r="X1084" s="1"/>
      <c r="Y1084" s="1"/>
      <c r="Z1084" s="1"/>
    </row>
    <row r="1085" ht="10.5" customHeight="1">
      <c r="A1085" s="1"/>
      <c r="B1085" s="11" t="s">
        <v>149</v>
      </c>
      <c r="C1085" s="458" t="s">
        <v>10</v>
      </c>
      <c r="D1085" s="258" t="s">
        <v>10</v>
      </c>
      <c r="E1085" s="458" t="s">
        <v>10</v>
      </c>
      <c r="F1085" s="258" t="s">
        <v>10</v>
      </c>
      <c r="G1085" s="458" t="s">
        <v>10</v>
      </c>
      <c r="H1085" s="258" t="s">
        <v>10</v>
      </c>
      <c r="I1085" s="376">
        <v>1931.0</v>
      </c>
      <c r="J1085" s="258">
        <v>36.5</v>
      </c>
      <c r="K1085" s="1"/>
      <c r="L1085" s="1"/>
      <c r="M1085" s="1"/>
      <c r="N1085" s="1"/>
      <c r="O1085" s="1"/>
      <c r="P1085" s="1"/>
      <c r="Q1085" s="1"/>
      <c r="R1085" s="1"/>
      <c r="S1085" s="1"/>
      <c r="T1085" s="1"/>
      <c r="U1085" s="1"/>
      <c r="V1085" s="1"/>
      <c r="W1085" s="1"/>
      <c r="X1085" s="1"/>
      <c r="Y1085" s="1"/>
      <c r="Z1085" s="1"/>
    </row>
    <row r="1086" ht="10.5" customHeight="1">
      <c r="A1086" s="1"/>
      <c r="B1086" s="11" t="s">
        <v>151</v>
      </c>
      <c r="C1086" s="458" t="s">
        <v>10</v>
      </c>
      <c r="D1086" s="258" t="s">
        <v>10</v>
      </c>
      <c r="E1086" s="458" t="s">
        <v>10</v>
      </c>
      <c r="F1086" s="258" t="s">
        <v>10</v>
      </c>
      <c r="G1086" s="458" t="s">
        <v>10</v>
      </c>
      <c r="H1086" s="258" t="s">
        <v>10</v>
      </c>
      <c r="I1086" s="376">
        <v>1976.0</v>
      </c>
      <c r="J1086" s="258">
        <v>36.6</v>
      </c>
      <c r="K1086" s="1"/>
      <c r="L1086" s="1"/>
      <c r="M1086" s="1"/>
      <c r="N1086" s="1"/>
      <c r="O1086" s="1"/>
      <c r="P1086" s="1"/>
      <c r="Q1086" s="1"/>
      <c r="R1086" s="1"/>
      <c r="S1086" s="1"/>
      <c r="T1086" s="1"/>
      <c r="U1086" s="1"/>
      <c r="V1086" s="1"/>
      <c r="W1086" s="1"/>
      <c r="X1086" s="1"/>
      <c r="Y1086" s="1"/>
      <c r="Z1086" s="1"/>
    </row>
    <row r="1087" ht="10.5" customHeight="1">
      <c r="A1087" s="1"/>
      <c r="B1087" s="11" t="s">
        <v>153</v>
      </c>
      <c r="C1087" s="458" t="s">
        <v>10</v>
      </c>
      <c r="D1087" s="258" t="s">
        <v>10</v>
      </c>
      <c r="E1087" s="458" t="s">
        <v>10</v>
      </c>
      <c r="F1087" s="258" t="s">
        <v>10</v>
      </c>
      <c r="G1087" s="458" t="s">
        <v>10</v>
      </c>
      <c r="H1087" s="258" t="s">
        <v>10</v>
      </c>
      <c r="I1087" s="376">
        <v>2121.0</v>
      </c>
      <c r="J1087" s="258">
        <v>38.6</v>
      </c>
      <c r="K1087" s="1"/>
      <c r="L1087" s="1"/>
      <c r="M1087" s="1"/>
      <c r="N1087" s="1"/>
      <c r="O1087" s="1"/>
      <c r="P1087" s="1"/>
      <c r="Q1087" s="1"/>
      <c r="R1087" s="1"/>
      <c r="S1087" s="1"/>
      <c r="T1087" s="1"/>
      <c r="U1087" s="1"/>
      <c r="V1087" s="1"/>
      <c r="W1087" s="1"/>
      <c r="X1087" s="1"/>
      <c r="Y1087" s="1"/>
      <c r="Z1087" s="1"/>
    </row>
    <row r="1088" ht="10.5" customHeight="1">
      <c r="A1088" s="1"/>
      <c r="B1088" s="11"/>
      <c r="C1088" s="458"/>
      <c r="D1088" s="258"/>
      <c r="E1088" s="458"/>
      <c r="F1088" s="258"/>
      <c r="G1088" s="458"/>
      <c r="H1088" s="258"/>
      <c r="I1088" s="376"/>
      <c r="J1088" s="258"/>
      <c r="K1088" s="1"/>
      <c r="L1088" s="1"/>
      <c r="M1088" s="1"/>
      <c r="N1088" s="1"/>
      <c r="O1088" s="1"/>
      <c r="P1088" s="1"/>
      <c r="Q1088" s="1"/>
      <c r="R1088" s="1"/>
      <c r="S1088" s="1"/>
      <c r="T1088" s="1"/>
      <c r="U1088" s="1"/>
      <c r="V1088" s="1"/>
      <c r="W1088" s="1"/>
      <c r="X1088" s="1"/>
      <c r="Y1088" s="1"/>
      <c r="Z1088" s="1"/>
    </row>
    <row r="1089" ht="10.5" customHeight="1">
      <c r="A1089" s="1"/>
      <c r="B1089" s="11" t="s">
        <v>155</v>
      </c>
      <c r="C1089" s="458" t="s">
        <v>10</v>
      </c>
      <c r="D1089" s="258" t="s">
        <v>10</v>
      </c>
      <c r="E1089" s="458" t="s">
        <v>10</v>
      </c>
      <c r="F1089" s="258" t="s">
        <v>10</v>
      </c>
      <c r="G1089" s="458" t="s">
        <v>10</v>
      </c>
      <c r="H1089" s="258" t="s">
        <v>10</v>
      </c>
      <c r="I1089" s="376">
        <v>2126.0</v>
      </c>
      <c r="J1089" s="258" t="s">
        <v>1542</v>
      </c>
      <c r="K1089" s="1"/>
      <c r="L1089" s="1"/>
      <c r="M1089" s="1"/>
      <c r="N1089" s="1"/>
      <c r="O1089" s="1"/>
      <c r="P1089" s="1"/>
      <c r="Q1089" s="1"/>
      <c r="R1089" s="1"/>
      <c r="S1089" s="1"/>
      <c r="T1089" s="1"/>
      <c r="U1089" s="1"/>
      <c r="V1089" s="1"/>
      <c r="W1089" s="1"/>
      <c r="X1089" s="1"/>
      <c r="Y1089" s="1"/>
      <c r="Z1089" s="1"/>
    </row>
    <row r="1090" ht="10.5" customHeight="1">
      <c r="A1090" s="1"/>
      <c r="B1090" s="52" t="s">
        <v>160</v>
      </c>
      <c r="C1090" s="908" t="s">
        <v>10</v>
      </c>
      <c r="D1090" s="706" t="s">
        <v>10</v>
      </c>
      <c r="E1090" s="908" t="s">
        <v>10</v>
      </c>
      <c r="F1090" s="706" t="s">
        <v>10</v>
      </c>
      <c r="G1090" s="908" t="s">
        <v>10</v>
      </c>
      <c r="H1090" s="706" t="s">
        <v>10</v>
      </c>
      <c r="I1090" s="378">
        <v>2207.0</v>
      </c>
      <c r="J1090" s="706" t="s">
        <v>1543</v>
      </c>
      <c r="K1090" s="1"/>
      <c r="L1090" s="1"/>
      <c r="M1090" s="1"/>
      <c r="N1090" s="1"/>
      <c r="O1090" s="1"/>
      <c r="P1090" s="1"/>
      <c r="Q1090" s="1"/>
      <c r="R1090" s="1"/>
      <c r="S1090" s="1"/>
      <c r="T1090" s="1"/>
      <c r="U1090" s="1"/>
      <c r="V1090" s="1"/>
      <c r="W1090" s="1"/>
      <c r="X1090" s="1"/>
      <c r="Y1090" s="1"/>
      <c r="Z1090" s="1"/>
    </row>
    <row r="1091" ht="6.0" customHeight="1">
      <c r="A1091" s="1"/>
      <c r="B1091" s="242"/>
      <c r="C1091" s="909"/>
      <c r="D1091" s="910"/>
      <c r="E1091" s="909"/>
      <c r="F1091" s="910"/>
      <c r="G1091" s="909"/>
      <c r="H1091" s="910"/>
      <c r="I1091" s="708"/>
      <c r="J1091" s="910"/>
      <c r="K1091" s="1"/>
      <c r="L1091" s="1"/>
      <c r="M1091" s="1"/>
      <c r="N1091" s="1"/>
      <c r="O1091" s="1"/>
      <c r="P1091" s="1"/>
      <c r="Q1091" s="1"/>
      <c r="R1091" s="1"/>
      <c r="S1091" s="1"/>
      <c r="T1091" s="1"/>
      <c r="U1091" s="1"/>
      <c r="V1091" s="1"/>
      <c r="W1091" s="1"/>
      <c r="X1091" s="1"/>
      <c r="Y1091" s="1"/>
      <c r="Z1091" s="1"/>
    </row>
    <row r="1092" ht="9.75" customHeight="1">
      <c r="A1092" s="1"/>
      <c r="B1092" s="185" t="s">
        <v>1544</v>
      </c>
      <c r="C1092" s="185"/>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ht="10.5" customHeight="1">
      <c r="A1093" s="1"/>
      <c r="B1093" s="185" t="s">
        <v>1545</v>
      </c>
      <c r="C1093" s="185" t="s">
        <v>1546</v>
      </c>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ht="10.5" customHeight="1">
      <c r="A1094" s="1"/>
      <c r="B1094" s="185"/>
      <c r="C1094" s="185" t="s">
        <v>1547</v>
      </c>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ht="10.5" customHeight="1">
      <c r="A1095" s="1"/>
      <c r="B1095" s="186"/>
      <c r="C1095" s="905"/>
      <c r="D1095" s="15"/>
      <c r="E1095" s="15"/>
      <c r="F1095" s="15"/>
      <c r="G1095" s="15"/>
      <c r="H1095" s="15"/>
      <c r="I1095" s="15"/>
      <c r="J1095" s="15"/>
      <c r="K1095" s="1"/>
      <c r="L1095" s="1"/>
      <c r="M1095" s="1"/>
      <c r="N1095" s="1"/>
      <c r="O1095" s="1"/>
      <c r="P1095" s="1"/>
      <c r="Q1095" s="1"/>
      <c r="R1095" s="1"/>
      <c r="S1095" s="1"/>
      <c r="T1095" s="1"/>
      <c r="U1095" s="1"/>
      <c r="V1095" s="1"/>
      <c r="W1095" s="1"/>
      <c r="X1095" s="1"/>
      <c r="Y1095" s="1"/>
      <c r="Z1095" s="1"/>
    </row>
    <row r="1096" ht="10.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ht="10.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ht="10.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ht="10.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ht="10.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ht="10.5" customHeight="1">
      <c r="A1101" s="1"/>
      <c r="B1101" s="1"/>
      <c r="C1101" s="1"/>
      <c r="D1101" s="1"/>
      <c r="E1101" s="1"/>
      <c r="F1101" s="1"/>
      <c r="G1101" s="110">
        <v>73.0</v>
      </c>
      <c r="H1101" s="1"/>
      <c r="I1101" s="1"/>
      <c r="J1101" s="1"/>
      <c r="K1101" s="1"/>
      <c r="L1101" s="1"/>
      <c r="M1101" s="1"/>
      <c r="N1101" s="1"/>
      <c r="O1101" s="1"/>
      <c r="P1101" s="1"/>
      <c r="Q1101" s="1"/>
      <c r="R1101" s="1"/>
      <c r="S1101" s="1"/>
      <c r="T1101" s="1"/>
      <c r="U1101" s="1"/>
      <c r="V1101" s="1"/>
      <c r="W1101" s="1"/>
      <c r="X1101" s="1"/>
      <c r="Y1101" s="1"/>
      <c r="Z1101" s="1"/>
    </row>
    <row r="1102" ht="6.7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ht="9.0"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ht="9.0"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ht="9.0"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ht="9.0"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ht="9.0"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ht="6.7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ht="9.0"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ht="9.0"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ht="9.0"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ht="9.0"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ht="9.0"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ht="6.7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ht="9.0"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ht="9.0"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ht="9.0"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ht="9.0"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ht="9.0"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ht="6.7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ht="9.0"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ht="9.0"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ht="9.0"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ht="9.0"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ht="9.0"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ht="6.7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ht="9.0"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ht="9.0"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ht="9.0"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ht="9.0"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ht="9.0"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ht="6.7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ht="9.0"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ht="9.0"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ht="9.0"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ht="9.0"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ht="9.0"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ht="6.7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ht="9.0"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ht="9.0"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ht="9.0"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ht="11.25" customHeight="1">
      <c r="A1143" s="1"/>
      <c r="B1143" s="154"/>
      <c r="C1143" s="154"/>
      <c r="D1143" s="154"/>
      <c r="E1143" s="1"/>
      <c r="F1143" s="1"/>
      <c r="G1143" s="1"/>
      <c r="H1143" s="1"/>
      <c r="I1143" s="1"/>
      <c r="J1143" s="1"/>
      <c r="K1143" s="1"/>
      <c r="L1143" s="1"/>
      <c r="M1143" s="1"/>
      <c r="N1143" s="1"/>
      <c r="O1143" s="1"/>
      <c r="P1143" s="1"/>
      <c r="Q1143" s="1"/>
      <c r="R1143" s="1"/>
      <c r="S1143" s="1"/>
      <c r="T1143" s="1"/>
      <c r="U1143" s="1"/>
      <c r="V1143" s="1"/>
      <c r="W1143" s="1"/>
      <c r="X1143" s="1"/>
      <c r="Y1143" s="1"/>
      <c r="Z1143" s="1"/>
    </row>
  </sheetData>
  <mergeCells count="393">
    <mergeCell ref="C831:D831"/>
    <mergeCell ref="C830:D830"/>
    <mergeCell ref="C829:D829"/>
    <mergeCell ref="C836:D836"/>
    <mergeCell ref="C838:D838"/>
    <mergeCell ref="C832:D832"/>
    <mergeCell ref="C834:D834"/>
    <mergeCell ref="C833:D833"/>
    <mergeCell ref="C835:D835"/>
    <mergeCell ref="C837:D837"/>
    <mergeCell ref="G842:H842"/>
    <mergeCell ref="E842:F842"/>
    <mergeCell ref="G840:H840"/>
    <mergeCell ref="G839:H839"/>
    <mergeCell ref="G838:H838"/>
    <mergeCell ref="G837:H837"/>
    <mergeCell ref="E837:F837"/>
    <mergeCell ref="E848:F848"/>
    <mergeCell ref="E849:F849"/>
    <mergeCell ref="G848:H848"/>
    <mergeCell ref="G849:H849"/>
    <mergeCell ref="E839:F839"/>
    <mergeCell ref="E840:F840"/>
    <mergeCell ref="E838:F838"/>
    <mergeCell ref="B665:B668"/>
    <mergeCell ref="A691:A692"/>
    <mergeCell ref="B737:C738"/>
    <mergeCell ref="C827:D827"/>
    <mergeCell ref="G827:H827"/>
    <mergeCell ref="E832:F832"/>
    <mergeCell ref="E833:F833"/>
    <mergeCell ref="G835:H835"/>
    <mergeCell ref="E835:F835"/>
    <mergeCell ref="E836:F836"/>
    <mergeCell ref="G836:H836"/>
    <mergeCell ref="C840:D840"/>
    <mergeCell ref="C839:D839"/>
    <mergeCell ref="C849:D849"/>
    <mergeCell ref="C842:D842"/>
    <mergeCell ref="C843:D843"/>
    <mergeCell ref="C841:D841"/>
    <mergeCell ref="G841:H841"/>
    <mergeCell ref="E841:F841"/>
    <mergeCell ref="F973:G973"/>
    <mergeCell ref="F981:G981"/>
    <mergeCell ref="F980:G980"/>
    <mergeCell ref="F978:G978"/>
    <mergeCell ref="F977:G977"/>
    <mergeCell ref="F975:G975"/>
    <mergeCell ref="F1019:G1019"/>
    <mergeCell ref="F1017:G1017"/>
    <mergeCell ref="F969:G969"/>
    <mergeCell ref="F968:G968"/>
    <mergeCell ref="F1003:G1003"/>
    <mergeCell ref="F1006:G1006"/>
    <mergeCell ref="F1004:G1004"/>
    <mergeCell ref="F970:G970"/>
    <mergeCell ref="F1002:G1002"/>
    <mergeCell ref="F997:G997"/>
    <mergeCell ref="F998:G998"/>
    <mergeCell ref="F999:G999"/>
    <mergeCell ref="F990:G990"/>
    <mergeCell ref="F991:G991"/>
    <mergeCell ref="F989:G989"/>
    <mergeCell ref="F992:G992"/>
    <mergeCell ref="F972:G972"/>
    <mergeCell ref="F971:G971"/>
    <mergeCell ref="F986:G986"/>
    <mergeCell ref="F988:G988"/>
    <mergeCell ref="F987:G987"/>
    <mergeCell ref="F996:G996"/>
    <mergeCell ref="F995:G995"/>
    <mergeCell ref="F985:G985"/>
    <mergeCell ref="F984:G984"/>
    <mergeCell ref="C964:D964"/>
    <mergeCell ref="C977:D977"/>
    <mergeCell ref="C1012:D1012"/>
    <mergeCell ref="C1011:D1011"/>
    <mergeCell ref="C1013:D1013"/>
    <mergeCell ref="C1014:D1014"/>
    <mergeCell ref="C889:D889"/>
    <mergeCell ref="C962:D962"/>
    <mergeCell ref="C860:F860"/>
    <mergeCell ref="C1016:D1016"/>
    <mergeCell ref="F1016:G1016"/>
    <mergeCell ref="F1007:G1007"/>
    <mergeCell ref="F1008:G1008"/>
    <mergeCell ref="F962:G962"/>
    <mergeCell ref="F964:G964"/>
    <mergeCell ref="F963:G963"/>
    <mergeCell ref="F1015:G1015"/>
    <mergeCell ref="F1014:G1014"/>
    <mergeCell ref="F1012:G1012"/>
    <mergeCell ref="F1013:G1013"/>
    <mergeCell ref="E1032:F1032"/>
    <mergeCell ref="C1032:D1032"/>
    <mergeCell ref="I1032:J1032"/>
    <mergeCell ref="E889:F889"/>
    <mergeCell ref="G889:G890"/>
    <mergeCell ref="H889:H890"/>
    <mergeCell ref="C891:I891"/>
    <mergeCell ref="I889:I890"/>
    <mergeCell ref="G845:H845"/>
    <mergeCell ref="G846:H846"/>
    <mergeCell ref="G862:H862"/>
    <mergeCell ref="I862:J862"/>
    <mergeCell ref="G871:J871"/>
    <mergeCell ref="C965:D965"/>
    <mergeCell ref="C970:D970"/>
    <mergeCell ref="C825:D825"/>
    <mergeCell ref="C826:D826"/>
    <mergeCell ref="C823:D823"/>
    <mergeCell ref="C822:D822"/>
    <mergeCell ref="C820:D820"/>
    <mergeCell ref="C821:D821"/>
    <mergeCell ref="B817:B819"/>
    <mergeCell ref="C824:D824"/>
    <mergeCell ref="G820:H820"/>
    <mergeCell ref="G821:H821"/>
    <mergeCell ref="C818:D818"/>
    <mergeCell ref="C817:F817"/>
    <mergeCell ref="G817:H818"/>
    <mergeCell ref="C828:D828"/>
    <mergeCell ref="C819:J819"/>
    <mergeCell ref="E818:F818"/>
    <mergeCell ref="E825:F825"/>
    <mergeCell ref="E824:F824"/>
    <mergeCell ref="E820:F820"/>
    <mergeCell ref="G826:H826"/>
    <mergeCell ref="G828:H828"/>
    <mergeCell ref="C852:F852"/>
    <mergeCell ref="C853:F853"/>
    <mergeCell ref="C858:F858"/>
    <mergeCell ref="G858:H858"/>
    <mergeCell ref="C859:F859"/>
    <mergeCell ref="G859:H859"/>
    <mergeCell ref="G857:H857"/>
    <mergeCell ref="C857:F857"/>
    <mergeCell ref="C856:F856"/>
    <mergeCell ref="G852:H852"/>
    <mergeCell ref="G853:H853"/>
    <mergeCell ref="C862:F862"/>
    <mergeCell ref="C861:F861"/>
    <mergeCell ref="E844:F844"/>
    <mergeCell ref="G844:H844"/>
    <mergeCell ref="B872:J872"/>
    <mergeCell ref="B871:E871"/>
    <mergeCell ref="B875:H875"/>
    <mergeCell ref="B889:B891"/>
    <mergeCell ref="E845:F845"/>
    <mergeCell ref="C846:D846"/>
    <mergeCell ref="C848:D848"/>
    <mergeCell ref="C847:D847"/>
    <mergeCell ref="C854:F854"/>
    <mergeCell ref="G847:H847"/>
    <mergeCell ref="B874:H874"/>
    <mergeCell ref="I830:J830"/>
    <mergeCell ref="E830:F830"/>
    <mergeCell ref="G830:H830"/>
    <mergeCell ref="E828:F828"/>
    <mergeCell ref="E829:F829"/>
    <mergeCell ref="G831:H831"/>
    <mergeCell ref="E831:F831"/>
    <mergeCell ref="G829:H829"/>
    <mergeCell ref="I832:J832"/>
    <mergeCell ref="I831:J831"/>
    <mergeCell ref="G832:H832"/>
    <mergeCell ref="G833:H833"/>
    <mergeCell ref="G834:H834"/>
    <mergeCell ref="E834:F834"/>
    <mergeCell ref="I833:J833"/>
    <mergeCell ref="I846:J846"/>
    <mergeCell ref="I843:J843"/>
    <mergeCell ref="I845:J845"/>
    <mergeCell ref="I844:J844"/>
    <mergeCell ref="I847:J847"/>
    <mergeCell ref="I842:J842"/>
    <mergeCell ref="I838:J838"/>
    <mergeCell ref="G861:H861"/>
    <mergeCell ref="I841:J841"/>
    <mergeCell ref="I839:J839"/>
    <mergeCell ref="I840:J840"/>
    <mergeCell ref="E846:F846"/>
    <mergeCell ref="E847:F847"/>
    <mergeCell ref="E843:F843"/>
    <mergeCell ref="G843:H843"/>
    <mergeCell ref="F976:G976"/>
    <mergeCell ref="F982:G982"/>
    <mergeCell ref="F979:G979"/>
    <mergeCell ref="F1009:G1009"/>
    <mergeCell ref="F974:G974"/>
    <mergeCell ref="F966:G966"/>
    <mergeCell ref="F1005:G1005"/>
    <mergeCell ref="F1011:G1011"/>
    <mergeCell ref="C987:D987"/>
    <mergeCell ref="C966:D966"/>
    <mergeCell ref="B962:B964"/>
    <mergeCell ref="F1010:G1010"/>
    <mergeCell ref="C1010:D1010"/>
    <mergeCell ref="C1008:D1008"/>
    <mergeCell ref="C1009:D1009"/>
    <mergeCell ref="C985:D985"/>
    <mergeCell ref="C986:D986"/>
    <mergeCell ref="F983:G983"/>
    <mergeCell ref="C983:D983"/>
    <mergeCell ref="C984:D984"/>
    <mergeCell ref="C980:D980"/>
    <mergeCell ref="C982:D982"/>
    <mergeCell ref="C981:D981"/>
    <mergeCell ref="C974:D974"/>
    <mergeCell ref="C972:D972"/>
    <mergeCell ref="C973:D973"/>
    <mergeCell ref="C969:D969"/>
    <mergeCell ref="C968:D968"/>
    <mergeCell ref="C993:D993"/>
    <mergeCell ref="C991:D991"/>
    <mergeCell ref="C990:D990"/>
    <mergeCell ref="C989:D989"/>
    <mergeCell ref="C992:D992"/>
    <mergeCell ref="C995:D995"/>
    <mergeCell ref="C994:D994"/>
    <mergeCell ref="C988:D988"/>
    <mergeCell ref="C978:D978"/>
    <mergeCell ref="C979:D979"/>
    <mergeCell ref="C967:D967"/>
    <mergeCell ref="C975:D975"/>
    <mergeCell ref="C976:D976"/>
    <mergeCell ref="C971:D971"/>
    <mergeCell ref="F1020:G1020"/>
    <mergeCell ref="C1015:D1015"/>
    <mergeCell ref="C1020:D1020"/>
    <mergeCell ref="C1019:D1019"/>
    <mergeCell ref="B1032:B1034"/>
    <mergeCell ref="C1017:D1017"/>
    <mergeCell ref="G1032:H1032"/>
    <mergeCell ref="C998:D998"/>
    <mergeCell ref="C997:D997"/>
    <mergeCell ref="C996:D996"/>
    <mergeCell ref="C1002:D1002"/>
    <mergeCell ref="C1001:D1001"/>
    <mergeCell ref="C1007:D1007"/>
    <mergeCell ref="C1006:D1006"/>
    <mergeCell ref="C1004:D1004"/>
    <mergeCell ref="C1005:D1005"/>
    <mergeCell ref="C1003:D1003"/>
    <mergeCell ref="C999:D999"/>
    <mergeCell ref="C1000:D1000"/>
    <mergeCell ref="F994:G994"/>
    <mergeCell ref="F993:G993"/>
    <mergeCell ref="F965:G965"/>
    <mergeCell ref="F967:G967"/>
    <mergeCell ref="F1000:G1000"/>
    <mergeCell ref="F1001:G1001"/>
    <mergeCell ref="C963:D963"/>
    <mergeCell ref="E962:E964"/>
    <mergeCell ref="B741:C741"/>
    <mergeCell ref="B740:C740"/>
    <mergeCell ref="C763:C764"/>
    <mergeCell ref="B763:B765"/>
    <mergeCell ref="B751:C751"/>
    <mergeCell ref="B750:C750"/>
    <mergeCell ref="C765:D765"/>
    <mergeCell ref="D763:E763"/>
    <mergeCell ref="H763:H764"/>
    <mergeCell ref="F763:G763"/>
    <mergeCell ref="B748:C748"/>
    <mergeCell ref="B747:C747"/>
    <mergeCell ref="B742:C742"/>
    <mergeCell ref="B739:C739"/>
    <mergeCell ref="B749:K749"/>
    <mergeCell ref="B743:C743"/>
    <mergeCell ref="B757:L757"/>
    <mergeCell ref="D738:L738"/>
    <mergeCell ref="B744:C744"/>
    <mergeCell ref="B756:J756"/>
    <mergeCell ref="B746:C746"/>
    <mergeCell ref="B745:C745"/>
    <mergeCell ref="B648:J648"/>
    <mergeCell ref="B647:J647"/>
    <mergeCell ref="G666:H666"/>
    <mergeCell ref="K665:K667"/>
    <mergeCell ref="E666:F666"/>
    <mergeCell ref="C666:D666"/>
    <mergeCell ref="G665:J665"/>
    <mergeCell ref="C668:J668"/>
    <mergeCell ref="C665:F665"/>
    <mergeCell ref="C369:J369"/>
    <mergeCell ref="C367:G367"/>
    <mergeCell ref="H367:J367"/>
    <mergeCell ref="J229:K229"/>
    <mergeCell ref="N228:N229"/>
    <mergeCell ref="F291:F292"/>
    <mergeCell ref="G291:H291"/>
    <mergeCell ref="C291:C292"/>
    <mergeCell ref="D291:D292"/>
    <mergeCell ref="F293:G293"/>
    <mergeCell ref="C293:D293"/>
    <mergeCell ref="I441:J441"/>
    <mergeCell ref="C441:E441"/>
    <mergeCell ref="C231:N231"/>
    <mergeCell ref="D229:E229"/>
    <mergeCell ref="C229:C230"/>
    <mergeCell ref="F229:G229"/>
    <mergeCell ref="E291:E292"/>
    <mergeCell ref="C77:C78"/>
    <mergeCell ref="F77:G77"/>
    <mergeCell ref="I77:I78"/>
    <mergeCell ref="C79:K79"/>
    <mergeCell ref="K77:K78"/>
    <mergeCell ref="H77:H78"/>
    <mergeCell ref="J77:J78"/>
    <mergeCell ref="B77:B79"/>
    <mergeCell ref="C153:C154"/>
    <mergeCell ref="B153:B155"/>
    <mergeCell ref="D77:E77"/>
    <mergeCell ref="D2:E2"/>
    <mergeCell ref="B2:B4"/>
    <mergeCell ref="F2:F3"/>
    <mergeCell ref="C155:E155"/>
    <mergeCell ref="D4:E4"/>
    <mergeCell ref="D153:D154"/>
    <mergeCell ref="E153:F153"/>
    <mergeCell ref="I820:J820"/>
    <mergeCell ref="I817:J818"/>
    <mergeCell ref="I822:J822"/>
    <mergeCell ref="I824:J824"/>
    <mergeCell ref="I823:J823"/>
    <mergeCell ref="I826:J826"/>
    <mergeCell ref="I825:J825"/>
    <mergeCell ref="I829:J829"/>
    <mergeCell ref="I827:J827"/>
    <mergeCell ref="I828:J828"/>
    <mergeCell ref="I666:J666"/>
    <mergeCell ref="I821:J821"/>
    <mergeCell ref="L229:M229"/>
    <mergeCell ref="I763:J763"/>
    <mergeCell ref="I848:J848"/>
    <mergeCell ref="I853:J853"/>
    <mergeCell ref="I850:J850"/>
    <mergeCell ref="I852:J852"/>
    <mergeCell ref="I851:J851"/>
    <mergeCell ref="I849:J849"/>
    <mergeCell ref="I837:J837"/>
    <mergeCell ref="I836:J836"/>
    <mergeCell ref="I834:J834"/>
    <mergeCell ref="I835:J835"/>
    <mergeCell ref="I857:J857"/>
    <mergeCell ref="G856:H856"/>
    <mergeCell ref="I856:J856"/>
    <mergeCell ref="G854:H854"/>
    <mergeCell ref="I854:J854"/>
    <mergeCell ref="G850:H850"/>
    <mergeCell ref="G851:H851"/>
    <mergeCell ref="C851:F851"/>
    <mergeCell ref="C850:F850"/>
    <mergeCell ref="C844:D844"/>
    <mergeCell ref="C845:D845"/>
    <mergeCell ref="G860:H860"/>
    <mergeCell ref="I859:J859"/>
    <mergeCell ref="I858:J858"/>
    <mergeCell ref="I861:J861"/>
    <mergeCell ref="I860:J860"/>
    <mergeCell ref="G824:H824"/>
    <mergeCell ref="G825:H825"/>
    <mergeCell ref="G822:H822"/>
    <mergeCell ref="G823:H823"/>
    <mergeCell ref="E821:F821"/>
    <mergeCell ref="E823:F823"/>
    <mergeCell ref="E822:F822"/>
    <mergeCell ref="G441:G442"/>
    <mergeCell ref="G514:G515"/>
    <mergeCell ref="F590:G590"/>
    <mergeCell ref="F592:G592"/>
    <mergeCell ref="F441:F442"/>
    <mergeCell ref="F514:F516"/>
    <mergeCell ref="H229:I229"/>
    <mergeCell ref="C228:I228"/>
    <mergeCell ref="J228:M228"/>
    <mergeCell ref="B228:B231"/>
    <mergeCell ref="C514:E514"/>
    <mergeCell ref="C516:E516"/>
    <mergeCell ref="B590:B591"/>
    <mergeCell ref="B514:B515"/>
    <mergeCell ref="B441:B443"/>
    <mergeCell ref="B367:B369"/>
    <mergeCell ref="B291:B293"/>
    <mergeCell ref="E826:F826"/>
    <mergeCell ref="E827:F827"/>
    <mergeCell ref="H441:H442"/>
    <mergeCell ref="C443:E443"/>
    <mergeCell ref="G443:I443"/>
    <mergeCell ref="C590:E590"/>
    <mergeCell ref="C592:E592"/>
  </mergeCells>
  <printOptions/>
  <pageMargins bottom="0.75" footer="0.0" header="0.0" left="0.25" right="0.25" top="0.75"/>
  <pageSetup paperSize="9" orientation="portrait"/>
  <rowBreaks count="15" manualBreakCount="15">
    <brk id="512" man="1"/>
    <brk id="960" man="1"/>
    <brk id="289" man="1"/>
    <brk id="226" man="1"/>
    <brk id="1030" man="1"/>
    <brk id="75" man="1"/>
    <brk id="588" man="1"/>
    <brk id="365" man="1"/>
    <brk id="815" man="1"/>
    <brk id="151" man="1"/>
    <brk id="439" man="1"/>
    <brk id="663" man="1"/>
    <brk id="887" man="1"/>
    <brk id="760" man="1"/>
    <brk id="735"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10.86"/>
    <col customWidth="1" min="3" max="3" width="11.0"/>
    <col customWidth="1" min="4" max="4" width="10.43"/>
    <col customWidth="1" min="5" max="5" width="10.57"/>
    <col customWidth="1" min="6" max="11" width="10.71"/>
    <col customWidth="1" min="12" max="12" width="11.14"/>
    <col customWidth="1" min="13" max="13" width="11.0"/>
    <col customWidth="1" min="14" max="14" width="10.71"/>
    <col customWidth="1" min="15" max="15" width="10.29"/>
    <col customWidth="1" min="16" max="17" width="10.0"/>
    <col customWidth="1" min="18" max="18" width="10.14"/>
    <col customWidth="1" min="19" max="19" width="9.29"/>
    <col customWidth="1" min="20" max="21" width="9.14"/>
    <col customWidth="1" min="22" max="26" width="8.71"/>
  </cols>
  <sheetData>
    <row r="1" ht="11.25" customHeight="1">
      <c r="A1" s="1"/>
      <c r="B1" s="111" t="s">
        <v>1432</v>
      </c>
      <c r="C1" s="111"/>
      <c r="D1" s="111"/>
      <c r="E1" s="111"/>
      <c r="F1" s="111"/>
      <c r="G1" s="111"/>
      <c r="H1" s="111"/>
      <c r="I1" s="111"/>
      <c r="J1" s="1"/>
      <c r="K1" s="1"/>
      <c r="L1" s="1"/>
      <c r="M1" s="1"/>
      <c r="N1" s="1"/>
      <c r="O1" s="1"/>
      <c r="P1" s="1"/>
      <c r="Q1" s="1"/>
      <c r="R1" s="1"/>
      <c r="S1" s="1"/>
      <c r="T1" s="1"/>
      <c r="U1" s="1"/>
      <c r="V1" s="1"/>
      <c r="W1" s="1"/>
      <c r="X1" s="1"/>
      <c r="Y1" s="1"/>
      <c r="Z1" s="1"/>
    </row>
    <row r="2" ht="38.25" customHeight="1">
      <c r="A2" s="1"/>
      <c r="B2" s="189" t="s">
        <v>938</v>
      </c>
      <c r="C2" s="273" t="s">
        <v>1433</v>
      </c>
      <c r="D2" s="273" t="s">
        <v>1434</v>
      </c>
      <c r="E2" s="273" t="s">
        <v>1435</v>
      </c>
      <c r="F2" s="273" t="s">
        <v>1436</v>
      </c>
      <c r="G2" s="273" t="s">
        <v>1437</v>
      </c>
      <c r="H2" s="128" t="s">
        <v>1438</v>
      </c>
      <c r="I2" s="10"/>
      <c r="J2" s="1"/>
      <c r="K2" s="1"/>
      <c r="L2" s="1"/>
      <c r="M2" s="1"/>
      <c r="N2" s="1"/>
      <c r="O2" s="1"/>
      <c r="P2" s="1"/>
      <c r="Q2" s="1"/>
      <c r="R2" s="1"/>
      <c r="S2" s="1"/>
      <c r="T2" s="1"/>
      <c r="U2" s="1"/>
      <c r="V2" s="1"/>
      <c r="W2" s="1"/>
      <c r="X2" s="1"/>
      <c r="Y2" s="1"/>
      <c r="Z2" s="1"/>
    </row>
    <row r="3" ht="11.25" customHeight="1">
      <c r="A3" s="1"/>
      <c r="B3" s="6"/>
      <c r="C3" s="8" t="s">
        <v>1170</v>
      </c>
      <c r="D3" s="9"/>
      <c r="E3" s="9"/>
      <c r="F3" s="9"/>
      <c r="G3" s="9"/>
      <c r="H3" s="9"/>
      <c r="I3" s="10"/>
      <c r="J3" s="1"/>
      <c r="K3" s="1"/>
      <c r="L3" s="1"/>
      <c r="M3" s="1"/>
      <c r="N3" s="1"/>
      <c r="O3" s="1"/>
      <c r="P3" s="1"/>
      <c r="Q3" s="1"/>
      <c r="R3" s="1"/>
      <c r="S3" s="1"/>
      <c r="T3" s="1"/>
      <c r="U3" s="1"/>
      <c r="V3" s="1"/>
      <c r="W3" s="1"/>
      <c r="X3" s="1"/>
      <c r="Y3" s="1"/>
      <c r="Z3" s="1"/>
    </row>
    <row r="4" ht="10.5" customHeight="1">
      <c r="A4" s="1"/>
      <c r="B4" s="48" t="s">
        <v>264</v>
      </c>
      <c r="C4" s="250">
        <v>34.3</v>
      </c>
      <c r="D4" s="250">
        <v>50.7</v>
      </c>
      <c r="E4" s="250">
        <v>83.0</v>
      </c>
      <c r="F4" s="250">
        <v>97.8</v>
      </c>
      <c r="G4" s="250">
        <v>20.5</v>
      </c>
      <c r="H4" s="820">
        <v>429.3</v>
      </c>
      <c r="I4" s="87"/>
      <c r="J4" s="612"/>
      <c r="K4" s="1"/>
      <c r="L4" s="1"/>
      <c r="M4" s="1"/>
      <c r="N4" s="1"/>
      <c r="O4" s="1"/>
      <c r="P4" s="1"/>
      <c r="Q4" s="1"/>
      <c r="R4" s="1"/>
      <c r="S4" s="1"/>
      <c r="T4" s="1"/>
      <c r="U4" s="1"/>
      <c r="V4" s="1"/>
      <c r="W4" s="1"/>
      <c r="X4" s="1"/>
      <c r="Y4" s="1"/>
      <c r="Z4" s="1"/>
    </row>
    <row r="5" ht="10.5" customHeight="1">
      <c r="A5" s="1"/>
      <c r="B5" s="48" t="s">
        <v>267</v>
      </c>
      <c r="C5" s="250">
        <v>45.1</v>
      </c>
      <c r="D5" s="250">
        <v>56.6</v>
      </c>
      <c r="E5" s="250">
        <v>93.3</v>
      </c>
      <c r="F5" s="250">
        <v>100.3</v>
      </c>
      <c r="G5" s="250">
        <v>22.3</v>
      </c>
      <c r="H5" s="820">
        <v>475.3</v>
      </c>
      <c r="I5" s="87"/>
      <c r="J5" s="612"/>
      <c r="K5" s="1"/>
      <c r="L5" s="1"/>
      <c r="M5" s="1"/>
      <c r="N5" s="1"/>
      <c r="O5" s="1"/>
      <c r="P5" s="1"/>
      <c r="Q5" s="1"/>
      <c r="R5" s="1"/>
      <c r="S5" s="1"/>
      <c r="T5" s="1"/>
      <c r="U5" s="1"/>
      <c r="V5" s="1"/>
      <c r="W5" s="1"/>
      <c r="X5" s="1"/>
      <c r="Y5" s="1"/>
      <c r="Z5" s="1"/>
    </row>
    <row r="6" ht="10.5" customHeight="1">
      <c r="A6" s="1"/>
      <c r="B6" s="48" t="s">
        <v>268</v>
      </c>
      <c r="C6" s="250">
        <v>42.0</v>
      </c>
      <c r="D6" s="250">
        <v>62.1</v>
      </c>
      <c r="E6" s="250">
        <v>102.3</v>
      </c>
      <c r="F6" s="250">
        <v>111.2</v>
      </c>
      <c r="G6" s="250">
        <v>25.8</v>
      </c>
      <c r="H6" s="820">
        <v>521.0</v>
      </c>
      <c r="I6" s="87"/>
      <c r="J6" s="612"/>
      <c r="K6" s="1"/>
      <c r="L6" s="1"/>
      <c r="M6" s="1"/>
      <c r="N6" s="1"/>
      <c r="O6" s="1"/>
      <c r="P6" s="1"/>
      <c r="Q6" s="1"/>
      <c r="R6" s="1"/>
      <c r="S6" s="1"/>
      <c r="T6" s="1"/>
      <c r="U6" s="1"/>
      <c r="V6" s="1"/>
      <c r="W6" s="1"/>
      <c r="X6" s="1"/>
      <c r="Y6" s="1"/>
      <c r="Z6" s="1"/>
    </row>
    <row r="7" ht="10.5" customHeight="1">
      <c r="A7" s="1"/>
      <c r="B7" s="48" t="s">
        <v>269</v>
      </c>
      <c r="C7" s="250">
        <v>50.9</v>
      </c>
      <c r="D7" s="250">
        <v>83.4</v>
      </c>
      <c r="E7" s="250">
        <v>121.5</v>
      </c>
      <c r="F7" s="250">
        <v>152.4</v>
      </c>
      <c r="G7" s="250">
        <v>34.1</v>
      </c>
      <c r="H7" s="820">
        <v>660.2</v>
      </c>
      <c r="I7" s="87"/>
      <c r="J7" s="612"/>
      <c r="K7" s="1"/>
      <c r="L7" s="1"/>
      <c r="M7" s="1"/>
      <c r="N7" s="1"/>
      <c r="O7" s="1"/>
      <c r="P7" s="1"/>
      <c r="Q7" s="1"/>
      <c r="R7" s="1"/>
      <c r="S7" s="1"/>
      <c r="T7" s="1"/>
      <c r="U7" s="1"/>
      <c r="V7" s="1"/>
      <c r="W7" s="1"/>
      <c r="X7" s="1"/>
      <c r="Y7" s="1"/>
      <c r="Z7" s="1"/>
    </row>
    <row r="8" ht="10.5" customHeight="1">
      <c r="A8" s="1"/>
      <c r="B8" s="48" t="s">
        <v>270</v>
      </c>
      <c r="C8" s="250">
        <v>56.8</v>
      </c>
      <c r="D8" s="250">
        <v>105.4</v>
      </c>
      <c r="E8" s="250">
        <v>163.7</v>
      </c>
      <c r="F8" s="250">
        <v>189.9</v>
      </c>
      <c r="G8" s="250">
        <v>46.6</v>
      </c>
      <c r="H8" s="820">
        <v>806.1</v>
      </c>
      <c r="I8" s="87"/>
      <c r="J8" s="612"/>
      <c r="K8" s="1"/>
      <c r="L8" s="1"/>
      <c r="M8" s="1"/>
      <c r="N8" s="1"/>
      <c r="O8" s="1"/>
      <c r="P8" s="1"/>
      <c r="Q8" s="1"/>
      <c r="R8" s="1"/>
      <c r="S8" s="1"/>
      <c r="T8" s="1"/>
      <c r="U8" s="1"/>
      <c r="V8" s="1"/>
      <c r="W8" s="1"/>
      <c r="X8" s="1"/>
      <c r="Y8" s="1"/>
      <c r="Z8" s="1"/>
    </row>
    <row r="9" ht="10.5" customHeight="1">
      <c r="A9" s="1"/>
      <c r="B9" s="48"/>
      <c r="C9" s="250"/>
      <c r="D9" s="250"/>
      <c r="E9" s="250"/>
      <c r="F9" s="250"/>
      <c r="G9" s="250"/>
      <c r="H9" s="820"/>
      <c r="I9" s="87"/>
      <c r="J9" s="1"/>
      <c r="K9" s="1"/>
      <c r="L9" s="1"/>
      <c r="M9" s="1"/>
      <c r="N9" s="1"/>
      <c r="O9" s="1"/>
      <c r="P9" s="1"/>
      <c r="Q9" s="1"/>
      <c r="R9" s="1"/>
      <c r="S9" s="1"/>
      <c r="T9" s="1"/>
      <c r="U9" s="1"/>
      <c r="V9" s="1"/>
      <c r="W9" s="1"/>
      <c r="X9" s="1"/>
      <c r="Y9" s="1"/>
      <c r="Z9" s="1"/>
    </row>
    <row r="10" ht="10.5" customHeight="1">
      <c r="A10" s="1"/>
      <c r="B10" s="48" t="s">
        <v>271</v>
      </c>
      <c r="C10" s="250">
        <v>60.0</v>
      </c>
      <c r="D10" s="250">
        <v>132.6</v>
      </c>
      <c r="E10" s="250">
        <v>213.9</v>
      </c>
      <c r="F10" s="250">
        <v>214.2</v>
      </c>
      <c r="G10" s="250">
        <v>81.1</v>
      </c>
      <c r="H10" s="820">
        <v>1002.8</v>
      </c>
      <c r="I10" s="87"/>
      <c r="J10" s="612"/>
      <c r="K10" s="1"/>
      <c r="L10" s="1"/>
      <c r="M10" s="1"/>
      <c r="N10" s="1"/>
      <c r="O10" s="1"/>
      <c r="P10" s="1"/>
      <c r="Q10" s="1"/>
      <c r="R10" s="1"/>
      <c r="S10" s="1"/>
      <c r="T10" s="1"/>
      <c r="U10" s="1"/>
      <c r="V10" s="1"/>
      <c r="W10" s="1"/>
      <c r="X10" s="1"/>
      <c r="Y10" s="1"/>
      <c r="Z10" s="1"/>
    </row>
    <row r="11" ht="10.5" customHeight="1">
      <c r="A11" s="1"/>
      <c r="B11" s="48" t="s">
        <v>272</v>
      </c>
      <c r="C11" s="250">
        <v>63.0</v>
      </c>
      <c r="D11" s="250">
        <v>167.9</v>
      </c>
      <c r="E11" s="250">
        <v>250.8</v>
      </c>
      <c r="F11" s="250">
        <v>252.4</v>
      </c>
      <c r="G11" s="250">
        <v>127.6</v>
      </c>
      <c r="H11" s="820">
        <v>1202.2</v>
      </c>
      <c r="I11" s="87"/>
      <c r="J11" s="612"/>
      <c r="K11" s="1"/>
      <c r="L11" s="1"/>
      <c r="M11" s="1"/>
      <c r="N11" s="1"/>
      <c r="O11" s="1"/>
      <c r="P11" s="1"/>
      <c r="Q11" s="1"/>
      <c r="R11" s="1"/>
      <c r="S11" s="1"/>
      <c r="T11" s="1"/>
      <c r="U11" s="1"/>
      <c r="V11" s="1"/>
      <c r="W11" s="1"/>
      <c r="X11" s="1"/>
      <c r="Y11" s="1"/>
      <c r="Z11" s="1"/>
    </row>
    <row r="12" ht="10.5" customHeight="1">
      <c r="A12" s="1"/>
      <c r="B12" s="48" t="s">
        <v>274</v>
      </c>
      <c r="C12" s="250">
        <v>66.0</v>
      </c>
      <c r="D12" s="250">
        <v>190.1</v>
      </c>
      <c r="E12" s="250">
        <v>287.8</v>
      </c>
      <c r="F12" s="250">
        <v>290.6</v>
      </c>
      <c r="G12" s="250">
        <v>121.2</v>
      </c>
      <c r="H12" s="820">
        <v>1352.2</v>
      </c>
      <c r="I12" s="87"/>
      <c r="J12" s="612"/>
      <c r="K12" s="1"/>
      <c r="L12" s="1"/>
      <c r="M12" s="1"/>
      <c r="N12" s="1"/>
      <c r="O12" s="1"/>
      <c r="P12" s="1"/>
      <c r="Q12" s="1"/>
      <c r="R12" s="1"/>
      <c r="S12" s="1"/>
      <c r="T12" s="1"/>
      <c r="U12" s="1"/>
      <c r="V12" s="1"/>
      <c r="W12" s="1"/>
      <c r="X12" s="1"/>
      <c r="Y12" s="1"/>
      <c r="Z12" s="1"/>
    </row>
    <row r="13" ht="10.5" customHeight="1">
      <c r="A13" s="1"/>
      <c r="B13" s="48" t="s">
        <v>275</v>
      </c>
      <c r="C13" s="250">
        <v>74.5</v>
      </c>
      <c r="D13" s="250">
        <v>241.4</v>
      </c>
      <c r="E13" s="250">
        <v>355.1</v>
      </c>
      <c r="F13" s="250">
        <v>321.1</v>
      </c>
      <c r="G13" s="250">
        <v>195.1</v>
      </c>
      <c r="H13" s="820">
        <v>1646.4</v>
      </c>
      <c r="I13" s="87"/>
      <c r="J13" s="612"/>
      <c r="K13" s="1"/>
      <c r="L13" s="1"/>
      <c r="M13" s="1"/>
      <c r="N13" s="1"/>
      <c r="O13" s="1"/>
      <c r="P13" s="1"/>
      <c r="Q13" s="1"/>
      <c r="R13" s="1"/>
      <c r="S13" s="1"/>
      <c r="T13" s="1"/>
      <c r="U13" s="1"/>
      <c r="V13" s="1"/>
      <c r="W13" s="1"/>
      <c r="X13" s="1"/>
      <c r="Y13" s="1"/>
      <c r="Z13" s="1"/>
    </row>
    <row r="14" ht="10.5" customHeight="1">
      <c r="A14" s="1"/>
      <c r="B14" s="48" t="s">
        <v>276</v>
      </c>
      <c r="C14" s="250">
        <v>87.8</v>
      </c>
      <c r="D14" s="250">
        <v>368.8</v>
      </c>
      <c r="E14" s="250">
        <v>431.8</v>
      </c>
      <c r="F14" s="250">
        <v>401.2</v>
      </c>
      <c r="G14" s="250">
        <v>218.1</v>
      </c>
      <c r="H14" s="820">
        <v>2034.0</v>
      </c>
      <c r="I14" s="87"/>
      <c r="J14" s="612"/>
      <c r="K14" s="1"/>
      <c r="L14" s="1"/>
      <c r="M14" s="1"/>
      <c r="N14" s="1"/>
      <c r="O14" s="1"/>
      <c r="P14" s="1"/>
      <c r="Q14" s="1"/>
      <c r="R14" s="1"/>
      <c r="S14" s="1"/>
      <c r="T14" s="1"/>
      <c r="U14" s="1"/>
      <c r="V14" s="1"/>
      <c r="W14" s="1"/>
      <c r="X14" s="1"/>
      <c r="Y14" s="1"/>
      <c r="Z14" s="1"/>
    </row>
    <row r="15" ht="10.5" customHeight="1">
      <c r="A15" s="1"/>
      <c r="B15" s="48"/>
      <c r="C15" s="250"/>
      <c r="D15" s="250"/>
      <c r="E15" s="250"/>
      <c r="F15" s="250"/>
      <c r="G15" s="250"/>
      <c r="H15" s="820"/>
      <c r="I15" s="87"/>
      <c r="J15" s="1"/>
      <c r="K15" s="1"/>
      <c r="L15" s="1"/>
      <c r="M15" s="1"/>
      <c r="N15" s="1"/>
      <c r="O15" s="1"/>
      <c r="P15" s="1"/>
      <c r="Q15" s="1"/>
      <c r="R15" s="1"/>
      <c r="S15" s="1"/>
      <c r="T15" s="1"/>
      <c r="U15" s="1"/>
      <c r="V15" s="1"/>
      <c r="W15" s="1"/>
      <c r="X15" s="1"/>
      <c r="Y15" s="1"/>
      <c r="Z15" s="1"/>
    </row>
    <row r="16" ht="10.5" customHeight="1">
      <c r="A16" s="1"/>
      <c r="B16" s="48" t="s">
        <v>56</v>
      </c>
      <c r="C16" s="250">
        <v>106.0</v>
      </c>
      <c r="D16" s="250">
        <v>404.5</v>
      </c>
      <c r="E16" s="250">
        <v>493.5</v>
      </c>
      <c r="F16" s="250">
        <v>547.4</v>
      </c>
      <c r="G16" s="250">
        <v>265.3</v>
      </c>
      <c r="H16" s="820">
        <v>2444.2</v>
      </c>
      <c r="I16" s="87"/>
      <c r="J16" s="612"/>
      <c r="K16" s="1"/>
      <c r="L16" s="1"/>
      <c r="M16" s="1"/>
      <c r="N16" s="1"/>
      <c r="O16" s="1"/>
      <c r="P16" s="1"/>
      <c r="Q16" s="1"/>
      <c r="R16" s="1"/>
      <c r="S16" s="1"/>
      <c r="T16" s="1"/>
      <c r="U16" s="1"/>
      <c r="V16" s="1"/>
      <c r="W16" s="1"/>
      <c r="X16" s="1"/>
      <c r="Y16" s="1"/>
      <c r="Z16" s="1"/>
    </row>
    <row r="17" ht="10.5" customHeight="1">
      <c r="A17" s="1"/>
      <c r="B17" s="48" t="s">
        <v>81</v>
      </c>
      <c r="C17" s="250">
        <v>116.4</v>
      </c>
      <c r="D17" s="250">
        <v>532.3</v>
      </c>
      <c r="E17" s="250">
        <v>478.5</v>
      </c>
      <c r="F17" s="250">
        <v>719.7</v>
      </c>
      <c r="G17" s="250">
        <v>291.5</v>
      </c>
      <c r="H17" s="820">
        <v>2887.7</v>
      </c>
      <c r="I17" s="87"/>
      <c r="J17" s="612"/>
      <c r="K17" s="1"/>
      <c r="L17" s="1"/>
      <c r="M17" s="1"/>
      <c r="N17" s="1"/>
      <c r="O17" s="1"/>
      <c r="P17" s="1"/>
      <c r="Q17" s="1"/>
      <c r="R17" s="1"/>
      <c r="S17" s="1"/>
      <c r="T17" s="1"/>
      <c r="U17" s="1"/>
      <c r="V17" s="1"/>
      <c r="W17" s="1"/>
      <c r="X17" s="1"/>
      <c r="Y17" s="1"/>
      <c r="Z17" s="1"/>
    </row>
    <row r="18" ht="10.5" customHeight="1">
      <c r="A18" s="1"/>
      <c r="B18" s="48" t="s">
        <v>86</v>
      </c>
      <c r="C18" s="250">
        <v>122.1</v>
      </c>
      <c r="D18" s="250">
        <v>579.2</v>
      </c>
      <c r="E18" s="250">
        <v>367.1</v>
      </c>
      <c r="F18" s="250">
        <v>867.9</v>
      </c>
      <c r="G18" s="250">
        <v>296.6</v>
      </c>
      <c r="H18" s="820">
        <v>3136.1</v>
      </c>
      <c r="I18" s="87"/>
      <c r="J18" s="612"/>
      <c r="K18" s="1"/>
      <c r="L18" s="1"/>
      <c r="M18" s="1"/>
      <c r="N18" s="1"/>
      <c r="O18" s="1"/>
      <c r="P18" s="1"/>
      <c r="Q18" s="1"/>
      <c r="R18" s="1"/>
      <c r="S18" s="1"/>
      <c r="T18" s="1"/>
      <c r="U18" s="1"/>
      <c r="V18" s="1"/>
      <c r="W18" s="1"/>
      <c r="X18" s="1"/>
      <c r="Y18" s="1"/>
      <c r="Z18" s="1"/>
    </row>
    <row r="19" ht="10.5" customHeight="1">
      <c r="A19" s="1"/>
      <c r="B19" s="48" t="s">
        <v>87</v>
      </c>
      <c r="C19" s="250">
        <v>148.5</v>
      </c>
      <c r="D19" s="250">
        <v>559.4</v>
      </c>
      <c r="E19" s="250">
        <v>461.8</v>
      </c>
      <c r="F19" s="250">
        <v>995.7</v>
      </c>
      <c r="G19" s="250">
        <v>299.4</v>
      </c>
      <c r="H19" s="820">
        <v>3511.9</v>
      </c>
      <c r="I19" s="87"/>
      <c r="J19" s="612"/>
      <c r="K19" s="1"/>
      <c r="L19" s="1"/>
      <c r="M19" s="1"/>
      <c r="N19" s="1"/>
      <c r="O19" s="1"/>
      <c r="P19" s="1"/>
      <c r="Q19" s="1"/>
      <c r="R19" s="1"/>
      <c r="S19" s="1"/>
      <c r="T19" s="1"/>
      <c r="U19" s="1"/>
      <c r="V19" s="1"/>
      <c r="W19" s="1"/>
      <c r="X19" s="1"/>
      <c r="Y19" s="1"/>
      <c r="Z19" s="1"/>
    </row>
    <row r="20" ht="10.5" customHeight="1">
      <c r="A20" s="1"/>
      <c r="B20" s="48" t="s">
        <v>90</v>
      </c>
      <c r="C20" s="250">
        <v>174.8</v>
      </c>
      <c r="D20" s="250">
        <v>640.7</v>
      </c>
      <c r="E20" s="250">
        <v>630.5</v>
      </c>
      <c r="F20" s="250">
        <v>940.4</v>
      </c>
      <c r="G20" s="250">
        <v>427.9</v>
      </c>
      <c r="H20" s="820">
        <v>4027.7</v>
      </c>
      <c r="I20" s="87"/>
      <c r="J20" s="612"/>
      <c r="K20" s="1"/>
      <c r="L20" s="1"/>
      <c r="M20" s="1"/>
      <c r="N20" s="1"/>
      <c r="O20" s="1"/>
      <c r="P20" s="1"/>
      <c r="Q20" s="1"/>
      <c r="R20" s="1"/>
      <c r="S20" s="1"/>
      <c r="T20" s="1"/>
      <c r="U20" s="1"/>
      <c r="V20" s="1"/>
      <c r="W20" s="1"/>
      <c r="X20" s="1"/>
      <c r="Y20" s="1"/>
      <c r="Z20" s="1"/>
    </row>
    <row r="21" ht="10.5" customHeight="1">
      <c r="A21" s="1"/>
      <c r="B21" s="48"/>
      <c r="C21" s="250"/>
      <c r="D21" s="250"/>
      <c r="E21" s="250"/>
      <c r="F21" s="250"/>
      <c r="G21" s="250"/>
      <c r="H21" s="820"/>
      <c r="I21" s="87"/>
      <c r="J21" s="1"/>
      <c r="K21" s="1"/>
      <c r="L21" s="1"/>
      <c r="M21" s="1"/>
      <c r="N21" s="1"/>
      <c r="O21" s="1"/>
      <c r="P21" s="1"/>
      <c r="Q21" s="1"/>
      <c r="R21" s="1"/>
      <c r="S21" s="1"/>
      <c r="T21" s="1"/>
      <c r="U21" s="1"/>
      <c r="V21" s="1"/>
      <c r="W21" s="1"/>
      <c r="X21" s="1"/>
      <c r="Y21" s="1"/>
      <c r="Z21" s="1"/>
    </row>
    <row r="22" ht="10.5" customHeight="1">
      <c r="A22" s="1"/>
      <c r="B22" s="48" t="s">
        <v>93</v>
      </c>
      <c r="C22" s="250">
        <v>188.1</v>
      </c>
      <c r="D22" s="250">
        <v>788.9</v>
      </c>
      <c r="E22" s="250">
        <v>730.6</v>
      </c>
      <c r="F22" s="250">
        <v>936.6</v>
      </c>
      <c r="G22" s="250">
        <v>528.0</v>
      </c>
      <c r="H22" s="820">
        <v>4585.1</v>
      </c>
      <c r="I22" s="87"/>
      <c r="J22" s="612"/>
      <c r="K22" s="1"/>
      <c r="L22" s="1"/>
      <c r="M22" s="1"/>
      <c r="N22" s="1"/>
      <c r="O22" s="1"/>
      <c r="P22" s="1"/>
      <c r="Q22" s="1"/>
      <c r="R22" s="1"/>
      <c r="S22" s="1"/>
      <c r="T22" s="1"/>
      <c r="U22" s="1"/>
      <c r="V22" s="1"/>
      <c r="W22" s="1"/>
      <c r="X22" s="1"/>
      <c r="Y22" s="1"/>
      <c r="Z22" s="1"/>
    </row>
    <row r="23" ht="10.5" customHeight="1">
      <c r="A23" s="1"/>
      <c r="B23" s="48" t="s">
        <v>97</v>
      </c>
      <c r="C23" s="250">
        <v>259.0</v>
      </c>
      <c r="D23" s="250">
        <v>729.0</v>
      </c>
      <c r="E23" s="250">
        <v>758.4</v>
      </c>
      <c r="F23" s="250">
        <v>1027.1</v>
      </c>
      <c r="G23" s="250">
        <v>584.0</v>
      </c>
      <c r="H23" s="820">
        <v>5007.9</v>
      </c>
      <c r="I23" s="87"/>
      <c r="J23" s="612"/>
      <c r="K23" s="1"/>
      <c r="L23" s="1"/>
      <c r="M23" s="1"/>
      <c r="N23" s="1"/>
      <c r="O23" s="1"/>
      <c r="P23" s="1"/>
      <c r="Q23" s="1"/>
      <c r="R23" s="1"/>
      <c r="S23" s="1"/>
      <c r="T23" s="1"/>
      <c r="U23" s="1"/>
      <c r="V23" s="1"/>
      <c r="W23" s="1"/>
      <c r="X23" s="1"/>
      <c r="Y23" s="1"/>
      <c r="Z23" s="1"/>
    </row>
    <row r="24" ht="10.5" customHeight="1">
      <c r="A24" s="1"/>
      <c r="B24" s="48" t="s">
        <v>101</v>
      </c>
      <c r="C24" s="250">
        <v>304.3</v>
      </c>
      <c r="D24" s="250">
        <v>644.0</v>
      </c>
      <c r="E24" s="250">
        <v>831.9</v>
      </c>
      <c r="F24" s="250">
        <v>1208.3</v>
      </c>
      <c r="G24" s="250">
        <v>612.5</v>
      </c>
      <c r="H24" s="820">
        <v>5573.7</v>
      </c>
      <c r="I24" s="87"/>
      <c r="J24" s="612"/>
      <c r="K24" s="1"/>
      <c r="L24" s="1"/>
      <c r="M24" s="1"/>
      <c r="N24" s="1"/>
      <c r="O24" s="1"/>
      <c r="P24" s="1"/>
      <c r="Q24" s="1"/>
      <c r="R24" s="1"/>
      <c r="S24" s="1"/>
      <c r="T24" s="1"/>
      <c r="U24" s="1"/>
      <c r="V24" s="1"/>
      <c r="W24" s="1"/>
      <c r="X24" s="1"/>
      <c r="Y24" s="1"/>
      <c r="Z24" s="1"/>
    </row>
    <row r="25" ht="10.5" customHeight="1">
      <c r="A25" s="1"/>
      <c r="B25" s="48" t="s">
        <v>103</v>
      </c>
      <c r="C25" s="250">
        <v>370.9</v>
      </c>
      <c r="D25" s="250">
        <v>867.0</v>
      </c>
      <c r="E25" s="250">
        <v>977.6</v>
      </c>
      <c r="F25" s="250">
        <v>1529.3</v>
      </c>
      <c r="G25" s="250">
        <v>669.2</v>
      </c>
      <c r="H25" s="820">
        <v>6564.8</v>
      </c>
      <c r="I25" s="87"/>
      <c r="J25" s="612"/>
      <c r="K25" s="1"/>
      <c r="L25" s="1"/>
      <c r="M25" s="1"/>
      <c r="N25" s="1"/>
      <c r="O25" s="1"/>
      <c r="P25" s="1"/>
      <c r="Q25" s="1"/>
      <c r="R25" s="1"/>
      <c r="S25" s="1"/>
      <c r="T25" s="1"/>
      <c r="U25" s="1"/>
      <c r="V25" s="1"/>
      <c r="W25" s="1"/>
      <c r="X25" s="1"/>
      <c r="Y25" s="1"/>
      <c r="Z25" s="1"/>
    </row>
    <row r="26" ht="10.5" customHeight="1">
      <c r="A26" s="1"/>
      <c r="B26" s="48" t="s">
        <v>104</v>
      </c>
      <c r="C26" s="250">
        <v>418.9</v>
      </c>
      <c r="D26" s="250">
        <v>1074.2</v>
      </c>
      <c r="E26" s="250">
        <v>1004.6</v>
      </c>
      <c r="F26" s="250">
        <v>1744.9</v>
      </c>
      <c r="G26" s="250">
        <v>649.3</v>
      </c>
      <c r="H26" s="820">
        <v>7404.6</v>
      </c>
      <c r="I26" s="87"/>
      <c r="J26" s="612"/>
      <c r="K26" s="1"/>
      <c r="L26" s="1"/>
      <c r="M26" s="1"/>
      <c r="N26" s="1"/>
      <c r="O26" s="1"/>
      <c r="P26" s="1"/>
      <c r="Q26" s="1"/>
      <c r="R26" s="1"/>
      <c r="S26" s="1"/>
      <c r="T26" s="1"/>
      <c r="U26" s="1"/>
      <c r="V26" s="1"/>
      <c r="W26" s="1"/>
      <c r="X26" s="1"/>
      <c r="Y26" s="1"/>
      <c r="Z26" s="1"/>
    </row>
    <row r="27" ht="10.5" customHeight="1">
      <c r="A27" s="1"/>
      <c r="B27" s="48"/>
      <c r="C27" s="250"/>
      <c r="D27" s="250"/>
      <c r="E27" s="250"/>
      <c r="F27" s="250"/>
      <c r="G27" s="250"/>
      <c r="H27" s="820"/>
      <c r="I27" s="87"/>
      <c r="J27" s="1"/>
      <c r="K27" s="1"/>
      <c r="L27" s="1"/>
      <c r="M27" s="1"/>
      <c r="N27" s="1"/>
      <c r="O27" s="1"/>
      <c r="P27" s="1"/>
      <c r="Q27" s="1"/>
      <c r="R27" s="1"/>
      <c r="S27" s="1"/>
      <c r="T27" s="1"/>
      <c r="U27" s="1"/>
      <c r="V27" s="1"/>
      <c r="W27" s="1"/>
      <c r="X27" s="1"/>
      <c r="Y27" s="1"/>
      <c r="Z27" s="1"/>
    </row>
    <row r="28" ht="10.5" customHeight="1">
      <c r="A28" s="1"/>
      <c r="B28" s="48" t="s">
        <v>108</v>
      </c>
      <c r="C28" s="250">
        <v>471.6</v>
      </c>
      <c r="D28" s="250">
        <v>1234.3</v>
      </c>
      <c r="E28" s="250">
        <v>1003.8</v>
      </c>
      <c r="F28" s="250">
        <v>1920.4</v>
      </c>
      <c r="G28" s="250">
        <v>812.3</v>
      </c>
      <c r="H28" s="820">
        <v>8235.8</v>
      </c>
      <c r="I28" s="87"/>
      <c r="J28" s="612"/>
      <c r="K28" s="1"/>
      <c r="L28" s="1"/>
      <c r="M28" s="1"/>
      <c r="N28" s="1"/>
      <c r="O28" s="1"/>
      <c r="P28" s="1"/>
      <c r="Q28" s="1"/>
      <c r="R28" s="1"/>
      <c r="S28" s="1"/>
      <c r="T28" s="1"/>
      <c r="U28" s="1"/>
      <c r="V28" s="1"/>
      <c r="W28" s="1"/>
      <c r="X28" s="1"/>
      <c r="Y28" s="1"/>
      <c r="Z28" s="1"/>
    </row>
    <row r="29" ht="10.5" customHeight="1">
      <c r="A29" s="1"/>
      <c r="B29" s="48" t="s">
        <v>111</v>
      </c>
      <c r="C29" s="250">
        <v>492.1</v>
      </c>
      <c r="D29" s="250">
        <v>1331.2</v>
      </c>
      <c r="E29" s="250">
        <v>1064.8</v>
      </c>
      <c r="F29" s="250">
        <v>2139.5</v>
      </c>
      <c r="G29" s="250">
        <v>873.0</v>
      </c>
      <c r="H29" s="820">
        <v>9031.4</v>
      </c>
      <c r="I29" s="87"/>
      <c r="J29" s="612"/>
      <c r="K29" s="1"/>
      <c r="L29" s="1"/>
      <c r="M29" s="1"/>
      <c r="N29" s="1"/>
      <c r="O29" s="1"/>
      <c r="P29" s="1"/>
      <c r="Q29" s="1"/>
      <c r="R29" s="1"/>
      <c r="S29" s="1"/>
      <c r="T29" s="1"/>
      <c r="U29" s="1"/>
      <c r="V29" s="1"/>
      <c r="W29" s="1"/>
      <c r="X29" s="1"/>
      <c r="Y29" s="1"/>
      <c r="Z29" s="1"/>
    </row>
    <row r="30" ht="10.5" customHeight="1">
      <c r="A30" s="1"/>
      <c r="B30" s="48" t="s">
        <v>112</v>
      </c>
      <c r="C30" s="250">
        <v>753.8</v>
      </c>
      <c r="D30" s="250">
        <v>1423.2</v>
      </c>
      <c r="E30" s="250">
        <v>1070.2</v>
      </c>
      <c r="F30" s="250">
        <v>2408.5</v>
      </c>
      <c r="G30" s="250">
        <v>955.3</v>
      </c>
      <c r="H30" s="820">
        <v>10434.5</v>
      </c>
      <c r="I30" s="87"/>
      <c r="J30" s="612"/>
      <c r="K30" s="1"/>
      <c r="L30" s="1"/>
      <c r="M30" s="1"/>
      <c r="N30" s="1"/>
      <c r="O30" s="1"/>
      <c r="P30" s="1"/>
      <c r="Q30" s="1"/>
      <c r="R30" s="1"/>
      <c r="S30" s="1"/>
      <c r="T30" s="1"/>
      <c r="U30" s="1"/>
      <c r="V30" s="1"/>
      <c r="W30" s="1"/>
      <c r="X30" s="1"/>
      <c r="Y30" s="1"/>
      <c r="Z30" s="1"/>
    </row>
    <row r="31" ht="10.5" customHeight="1">
      <c r="A31" s="1"/>
      <c r="B31" s="48" t="s">
        <v>113</v>
      </c>
      <c r="C31" s="250">
        <v>825.9</v>
      </c>
      <c r="D31" s="250">
        <v>1671.4</v>
      </c>
      <c r="E31" s="250">
        <v>1243.6</v>
      </c>
      <c r="F31" s="250">
        <v>2648.6</v>
      </c>
      <c r="G31" s="250">
        <v>1075.8</v>
      </c>
      <c r="H31" s="820">
        <v>11840.4</v>
      </c>
      <c r="I31" s="87"/>
      <c r="J31" s="612"/>
      <c r="K31" s="1"/>
      <c r="L31" s="1"/>
      <c r="M31" s="1"/>
      <c r="N31" s="1"/>
      <c r="O31" s="1"/>
      <c r="P31" s="1"/>
      <c r="Q31" s="1"/>
      <c r="R31" s="1"/>
      <c r="S31" s="1"/>
      <c r="T31" s="1"/>
      <c r="U31" s="1"/>
      <c r="V31" s="1"/>
      <c r="W31" s="1"/>
      <c r="X31" s="1"/>
      <c r="Y31" s="1"/>
      <c r="Z31" s="1"/>
    </row>
    <row r="32" ht="10.5" customHeight="1">
      <c r="A32" s="1"/>
      <c r="B32" s="48" t="s">
        <v>114</v>
      </c>
      <c r="C32" s="250">
        <v>975.5</v>
      </c>
      <c r="D32" s="250">
        <v>1666.1</v>
      </c>
      <c r="E32" s="250">
        <v>1488.7</v>
      </c>
      <c r="F32" s="250">
        <v>3139.8</v>
      </c>
      <c r="G32" s="250">
        <v>1152.8</v>
      </c>
      <c r="H32" s="820">
        <v>13388.1</v>
      </c>
      <c r="I32" s="87"/>
      <c r="J32" s="612"/>
      <c r="K32" s="1"/>
      <c r="L32" s="1"/>
      <c r="M32" s="1"/>
      <c r="N32" s="1"/>
      <c r="O32" s="1"/>
      <c r="P32" s="1"/>
      <c r="Q32" s="1"/>
      <c r="R32" s="1"/>
      <c r="S32" s="1"/>
      <c r="T32" s="1"/>
      <c r="U32" s="1"/>
      <c r="V32" s="1"/>
      <c r="W32" s="1"/>
      <c r="X32" s="1"/>
      <c r="Y32" s="1"/>
      <c r="Z32" s="1"/>
    </row>
    <row r="33" ht="10.5" customHeight="1">
      <c r="A33" s="1"/>
      <c r="B33" s="48"/>
      <c r="C33" s="250"/>
      <c r="D33" s="250"/>
      <c r="E33" s="250"/>
      <c r="F33" s="250"/>
      <c r="G33" s="250"/>
      <c r="H33" s="820"/>
      <c r="I33" s="87"/>
      <c r="J33" s="1"/>
      <c r="K33" s="1"/>
      <c r="L33" s="1"/>
      <c r="M33" s="1"/>
      <c r="N33" s="1"/>
      <c r="O33" s="1"/>
      <c r="P33" s="1"/>
      <c r="Q33" s="1"/>
      <c r="R33" s="1"/>
      <c r="S33" s="1"/>
      <c r="T33" s="1"/>
      <c r="U33" s="1"/>
      <c r="V33" s="1"/>
      <c r="W33" s="1"/>
      <c r="X33" s="1"/>
      <c r="Y33" s="1"/>
      <c r="Z33" s="1"/>
    </row>
    <row r="34" ht="10.5" customHeight="1">
      <c r="A34" s="1"/>
      <c r="B34" s="168" t="s">
        <v>115</v>
      </c>
      <c r="C34" s="250">
        <v>1292.0</v>
      </c>
      <c r="D34" s="250">
        <v>1863.1</v>
      </c>
      <c r="E34" s="250">
        <v>1802.2</v>
      </c>
      <c r="F34" s="250">
        <v>3267.9</v>
      </c>
      <c r="G34" s="250">
        <v>1308.3</v>
      </c>
      <c r="H34" s="820">
        <v>15140.1</v>
      </c>
      <c r="I34" s="87"/>
      <c r="J34" s="612"/>
      <c r="K34" s="1"/>
      <c r="L34" s="1"/>
      <c r="M34" s="1"/>
      <c r="N34" s="1"/>
      <c r="O34" s="1"/>
      <c r="P34" s="1"/>
      <c r="Q34" s="1"/>
      <c r="R34" s="1"/>
      <c r="S34" s="1"/>
      <c r="T34" s="1"/>
      <c r="U34" s="1"/>
      <c r="V34" s="1"/>
      <c r="W34" s="1"/>
      <c r="X34" s="1"/>
      <c r="Y34" s="1"/>
      <c r="Z34" s="1"/>
    </row>
    <row r="35" ht="10.5" customHeight="1">
      <c r="A35" s="1"/>
      <c r="B35" s="168" t="s">
        <v>117</v>
      </c>
      <c r="C35" s="250">
        <v>1511.0</v>
      </c>
      <c r="D35" s="250">
        <v>2131.2</v>
      </c>
      <c r="E35" s="250">
        <v>2137.4</v>
      </c>
      <c r="F35" s="250">
        <v>3826.7</v>
      </c>
      <c r="G35" s="250">
        <v>1693.2</v>
      </c>
      <c r="H35" s="820">
        <v>17642.8</v>
      </c>
      <c r="I35" s="87"/>
      <c r="J35" s="612"/>
      <c r="K35" s="1"/>
      <c r="L35" s="1"/>
      <c r="M35" s="1"/>
      <c r="N35" s="1"/>
      <c r="O35" s="1"/>
      <c r="P35" s="1"/>
      <c r="Q35" s="1"/>
      <c r="R35" s="1"/>
      <c r="S35" s="1"/>
      <c r="T35" s="1"/>
      <c r="U35" s="1"/>
      <c r="V35" s="1"/>
      <c r="W35" s="1"/>
      <c r="X35" s="1"/>
      <c r="Y35" s="1"/>
      <c r="Z35" s="1"/>
    </row>
    <row r="36" ht="10.5" customHeight="1">
      <c r="A36" s="1"/>
      <c r="B36" s="168" t="s">
        <v>121</v>
      </c>
      <c r="C36" s="250">
        <v>1545.2</v>
      </c>
      <c r="D36" s="250">
        <v>2271.1</v>
      </c>
      <c r="E36" s="250">
        <v>2002.1</v>
      </c>
      <c r="F36" s="250">
        <v>4962.4</v>
      </c>
      <c r="G36" s="250">
        <v>1941.9</v>
      </c>
      <c r="H36" s="820">
        <v>19857.4</v>
      </c>
      <c r="I36" s="87"/>
      <c r="J36" s="612"/>
      <c r="K36" s="1"/>
      <c r="L36" s="1"/>
      <c r="M36" s="1"/>
      <c r="N36" s="1"/>
      <c r="O36" s="1"/>
      <c r="P36" s="1"/>
      <c r="Q36" s="1"/>
      <c r="R36" s="1"/>
      <c r="S36" s="1"/>
      <c r="T36" s="1"/>
      <c r="U36" s="1"/>
      <c r="V36" s="1"/>
      <c r="W36" s="1"/>
      <c r="X36" s="1"/>
      <c r="Y36" s="1"/>
      <c r="Z36" s="1"/>
    </row>
    <row r="37" ht="10.5" customHeight="1">
      <c r="A37" s="1"/>
      <c r="B37" s="168" t="s">
        <v>122</v>
      </c>
      <c r="C37" s="250">
        <v>1624.7</v>
      </c>
      <c r="D37" s="250">
        <v>2305.9</v>
      </c>
      <c r="E37" s="250">
        <v>2020.4</v>
      </c>
      <c r="F37" s="250">
        <v>5935.0</v>
      </c>
      <c r="G37" s="250">
        <v>2162.0</v>
      </c>
      <c r="H37" s="820">
        <v>21818.4</v>
      </c>
      <c r="I37" s="87"/>
      <c r="J37" s="612"/>
      <c r="K37" s="1"/>
      <c r="L37" s="1"/>
      <c r="M37" s="1"/>
      <c r="N37" s="1"/>
      <c r="O37" s="1"/>
      <c r="P37" s="1"/>
      <c r="Q37" s="1"/>
      <c r="R37" s="1"/>
      <c r="S37" s="1"/>
      <c r="T37" s="1"/>
      <c r="U37" s="1"/>
      <c r="V37" s="1"/>
      <c r="W37" s="1"/>
      <c r="X37" s="1"/>
      <c r="Y37" s="1"/>
      <c r="Z37" s="1"/>
    </row>
    <row r="38" ht="10.5" customHeight="1">
      <c r="A38" s="1"/>
      <c r="B38" s="168" t="s">
        <v>123</v>
      </c>
      <c r="C38" s="250">
        <v>1805.3</v>
      </c>
      <c r="D38" s="250">
        <v>2645.3</v>
      </c>
      <c r="E38" s="250">
        <v>2152.2</v>
      </c>
      <c r="F38" s="250">
        <v>6740.9</v>
      </c>
      <c r="G38" s="250">
        <v>2353.1</v>
      </c>
      <c r="H38" s="820">
        <v>24667.2</v>
      </c>
      <c r="I38" s="87"/>
      <c r="J38" s="612"/>
      <c r="K38" s="1"/>
      <c r="L38" s="1"/>
      <c r="M38" s="1"/>
      <c r="N38" s="1"/>
      <c r="O38" s="1"/>
      <c r="P38" s="1"/>
      <c r="Q38" s="1"/>
      <c r="R38" s="1"/>
      <c r="S38" s="1"/>
      <c r="T38" s="1"/>
      <c r="U38" s="1"/>
      <c r="V38" s="1"/>
      <c r="W38" s="1"/>
      <c r="X38" s="1"/>
      <c r="Y38" s="1"/>
      <c r="Z38" s="1"/>
    </row>
    <row r="39" ht="10.5" customHeight="1">
      <c r="A39" s="1"/>
      <c r="B39" s="48"/>
      <c r="C39" s="250"/>
      <c r="D39" s="250"/>
      <c r="E39" s="250"/>
      <c r="F39" s="250"/>
      <c r="G39" s="250"/>
      <c r="H39" s="820"/>
      <c r="I39" s="87"/>
      <c r="J39" s="1"/>
      <c r="K39" s="1"/>
      <c r="L39" s="1"/>
      <c r="M39" s="1"/>
      <c r="N39" s="1"/>
      <c r="O39" s="1"/>
      <c r="P39" s="1"/>
      <c r="Q39" s="1"/>
      <c r="R39" s="1"/>
      <c r="S39" s="1"/>
      <c r="T39" s="1"/>
      <c r="U39" s="1"/>
      <c r="V39" s="1"/>
      <c r="W39" s="1"/>
      <c r="X39" s="1"/>
      <c r="Y39" s="1"/>
      <c r="Z39" s="1"/>
    </row>
    <row r="40" ht="10.5" customHeight="1">
      <c r="A40" s="1"/>
      <c r="B40" s="168" t="s">
        <v>125</v>
      </c>
      <c r="C40" s="250">
        <v>2073.2</v>
      </c>
      <c r="D40" s="250">
        <v>3010.3</v>
      </c>
      <c r="E40" s="250">
        <v>2409.3</v>
      </c>
      <c r="F40" s="250">
        <v>6906.2</v>
      </c>
      <c r="G40" s="250">
        <v>2444.6</v>
      </c>
      <c r="H40" s="820">
        <v>27264.4</v>
      </c>
      <c r="I40" s="87"/>
      <c r="J40" s="1"/>
      <c r="K40" s="1"/>
      <c r="L40" s="1"/>
      <c r="M40" s="1"/>
      <c r="N40" s="1"/>
      <c r="O40" s="1"/>
      <c r="P40" s="1"/>
      <c r="Q40" s="1"/>
      <c r="R40" s="1"/>
      <c r="S40" s="1"/>
      <c r="T40" s="1"/>
      <c r="U40" s="1"/>
      <c r="V40" s="1"/>
      <c r="W40" s="1"/>
      <c r="X40" s="1"/>
      <c r="Y40" s="1"/>
      <c r="Z40" s="1"/>
    </row>
    <row r="41" ht="10.5" customHeight="1">
      <c r="A41" s="1"/>
      <c r="B41" s="168" t="s">
        <v>127</v>
      </c>
      <c r="C41" s="54">
        <v>2294.3</v>
      </c>
      <c r="D41" s="54">
        <v>3654.9</v>
      </c>
      <c r="E41" s="54">
        <v>3084.7</v>
      </c>
      <c r="F41" s="54">
        <v>9302.1</v>
      </c>
      <c r="G41" s="54">
        <v>2664.9</v>
      </c>
      <c r="H41" s="820">
        <v>32632.5</v>
      </c>
      <c r="I41" s="87"/>
      <c r="J41" s="1"/>
      <c r="K41" s="1"/>
      <c r="L41" s="1"/>
      <c r="M41" s="1"/>
      <c r="N41" s="1"/>
      <c r="O41" s="1"/>
      <c r="P41" s="1"/>
      <c r="Q41" s="1"/>
      <c r="R41" s="1"/>
      <c r="S41" s="1"/>
      <c r="T41" s="1"/>
      <c r="U41" s="1"/>
      <c r="V41" s="1"/>
      <c r="W41" s="1"/>
      <c r="X41" s="1"/>
      <c r="Y41" s="1"/>
      <c r="Z41" s="1"/>
    </row>
    <row r="42" ht="10.5" customHeight="1">
      <c r="A42" s="1"/>
      <c r="B42" s="168" t="s">
        <v>128</v>
      </c>
      <c r="C42" s="54">
        <v>2387.4</v>
      </c>
      <c r="D42" s="54">
        <v>3893.8</v>
      </c>
      <c r="E42" s="54">
        <v>3660.5</v>
      </c>
      <c r="F42" s="54">
        <v>11174.7</v>
      </c>
      <c r="G42" s="54">
        <v>2885.8</v>
      </c>
      <c r="H42" s="820">
        <v>37496.1</v>
      </c>
      <c r="I42" s="87"/>
      <c r="J42" s="612"/>
      <c r="K42" s="1"/>
      <c r="L42" s="1"/>
      <c r="M42" s="1"/>
      <c r="N42" s="1"/>
      <c r="O42" s="1"/>
      <c r="P42" s="1"/>
      <c r="Q42" s="1"/>
      <c r="R42" s="1"/>
      <c r="S42" s="1"/>
      <c r="T42" s="1"/>
      <c r="U42" s="1"/>
      <c r="V42" s="1"/>
      <c r="W42" s="1"/>
      <c r="X42" s="1"/>
      <c r="Y42" s="1"/>
      <c r="Z42" s="1"/>
    </row>
    <row r="43" ht="10.5" customHeight="1">
      <c r="A43" s="1"/>
      <c r="B43" s="48" t="s">
        <v>129</v>
      </c>
      <c r="C43" s="54">
        <v>2506.7</v>
      </c>
      <c r="D43" s="54">
        <v>3487.4</v>
      </c>
      <c r="E43" s="54">
        <v>3117.4</v>
      </c>
      <c r="F43" s="54">
        <v>11249.2</v>
      </c>
      <c r="G43" s="54">
        <v>2831.9</v>
      </c>
      <c r="H43" s="820">
        <v>37904.4</v>
      </c>
      <c r="I43" s="87"/>
      <c r="J43" s="612"/>
      <c r="K43" s="1"/>
      <c r="L43" s="1"/>
      <c r="M43" s="1"/>
      <c r="N43" s="1"/>
      <c r="O43" s="1"/>
      <c r="P43" s="1"/>
      <c r="Q43" s="1"/>
      <c r="R43" s="1"/>
      <c r="S43" s="1"/>
      <c r="T43" s="1"/>
      <c r="U43" s="1"/>
      <c r="V43" s="1"/>
      <c r="W43" s="1"/>
      <c r="X43" s="1"/>
      <c r="Y43" s="1"/>
      <c r="Z43" s="1"/>
    </row>
    <row r="44" ht="10.5" customHeight="1">
      <c r="A44" s="1"/>
      <c r="B44" s="48" t="s">
        <v>130</v>
      </c>
      <c r="C44" s="54">
        <v>2581.6</v>
      </c>
      <c r="D44" s="54">
        <v>4380.7</v>
      </c>
      <c r="E44" s="54">
        <v>3481.4</v>
      </c>
      <c r="F44" s="54">
        <v>11504.4</v>
      </c>
      <c r="G44" s="54">
        <v>2839.2</v>
      </c>
      <c r="H44" s="820">
        <v>40352.5</v>
      </c>
      <c r="I44" s="87"/>
      <c r="J44" s="612"/>
      <c r="K44" s="1"/>
      <c r="L44" s="1"/>
      <c r="M44" s="1"/>
      <c r="N44" s="1"/>
      <c r="O44" s="1"/>
      <c r="P44" s="1"/>
      <c r="Q44" s="1"/>
      <c r="R44" s="1"/>
      <c r="S44" s="1"/>
      <c r="T44" s="1"/>
      <c r="U44" s="1"/>
      <c r="V44" s="1"/>
      <c r="W44" s="1"/>
      <c r="X44" s="1"/>
      <c r="Y44" s="1"/>
      <c r="Z44" s="1"/>
    </row>
    <row r="45" ht="10.5" customHeight="1">
      <c r="A45" s="1"/>
      <c r="B45" s="48"/>
      <c r="C45" s="54"/>
      <c r="D45" s="54"/>
      <c r="E45" s="54"/>
      <c r="F45" s="54"/>
      <c r="G45" s="54"/>
      <c r="H45" s="820"/>
      <c r="I45" s="87"/>
      <c r="J45" s="612"/>
      <c r="K45" s="1"/>
      <c r="L45" s="1"/>
      <c r="M45" s="1"/>
      <c r="N45" s="1"/>
      <c r="O45" s="1"/>
      <c r="P45" s="1"/>
      <c r="Q45" s="1"/>
      <c r="R45" s="1"/>
      <c r="S45" s="1"/>
      <c r="T45" s="1"/>
      <c r="U45" s="1"/>
      <c r="V45" s="1"/>
      <c r="W45" s="1"/>
      <c r="X45" s="1"/>
      <c r="Y45" s="1"/>
      <c r="Z45" s="1"/>
    </row>
    <row r="46" ht="10.5" customHeight="1">
      <c r="A46" s="1"/>
      <c r="B46" s="48" t="s">
        <v>131</v>
      </c>
      <c r="C46" s="250">
        <v>2407.5</v>
      </c>
      <c r="D46" s="250">
        <v>3872.4</v>
      </c>
      <c r="E46" s="250">
        <v>2617.8</v>
      </c>
      <c r="F46" s="250">
        <v>16780.7</v>
      </c>
      <c r="G46" s="250">
        <v>3510.1</v>
      </c>
      <c r="H46" s="820">
        <v>46130.6</v>
      </c>
      <c r="I46" s="87"/>
      <c r="J46" s="612"/>
      <c r="K46" s="1"/>
      <c r="L46" s="1"/>
      <c r="M46" s="1"/>
      <c r="N46" s="1"/>
      <c r="O46" s="1"/>
      <c r="P46" s="1"/>
      <c r="Q46" s="1"/>
      <c r="R46" s="1"/>
      <c r="S46" s="1"/>
      <c r="T46" s="1"/>
      <c r="U46" s="1"/>
      <c r="V46" s="1"/>
      <c r="W46" s="1"/>
      <c r="X46" s="1"/>
      <c r="Y46" s="1"/>
      <c r="Z46" s="1"/>
    </row>
    <row r="47" ht="10.5" customHeight="1">
      <c r="A47" s="1"/>
      <c r="B47" s="48" t="s">
        <v>133</v>
      </c>
      <c r="C47" s="250">
        <v>2491.9</v>
      </c>
      <c r="D47" s="250">
        <v>4731.8</v>
      </c>
      <c r="E47" s="250">
        <v>3126.3</v>
      </c>
      <c r="F47" s="250">
        <v>17368.6</v>
      </c>
      <c r="G47" s="250">
        <v>4031.3</v>
      </c>
      <c r="H47" s="820">
        <v>50341.3</v>
      </c>
      <c r="I47" s="87"/>
      <c r="J47" s="612"/>
      <c r="K47" s="1"/>
      <c r="L47" s="1"/>
      <c r="M47" s="1"/>
      <c r="N47" s="1"/>
      <c r="O47" s="1"/>
      <c r="P47" s="1"/>
      <c r="Q47" s="1"/>
      <c r="R47" s="1"/>
      <c r="S47" s="1"/>
      <c r="T47" s="1"/>
      <c r="U47" s="1"/>
      <c r="V47" s="1"/>
      <c r="W47" s="1"/>
      <c r="X47" s="1"/>
      <c r="Y47" s="1"/>
      <c r="Z47" s="1"/>
    </row>
    <row r="48" ht="10.5" customHeight="1">
      <c r="A48" s="1"/>
      <c r="B48" s="293">
        <v>39295.0</v>
      </c>
      <c r="C48" s="250">
        <v>2614.5</v>
      </c>
      <c r="D48" s="250">
        <v>4828.4</v>
      </c>
      <c r="E48" s="250">
        <v>3560.1</v>
      </c>
      <c r="F48" s="250">
        <v>18850.2</v>
      </c>
      <c r="G48" s="250">
        <v>4399.5</v>
      </c>
      <c r="H48" s="820">
        <v>55306.9</v>
      </c>
      <c r="I48" s="87"/>
      <c r="J48" s="612"/>
      <c r="K48" s="1"/>
      <c r="L48" s="1"/>
      <c r="M48" s="1"/>
      <c r="N48" s="1"/>
      <c r="O48" s="1"/>
      <c r="P48" s="1"/>
      <c r="Q48" s="1"/>
      <c r="R48" s="1"/>
      <c r="S48" s="1"/>
      <c r="T48" s="1"/>
      <c r="U48" s="1"/>
      <c r="V48" s="1"/>
      <c r="W48" s="1"/>
      <c r="X48" s="1"/>
      <c r="Y48" s="1"/>
      <c r="Z48" s="1"/>
    </row>
    <row r="49" ht="10.5" customHeight="1">
      <c r="A49" s="1"/>
      <c r="B49" s="293">
        <v>39692.0</v>
      </c>
      <c r="C49" s="54">
        <v>2741.1</v>
      </c>
      <c r="D49" s="54">
        <v>5838.8</v>
      </c>
      <c r="E49" s="54">
        <v>4113.8</v>
      </c>
      <c r="F49" s="54">
        <v>20829.6</v>
      </c>
      <c r="G49" s="54">
        <v>4872.6</v>
      </c>
      <c r="H49" s="820">
        <v>62921.2</v>
      </c>
      <c r="I49" s="87"/>
      <c r="J49" s="612"/>
      <c r="K49" s="1"/>
      <c r="L49" s="1"/>
      <c r="M49" s="1"/>
      <c r="N49" s="1"/>
      <c r="O49" s="1"/>
      <c r="P49" s="1"/>
      <c r="Q49" s="1"/>
      <c r="R49" s="1"/>
      <c r="S49" s="1"/>
      <c r="T49" s="1"/>
      <c r="U49" s="1"/>
      <c r="V49" s="1"/>
      <c r="W49" s="1"/>
      <c r="X49" s="1"/>
      <c r="Y49" s="1"/>
      <c r="Z49" s="1"/>
    </row>
    <row r="50" ht="10.5" customHeight="1">
      <c r="A50" s="1"/>
      <c r="B50" s="293">
        <v>40087.0</v>
      </c>
      <c r="C50" s="54">
        <v>3063.7</v>
      </c>
      <c r="D50" s="54">
        <v>6486.0</v>
      </c>
      <c r="E50" s="54">
        <v>5317.5</v>
      </c>
      <c r="F50" s="54">
        <v>22516.6</v>
      </c>
      <c r="G50" s="54">
        <v>5341.4</v>
      </c>
      <c r="H50" s="820">
        <v>71246.5</v>
      </c>
      <c r="I50" s="87"/>
      <c r="J50" s="612"/>
      <c r="K50" s="1"/>
      <c r="L50" s="1"/>
      <c r="M50" s="1"/>
      <c r="N50" s="1"/>
      <c r="O50" s="1"/>
      <c r="P50" s="1"/>
      <c r="Q50" s="1"/>
      <c r="R50" s="1"/>
      <c r="S50" s="1"/>
      <c r="T50" s="1"/>
      <c r="U50" s="1"/>
      <c r="V50" s="1"/>
      <c r="W50" s="1"/>
      <c r="X50" s="1"/>
      <c r="Y50" s="1"/>
      <c r="Z50" s="1"/>
    </row>
    <row r="51" ht="10.5" customHeight="1">
      <c r="A51" s="1"/>
      <c r="B51" s="293"/>
      <c r="C51" s="54"/>
      <c r="D51" s="54"/>
      <c r="E51" s="54"/>
      <c r="F51" s="54"/>
      <c r="G51" s="54"/>
      <c r="H51" s="820"/>
      <c r="I51" s="87"/>
      <c r="J51" s="612"/>
      <c r="K51" s="1"/>
      <c r="L51" s="1"/>
      <c r="M51" s="1"/>
      <c r="N51" s="1"/>
      <c r="O51" s="1"/>
      <c r="P51" s="1"/>
      <c r="Q51" s="1"/>
      <c r="R51" s="1"/>
      <c r="S51" s="1"/>
      <c r="T51" s="1"/>
      <c r="U51" s="1"/>
      <c r="V51" s="1"/>
      <c r="W51" s="1"/>
      <c r="X51" s="1"/>
      <c r="Y51" s="1"/>
      <c r="Z51" s="1"/>
    </row>
    <row r="52" ht="10.5" customHeight="1">
      <c r="A52" s="1"/>
      <c r="B52" s="11" t="s">
        <v>139</v>
      </c>
      <c r="C52" s="250">
        <v>3460.1</v>
      </c>
      <c r="D52" s="54">
        <v>6944.4</v>
      </c>
      <c r="E52" s="54">
        <v>5799.9</v>
      </c>
      <c r="F52" s="54">
        <v>23849.4</v>
      </c>
      <c r="G52" s="54">
        <v>5818.1</v>
      </c>
      <c r="H52" s="827">
        <v>79155.3</v>
      </c>
      <c r="I52" s="87"/>
      <c r="J52" s="612"/>
      <c r="K52" s="1"/>
      <c r="L52" s="1"/>
      <c r="M52" s="1"/>
      <c r="N52" s="1"/>
      <c r="O52" s="1"/>
      <c r="P52" s="1"/>
      <c r="Q52" s="1"/>
      <c r="R52" s="1"/>
      <c r="S52" s="1"/>
      <c r="T52" s="1"/>
      <c r="U52" s="1"/>
      <c r="V52" s="1"/>
      <c r="W52" s="1"/>
      <c r="X52" s="1"/>
      <c r="Y52" s="1"/>
      <c r="Z52" s="1"/>
    </row>
    <row r="53" ht="10.5" customHeight="1">
      <c r="A53" s="1"/>
      <c r="B53" s="11" t="s">
        <v>143</v>
      </c>
      <c r="C53" s="250">
        <v>3963.9</v>
      </c>
      <c r="D53" s="54">
        <v>8852.0</v>
      </c>
      <c r="E53" s="54">
        <v>5994.1</v>
      </c>
      <c r="F53" s="54">
        <v>26314.8</v>
      </c>
      <c r="G53" s="54">
        <v>6323.0</v>
      </c>
      <c r="H53" s="820">
        <v>91661.9</v>
      </c>
      <c r="I53" s="87"/>
      <c r="J53" s="612"/>
      <c r="K53" s="1"/>
      <c r="L53" s="1"/>
      <c r="M53" s="1"/>
      <c r="N53" s="1"/>
      <c r="O53" s="1"/>
      <c r="P53" s="1"/>
      <c r="Q53" s="1"/>
      <c r="R53" s="1"/>
      <c r="S53" s="1"/>
      <c r="T53" s="1"/>
      <c r="U53" s="1"/>
      <c r="V53" s="1"/>
      <c r="W53" s="1"/>
      <c r="X53" s="1"/>
      <c r="Y53" s="1"/>
      <c r="Z53" s="1"/>
    </row>
    <row r="54" ht="10.5" customHeight="1">
      <c r="A54" s="1"/>
      <c r="B54" s="11" t="s">
        <v>149</v>
      </c>
      <c r="C54" s="250">
        <v>4570.5</v>
      </c>
      <c r="D54" s="54">
        <v>10425.2</v>
      </c>
      <c r="E54" s="54">
        <v>6084.8</v>
      </c>
      <c r="F54" s="54">
        <v>28996.5</v>
      </c>
      <c r="G54" s="54">
        <v>6784.3</v>
      </c>
      <c r="H54" s="820">
        <v>104291.9</v>
      </c>
      <c r="I54" s="87"/>
      <c r="J54" s="612"/>
      <c r="K54" s="1"/>
      <c r="L54" s="1"/>
      <c r="M54" s="1"/>
      <c r="N54" s="1"/>
      <c r="O54" s="1"/>
      <c r="P54" s="1"/>
      <c r="Q54" s="1"/>
      <c r="R54" s="1"/>
      <c r="S54" s="1"/>
      <c r="T54" s="1"/>
      <c r="U54" s="1"/>
      <c r="V54" s="1"/>
      <c r="W54" s="1"/>
      <c r="X54" s="1"/>
      <c r="Y54" s="1"/>
      <c r="Z54" s="1"/>
    </row>
    <row r="55" ht="10.5" customHeight="1">
      <c r="A55" s="1"/>
      <c r="B55" s="11" t="s">
        <v>151</v>
      </c>
      <c r="C55" s="250">
        <v>5043.8</v>
      </c>
      <c r="D55" s="54">
        <v>10340.9</v>
      </c>
      <c r="E55" s="54">
        <v>6268.7</v>
      </c>
      <c r="F55" s="54">
        <v>31894.8</v>
      </c>
      <c r="G55" s="54">
        <v>7193.8</v>
      </c>
      <c r="H55" s="820">
        <v>112984.9</v>
      </c>
      <c r="I55" s="87"/>
      <c r="J55" s="612"/>
      <c r="K55" s="1"/>
      <c r="L55" s="1"/>
      <c r="M55" s="1"/>
      <c r="N55" s="1"/>
      <c r="O55" s="1"/>
      <c r="P55" s="1"/>
      <c r="Q55" s="1"/>
      <c r="R55" s="1"/>
      <c r="S55" s="1"/>
      <c r="T55" s="1"/>
      <c r="U55" s="1"/>
      <c r="V55" s="1"/>
      <c r="W55" s="1"/>
      <c r="X55" s="1"/>
      <c r="Y55" s="1"/>
      <c r="Z55" s="1"/>
    </row>
    <row r="56" ht="10.5" customHeight="1">
      <c r="A56" s="1"/>
      <c r="B56" s="11" t="s">
        <v>153</v>
      </c>
      <c r="C56" s="250">
        <v>5497.7</v>
      </c>
      <c r="D56" s="54">
        <v>10873.2</v>
      </c>
      <c r="E56" s="54">
        <v>6456.8</v>
      </c>
      <c r="F56" s="54">
        <v>34446.4</v>
      </c>
      <c r="G56" s="54">
        <v>7625.5</v>
      </c>
      <c r="H56" s="820">
        <v>120226.6</v>
      </c>
      <c r="I56" s="87"/>
      <c r="J56" s="612"/>
      <c r="K56" s="1"/>
      <c r="L56" s="1"/>
      <c r="M56" s="1"/>
      <c r="N56" s="1"/>
      <c r="O56" s="1"/>
      <c r="P56" s="1"/>
      <c r="Q56" s="1"/>
      <c r="R56" s="1"/>
      <c r="S56" s="1"/>
      <c r="T56" s="1"/>
      <c r="U56" s="1"/>
      <c r="V56" s="1"/>
      <c r="W56" s="1"/>
      <c r="X56" s="1"/>
      <c r="Y56" s="1"/>
      <c r="Z56" s="1"/>
    </row>
    <row r="57" ht="10.5" customHeight="1">
      <c r="A57" s="1"/>
      <c r="B57" s="11"/>
      <c r="C57" s="250"/>
      <c r="D57" s="54"/>
      <c r="E57" s="54"/>
      <c r="F57" s="54"/>
      <c r="G57" s="54"/>
      <c r="H57" s="820"/>
      <c r="I57" s="831"/>
      <c r="J57" s="612"/>
      <c r="K57" s="1"/>
      <c r="L57" s="1"/>
      <c r="M57" s="1"/>
      <c r="N57" s="1"/>
      <c r="O57" s="1"/>
      <c r="P57" s="1"/>
      <c r="Q57" s="1"/>
      <c r="R57" s="1"/>
      <c r="S57" s="1"/>
      <c r="T57" s="1"/>
      <c r="U57" s="1"/>
      <c r="V57" s="1"/>
      <c r="W57" s="1"/>
      <c r="X57" s="1"/>
      <c r="Y57" s="1"/>
      <c r="Z57" s="1"/>
    </row>
    <row r="58" ht="10.5" customHeight="1">
      <c r="A58" s="1"/>
      <c r="B58" s="11" t="s">
        <v>155</v>
      </c>
      <c r="C58" s="250">
        <v>6005.0</v>
      </c>
      <c r="D58" s="54">
        <v>11470.3</v>
      </c>
      <c r="E58" s="54">
        <v>6650.5</v>
      </c>
      <c r="F58" s="54">
        <v>37202.1</v>
      </c>
      <c r="G58" s="54">
        <v>8083.0</v>
      </c>
      <c r="H58" s="820">
        <v>128611.2</v>
      </c>
      <c r="I58" s="87"/>
      <c r="J58" s="612"/>
      <c r="K58" s="1"/>
      <c r="L58" s="1"/>
      <c r="M58" s="1"/>
      <c r="N58" s="1"/>
      <c r="O58" s="1"/>
      <c r="P58" s="1"/>
      <c r="Q58" s="1"/>
      <c r="R58" s="1"/>
      <c r="S58" s="1"/>
      <c r="T58" s="1"/>
      <c r="U58" s="1"/>
      <c r="V58" s="1"/>
      <c r="W58" s="1"/>
      <c r="X58" s="1"/>
      <c r="Y58" s="1"/>
      <c r="Z58" s="1"/>
    </row>
    <row r="59" ht="10.5" customHeight="1">
      <c r="A59" s="1"/>
      <c r="B59" s="52" t="s">
        <v>160</v>
      </c>
      <c r="C59" s="107">
        <v>6531.8</v>
      </c>
      <c r="D59" s="107">
        <v>12164.2</v>
      </c>
      <c r="E59" s="107">
        <v>6850.0</v>
      </c>
      <c r="F59" s="107">
        <v>40178.3</v>
      </c>
      <c r="G59" s="107">
        <v>8568.0</v>
      </c>
      <c r="H59" s="833">
        <v>137183.4</v>
      </c>
      <c r="I59" s="94"/>
      <c r="J59" s="612"/>
      <c r="K59" s="1"/>
      <c r="L59" s="1"/>
      <c r="M59" s="1"/>
      <c r="N59" s="1"/>
      <c r="O59" s="1"/>
      <c r="P59" s="1"/>
      <c r="Q59" s="1"/>
      <c r="R59" s="1"/>
      <c r="S59" s="1"/>
      <c r="T59" s="1"/>
      <c r="U59" s="1"/>
      <c r="V59" s="1"/>
      <c r="W59" s="1"/>
      <c r="X59" s="1"/>
      <c r="Y59" s="1"/>
      <c r="Z59" s="1"/>
    </row>
    <row r="60" ht="10.5" customHeight="1">
      <c r="A60" s="1"/>
      <c r="B60" s="1"/>
      <c r="C60" s="834"/>
      <c r="D60" s="834"/>
      <c r="E60" s="834"/>
      <c r="F60" s="834"/>
      <c r="G60" s="834"/>
      <c r="H60" s="834"/>
      <c r="I60" s="1"/>
      <c r="J60" s="1"/>
      <c r="K60" s="1"/>
      <c r="L60" s="1"/>
      <c r="M60" s="1"/>
      <c r="N60" s="1"/>
      <c r="O60" s="1"/>
      <c r="P60" s="1"/>
      <c r="Q60" s="1"/>
      <c r="R60" s="1"/>
      <c r="S60" s="1"/>
      <c r="T60" s="1"/>
      <c r="U60" s="1"/>
      <c r="V60" s="1"/>
      <c r="W60" s="1"/>
      <c r="X60" s="1"/>
      <c r="Y60" s="1"/>
      <c r="Z60" s="1"/>
    </row>
    <row r="61" ht="10.5" customHeight="1">
      <c r="A61" s="1"/>
      <c r="B61" s="1"/>
      <c r="C61" s="834"/>
      <c r="D61" s="834"/>
      <c r="E61" s="834"/>
      <c r="F61" s="834"/>
      <c r="G61" s="834"/>
      <c r="H61" s="834"/>
      <c r="I61" s="1"/>
      <c r="J61" s="1"/>
      <c r="K61" s="1"/>
      <c r="L61" s="1"/>
      <c r="M61" s="1"/>
      <c r="N61" s="1"/>
      <c r="O61" s="1"/>
      <c r="P61" s="1"/>
      <c r="Q61" s="1"/>
      <c r="R61" s="1"/>
      <c r="S61" s="1"/>
      <c r="T61" s="1"/>
      <c r="U61" s="1"/>
      <c r="V61" s="1"/>
      <c r="W61" s="1"/>
      <c r="X61" s="1"/>
      <c r="Y61" s="1"/>
      <c r="Z61" s="1"/>
    </row>
    <row r="62" ht="10.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0.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0.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0.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0.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0.5" customHeight="1">
      <c r="A67" s="1"/>
      <c r="B67" s="1"/>
      <c r="C67" s="1"/>
      <c r="D67" s="1"/>
      <c r="E67" s="1"/>
      <c r="F67" s="1"/>
      <c r="G67" s="110">
        <v>74.0</v>
      </c>
      <c r="H67" s="1"/>
      <c r="I67" s="1"/>
      <c r="J67" s="1"/>
      <c r="K67" s="1"/>
      <c r="L67" s="1"/>
      <c r="M67" s="1"/>
      <c r="N67" s="1"/>
      <c r="O67" s="1"/>
      <c r="P67" s="1"/>
      <c r="Q67" s="1"/>
      <c r="R67" s="1"/>
      <c r="S67" s="1"/>
      <c r="T67" s="1"/>
      <c r="U67" s="1"/>
      <c r="V67" s="1"/>
      <c r="W67" s="1"/>
      <c r="X67" s="1"/>
      <c r="Y67" s="1"/>
      <c r="Z67" s="1"/>
    </row>
    <row r="68" ht="10.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1.25" customHeight="1">
      <c r="A69" s="1"/>
      <c r="B69" s="1" t="s">
        <v>1449</v>
      </c>
      <c r="C69" s="1"/>
      <c r="D69" s="1"/>
      <c r="E69" s="1"/>
      <c r="F69" s="1"/>
      <c r="G69" s="1"/>
      <c r="H69" s="1"/>
      <c r="I69" s="1"/>
      <c r="J69" s="1"/>
      <c r="K69" s="1"/>
      <c r="L69" s="1"/>
      <c r="M69" s="1"/>
      <c r="N69" s="1"/>
      <c r="O69" s="1"/>
      <c r="P69" s="1"/>
      <c r="Q69" s="1"/>
      <c r="R69" s="1"/>
      <c r="S69" s="1"/>
      <c r="T69" s="1"/>
      <c r="U69" s="1"/>
      <c r="V69" s="1"/>
      <c r="W69" s="1"/>
      <c r="X69" s="1"/>
      <c r="Y69" s="1"/>
      <c r="Z69" s="1"/>
    </row>
    <row r="70" ht="23.25" customHeight="1">
      <c r="A70" s="1"/>
      <c r="B70" s="29" t="s">
        <v>938</v>
      </c>
      <c r="C70" s="273" t="s">
        <v>1450</v>
      </c>
      <c r="D70" s="128" t="s">
        <v>1451</v>
      </c>
      <c r="E70" s="10"/>
      <c r="F70" s="273" t="s">
        <v>1452</v>
      </c>
      <c r="G70" s="273" t="s">
        <v>1453</v>
      </c>
      <c r="H70" s="273" t="s">
        <v>1454</v>
      </c>
      <c r="I70" s="1"/>
      <c r="J70" s="1"/>
      <c r="K70" s="1"/>
      <c r="L70" s="1"/>
      <c r="M70" s="1"/>
      <c r="N70" s="1"/>
      <c r="O70" s="1"/>
      <c r="P70" s="1"/>
      <c r="Q70" s="1"/>
      <c r="R70" s="1"/>
      <c r="S70" s="1"/>
      <c r="T70" s="1"/>
      <c r="U70" s="1"/>
      <c r="V70" s="1"/>
      <c r="W70" s="1"/>
      <c r="X70" s="1"/>
      <c r="Y70" s="1"/>
      <c r="Z70" s="1"/>
    </row>
    <row r="71" ht="11.25" customHeight="1">
      <c r="A71" s="1"/>
      <c r="B71" s="6"/>
      <c r="C71" s="34" t="s">
        <v>1170</v>
      </c>
      <c r="D71" s="9"/>
      <c r="E71" s="9"/>
      <c r="F71" s="9"/>
      <c r="G71" s="9"/>
      <c r="H71" s="10"/>
      <c r="I71" s="125"/>
      <c r="J71" s="1"/>
      <c r="K71" s="1"/>
      <c r="L71" s="1"/>
      <c r="M71" s="1"/>
      <c r="N71" s="1"/>
      <c r="O71" s="1"/>
      <c r="P71" s="1"/>
      <c r="Q71" s="1"/>
      <c r="R71" s="1"/>
      <c r="S71" s="1"/>
      <c r="T71" s="1"/>
      <c r="U71" s="1"/>
      <c r="V71" s="1"/>
      <c r="W71" s="1"/>
      <c r="X71" s="1"/>
      <c r="Y71" s="1"/>
      <c r="Z71" s="1"/>
    </row>
    <row r="72" ht="10.5" customHeight="1">
      <c r="A72" s="1"/>
      <c r="B72" s="48" t="s">
        <v>264</v>
      </c>
      <c r="C72" s="285">
        <v>1312.6</v>
      </c>
      <c r="D72" s="839">
        <v>429.3</v>
      </c>
      <c r="E72" s="70"/>
      <c r="F72" s="250">
        <v>16.4</v>
      </c>
      <c r="G72" s="250">
        <v>-13.5</v>
      </c>
      <c r="H72" s="250">
        <v>487.1</v>
      </c>
      <c r="I72" s="1"/>
      <c r="J72" s="1"/>
      <c r="K72" s="1"/>
      <c r="L72" s="1"/>
      <c r="M72" s="1"/>
      <c r="N72" s="1"/>
      <c r="O72" s="1"/>
      <c r="P72" s="1"/>
      <c r="Q72" s="1"/>
      <c r="R72" s="1"/>
      <c r="S72" s="1"/>
      <c r="T72" s="1"/>
      <c r="U72" s="1"/>
      <c r="V72" s="1"/>
      <c r="W72" s="1"/>
      <c r="X72" s="1"/>
      <c r="Y72" s="1"/>
      <c r="Z72" s="1"/>
    </row>
    <row r="73" ht="10.5" customHeight="1">
      <c r="A73" s="1"/>
      <c r="B73" s="48" t="s">
        <v>267</v>
      </c>
      <c r="C73" s="285">
        <v>1537.4</v>
      </c>
      <c r="D73" s="840">
        <v>475.3</v>
      </c>
      <c r="E73" s="87"/>
      <c r="F73" s="250">
        <v>18.9</v>
      </c>
      <c r="G73" s="250">
        <v>-51.5</v>
      </c>
      <c r="H73" s="250">
        <v>595.7</v>
      </c>
      <c r="I73" s="1"/>
      <c r="J73" s="1"/>
      <c r="K73" s="1"/>
      <c r="L73" s="1"/>
      <c r="M73" s="1"/>
      <c r="N73" s="1"/>
      <c r="O73" s="1"/>
      <c r="P73" s="1"/>
      <c r="Q73" s="1"/>
      <c r="R73" s="1"/>
      <c r="S73" s="1"/>
      <c r="T73" s="1"/>
      <c r="U73" s="1"/>
      <c r="V73" s="1"/>
      <c r="W73" s="1"/>
      <c r="X73" s="1"/>
      <c r="Y73" s="1"/>
      <c r="Z73" s="1"/>
    </row>
    <row r="74" ht="10.5" customHeight="1">
      <c r="A74" s="1"/>
      <c r="B74" s="48" t="s">
        <v>268</v>
      </c>
      <c r="C74" s="285">
        <v>1751.7</v>
      </c>
      <c r="D74" s="840">
        <v>521.0</v>
      </c>
      <c r="E74" s="87"/>
      <c r="F74" s="250">
        <v>21.7</v>
      </c>
      <c r="G74" s="250">
        <v>5.5</v>
      </c>
      <c r="H74" s="250">
        <v>822.5</v>
      </c>
      <c r="I74" s="1"/>
      <c r="J74" s="1"/>
      <c r="K74" s="1"/>
      <c r="L74" s="1"/>
      <c r="M74" s="1"/>
      <c r="N74" s="1"/>
      <c r="O74" s="1"/>
      <c r="P74" s="1"/>
      <c r="Q74" s="1"/>
      <c r="R74" s="1"/>
      <c r="S74" s="1"/>
      <c r="T74" s="1"/>
      <c r="U74" s="1"/>
      <c r="V74" s="1"/>
      <c r="W74" s="1"/>
      <c r="X74" s="1"/>
      <c r="Y74" s="1"/>
      <c r="Z74" s="1"/>
    </row>
    <row r="75" ht="10.5" customHeight="1">
      <c r="A75" s="1"/>
      <c r="B75" s="48" t="s">
        <v>269</v>
      </c>
      <c r="C75" s="285">
        <v>2247.3</v>
      </c>
      <c r="D75" s="840">
        <v>660.2</v>
      </c>
      <c r="E75" s="87"/>
      <c r="F75" s="250">
        <v>21.7</v>
      </c>
      <c r="G75" s="250">
        <v>112.2</v>
      </c>
      <c r="H75" s="250">
        <v>1164.4</v>
      </c>
      <c r="I75" s="1"/>
      <c r="J75" s="1"/>
      <c r="K75" s="1"/>
      <c r="L75" s="1"/>
      <c r="M75" s="1"/>
      <c r="N75" s="1"/>
      <c r="O75" s="1"/>
      <c r="P75" s="1"/>
      <c r="Q75" s="1"/>
      <c r="R75" s="1"/>
      <c r="S75" s="1"/>
      <c r="T75" s="1"/>
      <c r="U75" s="1"/>
      <c r="V75" s="1"/>
      <c r="W75" s="1"/>
      <c r="X75" s="1"/>
      <c r="Y75" s="1"/>
      <c r="Z75" s="1"/>
    </row>
    <row r="76" ht="10.5" customHeight="1">
      <c r="A76" s="1"/>
      <c r="B76" s="48" t="s">
        <v>270</v>
      </c>
      <c r="C76" s="285">
        <v>2644.7</v>
      </c>
      <c r="D76" s="840">
        <v>806.1</v>
      </c>
      <c r="E76" s="87"/>
      <c r="F76" s="250">
        <v>24.8</v>
      </c>
      <c r="G76" s="250">
        <v>81.5</v>
      </c>
      <c r="H76" s="250">
        <v>1380.8</v>
      </c>
      <c r="I76" s="1"/>
      <c r="J76" s="1"/>
      <c r="K76" s="1"/>
      <c r="L76" s="1"/>
      <c r="M76" s="1"/>
      <c r="N76" s="1"/>
      <c r="O76" s="1"/>
      <c r="P76" s="1"/>
      <c r="Q76" s="1"/>
      <c r="R76" s="1"/>
      <c r="S76" s="1"/>
      <c r="T76" s="1"/>
      <c r="U76" s="1"/>
      <c r="V76" s="1"/>
      <c r="W76" s="1"/>
      <c r="X76" s="1"/>
      <c r="Y76" s="1"/>
      <c r="Z76" s="1"/>
    </row>
    <row r="77" ht="10.5" customHeight="1">
      <c r="A77" s="1"/>
      <c r="B77" s="48"/>
      <c r="C77" s="285"/>
      <c r="D77" s="820"/>
      <c r="E77" s="87"/>
      <c r="F77" s="250"/>
      <c r="G77" s="250"/>
      <c r="H77" s="250"/>
      <c r="I77" s="253"/>
      <c r="J77" s="1"/>
      <c r="K77" s="1"/>
      <c r="L77" s="1"/>
      <c r="M77" s="1"/>
      <c r="N77" s="1"/>
      <c r="O77" s="1"/>
      <c r="P77" s="1"/>
      <c r="Q77" s="1"/>
      <c r="R77" s="1"/>
      <c r="S77" s="1"/>
      <c r="T77" s="1"/>
      <c r="U77" s="1"/>
      <c r="V77" s="1"/>
      <c r="W77" s="1"/>
      <c r="X77" s="1"/>
      <c r="Y77" s="1"/>
      <c r="Z77" s="1"/>
    </row>
    <row r="78" ht="10.5" customHeight="1">
      <c r="A78" s="1"/>
      <c r="B78" s="48" t="s">
        <v>271</v>
      </c>
      <c r="C78" s="285">
        <v>2841.7</v>
      </c>
      <c r="D78" s="840">
        <v>1003.3</v>
      </c>
      <c r="E78" s="87"/>
      <c r="F78" s="250">
        <v>34.2</v>
      </c>
      <c r="G78" s="250">
        <v>42.2</v>
      </c>
      <c r="H78" s="250">
        <v>1243.5</v>
      </c>
      <c r="I78" s="253"/>
      <c r="J78" s="1"/>
      <c r="K78" s="1"/>
      <c r="L78" s="1"/>
      <c r="M78" s="1"/>
      <c r="N78" s="1"/>
      <c r="O78" s="1"/>
      <c r="P78" s="1"/>
      <c r="Q78" s="1"/>
      <c r="R78" s="1"/>
      <c r="S78" s="1"/>
      <c r="T78" s="1"/>
      <c r="U78" s="1"/>
      <c r="V78" s="1"/>
      <c r="W78" s="1"/>
      <c r="X78" s="1"/>
      <c r="Y78" s="1"/>
      <c r="Z78" s="1"/>
    </row>
    <row r="79" ht="10.5" customHeight="1">
      <c r="A79" s="1"/>
      <c r="B79" s="48" t="s">
        <v>272</v>
      </c>
      <c r="C79" s="285">
        <v>3641.4</v>
      </c>
      <c r="D79" s="840">
        <v>1202.2</v>
      </c>
      <c r="E79" s="87"/>
      <c r="F79" s="250">
        <v>37.5</v>
      </c>
      <c r="G79" s="250">
        <v>61.0</v>
      </c>
      <c r="H79" s="250">
        <v>1644.1</v>
      </c>
      <c r="I79" s="1"/>
      <c r="J79" s="1"/>
      <c r="K79" s="1"/>
      <c r="L79" s="1"/>
      <c r="M79" s="1"/>
      <c r="N79" s="1"/>
      <c r="O79" s="1"/>
      <c r="P79" s="1"/>
      <c r="Q79" s="1"/>
      <c r="R79" s="1"/>
      <c r="S79" s="1"/>
      <c r="T79" s="1"/>
      <c r="U79" s="1"/>
      <c r="V79" s="1"/>
      <c r="W79" s="1"/>
      <c r="X79" s="1"/>
      <c r="Y79" s="1"/>
      <c r="Z79" s="1"/>
    </row>
    <row r="80" ht="10.5" customHeight="1">
      <c r="A80" s="1"/>
      <c r="B80" s="48" t="s">
        <v>274</v>
      </c>
      <c r="C80" s="285">
        <v>3642.3</v>
      </c>
      <c r="D80" s="840">
        <v>1352.2</v>
      </c>
      <c r="E80" s="87"/>
      <c r="F80" s="250">
        <v>43.1</v>
      </c>
      <c r="G80" s="250">
        <v>64.5</v>
      </c>
      <c r="H80" s="250">
        <v>1455.0</v>
      </c>
      <c r="I80" s="1"/>
      <c r="J80" s="1"/>
      <c r="K80" s="1"/>
      <c r="L80" s="1"/>
      <c r="M80" s="1"/>
      <c r="N80" s="1"/>
      <c r="O80" s="1"/>
      <c r="P80" s="1"/>
      <c r="Q80" s="1"/>
      <c r="R80" s="1"/>
      <c r="S80" s="1"/>
      <c r="T80" s="1"/>
      <c r="U80" s="1"/>
      <c r="V80" s="1"/>
      <c r="W80" s="1"/>
      <c r="X80" s="1"/>
      <c r="Y80" s="1"/>
      <c r="Z80" s="1"/>
    </row>
    <row r="81" ht="10.5" customHeight="1">
      <c r="A81" s="1"/>
      <c r="B81" s="48" t="s">
        <v>275</v>
      </c>
      <c r="C81" s="285">
        <v>4240.8</v>
      </c>
      <c r="D81" s="840">
        <v>1646.4</v>
      </c>
      <c r="E81" s="87"/>
      <c r="F81" s="250">
        <v>50.3</v>
      </c>
      <c r="G81" s="250">
        <v>13.8</v>
      </c>
      <c r="H81" s="250">
        <v>1558.8</v>
      </c>
      <c r="I81" s="1"/>
      <c r="J81" s="1"/>
      <c r="K81" s="1"/>
      <c r="L81" s="1"/>
      <c r="M81" s="1"/>
      <c r="N81" s="1"/>
      <c r="O81" s="1"/>
      <c r="P81" s="1"/>
      <c r="Q81" s="1"/>
      <c r="R81" s="1"/>
      <c r="S81" s="1"/>
      <c r="T81" s="1"/>
      <c r="U81" s="1"/>
      <c r="V81" s="1"/>
      <c r="W81" s="1"/>
      <c r="X81" s="1"/>
      <c r="Y81" s="1"/>
      <c r="Z81" s="1"/>
    </row>
    <row r="82" ht="10.5" customHeight="1">
      <c r="A82" s="1"/>
      <c r="B82" s="48" t="s">
        <v>276</v>
      </c>
      <c r="C82" s="285">
        <v>5404.6</v>
      </c>
      <c r="D82" s="840">
        <v>2034.0</v>
      </c>
      <c r="E82" s="87"/>
      <c r="F82" s="250">
        <v>57.9</v>
      </c>
      <c r="G82" s="250">
        <v>-67.6</v>
      </c>
      <c r="H82" s="250">
        <v>2096.3</v>
      </c>
      <c r="I82" s="1"/>
      <c r="J82" s="1"/>
      <c r="K82" s="1"/>
      <c r="L82" s="1"/>
      <c r="M82" s="1"/>
      <c r="N82" s="1"/>
      <c r="O82" s="1"/>
      <c r="P82" s="1"/>
      <c r="Q82" s="1"/>
      <c r="R82" s="1"/>
      <c r="S82" s="1"/>
      <c r="T82" s="1"/>
      <c r="U82" s="1"/>
      <c r="V82" s="1"/>
      <c r="W82" s="1"/>
      <c r="X82" s="1"/>
      <c r="Y82" s="1"/>
      <c r="Z82" s="1"/>
    </row>
    <row r="83" ht="10.5" customHeight="1">
      <c r="A83" s="1"/>
      <c r="B83" s="48"/>
      <c r="C83" s="285"/>
      <c r="D83" s="820"/>
      <c r="E83" s="87"/>
      <c r="F83" s="250"/>
      <c r="G83" s="250"/>
      <c r="H83" s="250"/>
      <c r="I83" s="1"/>
      <c r="J83" s="1"/>
      <c r="K83" s="1"/>
      <c r="L83" s="1"/>
      <c r="M83" s="1"/>
      <c r="N83" s="1"/>
      <c r="O83" s="1"/>
      <c r="P83" s="1"/>
      <c r="Q83" s="1"/>
      <c r="R83" s="1"/>
      <c r="S83" s="1"/>
      <c r="T83" s="1"/>
      <c r="U83" s="1"/>
      <c r="V83" s="1"/>
      <c r="W83" s="1"/>
      <c r="X83" s="1"/>
      <c r="Y83" s="1"/>
      <c r="Z83" s="1"/>
    </row>
    <row r="84" ht="10.5" customHeight="1">
      <c r="A84" s="1"/>
      <c r="B84" s="48" t="s">
        <v>56</v>
      </c>
      <c r="C84" s="285">
        <v>5823.0</v>
      </c>
      <c r="D84" s="840">
        <v>2418.2</v>
      </c>
      <c r="E84" s="87"/>
      <c r="F84" s="250">
        <v>69.1</v>
      </c>
      <c r="G84" s="250">
        <v>48.3</v>
      </c>
      <c r="H84" s="250">
        <v>1953.7</v>
      </c>
      <c r="I84" s="1"/>
      <c r="J84" s="1"/>
      <c r="K84" s="1"/>
      <c r="L84" s="1"/>
      <c r="M84" s="1"/>
      <c r="N84" s="1"/>
      <c r="O84" s="1"/>
      <c r="P84" s="1"/>
      <c r="Q84" s="1"/>
      <c r="R84" s="1"/>
      <c r="S84" s="1"/>
      <c r="T84" s="1"/>
      <c r="U84" s="1"/>
      <c r="V84" s="1"/>
      <c r="W84" s="1"/>
      <c r="X84" s="1"/>
      <c r="Y84" s="1"/>
      <c r="Z84" s="1"/>
    </row>
    <row r="85" ht="10.5" customHeight="1">
      <c r="A85" s="1"/>
      <c r="B85" s="48" t="s">
        <v>81</v>
      </c>
      <c r="C85" s="285">
        <v>7525.8</v>
      </c>
      <c r="D85" s="840">
        <v>2887.7</v>
      </c>
      <c r="E85" s="87"/>
      <c r="F85" s="250">
        <v>78.5</v>
      </c>
      <c r="G85" s="250">
        <v>57.3</v>
      </c>
      <c r="H85" s="250">
        <v>2796.3</v>
      </c>
      <c r="I85" s="1"/>
      <c r="J85" s="1"/>
      <c r="K85" s="1"/>
      <c r="L85" s="1"/>
      <c r="M85" s="1"/>
      <c r="N85" s="1"/>
      <c r="O85" s="1"/>
      <c r="P85" s="1"/>
      <c r="Q85" s="1"/>
      <c r="R85" s="1"/>
      <c r="S85" s="1"/>
      <c r="T85" s="1"/>
      <c r="U85" s="1"/>
      <c r="V85" s="1"/>
      <c r="W85" s="1"/>
      <c r="X85" s="1"/>
      <c r="Y85" s="1"/>
      <c r="Z85" s="1"/>
    </row>
    <row r="86" ht="10.5" customHeight="1">
      <c r="A86" s="1"/>
      <c r="B86" s="48" t="s">
        <v>86</v>
      </c>
      <c r="C86" s="285">
        <v>7431.7</v>
      </c>
      <c r="D86" s="840">
        <v>3136.1</v>
      </c>
      <c r="E86" s="87"/>
      <c r="F86" s="250">
        <v>86.5</v>
      </c>
      <c r="G86" s="250">
        <v>-189.8</v>
      </c>
      <c r="H86" s="250">
        <v>1703.4</v>
      </c>
      <c r="I86" s="1"/>
      <c r="J86" s="1"/>
      <c r="K86" s="1"/>
      <c r="L86" s="1"/>
      <c r="M86" s="1"/>
      <c r="N86" s="1"/>
      <c r="O86" s="1"/>
      <c r="P86" s="1"/>
      <c r="Q86" s="1"/>
      <c r="R86" s="1"/>
      <c r="S86" s="1"/>
      <c r="T86" s="1"/>
      <c r="U86" s="1"/>
      <c r="V86" s="1"/>
      <c r="W86" s="1"/>
      <c r="X86" s="1"/>
      <c r="Y86" s="1"/>
      <c r="Z86" s="1"/>
    </row>
    <row r="87" ht="10.5" customHeight="1">
      <c r="A87" s="1"/>
      <c r="B87" s="48" t="s">
        <v>87</v>
      </c>
      <c r="C87" s="285">
        <v>7734.1</v>
      </c>
      <c r="D87" s="840">
        <v>3511.9</v>
      </c>
      <c r="E87" s="87"/>
      <c r="F87" s="250">
        <v>88.4</v>
      </c>
      <c r="G87" s="250">
        <v>-215.7</v>
      </c>
      <c r="H87" s="250">
        <v>1214.8</v>
      </c>
      <c r="I87" s="1"/>
      <c r="J87" s="1"/>
      <c r="K87" s="1"/>
      <c r="L87" s="1"/>
      <c r="M87" s="1"/>
      <c r="N87" s="1"/>
      <c r="O87" s="1"/>
      <c r="P87" s="1"/>
      <c r="Q87" s="1"/>
      <c r="R87" s="1"/>
      <c r="S87" s="1"/>
      <c r="T87" s="1"/>
      <c r="U87" s="1"/>
      <c r="V87" s="1"/>
      <c r="W87" s="1"/>
      <c r="X87" s="1"/>
      <c r="Y87" s="1"/>
      <c r="Z87" s="1"/>
    </row>
    <row r="88" ht="10.5" customHeight="1">
      <c r="A88" s="1"/>
      <c r="B88" s="48" t="s">
        <v>90</v>
      </c>
      <c r="C88" s="285">
        <v>9719.4</v>
      </c>
      <c r="D88" s="840">
        <v>4027.7</v>
      </c>
      <c r="E88" s="87"/>
      <c r="F88" s="250">
        <v>99.1</v>
      </c>
      <c r="G88" s="250">
        <v>-102.1</v>
      </c>
      <c r="H88" s="250">
        <v>2343.6</v>
      </c>
      <c r="I88" s="1"/>
      <c r="J88" s="1"/>
      <c r="K88" s="1"/>
      <c r="L88" s="1"/>
      <c r="M88" s="1"/>
      <c r="N88" s="1"/>
      <c r="O88" s="1"/>
      <c r="P88" s="1"/>
      <c r="Q88" s="1"/>
      <c r="R88" s="1"/>
      <c r="S88" s="1"/>
      <c r="T88" s="1"/>
      <c r="U88" s="1"/>
      <c r="V88" s="1"/>
      <c r="W88" s="1"/>
      <c r="X88" s="1"/>
      <c r="Y88" s="1"/>
      <c r="Z88" s="1"/>
    </row>
    <row r="89" ht="10.5" customHeight="1">
      <c r="A89" s="1"/>
      <c r="B89" s="48"/>
      <c r="C89" s="285"/>
      <c r="D89" s="820"/>
      <c r="E89" s="87"/>
      <c r="F89" s="250"/>
      <c r="G89" s="250"/>
      <c r="H89" s="250"/>
      <c r="I89" s="1"/>
      <c r="J89" s="1"/>
      <c r="K89" s="1"/>
      <c r="L89" s="1"/>
      <c r="M89" s="1"/>
      <c r="N89" s="1"/>
      <c r="O89" s="1"/>
      <c r="P89" s="1"/>
      <c r="Q89" s="1"/>
      <c r="R89" s="1"/>
      <c r="S89" s="1"/>
      <c r="T89" s="1"/>
      <c r="U89" s="1"/>
      <c r="V89" s="1"/>
      <c r="W89" s="1"/>
      <c r="X89" s="1"/>
      <c r="Y89" s="1"/>
      <c r="Z89" s="1"/>
    </row>
    <row r="90" ht="10.5" customHeight="1">
      <c r="A90" s="1"/>
      <c r="B90" s="48" t="s">
        <v>93</v>
      </c>
      <c r="C90" s="285">
        <v>10470.4</v>
      </c>
      <c r="D90" s="840">
        <v>4585.1</v>
      </c>
      <c r="E90" s="87"/>
      <c r="F90" s="250">
        <v>109.4</v>
      </c>
      <c r="G90" s="250">
        <v>7.6</v>
      </c>
      <c r="H90" s="250">
        <v>2355.9</v>
      </c>
      <c r="I90" s="1"/>
      <c r="J90" s="1"/>
      <c r="K90" s="1"/>
      <c r="L90" s="1"/>
      <c r="M90" s="1"/>
      <c r="N90" s="1"/>
      <c r="O90" s="1"/>
      <c r="P90" s="1"/>
      <c r="Q90" s="1"/>
      <c r="R90" s="1"/>
      <c r="S90" s="1"/>
      <c r="T90" s="1"/>
      <c r="U90" s="1"/>
      <c r="V90" s="1"/>
      <c r="W90" s="1"/>
      <c r="X90" s="1"/>
      <c r="Y90" s="1"/>
      <c r="Z90" s="1"/>
    </row>
    <row r="91" ht="10.5" customHeight="1">
      <c r="A91" s="1"/>
      <c r="B91" s="48" t="s">
        <v>97</v>
      </c>
      <c r="C91" s="285">
        <v>13174.0</v>
      </c>
      <c r="D91" s="840">
        <v>5007.9</v>
      </c>
      <c r="E91" s="87"/>
      <c r="F91" s="250">
        <v>126.0</v>
      </c>
      <c r="G91" s="250">
        <v>91.9</v>
      </c>
      <c r="H91" s="250">
        <v>4441.7</v>
      </c>
      <c r="I91" s="1"/>
      <c r="J91" s="1"/>
      <c r="K91" s="1"/>
      <c r="L91" s="1"/>
      <c r="M91" s="1"/>
      <c r="N91" s="1"/>
      <c r="O91" s="1"/>
      <c r="P91" s="1"/>
      <c r="Q91" s="1"/>
      <c r="R91" s="1"/>
      <c r="S91" s="1"/>
      <c r="T91" s="1"/>
      <c r="U91" s="1"/>
      <c r="V91" s="1"/>
      <c r="W91" s="1"/>
      <c r="X91" s="1"/>
      <c r="Y91" s="1"/>
      <c r="Z91" s="1"/>
    </row>
    <row r="92" ht="10.5" customHeight="1">
      <c r="A92" s="1"/>
      <c r="B92" s="48" t="s">
        <v>101</v>
      </c>
      <c r="C92" s="285">
        <v>14972.6</v>
      </c>
      <c r="D92" s="840">
        <v>5573.7</v>
      </c>
      <c r="E92" s="87"/>
      <c r="F92" s="250">
        <v>166.4</v>
      </c>
      <c r="G92" s="250">
        <v>454.3</v>
      </c>
      <c r="H92" s="250">
        <v>5427.4</v>
      </c>
      <c r="I92" s="1"/>
      <c r="J92" s="1"/>
      <c r="K92" s="1"/>
      <c r="L92" s="1"/>
      <c r="M92" s="1"/>
      <c r="N92" s="1"/>
      <c r="O92" s="1"/>
      <c r="P92" s="1"/>
      <c r="Q92" s="1"/>
      <c r="R92" s="1"/>
      <c r="S92" s="1"/>
      <c r="T92" s="1"/>
      <c r="U92" s="1"/>
      <c r="V92" s="1"/>
      <c r="W92" s="1"/>
      <c r="X92" s="1"/>
      <c r="Y92" s="1"/>
      <c r="Z92" s="1"/>
    </row>
    <row r="93" ht="10.5" customHeight="1">
      <c r="A93" s="1"/>
      <c r="B93" s="48" t="s">
        <v>103</v>
      </c>
      <c r="C93" s="285">
        <v>16650.4</v>
      </c>
      <c r="D93" s="840">
        <v>6564.8</v>
      </c>
      <c r="E93" s="87"/>
      <c r="F93" s="250">
        <v>171.6</v>
      </c>
      <c r="G93" s="250">
        <v>757.1</v>
      </c>
      <c r="H93" s="250">
        <v>5480.9</v>
      </c>
      <c r="I93" s="1"/>
      <c r="J93" s="1"/>
      <c r="K93" s="1"/>
      <c r="L93" s="1"/>
      <c r="M93" s="1"/>
      <c r="N93" s="1"/>
      <c r="O93" s="1"/>
      <c r="P93" s="1"/>
      <c r="Q93" s="1"/>
      <c r="R93" s="1"/>
      <c r="S93" s="1"/>
      <c r="T93" s="1"/>
      <c r="U93" s="1"/>
      <c r="V93" s="1"/>
      <c r="W93" s="1"/>
      <c r="X93" s="1"/>
      <c r="Y93" s="1"/>
      <c r="Z93" s="1"/>
    </row>
    <row r="94" ht="10.5" customHeight="1">
      <c r="A94" s="1"/>
      <c r="B94" s="48" t="s">
        <v>104</v>
      </c>
      <c r="C94" s="285">
        <v>20015.8</v>
      </c>
      <c r="D94" s="840">
        <v>7404.6</v>
      </c>
      <c r="E94" s="87"/>
      <c r="F94" s="250">
        <v>210.6</v>
      </c>
      <c r="G94" s="250">
        <v>164.7</v>
      </c>
      <c r="H94" s="250">
        <v>6684.9</v>
      </c>
      <c r="I94" s="1"/>
      <c r="J94" s="1"/>
      <c r="K94" s="1"/>
      <c r="L94" s="1"/>
      <c r="M94" s="1"/>
      <c r="N94" s="1"/>
      <c r="O94" s="1"/>
      <c r="P94" s="1"/>
      <c r="Q94" s="1"/>
      <c r="R94" s="1"/>
      <c r="S94" s="1"/>
      <c r="T94" s="1"/>
      <c r="U94" s="1"/>
      <c r="V94" s="1"/>
      <c r="W94" s="1"/>
      <c r="X94" s="1"/>
      <c r="Y94" s="1"/>
      <c r="Z94" s="1"/>
    </row>
    <row r="95" ht="10.5" customHeight="1">
      <c r="A95" s="1"/>
      <c r="B95" s="48"/>
      <c r="C95" s="285"/>
      <c r="D95" s="820"/>
      <c r="E95" s="87"/>
      <c r="F95" s="250"/>
      <c r="G95" s="250"/>
      <c r="H95" s="250"/>
      <c r="I95" s="1"/>
      <c r="J95" s="1"/>
      <c r="K95" s="1"/>
      <c r="L95" s="1"/>
      <c r="M95" s="1"/>
      <c r="N95" s="1"/>
      <c r="O95" s="1"/>
      <c r="P95" s="1"/>
      <c r="Q95" s="1"/>
      <c r="R95" s="1"/>
      <c r="S95" s="1"/>
      <c r="T95" s="1"/>
      <c r="U95" s="1"/>
      <c r="V95" s="1"/>
      <c r="W95" s="1"/>
      <c r="X95" s="1"/>
      <c r="Y95" s="1"/>
      <c r="Z95" s="1"/>
    </row>
    <row r="96" ht="10.5" customHeight="1">
      <c r="A96" s="1"/>
      <c r="B96" s="48" t="s">
        <v>108</v>
      </c>
      <c r="C96" s="285">
        <v>20440.5</v>
      </c>
      <c r="D96" s="840">
        <v>8235.8</v>
      </c>
      <c r="E96" s="87"/>
      <c r="F96" s="250">
        <v>248.2</v>
      </c>
      <c r="G96" s="250">
        <v>-279.2</v>
      </c>
      <c r="H96" s="250">
        <v>5254.5</v>
      </c>
      <c r="I96" s="1"/>
      <c r="J96" s="1"/>
      <c r="K96" s="1"/>
      <c r="L96" s="1"/>
      <c r="M96" s="1"/>
      <c r="N96" s="1"/>
      <c r="O96" s="1"/>
      <c r="P96" s="1"/>
      <c r="Q96" s="1"/>
      <c r="R96" s="1"/>
      <c r="S96" s="1"/>
      <c r="T96" s="1"/>
      <c r="U96" s="1"/>
      <c r="V96" s="1"/>
      <c r="W96" s="1"/>
      <c r="X96" s="1"/>
      <c r="Y96" s="1"/>
      <c r="Z96" s="1"/>
    </row>
    <row r="97" ht="10.5" customHeight="1">
      <c r="A97" s="1"/>
      <c r="B97" s="48" t="s">
        <v>111</v>
      </c>
      <c r="C97" s="285">
        <v>23620.2</v>
      </c>
      <c r="D97" s="840">
        <v>9031.4</v>
      </c>
      <c r="E97" s="87"/>
      <c r="F97" s="250">
        <v>299.8</v>
      </c>
      <c r="G97" s="250">
        <v>-445.0</v>
      </c>
      <c r="H97" s="250">
        <v>7193.5</v>
      </c>
      <c r="I97" s="1"/>
      <c r="J97" s="1"/>
      <c r="K97" s="1"/>
      <c r="L97" s="1"/>
      <c r="M97" s="1"/>
      <c r="N97" s="1"/>
      <c r="O97" s="1"/>
      <c r="P97" s="1"/>
      <c r="Q97" s="1"/>
      <c r="R97" s="1"/>
      <c r="S97" s="1"/>
      <c r="T97" s="1"/>
      <c r="U97" s="1"/>
      <c r="V97" s="1"/>
      <c r="W97" s="1"/>
      <c r="X97" s="1"/>
      <c r="Y97" s="1"/>
      <c r="Z97" s="1"/>
    </row>
    <row r="98" ht="10.5" customHeight="1">
      <c r="A98" s="1"/>
      <c r="B98" s="48" t="s">
        <v>112</v>
      </c>
      <c r="C98" s="285">
        <v>22592.2</v>
      </c>
      <c r="D98" s="840">
        <v>10434.5</v>
      </c>
      <c r="E98" s="87"/>
      <c r="F98" s="250">
        <v>366.6</v>
      </c>
      <c r="G98" s="250">
        <v>-321.0</v>
      </c>
      <c r="H98" s="250">
        <v>3930.7</v>
      </c>
      <c r="I98" s="1"/>
      <c r="J98" s="1"/>
      <c r="K98" s="1"/>
      <c r="L98" s="1"/>
      <c r="M98" s="1"/>
      <c r="N98" s="1"/>
      <c r="O98" s="1"/>
      <c r="P98" s="1"/>
      <c r="Q98" s="1"/>
      <c r="R98" s="1"/>
      <c r="S98" s="1"/>
      <c r="T98" s="1"/>
      <c r="U98" s="1"/>
      <c r="V98" s="1"/>
      <c r="W98" s="1"/>
      <c r="X98" s="1"/>
      <c r="Y98" s="1"/>
      <c r="Z98" s="1"/>
    </row>
    <row r="99" ht="10.5" customHeight="1">
      <c r="A99" s="1"/>
      <c r="B99" s="48" t="s">
        <v>113</v>
      </c>
      <c r="C99" s="285">
        <v>27028.3</v>
      </c>
      <c r="D99" s="840">
        <v>11840.4</v>
      </c>
      <c r="E99" s="87"/>
      <c r="F99" s="250">
        <v>417.6</v>
      </c>
      <c r="G99" s="250">
        <v>163.3</v>
      </c>
      <c r="H99" s="250">
        <v>6921.5</v>
      </c>
      <c r="I99" s="1"/>
      <c r="J99" s="1"/>
      <c r="K99" s="1"/>
      <c r="L99" s="1"/>
      <c r="M99" s="1"/>
      <c r="N99" s="1"/>
      <c r="O99" s="1"/>
      <c r="P99" s="1"/>
      <c r="Q99" s="1"/>
      <c r="R99" s="1"/>
      <c r="S99" s="1"/>
      <c r="T99" s="1"/>
      <c r="U99" s="1"/>
      <c r="V99" s="1"/>
      <c r="W99" s="1"/>
      <c r="X99" s="1"/>
      <c r="Y99" s="1"/>
      <c r="Z99" s="1"/>
    </row>
    <row r="100" ht="10.5" customHeight="1">
      <c r="A100" s="1"/>
      <c r="B100" s="48" t="s">
        <v>114</v>
      </c>
      <c r="C100" s="285">
        <v>28910.6</v>
      </c>
      <c r="D100" s="840">
        <v>13388.1</v>
      </c>
      <c r="E100" s="87"/>
      <c r="F100" s="250">
        <v>468.5</v>
      </c>
      <c r="G100" s="250">
        <v>436.2</v>
      </c>
      <c r="H100" s="250">
        <v>6768.1</v>
      </c>
      <c r="I100" s="1"/>
      <c r="J100" s="1"/>
      <c r="K100" s="1"/>
      <c r="L100" s="1"/>
      <c r="M100" s="1"/>
      <c r="N100" s="1"/>
      <c r="O100" s="1"/>
      <c r="P100" s="1"/>
      <c r="Q100" s="1"/>
      <c r="R100" s="1"/>
      <c r="S100" s="1"/>
      <c r="T100" s="1"/>
      <c r="U100" s="1"/>
      <c r="V100" s="1"/>
      <c r="W100" s="1"/>
      <c r="X100" s="1"/>
      <c r="Y100" s="1"/>
      <c r="Z100" s="1"/>
    </row>
    <row r="101" ht="10.5" customHeight="1">
      <c r="A101" s="1"/>
      <c r="B101" s="48"/>
      <c r="C101" s="285"/>
      <c r="D101" s="820"/>
      <c r="E101" s="87"/>
      <c r="F101" s="250"/>
      <c r="G101" s="250"/>
      <c r="H101" s="250"/>
      <c r="I101" s="1"/>
      <c r="J101" s="1"/>
      <c r="K101" s="1"/>
      <c r="L101" s="1"/>
      <c r="M101" s="1"/>
      <c r="N101" s="1"/>
      <c r="O101" s="1"/>
      <c r="P101" s="1"/>
      <c r="Q101" s="1"/>
      <c r="R101" s="1"/>
      <c r="S101" s="1"/>
      <c r="T101" s="1"/>
      <c r="U101" s="1"/>
      <c r="V101" s="1"/>
      <c r="W101" s="1"/>
      <c r="X101" s="1"/>
      <c r="Y101" s="1"/>
      <c r="Z101" s="1"/>
    </row>
    <row r="102" ht="10.5" customHeight="1">
      <c r="A102" s="1"/>
      <c r="B102" s="168" t="s">
        <v>115</v>
      </c>
      <c r="C102" s="285">
        <v>34494.4</v>
      </c>
      <c r="D102" s="840">
        <v>15795.7</v>
      </c>
      <c r="E102" s="87"/>
      <c r="F102" s="250">
        <v>525.5</v>
      </c>
      <c r="G102" s="250">
        <v>580.5</v>
      </c>
      <c r="H102" s="250">
        <v>9172.9</v>
      </c>
      <c r="I102" s="1"/>
      <c r="J102" s="1"/>
      <c r="K102" s="1"/>
      <c r="L102" s="1"/>
      <c r="M102" s="1"/>
      <c r="N102" s="1"/>
      <c r="O102" s="1"/>
      <c r="P102" s="1"/>
      <c r="Q102" s="1"/>
      <c r="R102" s="1"/>
      <c r="S102" s="1"/>
      <c r="T102" s="1"/>
      <c r="U102" s="1"/>
      <c r="V102" s="1"/>
      <c r="W102" s="1"/>
      <c r="X102" s="1"/>
      <c r="Y102" s="1"/>
      <c r="Z102" s="1"/>
    </row>
    <row r="103" ht="10.5" customHeight="1">
      <c r="A103" s="1"/>
      <c r="B103" s="168" t="s">
        <v>117</v>
      </c>
      <c r="C103" s="285">
        <v>41418.7</v>
      </c>
      <c r="D103" s="840">
        <v>18891.5</v>
      </c>
      <c r="E103" s="87"/>
      <c r="F103" s="250">
        <v>637.6</v>
      </c>
      <c r="G103" s="250">
        <v>281.3</v>
      </c>
      <c r="H103" s="250">
        <v>11406.3</v>
      </c>
      <c r="I103" s="1"/>
      <c r="J103" s="1"/>
      <c r="K103" s="1"/>
      <c r="L103" s="1"/>
      <c r="M103" s="1"/>
      <c r="N103" s="1"/>
      <c r="O103" s="1"/>
      <c r="P103" s="1"/>
      <c r="Q103" s="1"/>
      <c r="R103" s="1"/>
      <c r="S103" s="1"/>
      <c r="T103" s="1"/>
      <c r="U103" s="1"/>
      <c r="V103" s="1"/>
      <c r="W103" s="1"/>
      <c r="X103" s="1"/>
      <c r="Y103" s="1"/>
      <c r="Z103" s="1"/>
    </row>
    <row r="104" ht="10.5" customHeight="1">
      <c r="A104" s="1"/>
      <c r="B104" s="168" t="s">
        <v>121</v>
      </c>
      <c r="C104" s="285">
        <v>41991.4</v>
      </c>
      <c r="D104" s="840">
        <v>20864.6</v>
      </c>
      <c r="E104" s="87"/>
      <c r="F104" s="250">
        <v>750.2</v>
      </c>
      <c r="G104" s="250">
        <v>189.3</v>
      </c>
      <c r="H104" s="250">
        <v>8717.7</v>
      </c>
      <c r="I104" s="1"/>
      <c r="J104" s="1"/>
      <c r="K104" s="1"/>
      <c r="L104" s="1"/>
      <c r="M104" s="1"/>
      <c r="N104" s="1"/>
      <c r="O104" s="1"/>
      <c r="P104" s="1"/>
      <c r="Q104" s="1"/>
      <c r="R104" s="1"/>
      <c r="S104" s="1"/>
      <c r="T104" s="1"/>
      <c r="U104" s="1"/>
      <c r="V104" s="1"/>
      <c r="W104" s="1"/>
      <c r="X104" s="1"/>
      <c r="Y104" s="1"/>
      <c r="Z104" s="1"/>
    </row>
    <row r="105" ht="10.5" customHeight="1">
      <c r="A105" s="1"/>
      <c r="B105" s="168" t="s">
        <v>122</v>
      </c>
      <c r="C105" s="285">
        <v>42353.9</v>
      </c>
      <c r="D105" s="840">
        <v>22053.4</v>
      </c>
      <c r="E105" s="87"/>
      <c r="F105" s="250">
        <v>851.9</v>
      </c>
      <c r="G105" s="250">
        <v>-420.4</v>
      </c>
      <c r="H105" s="250">
        <v>6327.4</v>
      </c>
      <c r="I105" s="1"/>
      <c r="J105" s="1"/>
      <c r="K105" s="1"/>
      <c r="L105" s="1"/>
      <c r="M105" s="1"/>
      <c r="N105" s="1"/>
      <c r="O105" s="1"/>
      <c r="P105" s="1"/>
      <c r="Q105" s="1"/>
      <c r="R105" s="1"/>
      <c r="S105" s="1"/>
      <c r="T105" s="1"/>
      <c r="U105" s="1"/>
      <c r="V105" s="1"/>
      <c r="W105" s="1"/>
      <c r="X105" s="1"/>
      <c r="Y105" s="1"/>
      <c r="Z105" s="1"/>
    </row>
    <row r="106" ht="10.5" customHeight="1">
      <c r="A106" s="1"/>
      <c r="B106" s="168" t="s">
        <v>123</v>
      </c>
      <c r="C106" s="285">
        <v>42315.4</v>
      </c>
      <c r="D106" s="840">
        <v>24667.2</v>
      </c>
      <c r="E106" s="87"/>
      <c r="F106" s="250">
        <v>1034.7</v>
      </c>
      <c r="G106" s="250">
        <v>-485.2</v>
      </c>
      <c r="H106" s="250">
        <v>3901.6</v>
      </c>
      <c r="I106" s="1"/>
      <c r="J106" s="1"/>
      <c r="K106" s="1"/>
      <c r="L106" s="1"/>
      <c r="M106" s="1"/>
      <c r="N106" s="1"/>
      <c r="O106" s="1"/>
      <c r="P106" s="1"/>
      <c r="Q106" s="1"/>
      <c r="R106" s="1"/>
      <c r="S106" s="1"/>
      <c r="T106" s="1"/>
      <c r="U106" s="1"/>
      <c r="V106" s="1"/>
      <c r="W106" s="1"/>
      <c r="X106" s="1"/>
      <c r="Y106" s="1"/>
      <c r="Z106" s="1"/>
    </row>
    <row r="107" ht="10.5" customHeight="1">
      <c r="A107" s="1"/>
      <c r="B107" s="48"/>
      <c r="C107" s="693"/>
      <c r="D107" s="853"/>
      <c r="E107" s="87"/>
      <c r="F107" s="711"/>
      <c r="G107" s="693"/>
      <c r="H107" s="693"/>
      <c r="I107" s="1"/>
      <c r="J107" s="1"/>
      <c r="K107" s="1"/>
      <c r="L107" s="1"/>
      <c r="M107" s="1"/>
      <c r="N107" s="1"/>
      <c r="O107" s="1"/>
      <c r="P107" s="1"/>
      <c r="Q107" s="1"/>
      <c r="R107" s="1"/>
      <c r="S107" s="1"/>
      <c r="T107" s="1"/>
      <c r="U107" s="1"/>
      <c r="V107" s="1"/>
      <c r="W107" s="1"/>
      <c r="X107" s="1"/>
      <c r="Y107" s="1"/>
      <c r="Z107" s="1"/>
    </row>
    <row r="108" ht="10.5" customHeight="1">
      <c r="A108" s="1"/>
      <c r="B108" s="168" t="s">
        <v>125</v>
      </c>
      <c r="C108" s="284">
        <v>51076.6</v>
      </c>
      <c r="D108" s="840">
        <v>27264.4</v>
      </c>
      <c r="E108" s="87"/>
      <c r="F108" s="250">
        <v>1233.5</v>
      </c>
      <c r="G108" s="250">
        <v>54.7</v>
      </c>
      <c r="H108" s="250">
        <v>10459.4</v>
      </c>
      <c r="I108" s="1"/>
      <c r="J108" s="1"/>
      <c r="K108" s="1"/>
      <c r="L108" s="1"/>
      <c r="M108" s="1"/>
      <c r="N108" s="1"/>
      <c r="O108" s="1"/>
      <c r="P108" s="1"/>
      <c r="Q108" s="1"/>
      <c r="R108" s="1"/>
      <c r="S108" s="1"/>
      <c r="T108" s="1"/>
      <c r="U108" s="1"/>
      <c r="V108" s="1"/>
      <c r="W108" s="1"/>
      <c r="X108" s="1"/>
      <c r="Y108" s="1"/>
      <c r="Z108" s="1"/>
    </row>
    <row r="109" ht="10.5" customHeight="1">
      <c r="A109" s="1"/>
      <c r="B109" s="168" t="s">
        <v>127</v>
      </c>
      <c r="C109" s="284">
        <v>64142.1</v>
      </c>
      <c r="D109" s="840">
        <v>32632.5</v>
      </c>
      <c r="E109" s="87"/>
      <c r="F109" s="711">
        <v>1383.4</v>
      </c>
      <c r="G109" s="250">
        <v>86.3</v>
      </c>
      <c r="H109" s="250">
        <v>17825.7</v>
      </c>
      <c r="I109" s="1"/>
      <c r="J109" s="1"/>
      <c r="K109" s="1"/>
      <c r="L109" s="1"/>
      <c r="M109" s="1"/>
      <c r="N109" s="1"/>
      <c r="O109" s="1"/>
      <c r="P109" s="1"/>
      <c r="Q109" s="1"/>
      <c r="R109" s="1"/>
      <c r="S109" s="1"/>
      <c r="T109" s="1"/>
      <c r="U109" s="1"/>
      <c r="V109" s="1"/>
      <c r="W109" s="1"/>
      <c r="X109" s="1"/>
      <c r="Y109" s="1"/>
      <c r="Z109" s="1"/>
    </row>
    <row r="110" ht="10.5" customHeight="1">
      <c r="A110" s="1"/>
      <c r="B110" s="168" t="s">
        <v>128</v>
      </c>
      <c r="C110" s="284">
        <v>72355.9</v>
      </c>
      <c r="D110" s="840">
        <v>37496.1</v>
      </c>
      <c r="E110" s="87"/>
      <c r="F110" s="711">
        <v>1621.5</v>
      </c>
      <c r="G110" s="250">
        <v>-156.7</v>
      </c>
      <c r="H110" s="250">
        <v>20077.5</v>
      </c>
      <c r="I110" s="1"/>
      <c r="J110" s="1"/>
      <c r="K110" s="1"/>
      <c r="L110" s="1"/>
      <c r="M110" s="1"/>
      <c r="N110" s="1"/>
      <c r="O110" s="1"/>
      <c r="P110" s="1"/>
      <c r="Q110" s="1"/>
      <c r="R110" s="1"/>
      <c r="S110" s="1"/>
      <c r="T110" s="1"/>
      <c r="U110" s="1"/>
      <c r="V110" s="1"/>
      <c r="W110" s="1"/>
      <c r="X110" s="1"/>
      <c r="Y110" s="1"/>
      <c r="Z110" s="1"/>
    </row>
    <row r="111" ht="10.5" customHeight="1">
      <c r="A111" s="1"/>
      <c r="B111" s="48" t="s">
        <v>129</v>
      </c>
      <c r="C111" s="54">
        <v>69223.2</v>
      </c>
      <c r="D111" s="840">
        <v>37904.4</v>
      </c>
      <c r="E111" s="87"/>
      <c r="F111" s="250">
        <v>1798.6</v>
      </c>
      <c r="G111" s="54">
        <v>-173.9</v>
      </c>
      <c r="H111" s="54">
        <v>16252.6</v>
      </c>
      <c r="I111" s="1"/>
      <c r="J111" s="1"/>
      <c r="K111" s="1"/>
      <c r="L111" s="1"/>
      <c r="M111" s="1"/>
      <c r="N111" s="1"/>
      <c r="O111" s="1"/>
      <c r="P111" s="1"/>
      <c r="Q111" s="1"/>
      <c r="R111" s="1"/>
      <c r="S111" s="1"/>
      <c r="T111" s="1"/>
      <c r="U111" s="1"/>
      <c r="V111" s="1"/>
      <c r="W111" s="1"/>
      <c r="X111" s="1"/>
      <c r="Y111" s="1"/>
      <c r="Z111" s="1"/>
    </row>
    <row r="112" ht="10.5" customHeight="1">
      <c r="A112" s="1"/>
      <c r="B112" s="48" t="s">
        <v>130</v>
      </c>
      <c r="C112" s="54">
        <v>65550.1</v>
      </c>
      <c r="D112" s="840">
        <v>40352.5</v>
      </c>
      <c r="E112" s="87"/>
      <c r="F112" s="250">
        <v>1933.3</v>
      </c>
      <c r="G112" s="54">
        <v>733.6</v>
      </c>
      <c r="H112" s="54">
        <v>10862.1</v>
      </c>
      <c r="I112" s="1"/>
      <c r="J112" s="1"/>
      <c r="K112" s="1"/>
      <c r="L112" s="1"/>
      <c r="M112" s="1"/>
      <c r="N112" s="1"/>
      <c r="O112" s="1"/>
      <c r="P112" s="1"/>
      <c r="Q112" s="1"/>
      <c r="R112" s="1"/>
      <c r="S112" s="1"/>
      <c r="T112" s="1"/>
      <c r="U112" s="1"/>
      <c r="V112" s="1"/>
      <c r="W112" s="1"/>
      <c r="X112" s="1"/>
      <c r="Y112" s="1"/>
      <c r="Z112" s="1"/>
    </row>
    <row r="113" ht="10.5" customHeight="1">
      <c r="A113" s="1"/>
      <c r="B113" s="48"/>
      <c r="C113" s="54"/>
      <c r="D113" s="820"/>
      <c r="E113" s="87"/>
      <c r="F113" s="250"/>
      <c r="G113" s="54"/>
      <c r="H113" s="54"/>
      <c r="I113" s="1"/>
      <c r="J113" s="1"/>
      <c r="K113" s="1"/>
      <c r="L113" s="1"/>
      <c r="M113" s="1"/>
      <c r="N113" s="1"/>
      <c r="O113" s="1"/>
      <c r="P113" s="1"/>
      <c r="Q113" s="1"/>
      <c r="R113" s="1"/>
      <c r="S113" s="1"/>
      <c r="T113" s="1"/>
      <c r="U113" s="1"/>
      <c r="V113" s="1"/>
      <c r="W113" s="1"/>
      <c r="X113" s="1"/>
      <c r="Y113" s="1"/>
      <c r="Z113" s="1"/>
    </row>
    <row r="114" ht="10.5" customHeight="1">
      <c r="A114" s="1"/>
      <c r="B114" s="48" t="s">
        <v>131</v>
      </c>
      <c r="C114" s="54">
        <v>78870.6</v>
      </c>
      <c r="D114" s="840">
        <v>46130.6</v>
      </c>
      <c r="E114" s="87"/>
      <c r="F114" s="250">
        <v>1955.3</v>
      </c>
      <c r="G114" s="54">
        <v>-264.9</v>
      </c>
      <c r="H114" s="54">
        <v>14238.9</v>
      </c>
      <c r="I114" s="1"/>
      <c r="J114" s="1"/>
      <c r="K114" s="1"/>
      <c r="L114" s="1"/>
      <c r="M114" s="1"/>
      <c r="N114" s="1"/>
      <c r="O114" s="1"/>
      <c r="P114" s="1"/>
      <c r="Q114" s="1"/>
      <c r="R114" s="1"/>
      <c r="S114" s="1"/>
      <c r="T114" s="1"/>
      <c r="U114" s="1"/>
      <c r="V114" s="1"/>
      <c r="W114" s="1"/>
      <c r="X114" s="1"/>
      <c r="Y114" s="1"/>
      <c r="Z114" s="1"/>
    </row>
    <row r="115" ht="10.5" customHeight="1">
      <c r="A115" s="1"/>
      <c r="B115" s="48" t="s">
        <v>133</v>
      </c>
      <c r="C115" s="54">
        <v>100115.8</v>
      </c>
      <c r="D115" s="840">
        <v>50341.3</v>
      </c>
      <c r="E115" s="87"/>
      <c r="F115" s="250">
        <v>2036.3</v>
      </c>
      <c r="G115" s="54">
        <v>1806.3</v>
      </c>
      <c r="H115" s="54">
        <v>32475.2</v>
      </c>
      <c r="I115" s="1"/>
      <c r="J115" s="1"/>
      <c r="K115" s="1"/>
      <c r="L115" s="1"/>
      <c r="M115" s="1"/>
      <c r="N115" s="1"/>
      <c r="O115" s="1"/>
      <c r="P115" s="1"/>
      <c r="Q115" s="1"/>
      <c r="R115" s="1"/>
      <c r="S115" s="1"/>
      <c r="T115" s="1"/>
      <c r="U115" s="1"/>
      <c r="V115" s="1"/>
      <c r="W115" s="1"/>
      <c r="X115" s="1"/>
      <c r="Y115" s="1"/>
      <c r="Z115" s="1"/>
    </row>
    <row r="116" ht="10.5" customHeight="1">
      <c r="A116" s="1"/>
      <c r="B116" s="293">
        <v>39295.0</v>
      </c>
      <c r="C116" s="54">
        <v>118778.9</v>
      </c>
      <c r="D116" s="840">
        <v>55306.9</v>
      </c>
      <c r="E116" s="87"/>
      <c r="F116" s="250">
        <v>2283.2</v>
      </c>
      <c r="G116" s="54">
        <v>652.8</v>
      </c>
      <c r="H116" s="54">
        <v>44111.4</v>
      </c>
      <c r="I116" s="1"/>
      <c r="J116" s="1"/>
      <c r="K116" s="1"/>
      <c r="L116" s="1"/>
      <c r="M116" s="1"/>
      <c r="N116" s="1"/>
      <c r="O116" s="1"/>
      <c r="P116" s="1"/>
      <c r="Q116" s="1"/>
      <c r="R116" s="1"/>
      <c r="S116" s="1"/>
      <c r="T116" s="1"/>
      <c r="U116" s="1"/>
      <c r="V116" s="1"/>
      <c r="W116" s="1"/>
      <c r="X116" s="1"/>
      <c r="Y116" s="1"/>
      <c r="Z116" s="1"/>
    </row>
    <row r="117" ht="10.5" customHeight="1">
      <c r="A117" s="1"/>
      <c r="B117" s="293">
        <v>39692.0</v>
      </c>
      <c r="C117" s="54">
        <v>134996.1</v>
      </c>
      <c r="D117" s="840">
        <v>62921.2</v>
      </c>
      <c r="E117" s="87"/>
      <c r="F117" s="250">
        <v>2578.8</v>
      </c>
      <c r="G117" s="54">
        <v>-27.8</v>
      </c>
      <c r="H117" s="54">
        <v>53437.9</v>
      </c>
      <c r="I117" s="1"/>
      <c r="J117" s="1"/>
      <c r="K117" s="1"/>
      <c r="L117" s="1"/>
      <c r="M117" s="1"/>
      <c r="N117" s="1"/>
      <c r="O117" s="1"/>
      <c r="P117" s="1"/>
      <c r="Q117" s="1"/>
      <c r="R117" s="1"/>
      <c r="S117" s="1"/>
      <c r="T117" s="1"/>
      <c r="U117" s="1"/>
      <c r="V117" s="1"/>
      <c r="W117" s="1"/>
      <c r="X117" s="1"/>
      <c r="Y117" s="1"/>
      <c r="Z117" s="1"/>
    </row>
    <row r="118" ht="10.5" customHeight="1">
      <c r="A118" s="1"/>
      <c r="B118" s="293">
        <v>40087.0</v>
      </c>
      <c r="C118" s="54">
        <v>135084.8</v>
      </c>
      <c r="D118" s="840">
        <v>71246.5</v>
      </c>
      <c r="E118" s="87"/>
      <c r="F118" s="250">
        <v>2935.5</v>
      </c>
      <c r="G118" s="54">
        <v>-271.8</v>
      </c>
      <c r="H118" s="54">
        <v>44223.7</v>
      </c>
      <c r="I118" s="1"/>
      <c r="J118" s="1"/>
      <c r="K118" s="1"/>
      <c r="L118" s="1"/>
      <c r="M118" s="1"/>
      <c r="N118" s="1"/>
      <c r="O118" s="1"/>
      <c r="P118" s="1"/>
      <c r="Q118" s="1"/>
      <c r="R118" s="1"/>
      <c r="S118" s="1"/>
      <c r="T118" s="1"/>
      <c r="U118" s="1"/>
      <c r="V118" s="1"/>
      <c r="W118" s="1"/>
      <c r="X118" s="1"/>
      <c r="Y118" s="1"/>
      <c r="Z118" s="1"/>
    </row>
    <row r="119" ht="10.5" customHeight="1">
      <c r="A119" s="1"/>
      <c r="B119" s="293"/>
      <c r="C119" s="54"/>
      <c r="D119" s="820"/>
      <c r="E119" s="87"/>
      <c r="F119" s="250"/>
      <c r="G119" s="54"/>
      <c r="H119" s="54"/>
      <c r="I119" s="1"/>
      <c r="J119" s="1"/>
      <c r="K119" s="1"/>
      <c r="L119" s="1"/>
      <c r="M119" s="1"/>
      <c r="N119" s="1"/>
      <c r="O119" s="1"/>
      <c r="P119" s="1"/>
      <c r="Q119" s="1"/>
      <c r="R119" s="1"/>
      <c r="S119" s="1"/>
      <c r="T119" s="1"/>
      <c r="U119" s="1"/>
      <c r="V119" s="1"/>
      <c r="W119" s="1"/>
      <c r="X119" s="1"/>
      <c r="Y119" s="1"/>
      <c r="Z119" s="1"/>
    </row>
    <row r="120" ht="10.5" customHeight="1">
      <c r="A120" s="1"/>
      <c r="B120" s="85" t="s">
        <v>139</v>
      </c>
      <c r="C120" s="285">
        <v>136588.7</v>
      </c>
      <c r="D120" s="840">
        <v>79155.3</v>
      </c>
      <c r="E120" s="87"/>
      <c r="F120" s="54">
        <v>3344.7</v>
      </c>
      <c r="G120" s="54">
        <v>-152.1</v>
      </c>
      <c r="H120" s="250">
        <v>36949.9</v>
      </c>
      <c r="I120" s="1"/>
      <c r="J120" s="1"/>
      <c r="K120" s="1"/>
      <c r="L120" s="1"/>
      <c r="M120" s="1"/>
      <c r="N120" s="1"/>
      <c r="O120" s="1"/>
      <c r="P120" s="1"/>
      <c r="Q120" s="1"/>
      <c r="R120" s="1"/>
      <c r="S120" s="1"/>
      <c r="T120" s="1"/>
      <c r="U120" s="1"/>
      <c r="V120" s="1"/>
      <c r="W120" s="1"/>
      <c r="X120" s="1"/>
      <c r="Y120" s="1"/>
      <c r="Z120" s="1"/>
    </row>
    <row r="121" ht="10.5" customHeight="1">
      <c r="A121" s="1"/>
      <c r="B121" s="85" t="s">
        <v>143</v>
      </c>
      <c r="C121" s="285">
        <v>167034.1</v>
      </c>
      <c r="D121" s="840">
        <v>91661.9</v>
      </c>
      <c r="E121" s="87"/>
      <c r="F121" s="54">
        <v>3777.4</v>
      </c>
      <c r="G121" s="54">
        <v>1099.4</v>
      </c>
      <c r="H121" s="250">
        <v>54974.2</v>
      </c>
      <c r="I121" s="1"/>
      <c r="J121" s="1"/>
      <c r="K121" s="1"/>
      <c r="L121" s="1"/>
      <c r="M121" s="1"/>
      <c r="N121" s="1"/>
      <c r="O121" s="1"/>
      <c r="P121" s="1"/>
      <c r="Q121" s="1"/>
      <c r="R121" s="1"/>
      <c r="S121" s="1"/>
      <c r="T121" s="1"/>
      <c r="U121" s="1"/>
      <c r="V121" s="1"/>
      <c r="W121" s="1"/>
      <c r="X121" s="1"/>
      <c r="Y121" s="1"/>
      <c r="Z121" s="1"/>
    </row>
    <row r="122" ht="10.5" customHeight="1">
      <c r="A122" s="1"/>
      <c r="B122" s="85" t="s">
        <v>149</v>
      </c>
      <c r="C122" s="285">
        <v>185651.6</v>
      </c>
      <c r="D122" s="840">
        <v>104291.9</v>
      </c>
      <c r="E122" s="87"/>
      <c r="F122" s="54">
        <v>4182.3</v>
      </c>
      <c r="G122" s="54">
        <v>200.0</v>
      </c>
      <c r="H122" s="250">
        <v>58308.9</v>
      </c>
      <c r="I122" s="1"/>
      <c r="J122" s="1"/>
      <c r="K122" s="1"/>
      <c r="L122" s="1"/>
      <c r="M122" s="1"/>
      <c r="N122" s="1"/>
      <c r="O122" s="1"/>
      <c r="P122" s="1"/>
      <c r="Q122" s="1"/>
      <c r="R122" s="1"/>
      <c r="S122" s="1"/>
      <c r="T122" s="1"/>
      <c r="U122" s="1"/>
      <c r="V122" s="1"/>
      <c r="W122" s="1"/>
      <c r="X122" s="1"/>
      <c r="Y122" s="1"/>
      <c r="Z122" s="1"/>
    </row>
    <row r="123" ht="10.5" customHeight="1">
      <c r="A123" s="1"/>
      <c r="B123" s="85" t="s">
        <v>151</v>
      </c>
      <c r="C123" s="285">
        <v>201907.2</v>
      </c>
      <c r="D123" s="840">
        <v>112984.9</v>
      </c>
      <c r="E123" s="87"/>
      <c r="F123" s="54">
        <v>4488.5</v>
      </c>
      <c r="G123" s="54">
        <v>261.2</v>
      </c>
      <c r="H123" s="250">
        <v>64248.0</v>
      </c>
      <c r="I123" s="1"/>
      <c r="J123" s="1"/>
      <c r="K123" s="1"/>
      <c r="L123" s="1"/>
      <c r="M123" s="1"/>
      <c r="N123" s="1"/>
      <c r="O123" s="1"/>
      <c r="P123" s="1"/>
      <c r="Q123" s="1"/>
      <c r="R123" s="1"/>
      <c r="S123" s="1"/>
      <c r="T123" s="1"/>
      <c r="U123" s="1"/>
      <c r="V123" s="1"/>
      <c r="W123" s="1"/>
      <c r="X123" s="1"/>
      <c r="Y123" s="1"/>
      <c r="Z123" s="1"/>
    </row>
    <row r="124" ht="10.5" customHeight="1">
      <c r="A124" s="1"/>
      <c r="B124" s="85" t="s">
        <v>153</v>
      </c>
      <c r="C124" s="285">
        <v>225451.3</v>
      </c>
      <c r="D124" s="840">
        <v>120226.6</v>
      </c>
      <c r="E124" s="87"/>
      <c r="F124" s="54">
        <v>4727.4</v>
      </c>
      <c r="G124" s="54">
        <v>-826.7</v>
      </c>
      <c r="H124" s="250">
        <v>77696.5</v>
      </c>
      <c r="I124" s="1"/>
      <c r="J124" s="1"/>
      <c r="K124" s="1"/>
      <c r="L124" s="1"/>
      <c r="M124" s="1"/>
      <c r="N124" s="1"/>
      <c r="O124" s="1"/>
      <c r="P124" s="1"/>
      <c r="Q124" s="1"/>
      <c r="R124" s="1"/>
      <c r="S124" s="1"/>
      <c r="T124" s="1"/>
      <c r="U124" s="1"/>
      <c r="V124" s="1"/>
      <c r="W124" s="1"/>
      <c r="X124" s="1"/>
      <c r="Y124" s="1"/>
      <c r="Z124" s="1"/>
    </row>
    <row r="125" ht="10.5" customHeight="1">
      <c r="A125" s="1"/>
      <c r="B125" s="85"/>
      <c r="C125" s="285"/>
      <c r="D125" s="840"/>
      <c r="E125" s="854"/>
      <c r="F125" s="54"/>
      <c r="G125" s="54"/>
      <c r="H125" s="250"/>
      <c r="I125" s="1"/>
      <c r="J125" s="1"/>
      <c r="K125" s="1"/>
      <c r="L125" s="1"/>
      <c r="M125" s="1"/>
      <c r="N125" s="1"/>
      <c r="O125" s="1"/>
      <c r="P125" s="1"/>
      <c r="Q125" s="1"/>
      <c r="R125" s="1"/>
      <c r="S125" s="1"/>
      <c r="T125" s="1"/>
      <c r="U125" s="1"/>
      <c r="V125" s="1"/>
      <c r="W125" s="1"/>
      <c r="X125" s="1"/>
      <c r="Y125" s="1"/>
      <c r="Z125" s="1"/>
    </row>
    <row r="126" ht="10.5" customHeight="1">
      <c r="A126" s="1"/>
      <c r="B126" s="85" t="s">
        <v>155</v>
      </c>
      <c r="C126" s="285">
        <v>242297.5</v>
      </c>
      <c r="D126" s="840">
        <v>128611.2</v>
      </c>
      <c r="E126" s="87"/>
      <c r="F126" s="54">
        <v>5075.3</v>
      </c>
      <c r="G126" s="54">
        <v>-2217.8</v>
      </c>
      <c r="H126" s="250">
        <v>82926.8</v>
      </c>
      <c r="I126" s="1"/>
      <c r="J126" s="1"/>
      <c r="K126" s="1"/>
      <c r="L126" s="1"/>
      <c r="M126" s="1"/>
      <c r="N126" s="1"/>
      <c r="O126" s="1"/>
      <c r="P126" s="1"/>
      <c r="Q126" s="1"/>
      <c r="R126" s="1"/>
      <c r="S126" s="1"/>
      <c r="T126" s="1"/>
      <c r="U126" s="1"/>
      <c r="V126" s="1"/>
      <c r="W126" s="1"/>
      <c r="X126" s="1"/>
      <c r="Y126" s="1"/>
      <c r="Z126" s="1"/>
    </row>
    <row r="127" ht="12.0" customHeight="1">
      <c r="A127" s="1"/>
      <c r="B127" s="96" t="s">
        <v>1485</v>
      </c>
      <c r="C127" s="107">
        <v>264393.2</v>
      </c>
      <c r="D127" s="855">
        <v>137183.4</v>
      </c>
      <c r="E127" s="94"/>
      <c r="F127" s="107">
        <v>5376.6</v>
      </c>
      <c r="G127" s="107">
        <v>-3826.4</v>
      </c>
      <c r="H127" s="785">
        <v>92712.7</v>
      </c>
      <c r="I127" s="1"/>
      <c r="J127" s="1"/>
      <c r="K127" s="1"/>
      <c r="L127" s="1"/>
      <c r="M127" s="1"/>
      <c r="N127" s="1"/>
      <c r="O127" s="1"/>
      <c r="P127" s="1"/>
      <c r="Q127" s="1"/>
      <c r="R127" s="1"/>
      <c r="S127" s="1"/>
      <c r="T127" s="1"/>
      <c r="U127" s="1"/>
      <c r="V127" s="1"/>
      <c r="W127" s="1"/>
      <c r="X127" s="1"/>
      <c r="Y127" s="1"/>
      <c r="Z127" s="1"/>
    </row>
    <row r="128" ht="6.0" customHeight="1">
      <c r="A128" s="1"/>
      <c r="B128" s="291"/>
      <c r="C128" s="285"/>
      <c r="D128" s="856"/>
      <c r="E128" s="858"/>
      <c r="F128" s="285"/>
      <c r="G128" s="285"/>
      <c r="H128" s="285"/>
      <c r="I128" s="1"/>
      <c r="J128" s="1"/>
      <c r="K128" s="1"/>
      <c r="L128" s="1"/>
      <c r="M128" s="1"/>
      <c r="N128" s="1"/>
      <c r="O128" s="1"/>
      <c r="P128" s="1"/>
      <c r="Q128" s="1"/>
      <c r="R128" s="1"/>
      <c r="S128" s="1"/>
      <c r="T128" s="1"/>
      <c r="U128" s="1"/>
      <c r="V128" s="1"/>
      <c r="W128" s="1"/>
      <c r="X128" s="1"/>
      <c r="Y128" s="1"/>
      <c r="Z128" s="1"/>
    </row>
    <row r="129" ht="10.5" customHeight="1">
      <c r="A129" s="1"/>
      <c r="B129" s="185" t="s">
        <v>1486</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0.5" customHeight="1">
      <c r="A130" s="1"/>
      <c r="B130" s="185" t="s">
        <v>1487</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0.5" customHeight="1">
      <c r="A131" s="1"/>
      <c r="B131" s="185" t="s">
        <v>1488</v>
      </c>
      <c r="C131" s="860"/>
      <c r="D131" s="860"/>
      <c r="E131" s="860"/>
      <c r="F131" s="860"/>
      <c r="G131" s="860"/>
      <c r="H131" s="860"/>
      <c r="I131" s="860"/>
      <c r="J131" s="1"/>
      <c r="K131" s="1"/>
      <c r="L131" s="1"/>
      <c r="M131" s="1"/>
      <c r="N131" s="1"/>
      <c r="O131" s="1"/>
      <c r="P131" s="1"/>
      <c r="Q131" s="1"/>
      <c r="R131" s="1"/>
      <c r="S131" s="1"/>
      <c r="T131" s="1"/>
      <c r="U131" s="1"/>
      <c r="V131" s="1"/>
      <c r="W131" s="1"/>
      <c r="X131" s="1"/>
      <c r="Y131" s="1"/>
      <c r="Z131" s="1"/>
    </row>
    <row r="132" ht="10.5" customHeight="1">
      <c r="A132" s="1"/>
      <c r="B132" s="1"/>
      <c r="C132" s="862"/>
      <c r="D132" s="862"/>
      <c r="E132" s="862"/>
      <c r="F132" s="154"/>
      <c r="G132" s="862"/>
      <c r="H132" s="862"/>
      <c r="I132" s="860"/>
      <c r="J132" s="1"/>
      <c r="K132" s="1"/>
      <c r="L132" s="1"/>
      <c r="M132" s="1"/>
      <c r="N132" s="1"/>
      <c r="O132" s="1"/>
      <c r="P132" s="1"/>
      <c r="Q132" s="1"/>
      <c r="R132" s="1"/>
      <c r="S132" s="1"/>
      <c r="T132" s="1"/>
      <c r="U132" s="1"/>
      <c r="V132" s="1"/>
      <c r="W132" s="1"/>
      <c r="X132" s="1"/>
      <c r="Y132" s="1"/>
      <c r="Z132" s="1"/>
    </row>
    <row r="133" ht="10.5" customHeight="1">
      <c r="A133" s="1"/>
      <c r="B133" s="1"/>
      <c r="C133" s="862"/>
      <c r="D133" s="862"/>
      <c r="E133" s="862"/>
      <c r="F133" s="154"/>
      <c r="G133" s="862"/>
      <c r="H133" s="862"/>
      <c r="I133" s="860"/>
      <c r="J133" s="1"/>
      <c r="K133" s="1"/>
      <c r="L133" s="1"/>
      <c r="M133" s="1"/>
      <c r="N133" s="1"/>
      <c r="O133" s="1"/>
      <c r="P133" s="1"/>
      <c r="Q133" s="1"/>
      <c r="R133" s="1"/>
      <c r="S133" s="1"/>
      <c r="T133" s="1"/>
      <c r="U133" s="1"/>
      <c r="V133" s="1"/>
      <c r="W133" s="1"/>
      <c r="X133" s="1"/>
      <c r="Y133" s="1"/>
      <c r="Z133" s="1"/>
    </row>
    <row r="134" ht="10.5" customHeight="1">
      <c r="A134" s="1"/>
      <c r="B134" s="1"/>
      <c r="C134" s="1"/>
      <c r="D134" s="1"/>
      <c r="E134" s="1"/>
      <c r="F134" s="1"/>
      <c r="G134" s="110">
        <v>75.0</v>
      </c>
      <c r="H134" s="1"/>
      <c r="I134" s="1"/>
      <c r="J134" s="1"/>
      <c r="K134" s="1"/>
      <c r="L134" s="1"/>
      <c r="M134" s="1"/>
      <c r="N134" s="1"/>
      <c r="O134" s="1"/>
      <c r="P134" s="1"/>
      <c r="Q134" s="1"/>
      <c r="R134" s="1"/>
      <c r="S134" s="1"/>
      <c r="T134" s="1"/>
      <c r="U134" s="1"/>
      <c r="V134" s="1"/>
      <c r="W134" s="1"/>
      <c r="X134" s="1"/>
      <c r="Y134" s="1"/>
      <c r="Z134" s="1"/>
    </row>
    <row r="135" ht="10.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1.25" customHeight="1">
      <c r="A136" s="1"/>
      <c r="B136" s="1" t="s">
        <v>1489</v>
      </c>
      <c r="C136" s="865"/>
      <c r="D136" s="1"/>
      <c r="E136" s="1"/>
      <c r="F136" s="1"/>
      <c r="G136" s="1"/>
      <c r="H136" s="1"/>
      <c r="I136" s="1"/>
      <c r="J136" s="1"/>
      <c r="K136" s="195"/>
      <c r="L136" s="195"/>
      <c r="M136" s="58"/>
      <c r="N136" s="1"/>
      <c r="O136" s="1"/>
      <c r="P136" s="1"/>
      <c r="Q136" s="1"/>
      <c r="R136" s="1"/>
      <c r="S136" s="1"/>
      <c r="T136" s="1"/>
      <c r="U136" s="1"/>
      <c r="V136" s="1"/>
      <c r="W136" s="1"/>
      <c r="X136" s="1"/>
      <c r="Y136" s="1"/>
      <c r="Z136" s="1"/>
    </row>
    <row r="137" ht="25.5" customHeight="1">
      <c r="A137" s="1"/>
      <c r="B137" s="866" t="s">
        <v>1</v>
      </c>
      <c r="C137" s="128" t="s">
        <v>1496</v>
      </c>
      <c r="D137" s="10"/>
      <c r="E137" s="273" t="s">
        <v>428</v>
      </c>
      <c r="F137" s="273" t="s">
        <v>1497</v>
      </c>
      <c r="G137" s="128" t="s">
        <v>1498</v>
      </c>
      <c r="H137" s="10"/>
      <c r="I137" s="128" t="s">
        <v>1499</v>
      </c>
      <c r="J137" s="10"/>
      <c r="K137" s="128" t="s">
        <v>1500</v>
      </c>
      <c r="L137" s="10"/>
      <c r="M137" s="1"/>
      <c r="N137" s="1"/>
      <c r="O137" s="1"/>
      <c r="P137" s="1"/>
      <c r="Q137" s="1"/>
      <c r="R137" s="1"/>
      <c r="S137" s="1"/>
      <c r="T137" s="1"/>
      <c r="U137" s="1"/>
      <c r="V137" s="1"/>
      <c r="W137" s="1"/>
      <c r="X137" s="1"/>
      <c r="Y137" s="1"/>
      <c r="Z137" s="1"/>
    </row>
    <row r="138" ht="11.25" customHeight="1">
      <c r="A138" s="1"/>
      <c r="B138" s="118"/>
      <c r="C138" s="34" t="s">
        <v>1170</v>
      </c>
      <c r="D138" s="9"/>
      <c r="E138" s="9"/>
      <c r="F138" s="9"/>
      <c r="G138" s="9"/>
      <c r="H138" s="9"/>
      <c r="I138" s="9"/>
      <c r="J138" s="9"/>
      <c r="K138" s="9"/>
      <c r="L138" s="10"/>
      <c r="M138" s="1"/>
      <c r="N138" s="1"/>
      <c r="O138" s="1"/>
      <c r="P138" s="1"/>
      <c r="Q138" s="1"/>
      <c r="R138" s="1"/>
      <c r="S138" s="1"/>
      <c r="T138" s="1"/>
      <c r="U138" s="1"/>
      <c r="V138" s="1"/>
      <c r="W138" s="1"/>
      <c r="X138" s="1"/>
      <c r="Y138" s="1"/>
      <c r="Z138" s="1"/>
    </row>
    <row r="139" ht="10.5" customHeight="1">
      <c r="A139" s="1"/>
      <c r="B139" s="79">
        <v>1970.0</v>
      </c>
      <c r="C139" s="871">
        <v>889.0</v>
      </c>
      <c r="D139" s="70"/>
      <c r="E139" s="136">
        <v>1057.0</v>
      </c>
      <c r="F139" s="169">
        <v>2848.0</v>
      </c>
      <c r="G139" s="871">
        <v>1798.0</v>
      </c>
      <c r="H139" s="70"/>
      <c r="I139" s="874">
        <v>5793.0</v>
      </c>
      <c r="J139" s="87"/>
      <c r="K139" s="876">
        <v>12385.0</v>
      </c>
      <c r="L139" s="87"/>
      <c r="M139" s="879"/>
      <c r="N139" s="1"/>
      <c r="O139" s="1"/>
      <c r="P139" s="1"/>
      <c r="Q139" s="1"/>
      <c r="R139" s="1"/>
      <c r="S139" s="1"/>
      <c r="T139" s="1"/>
      <c r="U139" s="1"/>
      <c r="V139" s="1"/>
      <c r="W139" s="1"/>
      <c r="X139" s="1"/>
      <c r="Y139" s="1"/>
      <c r="Z139" s="1"/>
    </row>
    <row r="140" ht="10.5" customHeight="1">
      <c r="A140" s="1"/>
      <c r="B140" s="79">
        <v>1971.0</v>
      </c>
      <c r="C140" s="876">
        <v>1067.0</v>
      </c>
      <c r="D140" s="87"/>
      <c r="E140" s="136">
        <v>1005.0</v>
      </c>
      <c r="F140" s="169">
        <v>3039.0</v>
      </c>
      <c r="G140" s="876">
        <v>1905.0</v>
      </c>
      <c r="H140" s="87"/>
      <c r="I140" s="876">
        <v>6663.0</v>
      </c>
      <c r="J140" s="87"/>
      <c r="K140" s="876">
        <v>13679.0</v>
      </c>
      <c r="L140" s="87"/>
      <c r="M140" s="879"/>
      <c r="N140" s="1"/>
      <c r="O140" s="1"/>
      <c r="P140" s="1"/>
      <c r="Q140" s="1"/>
      <c r="R140" s="1"/>
      <c r="S140" s="1"/>
      <c r="T140" s="1"/>
      <c r="U140" s="1"/>
      <c r="V140" s="1"/>
      <c r="W140" s="1"/>
      <c r="X140" s="1"/>
      <c r="Y140" s="1"/>
      <c r="Z140" s="1"/>
    </row>
    <row r="141" ht="10.5" customHeight="1">
      <c r="A141" s="1"/>
      <c r="B141" s="79">
        <v>1972.0</v>
      </c>
      <c r="C141" s="876">
        <v>1184.0</v>
      </c>
      <c r="D141" s="87"/>
      <c r="E141" s="136">
        <v>1326.0</v>
      </c>
      <c r="F141" s="169">
        <v>3330.0</v>
      </c>
      <c r="G141" s="876">
        <v>2126.0</v>
      </c>
      <c r="H141" s="87"/>
      <c r="I141" s="876">
        <v>7520.0</v>
      </c>
      <c r="J141" s="87"/>
      <c r="K141" s="876">
        <v>15486.0</v>
      </c>
      <c r="L141" s="87"/>
      <c r="M141" s="879"/>
      <c r="N141" s="1"/>
      <c r="O141" s="1"/>
      <c r="P141" s="1"/>
      <c r="Q141" s="1"/>
      <c r="R141" s="1"/>
      <c r="S141" s="1"/>
      <c r="T141" s="1"/>
      <c r="U141" s="1"/>
      <c r="V141" s="1"/>
      <c r="W141" s="1"/>
      <c r="X141" s="1"/>
      <c r="Y141" s="1"/>
      <c r="Z141" s="1"/>
    </row>
    <row r="142" ht="10.5" customHeight="1">
      <c r="A142" s="1"/>
      <c r="B142" s="79">
        <v>1973.0</v>
      </c>
      <c r="C142" s="876">
        <v>1396.0</v>
      </c>
      <c r="D142" s="87"/>
      <c r="E142" s="136">
        <v>1965.0</v>
      </c>
      <c r="F142" s="169">
        <v>4170.0</v>
      </c>
      <c r="G142" s="876">
        <v>2665.0</v>
      </c>
      <c r="H142" s="87"/>
      <c r="I142" s="876">
        <v>9051.0</v>
      </c>
      <c r="J142" s="87"/>
      <c r="K142" s="867">
        <v>19247.0</v>
      </c>
      <c r="L142" s="87"/>
      <c r="M142" s="880"/>
      <c r="N142" s="1"/>
      <c r="O142" s="1"/>
      <c r="P142" s="1"/>
      <c r="Q142" s="1"/>
      <c r="R142" s="1"/>
      <c r="S142" s="1"/>
      <c r="T142" s="1"/>
      <c r="U142" s="1"/>
      <c r="V142" s="1"/>
      <c r="W142" s="1"/>
      <c r="X142" s="1"/>
      <c r="Y142" s="1"/>
      <c r="Z142" s="1"/>
    </row>
    <row r="143" ht="10.5" customHeight="1">
      <c r="A143" s="1"/>
      <c r="B143" s="79">
        <v>1974.0</v>
      </c>
      <c r="C143" s="876">
        <v>2060.0</v>
      </c>
      <c r="D143" s="87"/>
      <c r="E143" s="136">
        <v>2794.0</v>
      </c>
      <c r="F143" s="169">
        <v>4988.0</v>
      </c>
      <c r="G143" s="876">
        <v>3219.0</v>
      </c>
      <c r="H143" s="87"/>
      <c r="I143" s="876">
        <v>10175.0</v>
      </c>
      <c r="J143" s="87"/>
      <c r="K143" s="867">
        <v>23236.0</v>
      </c>
      <c r="L143" s="87"/>
      <c r="M143" s="880"/>
      <c r="N143" s="1"/>
      <c r="O143" s="1"/>
      <c r="P143" s="1"/>
      <c r="Q143" s="1"/>
      <c r="R143" s="1"/>
      <c r="S143" s="1"/>
      <c r="T143" s="1"/>
      <c r="U143" s="1"/>
      <c r="V143" s="1"/>
      <c r="W143" s="1"/>
      <c r="X143" s="1"/>
      <c r="Y143" s="1"/>
      <c r="Z143" s="1"/>
    </row>
    <row r="144" ht="10.5" customHeight="1">
      <c r="A144" s="1"/>
      <c r="B144" s="79"/>
      <c r="C144" s="881"/>
      <c r="D144" s="87"/>
      <c r="E144" s="136"/>
      <c r="F144" s="169"/>
      <c r="G144" s="876"/>
      <c r="H144" s="87"/>
      <c r="I144" s="876"/>
      <c r="J144" s="87"/>
      <c r="K144" s="882"/>
      <c r="L144" s="87"/>
      <c r="M144" s="880"/>
      <c r="N144" s="1"/>
      <c r="O144" s="1"/>
      <c r="P144" s="1"/>
      <c r="Q144" s="1"/>
      <c r="R144" s="1"/>
      <c r="S144" s="1"/>
      <c r="T144" s="1"/>
      <c r="U144" s="1"/>
      <c r="V144" s="1"/>
      <c r="W144" s="1"/>
      <c r="X144" s="1"/>
      <c r="Y144" s="1"/>
      <c r="Z144" s="1"/>
    </row>
    <row r="145" ht="10.5" customHeight="1">
      <c r="A145" s="1"/>
      <c r="B145" s="79">
        <v>1975.0</v>
      </c>
      <c r="C145" s="876">
        <v>2049.0</v>
      </c>
      <c r="D145" s="87"/>
      <c r="E145" s="136">
        <v>2880.0</v>
      </c>
      <c r="F145" s="169">
        <v>6106.0</v>
      </c>
      <c r="G145" s="876">
        <v>3623.0</v>
      </c>
      <c r="H145" s="87"/>
      <c r="I145" s="876">
        <v>12113.0</v>
      </c>
      <c r="J145" s="87"/>
      <c r="K145" s="867">
        <v>26771.0</v>
      </c>
      <c r="L145" s="87"/>
      <c r="M145" s="880"/>
      <c r="N145" s="1"/>
      <c r="O145" s="1"/>
      <c r="P145" s="1"/>
      <c r="Q145" s="1"/>
      <c r="R145" s="1"/>
      <c r="S145" s="1"/>
      <c r="T145" s="1"/>
      <c r="U145" s="1"/>
      <c r="V145" s="1"/>
      <c r="W145" s="1"/>
      <c r="X145" s="1"/>
      <c r="Y145" s="1"/>
      <c r="Z145" s="1"/>
    </row>
    <row r="146" ht="10.5" customHeight="1">
      <c r="A146" s="1"/>
      <c r="B146" s="79">
        <v>1976.0</v>
      </c>
      <c r="C146" s="876">
        <v>2032.0</v>
      </c>
      <c r="D146" s="87"/>
      <c r="E146" s="136">
        <v>3278.0</v>
      </c>
      <c r="F146" s="169">
        <v>6971.0</v>
      </c>
      <c r="G146" s="876">
        <v>3941.0</v>
      </c>
      <c r="H146" s="87"/>
      <c r="I146" s="876">
        <v>13941.0</v>
      </c>
      <c r="J146" s="87"/>
      <c r="K146" s="867">
        <v>30163.0</v>
      </c>
      <c r="L146" s="87"/>
      <c r="M146" s="880"/>
      <c r="N146" s="1"/>
      <c r="O146" s="1"/>
      <c r="P146" s="1"/>
      <c r="Q146" s="1"/>
      <c r="R146" s="1"/>
      <c r="S146" s="1"/>
      <c r="T146" s="1"/>
      <c r="U146" s="1"/>
      <c r="V146" s="1"/>
      <c r="W146" s="1"/>
      <c r="X146" s="1"/>
      <c r="Y146" s="1"/>
      <c r="Z146" s="1"/>
    </row>
    <row r="147" ht="10.5" customHeight="1">
      <c r="A147" s="1"/>
      <c r="B147" s="79">
        <v>1977.0</v>
      </c>
      <c r="C147" s="876">
        <v>2342.0</v>
      </c>
      <c r="D147" s="87"/>
      <c r="E147" s="136">
        <v>3791.0</v>
      </c>
      <c r="F147" s="169">
        <v>7091.0</v>
      </c>
      <c r="G147" s="876">
        <v>4263.0</v>
      </c>
      <c r="H147" s="87"/>
      <c r="I147" s="876">
        <v>15782.0</v>
      </c>
      <c r="J147" s="87"/>
      <c r="K147" s="867">
        <v>33269.0</v>
      </c>
      <c r="L147" s="87"/>
      <c r="M147" s="880"/>
      <c r="N147" s="1"/>
      <c r="O147" s="1"/>
      <c r="P147" s="1"/>
      <c r="Q147" s="1"/>
      <c r="R147" s="1"/>
      <c r="S147" s="1"/>
      <c r="T147" s="1"/>
      <c r="U147" s="1"/>
      <c r="V147" s="1"/>
      <c r="W147" s="1"/>
      <c r="X147" s="1"/>
      <c r="Y147" s="1"/>
      <c r="Z147" s="1"/>
    </row>
    <row r="148" ht="10.5" customHeight="1">
      <c r="A148" s="1"/>
      <c r="B148" s="79">
        <v>1978.0</v>
      </c>
      <c r="C148" s="876">
        <v>2558.0</v>
      </c>
      <c r="D148" s="87"/>
      <c r="E148" s="136">
        <v>4999.0</v>
      </c>
      <c r="F148" s="169">
        <v>8015.0</v>
      </c>
      <c r="G148" s="876">
        <v>4686.0</v>
      </c>
      <c r="H148" s="87"/>
      <c r="I148" s="876">
        <v>17821.0</v>
      </c>
      <c r="J148" s="87"/>
      <c r="K148" s="867">
        <v>38079.0</v>
      </c>
      <c r="L148" s="87"/>
      <c r="M148" s="880"/>
      <c r="N148" s="1"/>
      <c r="O148" s="1"/>
      <c r="P148" s="1"/>
      <c r="Q148" s="1"/>
      <c r="R148" s="1"/>
      <c r="S148" s="1"/>
      <c r="T148" s="1"/>
      <c r="U148" s="1"/>
      <c r="V148" s="1"/>
      <c r="W148" s="1"/>
      <c r="X148" s="1"/>
      <c r="Y148" s="1"/>
      <c r="Z148" s="1"/>
    </row>
    <row r="149" ht="10.5" customHeight="1">
      <c r="A149" s="1"/>
      <c r="B149" s="79">
        <v>1979.0</v>
      </c>
      <c r="C149" s="876">
        <v>2711.0</v>
      </c>
      <c r="D149" s="87"/>
      <c r="E149" s="136">
        <v>7247.0</v>
      </c>
      <c r="F149" s="169">
        <v>9949.0</v>
      </c>
      <c r="G149" s="876">
        <v>5105.0</v>
      </c>
      <c r="H149" s="87"/>
      <c r="I149" s="876">
        <v>20402.0</v>
      </c>
      <c r="J149" s="87"/>
      <c r="K149" s="867">
        <v>45414.0</v>
      </c>
      <c r="L149" s="87"/>
      <c r="M149" s="880"/>
      <c r="N149" s="1"/>
      <c r="O149" s="1"/>
      <c r="P149" s="1"/>
      <c r="Q149" s="1"/>
      <c r="R149" s="1"/>
      <c r="S149" s="1"/>
      <c r="T149" s="1"/>
      <c r="U149" s="1"/>
      <c r="V149" s="1"/>
      <c r="W149" s="1"/>
      <c r="X149" s="1"/>
      <c r="Y149" s="1"/>
      <c r="Z149" s="1"/>
    </row>
    <row r="150" ht="10.5" customHeight="1">
      <c r="A150" s="1"/>
      <c r="B150" s="79"/>
      <c r="C150" s="881"/>
      <c r="D150" s="87"/>
      <c r="E150" s="136"/>
      <c r="F150" s="169"/>
      <c r="G150" s="876"/>
      <c r="H150" s="87"/>
      <c r="I150" s="876"/>
      <c r="J150" s="87"/>
      <c r="K150" s="882"/>
      <c r="L150" s="87"/>
      <c r="M150" s="880"/>
      <c r="N150" s="1"/>
      <c r="O150" s="1"/>
      <c r="P150" s="1"/>
      <c r="Q150" s="1"/>
      <c r="R150" s="1"/>
      <c r="S150" s="1"/>
      <c r="T150" s="1"/>
      <c r="U150" s="1"/>
      <c r="V150" s="1"/>
      <c r="W150" s="1"/>
      <c r="X150" s="1"/>
      <c r="Y150" s="1"/>
      <c r="Z150" s="1"/>
    </row>
    <row r="151" ht="10.5" customHeight="1">
      <c r="A151" s="1"/>
      <c r="B151" s="79">
        <v>1980.0</v>
      </c>
      <c r="C151" s="876">
        <v>3772.0</v>
      </c>
      <c r="D151" s="87"/>
      <c r="E151" s="136">
        <v>12192.0</v>
      </c>
      <c r="F151" s="169">
        <v>13248.0</v>
      </c>
      <c r="G151" s="876">
        <v>7107.0</v>
      </c>
      <c r="H151" s="87"/>
      <c r="I151" s="876">
        <v>24551.0</v>
      </c>
      <c r="J151" s="87"/>
      <c r="K151" s="867">
        <v>60870.0</v>
      </c>
      <c r="L151" s="87"/>
      <c r="M151" s="880"/>
      <c r="N151" s="1"/>
      <c r="O151" s="1"/>
      <c r="P151" s="1"/>
      <c r="Q151" s="1"/>
      <c r="R151" s="1"/>
      <c r="S151" s="1"/>
      <c r="T151" s="1"/>
      <c r="U151" s="1"/>
      <c r="V151" s="1"/>
      <c r="W151" s="1"/>
      <c r="X151" s="1"/>
      <c r="Y151" s="1"/>
      <c r="Z151" s="1"/>
    </row>
    <row r="152" ht="10.5" customHeight="1">
      <c r="A152" s="1"/>
      <c r="B152" s="79">
        <v>1981.0</v>
      </c>
      <c r="C152" s="876">
        <v>4534.0</v>
      </c>
      <c r="D152" s="87"/>
      <c r="E152" s="136">
        <v>10103.0</v>
      </c>
      <c r="F152" s="169">
        <v>16954.0</v>
      </c>
      <c r="G152" s="876">
        <v>9030.0</v>
      </c>
      <c r="H152" s="87"/>
      <c r="I152" s="876">
        <v>29758.0</v>
      </c>
      <c r="J152" s="87"/>
      <c r="K152" s="867">
        <v>70379.0</v>
      </c>
      <c r="L152" s="87"/>
      <c r="M152" s="880"/>
      <c r="N152" s="1"/>
      <c r="O152" s="1"/>
      <c r="P152" s="1"/>
      <c r="Q152" s="1"/>
      <c r="R152" s="1"/>
      <c r="S152" s="1"/>
      <c r="T152" s="1"/>
      <c r="U152" s="1"/>
      <c r="V152" s="1"/>
      <c r="W152" s="1"/>
      <c r="X152" s="1"/>
      <c r="Y152" s="1"/>
      <c r="Z152" s="1"/>
    </row>
    <row r="153" ht="10.5" customHeight="1">
      <c r="A153" s="1"/>
      <c r="B153" s="79">
        <v>1982.0</v>
      </c>
      <c r="C153" s="876">
        <v>4479.0</v>
      </c>
      <c r="D153" s="87"/>
      <c r="E153" s="136">
        <v>10073.0</v>
      </c>
      <c r="F153" s="169">
        <v>18765.0</v>
      </c>
      <c r="G153" s="876">
        <v>10229.0</v>
      </c>
      <c r="H153" s="87"/>
      <c r="I153" s="876">
        <v>35330.0</v>
      </c>
      <c r="J153" s="87"/>
      <c r="K153" s="867">
        <v>78876.0</v>
      </c>
      <c r="L153" s="87"/>
      <c r="M153" s="880"/>
      <c r="N153" s="1"/>
      <c r="O153" s="1"/>
      <c r="P153" s="1"/>
      <c r="Q153" s="1"/>
      <c r="R153" s="1"/>
      <c r="S153" s="1"/>
      <c r="T153" s="1"/>
      <c r="U153" s="1"/>
      <c r="V153" s="1"/>
      <c r="W153" s="1"/>
      <c r="X153" s="1"/>
      <c r="Y153" s="1"/>
      <c r="Z153" s="1"/>
    </row>
    <row r="154" ht="10.5" customHeight="1">
      <c r="A154" s="1"/>
      <c r="B154" s="79">
        <v>1983.0</v>
      </c>
      <c r="C154" s="876">
        <v>3999.0</v>
      </c>
      <c r="D154" s="87"/>
      <c r="E154" s="136">
        <v>11997.0</v>
      </c>
      <c r="F154" s="169">
        <v>21350.0</v>
      </c>
      <c r="G154" s="876">
        <v>11495.0</v>
      </c>
      <c r="H154" s="87"/>
      <c r="I154" s="876">
        <v>41756.0</v>
      </c>
      <c r="J154" s="87"/>
      <c r="K154" s="867">
        <v>90597.0</v>
      </c>
      <c r="L154" s="87"/>
      <c r="M154" s="880"/>
      <c r="N154" s="1"/>
      <c r="O154" s="1"/>
      <c r="P154" s="1"/>
      <c r="Q154" s="1"/>
      <c r="R154" s="1"/>
      <c r="S154" s="1"/>
      <c r="T154" s="1"/>
      <c r="U154" s="1"/>
      <c r="V154" s="1"/>
      <c r="W154" s="1"/>
      <c r="X154" s="1"/>
      <c r="Y154" s="1"/>
      <c r="Z154" s="1"/>
    </row>
    <row r="155" ht="10.5" customHeight="1">
      <c r="A155" s="1"/>
      <c r="B155" s="79">
        <v>1984.0</v>
      </c>
      <c r="C155" s="876">
        <v>5060.0</v>
      </c>
      <c r="D155" s="87"/>
      <c r="E155" s="136">
        <v>13035.0</v>
      </c>
      <c r="F155" s="169">
        <v>24382.0</v>
      </c>
      <c r="G155" s="876">
        <v>12274.0</v>
      </c>
      <c r="H155" s="87"/>
      <c r="I155" s="876">
        <v>50793.0</v>
      </c>
      <c r="J155" s="87"/>
      <c r="K155" s="867">
        <v>105544.0</v>
      </c>
      <c r="L155" s="87"/>
      <c r="M155" s="880"/>
      <c r="N155" s="1"/>
      <c r="O155" s="1"/>
      <c r="P155" s="1"/>
      <c r="Q155" s="1"/>
      <c r="R155" s="1"/>
      <c r="S155" s="1"/>
      <c r="T155" s="1"/>
      <c r="U155" s="1"/>
      <c r="V155" s="1"/>
      <c r="W155" s="1"/>
      <c r="X155" s="1"/>
      <c r="Y155" s="1"/>
      <c r="Z155" s="1"/>
    </row>
    <row r="156" ht="10.5" customHeight="1">
      <c r="A156" s="1"/>
      <c r="B156" s="79"/>
      <c r="C156" s="881"/>
      <c r="D156" s="87"/>
      <c r="E156" s="136"/>
      <c r="F156" s="169"/>
      <c r="G156" s="876"/>
      <c r="H156" s="87"/>
      <c r="I156" s="876"/>
      <c r="J156" s="87"/>
      <c r="K156" s="882"/>
      <c r="L156" s="87"/>
      <c r="M156" s="880"/>
      <c r="N156" s="1"/>
      <c r="O156" s="1"/>
      <c r="P156" s="1"/>
      <c r="Q156" s="1"/>
      <c r="R156" s="1"/>
      <c r="S156" s="1"/>
      <c r="T156" s="1"/>
      <c r="U156" s="1"/>
      <c r="V156" s="1"/>
      <c r="W156" s="1"/>
      <c r="X156" s="1"/>
      <c r="Y156" s="1"/>
      <c r="Z156" s="1"/>
    </row>
    <row r="157" ht="10.5" customHeight="1">
      <c r="A157" s="1"/>
      <c r="B157" s="79">
        <v>1985.0</v>
      </c>
      <c r="C157" s="876">
        <v>6288.0</v>
      </c>
      <c r="D157" s="87"/>
      <c r="E157" s="136">
        <v>16782.0</v>
      </c>
      <c r="F157" s="169">
        <v>26558.0</v>
      </c>
      <c r="G157" s="876">
        <v>13404.0</v>
      </c>
      <c r="H157" s="87"/>
      <c r="I157" s="876">
        <v>58389.0</v>
      </c>
      <c r="J157" s="87"/>
      <c r="K157" s="867">
        <v>121421.0</v>
      </c>
      <c r="L157" s="87"/>
      <c r="M157" s="880"/>
      <c r="N157" s="1"/>
      <c r="O157" s="1"/>
      <c r="P157" s="1"/>
      <c r="Q157" s="1"/>
      <c r="R157" s="1"/>
      <c r="S157" s="1"/>
      <c r="T157" s="1"/>
      <c r="U157" s="1"/>
      <c r="V157" s="1"/>
      <c r="W157" s="1"/>
      <c r="X157" s="1"/>
      <c r="Y157" s="1"/>
      <c r="Z157" s="1"/>
    </row>
    <row r="158" ht="10.5" customHeight="1">
      <c r="A158" s="1"/>
      <c r="B158" s="79">
        <v>1986.0</v>
      </c>
      <c r="C158" s="876">
        <v>7052.0</v>
      </c>
      <c r="D158" s="87"/>
      <c r="E158" s="136">
        <v>20204.0</v>
      </c>
      <c r="F158" s="169">
        <v>31258.0</v>
      </c>
      <c r="G158" s="876">
        <v>15841.0</v>
      </c>
      <c r="H158" s="87"/>
      <c r="I158" s="876">
        <v>67802.0</v>
      </c>
      <c r="J158" s="87"/>
      <c r="K158" s="867">
        <v>142157.0</v>
      </c>
      <c r="L158" s="87"/>
      <c r="M158" s="880"/>
      <c r="N158" s="1"/>
      <c r="O158" s="1"/>
      <c r="P158" s="1"/>
      <c r="Q158" s="1"/>
      <c r="R158" s="1"/>
      <c r="S158" s="1"/>
      <c r="T158" s="1"/>
      <c r="U158" s="1"/>
      <c r="V158" s="1"/>
      <c r="W158" s="1"/>
      <c r="X158" s="1"/>
      <c r="Y158" s="1"/>
      <c r="Z158" s="1"/>
    </row>
    <row r="159" ht="10.5" customHeight="1">
      <c r="A159" s="1"/>
      <c r="B159" s="79">
        <v>1987.0</v>
      </c>
      <c r="C159" s="876">
        <v>9285.0</v>
      </c>
      <c r="D159" s="87"/>
      <c r="E159" s="136">
        <v>19201.0</v>
      </c>
      <c r="F159" s="169">
        <v>37342.0</v>
      </c>
      <c r="G159" s="876">
        <v>20358.0</v>
      </c>
      <c r="H159" s="87"/>
      <c r="I159" s="876">
        <v>80158.0</v>
      </c>
      <c r="J159" s="87"/>
      <c r="K159" s="867">
        <v>166344.0</v>
      </c>
      <c r="L159" s="87"/>
      <c r="M159" s="880"/>
      <c r="N159" s="1"/>
      <c r="O159" s="1"/>
      <c r="P159" s="1"/>
      <c r="Q159" s="1"/>
      <c r="R159" s="1"/>
      <c r="S159" s="1"/>
      <c r="T159" s="1"/>
      <c r="U159" s="1"/>
      <c r="V159" s="1"/>
      <c r="W159" s="1"/>
      <c r="X159" s="1"/>
      <c r="Y159" s="1"/>
      <c r="Z159" s="1"/>
    </row>
    <row r="160" ht="10.5" customHeight="1">
      <c r="A160" s="1"/>
      <c r="B160" s="79">
        <v>1988.0</v>
      </c>
      <c r="C160" s="885">
        <v>11510.0</v>
      </c>
      <c r="D160" s="87"/>
      <c r="E160" s="136">
        <v>21524.0</v>
      </c>
      <c r="F160" s="169">
        <v>45463.0</v>
      </c>
      <c r="G160" s="876">
        <v>24889.0</v>
      </c>
      <c r="H160" s="87"/>
      <c r="I160" s="876">
        <v>94300.0</v>
      </c>
      <c r="J160" s="87"/>
      <c r="K160" s="867">
        <v>197686.0</v>
      </c>
      <c r="L160" s="87"/>
      <c r="M160" s="880"/>
      <c r="N160" s="1"/>
      <c r="O160" s="1"/>
      <c r="P160" s="1"/>
      <c r="Q160" s="1"/>
      <c r="R160" s="1"/>
      <c r="S160" s="1"/>
      <c r="T160" s="1"/>
      <c r="U160" s="1"/>
      <c r="V160" s="1"/>
      <c r="W160" s="1"/>
      <c r="X160" s="1"/>
      <c r="Y160" s="1"/>
      <c r="Z160" s="1"/>
    </row>
    <row r="161" ht="10.5" customHeight="1">
      <c r="A161" s="1"/>
      <c r="B161" s="79">
        <v>1989.0</v>
      </c>
      <c r="C161" s="885">
        <v>12731.0</v>
      </c>
      <c r="D161" s="87"/>
      <c r="E161" s="136">
        <v>22980.0</v>
      </c>
      <c r="F161" s="169">
        <v>55523.0</v>
      </c>
      <c r="G161" s="876">
        <v>31835.0</v>
      </c>
      <c r="H161" s="87"/>
      <c r="I161" s="876">
        <v>112527.0</v>
      </c>
      <c r="J161" s="87"/>
      <c r="K161" s="867">
        <v>235596.0</v>
      </c>
      <c r="L161" s="87"/>
      <c r="M161" s="880"/>
      <c r="N161" s="1"/>
      <c r="O161" s="1"/>
      <c r="P161" s="1"/>
      <c r="Q161" s="1"/>
      <c r="R161" s="1"/>
      <c r="S161" s="1"/>
      <c r="T161" s="1"/>
      <c r="U161" s="1"/>
      <c r="V161" s="1"/>
      <c r="W161" s="1"/>
      <c r="X161" s="1"/>
      <c r="Y161" s="1"/>
      <c r="Z161" s="1"/>
    </row>
    <row r="162" ht="10.5" customHeight="1">
      <c r="A162" s="1"/>
      <c r="B162" s="79"/>
      <c r="C162" s="881"/>
      <c r="D162" s="87"/>
      <c r="E162" s="136"/>
      <c r="F162" s="169"/>
      <c r="G162" s="876"/>
      <c r="H162" s="87"/>
      <c r="I162" s="876"/>
      <c r="J162" s="87"/>
      <c r="K162" s="882"/>
      <c r="L162" s="87"/>
      <c r="M162" s="880"/>
      <c r="N162" s="1"/>
      <c r="O162" s="1"/>
      <c r="P162" s="1"/>
      <c r="Q162" s="1"/>
      <c r="R162" s="1"/>
      <c r="S162" s="1"/>
      <c r="T162" s="1"/>
      <c r="U162" s="1"/>
      <c r="V162" s="1"/>
      <c r="W162" s="1"/>
      <c r="X162" s="1"/>
      <c r="Y162" s="1"/>
      <c r="Z162" s="1"/>
    </row>
    <row r="163" ht="10.5" customHeight="1">
      <c r="A163" s="1"/>
      <c r="B163" s="79">
        <v>1990.0</v>
      </c>
      <c r="C163" s="885">
        <v>12578.0</v>
      </c>
      <c r="D163" s="87"/>
      <c r="E163" s="136">
        <v>24200.0</v>
      </c>
      <c r="F163" s="169">
        <v>64595.0</v>
      </c>
      <c r="G163" s="876">
        <v>38904.0</v>
      </c>
      <c r="H163" s="87"/>
      <c r="I163" s="876">
        <v>132029.0</v>
      </c>
      <c r="J163" s="87"/>
      <c r="K163" s="867">
        <v>272306.0</v>
      </c>
      <c r="L163" s="87"/>
      <c r="M163" s="880"/>
      <c r="N163" s="1"/>
      <c r="O163" s="1"/>
      <c r="P163" s="1"/>
      <c r="Q163" s="1"/>
      <c r="R163" s="1"/>
      <c r="S163" s="1"/>
      <c r="T163" s="1"/>
      <c r="U163" s="1"/>
      <c r="V163" s="1"/>
      <c r="W163" s="1"/>
      <c r="X163" s="1"/>
      <c r="Y163" s="1"/>
      <c r="Z163" s="1"/>
    </row>
    <row r="164" ht="10.5" customHeight="1">
      <c r="A164" s="1"/>
      <c r="B164" s="79">
        <v>1991.0</v>
      </c>
      <c r="C164" s="885">
        <v>14272.0</v>
      </c>
      <c r="D164" s="87"/>
      <c r="E164" s="136">
        <v>25640.0</v>
      </c>
      <c r="F164" s="169">
        <v>72062.0</v>
      </c>
      <c r="G164" s="876">
        <v>43788.0</v>
      </c>
      <c r="H164" s="87"/>
      <c r="I164" s="876">
        <v>157910.0</v>
      </c>
      <c r="J164" s="87"/>
      <c r="K164" s="867">
        <v>313672.0</v>
      </c>
      <c r="L164" s="87"/>
      <c r="M164" s="880"/>
      <c r="N164" s="1"/>
      <c r="O164" s="1"/>
      <c r="P164" s="1"/>
      <c r="Q164" s="1"/>
      <c r="R164" s="1"/>
      <c r="S164" s="1"/>
      <c r="T164" s="1"/>
      <c r="U164" s="1"/>
      <c r="V164" s="1"/>
      <c r="W164" s="1"/>
      <c r="X164" s="1"/>
      <c r="Y164" s="1"/>
      <c r="Z164" s="1"/>
    </row>
    <row r="165" ht="10.5" customHeight="1">
      <c r="A165" s="1"/>
      <c r="B165" s="79">
        <v>1992.0</v>
      </c>
      <c r="C165" s="885">
        <v>13479.0</v>
      </c>
      <c r="D165" s="87"/>
      <c r="E165" s="136">
        <v>26678.0</v>
      </c>
      <c r="F165" s="169">
        <v>77985.0</v>
      </c>
      <c r="G165" s="876">
        <v>51064.0</v>
      </c>
      <c r="H165" s="87"/>
      <c r="I165" s="876">
        <v>185846.0</v>
      </c>
      <c r="J165" s="87"/>
      <c r="K165" s="867">
        <v>355052.0</v>
      </c>
      <c r="L165" s="87"/>
      <c r="M165" s="880"/>
      <c r="N165" s="1"/>
      <c r="O165" s="1"/>
      <c r="P165" s="1"/>
      <c r="Q165" s="1"/>
      <c r="R165" s="1"/>
      <c r="S165" s="1"/>
      <c r="T165" s="1"/>
      <c r="U165" s="1"/>
      <c r="V165" s="1"/>
      <c r="W165" s="1"/>
      <c r="X165" s="1"/>
      <c r="Y165" s="1"/>
      <c r="Z165" s="1"/>
    </row>
    <row r="166" ht="10.5" customHeight="1">
      <c r="A166" s="1"/>
      <c r="B166" s="79">
        <v>1993.0</v>
      </c>
      <c r="C166" s="885">
        <v>16811.0</v>
      </c>
      <c r="D166" s="87"/>
      <c r="E166" s="136">
        <v>30168.0</v>
      </c>
      <c r="F166" s="169">
        <v>85814.0</v>
      </c>
      <c r="G166" s="876">
        <v>58513.0</v>
      </c>
      <c r="H166" s="87"/>
      <c r="I166" s="876">
        <v>212287.0</v>
      </c>
      <c r="J166" s="87"/>
      <c r="K166" s="867">
        <v>403593.0</v>
      </c>
      <c r="L166" s="87"/>
      <c r="M166" s="880"/>
      <c r="N166" s="1"/>
      <c r="O166" s="1"/>
      <c r="P166" s="1"/>
      <c r="Q166" s="1"/>
      <c r="R166" s="1"/>
      <c r="S166" s="1"/>
      <c r="T166" s="1"/>
      <c r="U166" s="1"/>
      <c r="V166" s="1"/>
      <c r="W166" s="1"/>
      <c r="X166" s="1"/>
      <c r="Y166" s="1"/>
      <c r="Z166" s="1"/>
    </row>
    <row r="167" ht="10.5" customHeight="1">
      <c r="A167" s="1"/>
      <c r="B167" s="79">
        <v>1994.0</v>
      </c>
      <c r="C167" s="885">
        <v>20916.0</v>
      </c>
      <c r="D167" s="87"/>
      <c r="E167" s="136">
        <v>32237.0</v>
      </c>
      <c r="F167" s="169">
        <v>95618.0</v>
      </c>
      <c r="G167" s="876">
        <v>64694.0</v>
      </c>
      <c r="H167" s="87"/>
      <c r="I167" s="876">
        <v>240794.0</v>
      </c>
      <c r="J167" s="87"/>
      <c r="K167" s="867">
        <v>454259.0</v>
      </c>
      <c r="L167" s="87"/>
      <c r="M167" s="880"/>
      <c r="N167" s="1"/>
      <c r="O167" s="1"/>
      <c r="P167" s="1"/>
      <c r="Q167" s="1"/>
      <c r="R167" s="1"/>
      <c r="S167" s="1"/>
      <c r="T167" s="1"/>
      <c r="U167" s="1"/>
      <c r="V167" s="1"/>
      <c r="W167" s="1"/>
      <c r="X167" s="1"/>
      <c r="Y167" s="1"/>
      <c r="Z167" s="1"/>
    </row>
    <row r="168" ht="10.5" customHeight="1">
      <c r="A168" s="1"/>
      <c r="B168" s="79"/>
      <c r="C168" s="881"/>
      <c r="D168" s="87"/>
      <c r="E168" s="136"/>
      <c r="F168" s="169"/>
      <c r="G168" s="876"/>
      <c r="H168" s="87"/>
      <c r="I168" s="876"/>
      <c r="J168" s="87"/>
      <c r="K168" s="882"/>
      <c r="L168" s="87"/>
      <c r="M168" s="880"/>
      <c r="N168" s="1"/>
      <c r="O168" s="1"/>
      <c r="P168" s="1"/>
      <c r="Q168" s="1"/>
      <c r="R168" s="1"/>
      <c r="S168" s="1"/>
      <c r="T168" s="1"/>
      <c r="U168" s="1"/>
      <c r="V168" s="1"/>
      <c r="W168" s="1"/>
      <c r="X168" s="1"/>
      <c r="Y168" s="1"/>
      <c r="Z168" s="1"/>
    </row>
    <row r="169" ht="10.5" customHeight="1">
      <c r="A169" s="1"/>
      <c r="B169" s="79">
        <v>1995.0</v>
      </c>
      <c r="C169" s="885">
        <v>19945.0</v>
      </c>
      <c r="D169" s="87"/>
      <c r="E169" s="136">
        <v>34981.0</v>
      </c>
      <c r="F169" s="169">
        <v>110215.0</v>
      </c>
      <c r="G169" s="876">
        <v>74361.0</v>
      </c>
      <c r="H169" s="87"/>
      <c r="I169" s="876">
        <v>276622.0</v>
      </c>
      <c r="J169" s="87"/>
      <c r="K169" s="867">
        <v>516124.0</v>
      </c>
      <c r="L169" s="87"/>
      <c r="M169" s="880"/>
      <c r="N169" s="1"/>
      <c r="O169" s="1"/>
      <c r="P169" s="1"/>
      <c r="Q169" s="1"/>
      <c r="R169" s="1"/>
      <c r="S169" s="1"/>
      <c r="T169" s="1"/>
      <c r="U169" s="1"/>
      <c r="V169" s="1"/>
      <c r="W169" s="1"/>
      <c r="X169" s="1"/>
      <c r="Y169" s="1"/>
      <c r="Z169" s="1"/>
    </row>
    <row r="170" ht="10.5" customHeight="1">
      <c r="A170" s="1"/>
      <c r="B170" s="79">
        <v>1996.0</v>
      </c>
      <c r="C170" s="885">
        <v>24496.0</v>
      </c>
      <c r="D170" s="87"/>
      <c r="E170" s="136">
        <v>38945.0</v>
      </c>
      <c r="F170" s="169">
        <v>118529.0</v>
      </c>
      <c r="G170" s="876">
        <v>82344.0</v>
      </c>
      <c r="H170" s="87"/>
      <c r="I170" s="876">
        <v>370297.0</v>
      </c>
      <c r="J170" s="87"/>
      <c r="K170" s="867">
        <v>634611.0</v>
      </c>
      <c r="L170" s="87"/>
      <c r="M170" s="880"/>
      <c r="N170" s="1"/>
      <c r="O170" s="1"/>
      <c r="P170" s="1"/>
      <c r="Q170" s="1"/>
      <c r="R170" s="1"/>
      <c r="S170" s="1"/>
      <c r="T170" s="1"/>
      <c r="U170" s="1"/>
      <c r="V170" s="1"/>
      <c r="W170" s="1"/>
      <c r="X170" s="1"/>
      <c r="Y170" s="1"/>
      <c r="Z170" s="1"/>
    </row>
    <row r="171" ht="10.5" customHeight="1">
      <c r="A171" s="1"/>
      <c r="B171" s="79">
        <v>1997.0</v>
      </c>
      <c r="C171" s="885">
        <v>25963.0</v>
      </c>
      <c r="D171" s="87"/>
      <c r="E171" s="136">
        <v>40696.0</v>
      </c>
      <c r="F171" s="169">
        <v>129422.0</v>
      </c>
      <c r="G171" s="876">
        <v>88908.0</v>
      </c>
      <c r="H171" s="87"/>
      <c r="I171" s="876">
        <v>359564.0</v>
      </c>
      <c r="J171" s="87"/>
      <c r="K171" s="867">
        <v>644553.0</v>
      </c>
      <c r="L171" s="87"/>
      <c r="M171" s="880"/>
      <c r="N171" s="1"/>
      <c r="O171" s="1"/>
      <c r="P171" s="1"/>
      <c r="Q171" s="1"/>
      <c r="R171" s="1"/>
      <c r="S171" s="1"/>
      <c r="T171" s="1"/>
      <c r="U171" s="1"/>
      <c r="V171" s="1"/>
      <c r="W171" s="1"/>
      <c r="X171" s="1"/>
      <c r="Y171" s="1"/>
      <c r="Z171" s="1"/>
    </row>
    <row r="172" ht="10.5" customHeight="1">
      <c r="A172" s="1"/>
      <c r="B172" s="79">
        <v>1998.0</v>
      </c>
      <c r="C172" s="885">
        <v>26263.0</v>
      </c>
      <c r="D172" s="87"/>
      <c r="E172" s="136">
        <v>46048.0</v>
      </c>
      <c r="F172" s="169">
        <v>136056.0</v>
      </c>
      <c r="G172" s="876">
        <v>94169.0</v>
      </c>
      <c r="H172" s="87"/>
      <c r="I172" s="876">
        <v>391574.0</v>
      </c>
      <c r="J172" s="87"/>
      <c r="K172" s="867">
        <v>694110.0</v>
      </c>
      <c r="L172" s="87"/>
      <c r="M172" s="880"/>
      <c r="N172" s="1"/>
      <c r="O172" s="1"/>
      <c r="P172" s="1"/>
      <c r="Q172" s="1"/>
      <c r="R172" s="1"/>
      <c r="S172" s="1"/>
      <c r="T172" s="1"/>
      <c r="U172" s="1"/>
      <c r="V172" s="1"/>
      <c r="W172" s="1"/>
      <c r="X172" s="1"/>
      <c r="Y172" s="1"/>
      <c r="Z172" s="1"/>
    </row>
    <row r="173" ht="10.5" customHeight="1">
      <c r="A173" s="1"/>
      <c r="B173" s="79">
        <v>1999.0</v>
      </c>
      <c r="C173" s="885">
        <v>27029.0</v>
      </c>
      <c r="D173" s="87"/>
      <c r="E173" s="136">
        <v>52357.0</v>
      </c>
      <c r="F173" s="169">
        <v>142398.0</v>
      </c>
      <c r="G173" s="876">
        <v>106856.0</v>
      </c>
      <c r="H173" s="87"/>
      <c r="I173" s="876">
        <v>431302.0</v>
      </c>
      <c r="J173" s="87"/>
      <c r="K173" s="867">
        <v>759942.0</v>
      </c>
      <c r="L173" s="87"/>
      <c r="M173" s="880"/>
      <c r="N173" s="1"/>
      <c r="O173" s="1"/>
      <c r="P173" s="1"/>
      <c r="Q173" s="1"/>
      <c r="R173" s="1"/>
      <c r="S173" s="1"/>
      <c r="T173" s="1"/>
      <c r="U173" s="1"/>
      <c r="V173" s="1"/>
      <c r="W173" s="1"/>
      <c r="X173" s="1"/>
      <c r="Y173" s="1"/>
      <c r="Z173" s="1"/>
    </row>
    <row r="174" ht="10.5" customHeight="1">
      <c r="A174" s="1"/>
      <c r="B174" s="79"/>
      <c r="C174" s="881"/>
      <c r="D174" s="87"/>
      <c r="E174" s="136"/>
      <c r="F174" s="169"/>
      <c r="G174" s="876"/>
      <c r="H174" s="87"/>
      <c r="I174" s="876"/>
      <c r="J174" s="87"/>
      <c r="K174" s="882"/>
      <c r="L174" s="87"/>
      <c r="M174" s="22"/>
      <c r="N174" s="1"/>
      <c r="O174" s="1"/>
      <c r="P174" s="1"/>
      <c r="Q174" s="1"/>
      <c r="R174" s="1"/>
      <c r="S174" s="1"/>
      <c r="T174" s="1"/>
      <c r="U174" s="1"/>
      <c r="V174" s="1"/>
      <c r="W174" s="1"/>
      <c r="X174" s="1"/>
      <c r="Y174" s="1"/>
      <c r="Z174" s="1"/>
    </row>
    <row r="175" ht="10.5" customHeight="1">
      <c r="A175" s="1"/>
      <c r="B175" s="79">
        <v>2000.0</v>
      </c>
      <c r="C175" s="885">
        <v>28340.0</v>
      </c>
      <c r="D175" s="87"/>
      <c r="E175" s="136">
        <v>63636.0</v>
      </c>
      <c r="F175" s="169">
        <v>165354.0</v>
      </c>
      <c r="G175" s="876">
        <v>127098.0</v>
      </c>
      <c r="H175" s="87"/>
      <c r="I175" s="876">
        <v>477966.0</v>
      </c>
      <c r="J175" s="87"/>
      <c r="K175" s="867">
        <v>862394.0</v>
      </c>
      <c r="L175" s="87"/>
      <c r="M175" s="880"/>
      <c r="N175" s="1"/>
      <c r="O175" s="1"/>
      <c r="P175" s="1"/>
      <c r="Q175" s="1"/>
      <c r="R175" s="1"/>
      <c r="S175" s="1"/>
      <c r="T175" s="1"/>
      <c r="U175" s="1"/>
      <c r="V175" s="1"/>
      <c r="W175" s="1"/>
      <c r="X175" s="1"/>
      <c r="Y175" s="1"/>
      <c r="Z175" s="1"/>
    </row>
    <row r="176" ht="10.5" customHeight="1">
      <c r="A176" s="1"/>
      <c r="B176" s="79">
        <v>2001.0</v>
      </c>
      <c r="C176" s="885">
        <v>33648.0</v>
      </c>
      <c r="D176" s="87"/>
      <c r="E176" s="136">
        <v>77538.0</v>
      </c>
      <c r="F176" s="169">
        <v>183830.0</v>
      </c>
      <c r="G176" s="876">
        <v>135047.0</v>
      </c>
      <c r="H176" s="87"/>
      <c r="I176" s="876">
        <v>524287.0</v>
      </c>
      <c r="J176" s="87"/>
      <c r="K176" s="867">
        <v>954350.0</v>
      </c>
      <c r="L176" s="87"/>
      <c r="M176" s="880"/>
      <c r="N176" s="1"/>
      <c r="O176" s="1"/>
      <c r="P176" s="1"/>
      <c r="Q176" s="1"/>
      <c r="R176" s="1"/>
      <c r="S176" s="1"/>
      <c r="T176" s="1"/>
      <c r="U176" s="1"/>
      <c r="V176" s="1"/>
      <c r="W176" s="1"/>
      <c r="X176" s="1"/>
      <c r="Y176" s="1"/>
      <c r="Z176" s="1"/>
    </row>
    <row r="177" ht="10.5" customHeight="1">
      <c r="A177" s="1"/>
      <c r="B177" s="79">
        <v>2002.0</v>
      </c>
      <c r="C177" s="885">
        <v>41197.0</v>
      </c>
      <c r="D177" s="87"/>
      <c r="E177" s="136">
        <v>93315.0</v>
      </c>
      <c r="F177" s="169">
        <v>215416.0</v>
      </c>
      <c r="G177" s="876">
        <v>154013.0</v>
      </c>
      <c r="H177" s="87"/>
      <c r="I177" s="876">
        <v>607934.0</v>
      </c>
      <c r="J177" s="87"/>
      <c r="K177" s="867">
        <v>1111875.0</v>
      </c>
      <c r="L177" s="87"/>
      <c r="M177" s="880"/>
      <c r="N177" s="1"/>
      <c r="O177" s="1"/>
      <c r="P177" s="1"/>
      <c r="Q177" s="1"/>
      <c r="R177" s="1"/>
      <c r="S177" s="1"/>
      <c r="T177" s="1"/>
      <c r="U177" s="1"/>
      <c r="V177" s="1"/>
      <c r="W177" s="1"/>
      <c r="X177" s="1"/>
      <c r="Y177" s="1"/>
      <c r="Z177" s="1"/>
    </row>
    <row r="178" ht="10.5" customHeight="1">
      <c r="A178" s="1"/>
      <c r="B178" s="79">
        <v>2003.0</v>
      </c>
      <c r="C178" s="885">
        <v>40467.0</v>
      </c>
      <c r="D178" s="87"/>
      <c r="E178" s="136">
        <v>87179.0</v>
      </c>
      <c r="F178" s="169">
        <v>229306.0</v>
      </c>
      <c r="G178" s="876">
        <v>170820.0</v>
      </c>
      <c r="H178" s="87"/>
      <c r="I178" s="876">
        <v>680607.0</v>
      </c>
      <c r="J178" s="87"/>
      <c r="K178" s="867">
        <v>1208379.0</v>
      </c>
      <c r="L178" s="87"/>
      <c r="M178" s="880"/>
      <c r="N178" s="1"/>
      <c r="O178" s="1"/>
      <c r="P178" s="1"/>
      <c r="Q178" s="1"/>
      <c r="R178" s="1"/>
      <c r="S178" s="1"/>
      <c r="T178" s="1"/>
      <c r="U178" s="1"/>
      <c r="V178" s="1"/>
      <c r="W178" s="1"/>
      <c r="X178" s="1"/>
      <c r="Y178" s="1"/>
      <c r="Z178" s="1"/>
    </row>
    <row r="179" ht="10.5" customHeight="1">
      <c r="A179" s="1"/>
      <c r="B179" s="79">
        <v>2004.0</v>
      </c>
      <c r="C179" s="885">
        <v>40806.0</v>
      </c>
      <c r="D179" s="87"/>
      <c r="E179" s="136">
        <v>92545.0</v>
      </c>
      <c r="F179" s="169">
        <v>247976.0</v>
      </c>
      <c r="G179" s="876">
        <v>191682.0</v>
      </c>
      <c r="H179" s="87"/>
      <c r="I179" s="876">
        <v>758942.0</v>
      </c>
      <c r="J179" s="87"/>
      <c r="K179" s="867">
        <v>1331951.0</v>
      </c>
      <c r="L179" s="87"/>
      <c r="M179" s="880"/>
      <c r="N179" s="1"/>
      <c r="O179" s="1"/>
      <c r="P179" s="1"/>
      <c r="Q179" s="1"/>
      <c r="R179" s="1"/>
      <c r="S179" s="1"/>
      <c r="T179" s="1"/>
      <c r="U179" s="1"/>
      <c r="V179" s="1"/>
      <c r="W179" s="1"/>
      <c r="X179" s="1"/>
      <c r="Y179" s="1"/>
      <c r="Z179" s="1"/>
    </row>
    <row r="180" ht="10.5" customHeight="1">
      <c r="A180" s="1"/>
      <c r="B180" s="79"/>
      <c r="C180" s="881"/>
      <c r="D180" s="87"/>
      <c r="E180" s="136"/>
      <c r="F180" s="169"/>
      <c r="G180" s="876"/>
      <c r="H180" s="87"/>
      <c r="I180" s="876"/>
      <c r="J180" s="87"/>
      <c r="K180" s="882"/>
      <c r="L180" s="87"/>
      <c r="M180" s="880"/>
      <c r="N180" s="1"/>
      <c r="O180" s="1"/>
      <c r="P180" s="1"/>
      <c r="Q180" s="1"/>
      <c r="R180" s="1"/>
      <c r="S180" s="1"/>
      <c r="T180" s="1"/>
      <c r="U180" s="1"/>
      <c r="V180" s="1"/>
      <c r="W180" s="1"/>
      <c r="X180" s="1"/>
      <c r="Y180" s="1"/>
      <c r="Z180" s="1"/>
    </row>
    <row r="181" ht="10.5" customHeight="1">
      <c r="A181" s="1"/>
      <c r="B181" s="79">
        <v>2005.0</v>
      </c>
      <c r="C181" s="885">
        <v>39172.0</v>
      </c>
      <c r="D181" s="87"/>
      <c r="E181" s="136">
        <v>107400.0</v>
      </c>
      <c r="F181" s="169">
        <v>266515.0</v>
      </c>
      <c r="G181" s="876">
        <v>208034.0</v>
      </c>
      <c r="H181" s="87"/>
      <c r="I181" s="876">
        <v>848118.0</v>
      </c>
      <c r="J181" s="87"/>
      <c r="K181" s="867">
        <v>1469239.0</v>
      </c>
      <c r="L181" s="87"/>
      <c r="M181" s="880"/>
      <c r="N181" s="1"/>
      <c r="O181" s="1"/>
      <c r="P181" s="1"/>
      <c r="Q181" s="1"/>
      <c r="R181" s="1"/>
      <c r="S181" s="1"/>
      <c r="T181" s="1"/>
      <c r="U181" s="1"/>
      <c r="V181" s="1"/>
      <c r="W181" s="1"/>
      <c r="X181" s="1"/>
      <c r="Y181" s="1"/>
      <c r="Z181" s="1"/>
    </row>
    <row r="182" ht="10.5" customHeight="1">
      <c r="A182" s="1"/>
      <c r="B182" s="79">
        <v>2006.0</v>
      </c>
      <c r="C182" s="885">
        <v>42884.0</v>
      </c>
      <c r="D182" s="87"/>
      <c r="E182" s="136">
        <v>132843.0</v>
      </c>
      <c r="F182" s="169">
        <v>269769.0</v>
      </c>
      <c r="G182" s="876">
        <v>231999.0</v>
      </c>
      <c r="H182" s="87"/>
      <c r="I182" s="876">
        <v>964727.0</v>
      </c>
      <c r="J182" s="87"/>
      <c r="K182" s="867">
        <v>1642222.0</v>
      </c>
      <c r="L182" s="87"/>
      <c r="M182" s="880"/>
      <c r="N182" s="1"/>
      <c r="O182" s="1"/>
      <c r="P182" s="1"/>
      <c r="Q182" s="1"/>
      <c r="R182" s="1"/>
      <c r="S182" s="1"/>
      <c r="T182" s="1"/>
      <c r="U182" s="1"/>
      <c r="V182" s="1"/>
      <c r="W182" s="1"/>
      <c r="X182" s="1"/>
      <c r="Y182" s="1"/>
      <c r="Z182" s="1"/>
    </row>
    <row r="183" ht="10.5" customHeight="1">
      <c r="A183" s="1"/>
      <c r="B183" s="79">
        <v>2007.0</v>
      </c>
      <c r="C183" s="891">
        <v>55762.0</v>
      </c>
      <c r="D183" s="87"/>
      <c r="E183" s="136">
        <v>157672.0</v>
      </c>
      <c r="F183" s="169">
        <v>302991.0</v>
      </c>
      <c r="G183" s="882">
        <v>258908.0</v>
      </c>
      <c r="H183" s="87"/>
      <c r="I183" s="876">
        <v>1109389.0</v>
      </c>
      <c r="J183" s="87"/>
      <c r="K183" s="867">
        <v>1884722.0</v>
      </c>
      <c r="L183" s="87"/>
      <c r="M183" s="880"/>
      <c r="N183" s="1"/>
      <c r="O183" s="1"/>
      <c r="P183" s="1"/>
      <c r="Q183" s="1"/>
      <c r="R183" s="1"/>
      <c r="S183" s="1"/>
      <c r="T183" s="1"/>
      <c r="U183" s="1"/>
      <c r="V183" s="1"/>
      <c r="W183" s="1"/>
      <c r="X183" s="1"/>
      <c r="Y183" s="1"/>
      <c r="Z183" s="1"/>
    </row>
    <row r="184" ht="10.5" customHeight="1">
      <c r="A184" s="1"/>
      <c r="B184" s="79">
        <v>2008.0</v>
      </c>
      <c r="C184" s="891">
        <v>67743.0</v>
      </c>
      <c r="D184" s="87"/>
      <c r="E184" s="136">
        <v>197643.0</v>
      </c>
      <c r="F184" s="169">
        <v>341697.0</v>
      </c>
      <c r="G184" s="882">
        <v>297518.0</v>
      </c>
      <c r="H184" s="87"/>
      <c r="I184" s="876">
        <v>1232589.0</v>
      </c>
      <c r="J184" s="87"/>
      <c r="K184" s="867">
        <v>2137190.0</v>
      </c>
      <c r="L184" s="87"/>
      <c r="M184" s="880"/>
      <c r="N184" s="1"/>
      <c r="O184" s="1"/>
      <c r="P184" s="1"/>
      <c r="Q184" s="1"/>
      <c r="R184" s="1"/>
      <c r="S184" s="1"/>
      <c r="T184" s="1"/>
      <c r="U184" s="1"/>
      <c r="V184" s="1"/>
      <c r="W184" s="1"/>
      <c r="X184" s="1"/>
      <c r="Y184" s="1"/>
      <c r="Z184" s="1"/>
    </row>
    <row r="185" ht="10.5" customHeight="1">
      <c r="A185" s="1"/>
      <c r="B185" s="11">
        <v>2009.0</v>
      </c>
      <c r="C185" s="891">
        <v>68044.0</v>
      </c>
      <c r="D185" s="87"/>
      <c r="E185" s="136">
        <v>200824.0</v>
      </c>
      <c r="F185" s="169">
        <v>341658.0</v>
      </c>
      <c r="G185" s="882">
        <v>317655.0</v>
      </c>
      <c r="H185" s="87"/>
      <c r="I185" s="876">
        <v>1348965.0</v>
      </c>
      <c r="J185" s="87"/>
      <c r="K185" s="867">
        <v>2277146.0</v>
      </c>
      <c r="L185" s="87"/>
      <c r="M185" s="880"/>
      <c r="N185" s="1"/>
      <c r="O185" s="1"/>
      <c r="P185" s="1"/>
      <c r="Q185" s="1"/>
      <c r="R185" s="1"/>
      <c r="S185" s="1"/>
      <c r="T185" s="1"/>
      <c r="U185" s="1"/>
      <c r="V185" s="1"/>
      <c r="W185" s="1"/>
      <c r="X185" s="1"/>
      <c r="Y185" s="1"/>
      <c r="Z185" s="1"/>
    </row>
    <row r="186" ht="10.5" customHeight="1">
      <c r="A186" s="1"/>
      <c r="B186" s="79"/>
      <c r="C186" s="892"/>
      <c r="D186" s="87"/>
      <c r="E186" s="136"/>
      <c r="F186" s="169"/>
      <c r="G186" s="882"/>
      <c r="H186" s="87"/>
      <c r="I186" s="876"/>
      <c r="J186" s="87"/>
      <c r="K186" s="867"/>
      <c r="L186" s="87"/>
      <c r="M186" s="880"/>
      <c r="N186" s="1"/>
      <c r="O186" s="1"/>
      <c r="P186" s="1"/>
      <c r="Q186" s="1"/>
      <c r="R186" s="1"/>
      <c r="S186" s="1"/>
      <c r="T186" s="1"/>
      <c r="U186" s="1"/>
      <c r="V186" s="1"/>
      <c r="W186" s="1"/>
      <c r="X186" s="1"/>
      <c r="Y186" s="1"/>
      <c r="Z186" s="1"/>
    </row>
    <row r="187" ht="10.5" customHeight="1">
      <c r="A187" s="1"/>
      <c r="B187" s="79">
        <v>2010.0</v>
      </c>
      <c r="C187" s="891">
        <v>65605.0</v>
      </c>
      <c r="D187" s="87"/>
      <c r="E187" s="136">
        <v>230350.0</v>
      </c>
      <c r="F187" s="169">
        <v>358699.0</v>
      </c>
      <c r="G187" s="882">
        <v>370580.0</v>
      </c>
      <c r="H187" s="87"/>
      <c r="I187" s="876">
        <v>1469626.0</v>
      </c>
      <c r="J187" s="87"/>
      <c r="K187" s="867">
        <v>2494860.0</v>
      </c>
      <c r="L187" s="87"/>
      <c r="M187" s="880"/>
      <c r="N187" s="1"/>
      <c r="O187" s="1"/>
      <c r="P187" s="1"/>
      <c r="Q187" s="1"/>
      <c r="R187" s="1"/>
      <c r="S187" s="1"/>
      <c r="T187" s="1"/>
      <c r="U187" s="1"/>
      <c r="V187" s="1"/>
      <c r="W187" s="1"/>
      <c r="X187" s="1"/>
      <c r="Y187" s="1"/>
      <c r="Z187" s="1"/>
    </row>
    <row r="188" ht="10.5" customHeight="1">
      <c r="A188" s="1"/>
      <c r="B188" s="11" t="s">
        <v>487</v>
      </c>
      <c r="C188" s="885">
        <v>69105.0</v>
      </c>
      <c r="D188" s="87"/>
      <c r="E188" s="169">
        <v>261575.0</v>
      </c>
      <c r="F188" s="169">
        <v>362693.0</v>
      </c>
      <c r="G188" s="879">
        <v>404469.0</v>
      </c>
      <c r="H188" s="87"/>
      <c r="I188" s="876">
        <v>1626558.0</v>
      </c>
      <c r="J188" s="87"/>
      <c r="K188" s="867">
        <v>2724400.0</v>
      </c>
      <c r="L188" s="87"/>
      <c r="M188" s="880"/>
      <c r="N188" s="1"/>
      <c r="O188" s="1"/>
      <c r="P188" s="1"/>
      <c r="Q188" s="1"/>
      <c r="R188" s="1"/>
      <c r="S188" s="1"/>
      <c r="T188" s="1"/>
      <c r="U188" s="1"/>
      <c r="V188" s="1"/>
      <c r="W188" s="1"/>
      <c r="X188" s="1"/>
      <c r="Y188" s="1"/>
      <c r="Z188" s="1"/>
    </row>
    <row r="189" ht="10.5" customHeight="1">
      <c r="A189" s="1"/>
      <c r="B189" s="11" t="s">
        <v>489</v>
      </c>
      <c r="C189" s="885">
        <v>70592.0</v>
      </c>
      <c r="D189" s="87"/>
      <c r="E189" s="169">
        <v>267344.0</v>
      </c>
      <c r="F189" s="169">
        <v>381267.0</v>
      </c>
      <c r="G189" s="879">
        <v>437982.0</v>
      </c>
      <c r="H189" s="87"/>
      <c r="I189" s="876">
        <v>1775694.0</v>
      </c>
      <c r="J189" s="87"/>
      <c r="K189" s="867">
        <v>2932879.0</v>
      </c>
      <c r="L189" s="87"/>
      <c r="M189" s="880"/>
      <c r="N189" s="1"/>
      <c r="O189" s="1"/>
      <c r="P189" s="1"/>
      <c r="Q189" s="1"/>
      <c r="R189" s="1"/>
      <c r="S189" s="1"/>
      <c r="T189" s="1"/>
      <c r="U189" s="1"/>
      <c r="V189" s="1"/>
      <c r="W189" s="1"/>
      <c r="X189" s="1"/>
      <c r="Y189" s="1"/>
      <c r="Z189" s="1"/>
    </row>
    <row r="190" ht="10.5" customHeight="1">
      <c r="A190" s="1"/>
      <c r="B190" s="11" t="s">
        <v>55</v>
      </c>
      <c r="C190" s="885">
        <v>74260.0</v>
      </c>
      <c r="D190" s="87"/>
      <c r="E190" s="169">
        <v>288300.0</v>
      </c>
      <c r="F190" s="169">
        <v>410670.0</v>
      </c>
      <c r="G190" s="893">
        <v>473488.0</v>
      </c>
      <c r="H190" s="87"/>
      <c r="I190" s="895">
        <v>1936900.0</v>
      </c>
      <c r="J190" s="87"/>
      <c r="K190" s="867">
        <v>3183618.0</v>
      </c>
      <c r="L190" s="87"/>
      <c r="M190" s="880"/>
      <c r="N190" s="1"/>
      <c r="O190" s="1"/>
      <c r="P190" s="1"/>
      <c r="Q190" s="1"/>
      <c r="R190" s="1"/>
      <c r="S190" s="1"/>
      <c r="T190" s="1"/>
      <c r="U190" s="1"/>
      <c r="V190" s="1"/>
      <c r="W190" s="1"/>
      <c r="X190" s="1"/>
      <c r="Y190" s="1"/>
      <c r="Z190" s="1"/>
    </row>
    <row r="191" ht="10.5" customHeight="1">
      <c r="A191" s="1"/>
      <c r="B191" s="11" t="s">
        <v>57</v>
      </c>
      <c r="C191" s="885">
        <v>82755.0</v>
      </c>
      <c r="D191" s="87"/>
      <c r="E191" s="169">
        <v>287488.0</v>
      </c>
      <c r="F191" s="169">
        <v>458404.0</v>
      </c>
      <c r="G191" s="893">
        <v>503804.0</v>
      </c>
      <c r="H191" s="87"/>
      <c r="I191" s="895">
        <v>2082492.0</v>
      </c>
      <c r="J191" s="87"/>
      <c r="K191" s="867">
        <v>3414943.0</v>
      </c>
      <c r="L191" s="87"/>
      <c r="M191" s="880"/>
      <c r="N191" s="1"/>
      <c r="O191" s="1"/>
      <c r="P191" s="1"/>
      <c r="Q191" s="1"/>
      <c r="R191" s="1"/>
      <c r="S191" s="1"/>
      <c r="T191" s="1"/>
      <c r="U191" s="1"/>
      <c r="V191" s="1"/>
      <c r="W191" s="1"/>
      <c r="X191" s="1"/>
      <c r="Y191" s="1"/>
      <c r="Z191" s="1"/>
    </row>
    <row r="192" ht="10.5" customHeight="1">
      <c r="A192" s="1"/>
      <c r="B192" s="11"/>
      <c r="C192" s="892"/>
      <c r="D192" s="87"/>
      <c r="E192" s="169"/>
      <c r="F192" s="169"/>
      <c r="G192" s="893"/>
      <c r="H192" s="87"/>
      <c r="I192" s="895"/>
      <c r="J192" s="87"/>
      <c r="K192" s="867"/>
      <c r="L192" s="896"/>
      <c r="M192" s="880"/>
      <c r="N192" s="1"/>
      <c r="O192" s="1"/>
      <c r="P192" s="1"/>
      <c r="Q192" s="1"/>
      <c r="R192" s="1"/>
      <c r="S192" s="1"/>
      <c r="T192" s="1"/>
      <c r="U192" s="1"/>
      <c r="V192" s="1"/>
      <c r="W192" s="1"/>
      <c r="X192" s="1"/>
      <c r="Y192" s="1"/>
      <c r="Z192" s="1"/>
    </row>
    <row r="193" ht="10.5" customHeight="1">
      <c r="A193" s="1"/>
      <c r="B193" s="11" t="s">
        <v>58</v>
      </c>
      <c r="C193" s="892">
        <v>84303.0</v>
      </c>
      <c r="D193" s="87"/>
      <c r="E193" s="169">
        <v>282888.0</v>
      </c>
      <c r="F193" s="169">
        <v>486292.0</v>
      </c>
      <c r="G193" s="893">
        <v>542200.0</v>
      </c>
      <c r="H193" s="87"/>
      <c r="I193" s="895">
        <v>2230031.0</v>
      </c>
      <c r="J193" s="87"/>
      <c r="K193" s="867">
        <v>3625714.0</v>
      </c>
      <c r="L193" s="87"/>
      <c r="M193" s="880"/>
      <c r="N193" s="1"/>
      <c r="O193" s="1"/>
      <c r="P193" s="1"/>
      <c r="Q193" s="1"/>
      <c r="R193" s="1"/>
      <c r="S193" s="1"/>
      <c r="T193" s="1"/>
      <c r="U193" s="1"/>
      <c r="V193" s="1"/>
      <c r="W193" s="1"/>
      <c r="X193" s="1"/>
      <c r="Y193" s="1"/>
      <c r="Z193" s="1"/>
    </row>
    <row r="194" ht="10.5" customHeight="1">
      <c r="A194" s="1"/>
      <c r="B194" s="11" t="s">
        <v>59</v>
      </c>
      <c r="C194" s="892">
        <v>94757.0</v>
      </c>
      <c r="D194" s="87"/>
      <c r="E194" s="169">
        <v>307302.0</v>
      </c>
      <c r="F194" s="169">
        <v>523785.0</v>
      </c>
      <c r="G194" s="893">
        <v>578213.0</v>
      </c>
      <c r="H194" s="87"/>
      <c r="I194" s="895">
        <v>2376767.0</v>
      </c>
      <c r="J194" s="87"/>
      <c r="K194" s="867">
        <v>3880824.0</v>
      </c>
      <c r="L194" s="87"/>
      <c r="M194" s="880"/>
      <c r="N194" s="1"/>
      <c r="O194" s="1"/>
      <c r="P194" s="1"/>
      <c r="Q194" s="1"/>
      <c r="R194" s="1"/>
      <c r="S194" s="1"/>
      <c r="T194" s="1"/>
      <c r="U194" s="1"/>
      <c r="V194" s="1"/>
      <c r="W194" s="1"/>
      <c r="X194" s="1"/>
      <c r="Y194" s="1"/>
      <c r="Z194" s="1"/>
    </row>
    <row r="195" ht="10.5" customHeight="1">
      <c r="A195" s="1"/>
      <c r="B195" s="52" t="s">
        <v>1525</v>
      </c>
      <c r="C195" s="901">
        <v>106421.0</v>
      </c>
      <c r="D195" s="94"/>
      <c r="E195" s="260">
        <v>334667.0</v>
      </c>
      <c r="F195" s="260">
        <v>551621.0</v>
      </c>
      <c r="G195" s="902">
        <v>626802.0</v>
      </c>
      <c r="H195" s="94"/>
      <c r="I195" s="903">
        <v>2552218.0</v>
      </c>
      <c r="J195" s="94"/>
      <c r="K195" s="877">
        <v>4171729.0</v>
      </c>
      <c r="L195" s="94"/>
      <c r="M195" s="904"/>
      <c r="N195" s="1"/>
      <c r="O195" s="1"/>
      <c r="P195" s="1"/>
      <c r="Q195" s="1"/>
      <c r="R195" s="1"/>
      <c r="S195" s="1"/>
      <c r="T195" s="1"/>
      <c r="U195" s="1"/>
      <c r="V195" s="1"/>
      <c r="W195" s="1"/>
      <c r="X195" s="1"/>
      <c r="Y195" s="1"/>
      <c r="Z195" s="1"/>
    </row>
    <row r="196" ht="12.0" customHeight="1">
      <c r="A196" s="186"/>
      <c r="B196" s="60" t="s">
        <v>282</v>
      </c>
      <c r="C196" s="905"/>
      <c r="D196" s="905"/>
      <c r="E196" s="905"/>
      <c r="F196" s="905"/>
      <c r="G196" s="905"/>
      <c r="H196" s="905"/>
      <c r="I196" s="905"/>
      <c r="J196" s="905"/>
      <c r="K196" s="186"/>
      <c r="L196" s="186"/>
      <c r="M196" s="186"/>
      <c r="N196" s="186"/>
      <c r="O196" s="186"/>
      <c r="P196" s="186"/>
      <c r="Q196" s="186"/>
      <c r="R196" s="186"/>
      <c r="S196" s="186"/>
      <c r="T196" s="186"/>
      <c r="U196" s="186"/>
      <c r="V196" s="186"/>
      <c r="W196" s="186"/>
      <c r="X196" s="186"/>
      <c r="Y196" s="186"/>
      <c r="Z196" s="186"/>
    </row>
    <row r="197" ht="6.0" customHeight="1">
      <c r="A197" s="186"/>
      <c r="B197" s="60"/>
      <c r="C197" s="905"/>
      <c r="D197" s="905"/>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ht="10.5" customHeight="1">
      <c r="A198" s="186"/>
      <c r="B198" s="474" t="s">
        <v>1529</v>
      </c>
      <c r="C198" s="186"/>
      <c r="D198" s="905"/>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ht="10.5" customHeight="1">
      <c r="A199" s="186"/>
      <c r="B199" s="185" t="s">
        <v>1530</v>
      </c>
      <c r="C199" s="905"/>
      <c r="D199" s="905"/>
      <c r="E199" s="905"/>
      <c r="F199" s="905"/>
      <c r="G199" s="905"/>
      <c r="H199" s="905"/>
      <c r="I199" s="905"/>
      <c r="J199" s="905"/>
      <c r="K199" s="186"/>
      <c r="L199" s="186"/>
      <c r="M199" s="186"/>
      <c r="N199" s="186"/>
      <c r="O199" s="186"/>
      <c r="P199" s="186"/>
      <c r="Q199" s="186"/>
      <c r="R199" s="186"/>
      <c r="S199" s="186"/>
      <c r="T199" s="186"/>
      <c r="U199" s="186"/>
      <c r="V199" s="186"/>
      <c r="W199" s="186"/>
      <c r="X199" s="186"/>
      <c r="Y199" s="186"/>
      <c r="Z199" s="186"/>
    </row>
    <row r="200" ht="10.5" customHeight="1">
      <c r="A200" s="186"/>
      <c r="B200" s="185" t="s">
        <v>1531</v>
      </c>
      <c r="C200" s="905"/>
      <c r="D200" s="905"/>
      <c r="E200" s="905"/>
      <c r="F200" s="905"/>
      <c r="G200" s="905"/>
      <c r="H200" s="905"/>
      <c r="I200" s="905"/>
      <c r="J200" s="905"/>
      <c r="K200" s="186"/>
      <c r="L200" s="186"/>
      <c r="M200" s="186"/>
      <c r="N200" s="186"/>
      <c r="O200" s="186"/>
      <c r="P200" s="186"/>
      <c r="Q200" s="186"/>
      <c r="R200" s="186"/>
      <c r="S200" s="186"/>
      <c r="T200" s="186"/>
      <c r="U200" s="186"/>
      <c r="V200" s="186"/>
      <c r="W200" s="186"/>
      <c r="X200" s="186"/>
      <c r="Y200" s="186"/>
      <c r="Z200" s="186"/>
    </row>
    <row r="201" ht="10.5" customHeight="1">
      <c r="A201" s="186"/>
      <c r="B201" s="185" t="s">
        <v>1532</v>
      </c>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ht="10.5" customHeight="1">
      <c r="A202" s="1"/>
      <c r="B202" s="1"/>
      <c r="C202" s="113"/>
      <c r="D202" s="113"/>
      <c r="E202" s="113"/>
      <c r="F202" s="113"/>
      <c r="G202" s="113"/>
      <c r="H202" s="113"/>
      <c r="I202" s="113"/>
      <c r="J202" s="113"/>
      <c r="K202" s="113"/>
      <c r="L202" s="1"/>
      <c r="M202" s="1"/>
      <c r="N202" s="1"/>
      <c r="O202" s="1"/>
      <c r="P202" s="1"/>
      <c r="Q202" s="1"/>
      <c r="R202" s="1"/>
      <c r="S202" s="1"/>
      <c r="T202" s="1"/>
      <c r="U202" s="1"/>
      <c r="V202" s="1"/>
      <c r="W202" s="1"/>
      <c r="X202" s="1"/>
      <c r="Y202" s="1"/>
      <c r="Z202" s="1"/>
    </row>
    <row r="203" ht="10.5" customHeight="1">
      <c r="A203" s="1"/>
      <c r="B203" s="1"/>
      <c r="C203" s="1"/>
      <c r="D203" s="1"/>
      <c r="E203" s="1"/>
      <c r="F203" s="1"/>
      <c r="G203" s="110">
        <v>76.0</v>
      </c>
      <c r="H203" s="1"/>
      <c r="I203" s="1"/>
      <c r="J203" s="1"/>
      <c r="K203" s="1"/>
      <c r="L203" s="1"/>
      <c r="M203" s="1"/>
      <c r="N203" s="1"/>
      <c r="O203" s="1"/>
      <c r="P203" s="1"/>
      <c r="Q203" s="1"/>
      <c r="R203" s="1"/>
      <c r="S203" s="1"/>
      <c r="T203" s="1"/>
      <c r="U203" s="1"/>
      <c r="V203" s="1"/>
      <c r="W203" s="1"/>
      <c r="X203" s="1"/>
      <c r="Y203" s="1"/>
      <c r="Z203" s="1"/>
    </row>
    <row r="204" ht="10.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1.25" customHeight="1">
      <c r="A205" s="1"/>
      <c r="B205" s="60" t="s">
        <v>1535</v>
      </c>
      <c r="C205" s="60"/>
      <c r="D205" s="60"/>
      <c r="E205" s="60"/>
      <c r="F205" s="60"/>
      <c r="G205" s="60"/>
      <c r="H205" s="60"/>
      <c r="I205" s="60"/>
      <c r="J205" s="60"/>
      <c r="K205" s="714"/>
      <c r="L205" s="714"/>
      <c r="M205" s="1"/>
      <c r="N205" s="1"/>
      <c r="O205" s="1"/>
      <c r="P205" s="1"/>
      <c r="Q205" s="1"/>
      <c r="R205" s="1"/>
      <c r="S205" s="1"/>
      <c r="T205" s="1"/>
      <c r="U205" s="1"/>
      <c r="V205" s="1"/>
      <c r="W205" s="1"/>
      <c r="X205" s="1"/>
      <c r="Y205" s="1"/>
      <c r="Z205" s="1"/>
    </row>
    <row r="206" ht="24.75" customHeight="1">
      <c r="A206" s="1"/>
      <c r="B206" s="189" t="s">
        <v>1</v>
      </c>
      <c r="C206" s="128" t="s">
        <v>1496</v>
      </c>
      <c r="D206" s="9"/>
      <c r="E206" s="190" t="s">
        <v>428</v>
      </c>
      <c r="F206" s="273" t="s">
        <v>1497</v>
      </c>
      <c r="G206" s="128" t="s">
        <v>1498</v>
      </c>
      <c r="H206" s="9"/>
      <c r="I206" s="190" t="s">
        <v>1539</v>
      </c>
      <c r="J206" s="273" t="s">
        <v>2</v>
      </c>
      <c r="K206" s="714"/>
      <c r="L206" s="714"/>
      <c r="M206" s="1"/>
      <c r="N206" s="1"/>
      <c r="O206" s="1"/>
      <c r="P206" s="1"/>
      <c r="Q206" s="1"/>
      <c r="R206" s="1"/>
      <c r="S206" s="1"/>
      <c r="T206" s="1"/>
      <c r="U206" s="1"/>
      <c r="V206" s="1"/>
      <c r="W206" s="1"/>
      <c r="X206" s="1"/>
      <c r="Y206" s="1"/>
      <c r="Z206" s="1"/>
    </row>
    <row r="207" ht="11.25" customHeight="1">
      <c r="A207" s="1"/>
      <c r="B207" s="6"/>
      <c r="C207" s="8" t="s">
        <v>625</v>
      </c>
      <c r="D207" s="9"/>
      <c r="E207" s="9"/>
      <c r="F207" s="9"/>
      <c r="G207" s="9"/>
      <c r="H207" s="9"/>
      <c r="I207" s="9"/>
      <c r="J207" s="10"/>
      <c r="K207" s="714"/>
      <c r="L207" s="714"/>
      <c r="M207" s="1"/>
      <c r="N207" s="1"/>
      <c r="O207" s="1"/>
      <c r="P207" s="1"/>
      <c r="Q207" s="1"/>
      <c r="R207" s="1"/>
      <c r="S207" s="1"/>
      <c r="T207" s="1"/>
      <c r="U207" s="1"/>
      <c r="V207" s="1"/>
      <c r="W207" s="1"/>
      <c r="X207" s="1"/>
      <c r="Y207" s="1"/>
      <c r="Z207" s="1"/>
    </row>
    <row r="208" ht="10.5" customHeight="1">
      <c r="A208" s="1"/>
      <c r="B208" s="129">
        <v>1970.0</v>
      </c>
      <c r="C208" s="841"/>
      <c r="D208" s="843">
        <v>7.1780379491320145</v>
      </c>
      <c r="E208" s="843">
        <v>8.53451756156641</v>
      </c>
      <c r="F208" s="822">
        <v>22.99555914412596</v>
      </c>
      <c r="G208" s="842"/>
      <c r="H208" s="906">
        <v>14.517561566411</v>
      </c>
      <c r="I208" s="250">
        <v>46.77432377876464</v>
      </c>
      <c r="J208" s="250">
        <f>SUM(C208:I208)</f>
        <v>100</v>
      </c>
      <c r="K208" s="714"/>
      <c r="L208" s="714"/>
      <c r="M208" s="1"/>
      <c r="N208" s="1"/>
      <c r="O208" s="1"/>
      <c r="P208" s="1"/>
      <c r="Q208" s="1"/>
      <c r="R208" s="1"/>
      <c r="S208" s="1"/>
      <c r="T208" s="1"/>
      <c r="U208" s="1"/>
      <c r="V208" s="1"/>
      <c r="W208" s="1"/>
      <c r="X208" s="1"/>
      <c r="Y208" s="1"/>
      <c r="Z208" s="1"/>
    </row>
    <row r="209" ht="10.5" customHeight="1">
      <c r="A209" s="1"/>
      <c r="B209" s="129">
        <v>1971.0</v>
      </c>
      <c r="C209" s="846"/>
      <c r="D209" s="250">
        <v>7.800277798084656</v>
      </c>
      <c r="E209" s="250">
        <v>7.4</v>
      </c>
      <c r="F209" s="285">
        <v>22.216536296512903</v>
      </c>
      <c r="G209" s="847"/>
      <c r="H209" s="907">
        <v>13.926456612325463</v>
      </c>
      <c r="I209" s="250">
        <v>48.7097010015352</v>
      </c>
      <c r="J209" s="250">
        <v>100.0</v>
      </c>
      <c r="K209" s="714"/>
      <c r="L209" s="714"/>
      <c r="M209" s="1"/>
      <c r="N209" s="1"/>
      <c r="O209" s="1"/>
      <c r="P209" s="1"/>
      <c r="Q209" s="1"/>
      <c r="R209" s="1"/>
      <c r="S209" s="1"/>
      <c r="T209" s="1"/>
      <c r="U209" s="1"/>
      <c r="V209" s="1"/>
      <c r="W209" s="1"/>
      <c r="X209" s="1"/>
      <c r="Y209" s="1"/>
      <c r="Z209" s="1"/>
    </row>
    <row r="210" ht="10.5" customHeight="1">
      <c r="A210" s="1"/>
      <c r="B210" s="129">
        <v>1972.0</v>
      </c>
      <c r="C210" s="846"/>
      <c r="D210" s="250">
        <v>7.645615394549917</v>
      </c>
      <c r="E210" s="250">
        <v>8.56257264626114</v>
      </c>
      <c r="F210" s="285">
        <v>21.503293297171638</v>
      </c>
      <c r="G210" s="847"/>
      <c r="H210" s="907">
        <v>13.72852899393</v>
      </c>
      <c r="I210" s="250">
        <v>48.559989668087304</v>
      </c>
      <c r="J210" s="250">
        <f t="shared" ref="J210:J211" si="1">SUM(C210:I210)</f>
        <v>100</v>
      </c>
      <c r="K210" s="714"/>
      <c r="L210" s="714"/>
      <c r="M210" s="1"/>
      <c r="N210" s="1"/>
      <c r="O210" s="1"/>
      <c r="P210" s="1"/>
      <c r="Q210" s="1"/>
      <c r="R210" s="1"/>
      <c r="S210" s="1"/>
      <c r="T210" s="1"/>
      <c r="U210" s="1"/>
      <c r="V210" s="1"/>
      <c r="W210" s="1"/>
      <c r="X210" s="1"/>
      <c r="Y210" s="1"/>
      <c r="Z210" s="1"/>
    </row>
    <row r="211" ht="10.5" customHeight="1">
      <c r="A211" s="1"/>
      <c r="B211" s="129">
        <v>1973.0</v>
      </c>
      <c r="C211" s="846"/>
      <c r="D211" s="250">
        <v>7.253078401828857</v>
      </c>
      <c r="E211" s="250">
        <v>10.209383280511249</v>
      </c>
      <c r="F211" s="285">
        <v>21.665714137268147</v>
      </c>
      <c r="G211" s="847"/>
      <c r="H211" s="907">
        <v>13.846313711227722</v>
      </c>
      <c r="I211" s="250">
        <v>47.025510469164026</v>
      </c>
      <c r="J211" s="250">
        <f t="shared" si="1"/>
        <v>100</v>
      </c>
      <c r="K211" s="714"/>
      <c r="L211" s="714"/>
      <c r="M211" s="1"/>
      <c r="N211" s="1"/>
      <c r="O211" s="1"/>
      <c r="P211" s="1"/>
      <c r="Q211" s="1"/>
      <c r="R211" s="1"/>
      <c r="S211" s="1"/>
      <c r="T211" s="1"/>
      <c r="U211" s="1"/>
      <c r="V211" s="1"/>
      <c r="W211" s="1"/>
      <c r="X211" s="1"/>
      <c r="Y211" s="1"/>
      <c r="Z211" s="1"/>
    </row>
    <row r="212" ht="10.5" customHeight="1">
      <c r="A212" s="1"/>
      <c r="B212" s="129">
        <v>1974.0</v>
      </c>
      <c r="C212" s="846"/>
      <c r="D212" s="250">
        <v>8.865553451540713</v>
      </c>
      <c r="E212" s="250">
        <v>12.024444826992598</v>
      </c>
      <c r="F212" s="285">
        <v>21.4</v>
      </c>
      <c r="G212" s="847"/>
      <c r="H212" s="907">
        <v>13.853503184713375</v>
      </c>
      <c r="I212" s="250">
        <v>43.789808917197455</v>
      </c>
      <c r="J212" s="250">
        <v>100.0</v>
      </c>
      <c r="K212" s="714"/>
      <c r="L212" s="714"/>
      <c r="M212" s="1"/>
      <c r="N212" s="1"/>
      <c r="O212" s="1"/>
      <c r="P212" s="1"/>
      <c r="Q212" s="1"/>
      <c r="R212" s="1"/>
      <c r="S212" s="1"/>
      <c r="T212" s="1"/>
      <c r="U212" s="1"/>
      <c r="V212" s="1"/>
      <c r="W212" s="1"/>
      <c r="X212" s="1"/>
      <c r="Y212" s="1"/>
      <c r="Z212" s="1"/>
    </row>
    <row r="213" ht="10.5" customHeight="1">
      <c r="A213" s="1"/>
      <c r="B213" s="129"/>
      <c r="C213" s="846"/>
      <c r="D213" s="250"/>
      <c r="E213" s="250"/>
      <c r="F213" s="285"/>
      <c r="G213" s="847"/>
      <c r="H213" s="907"/>
      <c r="I213" s="250"/>
      <c r="J213" s="250"/>
      <c r="K213" s="714"/>
      <c r="L213" s="714"/>
      <c r="M213" s="1"/>
      <c r="N213" s="1"/>
      <c r="O213" s="1"/>
      <c r="P213" s="1"/>
      <c r="Q213" s="1"/>
      <c r="R213" s="1"/>
      <c r="S213" s="1"/>
      <c r="T213" s="1"/>
      <c r="U213" s="1"/>
      <c r="V213" s="1"/>
      <c r="W213" s="1"/>
      <c r="X213" s="1"/>
      <c r="Y213" s="1"/>
      <c r="Z213" s="1"/>
    </row>
    <row r="214" ht="10.5" customHeight="1">
      <c r="A214" s="1"/>
      <c r="B214" s="129">
        <v>1975.0</v>
      </c>
      <c r="C214" s="846"/>
      <c r="D214" s="250">
        <v>7.653804489933138</v>
      </c>
      <c r="E214" s="250">
        <v>10.757909678383324</v>
      </c>
      <c r="F214" s="285">
        <v>22.808262672294646</v>
      </c>
      <c r="G214" s="847"/>
      <c r="H214" s="907">
        <v>13.533300959994024</v>
      </c>
      <c r="I214" s="250">
        <v>45.24672219939487</v>
      </c>
      <c r="J214" s="250">
        <f t="shared" ref="J214:J215" si="2">SUM(C214:I214)</f>
        <v>100</v>
      </c>
      <c r="K214" s="714"/>
      <c r="L214" s="714"/>
      <c r="M214" s="1"/>
      <c r="N214" s="1"/>
      <c r="O214" s="1"/>
      <c r="P214" s="1"/>
      <c r="Q214" s="1"/>
      <c r="R214" s="1"/>
      <c r="S214" s="1"/>
      <c r="T214" s="1"/>
      <c r="U214" s="1"/>
      <c r="V214" s="1"/>
      <c r="W214" s="1"/>
      <c r="X214" s="1"/>
      <c r="Y214" s="1"/>
      <c r="Z214" s="1"/>
    </row>
    <row r="215" ht="10.5" customHeight="1">
      <c r="A215" s="1"/>
      <c r="B215" s="129">
        <v>1976.0</v>
      </c>
      <c r="C215" s="846"/>
      <c r="D215" s="250">
        <v>6.736730431323144</v>
      </c>
      <c r="E215" s="250">
        <v>10.867619268640388</v>
      </c>
      <c r="F215" s="285">
        <v>23.111096376355135</v>
      </c>
      <c r="G215" s="847"/>
      <c r="H215" s="907">
        <v>13.065676491065211</v>
      </c>
      <c r="I215" s="250">
        <v>46.21887743261612</v>
      </c>
      <c r="J215" s="250">
        <f t="shared" si="2"/>
        <v>100</v>
      </c>
      <c r="K215" s="714"/>
      <c r="L215" s="714"/>
      <c r="M215" s="1"/>
      <c r="N215" s="1"/>
      <c r="O215" s="1"/>
      <c r="P215" s="1"/>
      <c r="Q215" s="1"/>
      <c r="R215" s="1"/>
      <c r="S215" s="1"/>
      <c r="T215" s="1"/>
      <c r="U215" s="1"/>
      <c r="V215" s="1"/>
      <c r="W215" s="1"/>
      <c r="X215" s="1"/>
      <c r="Y215" s="1"/>
      <c r="Z215" s="1"/>
    </row>
    <row r="216" ht="10.5" customHeight="1">
      <c r="A216" s="1"/>
      <c r="B216" s="129">
        <v>1977.0</v>
      </c>
      <c r="C216" s="846"/>
      <c r="D216" s="250">
        <v>7.039586401755388</v>
      </c>
      <c r="E216" s="250">
        <v>11.394992335206949</v>
      </c>
      <c r="F216" s="285">
        <v>21.31413628302624</v>
      </c>
      <c r="G216" s="847"/>
      <c r="H216" s="907">
        <v>12.81373049986474</v>
      </c>
      <c r="I216" s="250">
        <v>47.5</v>
      </c>
      <c r="J216" s="250">
        <v>100.0</v>
      </c>
      <c r="K216" s="714"/>
      <c r="L216" s="714"/>
      <c r="M216" s="1"/>
      <c r="N216" s="1"/>
      <c r="O216" s="1"/>
      <c r="P216" s="1"/>
      <c r="Q216" s="1"/>
      <c r="R216" s="1"/>
      <c r="S216" s="1"/>
      <c r="T216" s="1"/>
      <c r="U216" s="1"/>
      <c r="V216" s="1"/>
      <c r="W216" s="1"/>
      <c r="X216" s="1"/>
      <c r="Y216" s="1"/>
      <c r="Z216" s="1"/>
    </row>
    <row r="217" ht="10.5" customHeight="1">
      <c r="A217" s="1"/>
      <c r="B217" s="129">
        <v>1978.0</v>
      </c>
      <c r="C217" s="846"/>
      <c r="D217" s="250">
        <v>6.717613382704378</v>
      </c>
      <c r="E217" s="250">
        <v>13.127970797552457</v>
      </c>
      <c r="F217" s="285">
        <v>21.04834685784816</v>
      </c>
      <c r="G217" s="847"/>
      <c r="H217" s="907">
        <v>12.305995430552272</v>
      </c>
      <c r="I217" s="250">
        <v>46.80007353134273</v>
      </c>
      <c r="J217" s="250">
        <f t="shared" ref="J217:J218" si="3">SUM(C217:I217)</f>
        <v>100</v>
      </c>
      <c r="K217" s="714"/>
      <c r="L217" s="714"/>
      <c r="M217" s="1"/>
      <c r="N217" s="1"/>
      <c r="O217" s="1"/>
      <c r="P217" s="1"/>
      <c r="Q217" s="1"/>
      <c r="R217" s="1"/>
      <c r="S217" s="1"/>
      <c r="T217" s="1"/>
      <c r="U217" s="1"/>
      <c r="V217" s="1"/>
      <c r="W217" s="1"/>
      <c r="X217" s="1"/>
      <c r="Y217" s="1"/>
      <c r="Z217" s="1"/>
    </row>
    <row r="218" ht="10.5" customHeight="1">
      <c r="A218" s="1"/>
      <c r="B218" s="129">
        <v>1979.0</v>
      </c>
      <c r="C218" s="846"/>
      <c r="D218" s="250">
        <v>5.969524816135993</v>
      </c>
      <c r="E218" s="250">
        <v>15.957634209715065</v>
      </c>
      <c r="F218" s="285">
        <v>21.90734134848285</v>
      </c>
      <c r="G218" s="847"/>
      <c r="H218" s="907">
        <v>11.241026996080503</v>
      </c>
      <c r="I218" s="250">
        <v>44.92447262958559</v>
      </c>
      <c r="J218" s="250">
        <f t="shared" si="3"/>
        <v>100</v>
      </c>
      <c r="K218" s="714"/>
      <c r="L218" s="714"/>
      <c r="M218" s="1"/>
      <c r="N218" s="1"/>
      <c r="O218" s="1"/>
      <c r="P218" s="1"/>
      <c r="Q218" s="1"/>
      <c r="R218" s="1"/>
      <c r="S218" s="1"/>
      <c r="T218" s="1"/>
      <c r="U218" s="1"/>
      <c r="V218" s="1"/>
      <c r="W218" s="1"/>
      <c r="X218" s="1"/>
      <c r="Y218" s="1"/>
      <c r="Z218" s="1"/>
    </row>
    <row r="219" ht="10.5" customHeight="1">
      <c r="A219" s="1"/>
      <c r="B219" s="129"/>
      <c r="C219" s="846"/>
      <c r="D219" s="250"/>
      <c r="E219" s="250"/>
      <c r="F219" s="285"/>
      <c r="G219" s="847"/>
      <c r="H219" s="907"/>
      <c r="I219" s="250"/>
      <c r="J219" s="250"/>
      <c r="K219" s="714"/>
      <c r="L219" s="714"/>
      <c r="M219" s="1"/>
      <c r="N219" s="1"/>
      <c r="O219" s="1"/>
      <c r="P219" s="1"/>
      <c r="Q219" s="1"/>
      <c r="R219" s="1"/>
      <c r="S219" s="1"/>
      <c r="T219" s="1"/>
      <c r="U219" s="1"/>
      <c r="V219" s="1"/>
      <c r="W219" s="1"/>
      <c r="X219" s="1"/>
      <c r="Y219" s="1"/>
      <c r="Z219" s="1"/>
    </row>
    <row r="220" ht="10.5" customHeight="1">
      <c r="A220" s="1"/>
      <c r="B220" s="129">
        <v>1980.0</v>
      </c>
      <c r="C220" s="846"/>
      <c r="D220" s="250">
        <v>6.196812879908001</v>
      </c>
      <c r="E220" s="250">
        <v>20.029571217348447</v>
      </c>
      <c r="F220" s="285">
        <v>21.764415968457367</v>
      </c>
      <c r="G220" s="847"/>
      <c r="H220" s="907">
        <v>11.675702316412027</v>
      </c>
      <c r="I220" s="250">
        <v>40.33349761787416</v>
      </c>
      <c r="J220" s="250">
        <f t="shared" ref="J220:J221" si="4">SUM(C220:I220)</f>
        <v>100</v>
      </c>
      <c r="K220" s="714"/>
      <c r="L220" s="714"/>
      <c r="M220" s="1"/>
      <c r="N220" s="1"/>
      <c r="O220" s="1"/>
      <c r="P220" s="1"/>
      <c r="Q220" s="1"/>
      <c r="R220" s="1"/>
      <c r="S220" s="1"/>
      <c r="T220" s="1"/>
      <c r="U220" s="1"/>
      <c r="V220" s="1"/>
      <c r="W220" s="1"/>
      <c r="X220" s="1"/>
      <c r="Y220" s="1"/>
      <c r="Z220" s="1"/>
    </row>
    <row r="221" ht="10.5" customHeight="1">
      <c r="A221" s="1"/>
      <c r="B221" s="129">
        <v>1981.0</v>
      </c>
      <c r="C221" s="846"/>
      <c r="D221" s="250">
        <v>6.442262606743489</v>
      </c>
      <c r="E221" s="250">
        <v>14.355134344051493</v>
      </c>
      <c r="F221" s="285">
        <v>24.089572173517666</v>
      </c>
      <c r="G221" s="847"/>
      <c r="H221" s="907">
        <v>12.830531834780261</v>
      </c>
      <c r="I221" s="250">
        <v>42.28249904090709</v>
      </c>
      <c r="J221" s="250">
        <f t="shared" si="4"/>
        <v>100</v>
      </c>
      <c r="K221" s="714"/>
      <c r="L221" s="714"/>
      <c r="M221" s="1"/>
      <c r="N221" s="1"/>
      <c r="O221" s="1"/>
      <c r="P221" s="1"/>
      <c r="Q221" s="1"/>
      <c r="R221" s="1"/>
      <c r="S221" s="1"/>
      <c r="T221" s="1"/>
      <c r="U221" s="1"/>
      <c r="V221" s="1"/>
      <c r="W221" s="1"/>
      <c r="X221" s="1"/>
      <c r="Y221" s="1"/>
      <c r="Z221" s="1"/>
    </row>
    <row r="222" ht="10.5" customHeight="1">
      <c r="A222" s="1"/>
      <c r="B222" s="129">
        <v>1982.0</v>
      </c>
      <c r="C222" s="846"/>
      <c r="D222" s="250">
        <v>5.678533394188346</v>
      </c>
      <c r="E222" s="250">
        <v>12.770678026269081</v>
      </c>
      <c r="F222" s="285">
        <v>23.790506617982658</v>
      </c>
      <c r="G222" s="847"/>
      <c r="H222" s="907">
        <v>12.9</v>
      </c>
      <c r="I222" s="250">
        <v>44.79182514326284</v>
      </c>
      <c r="J222" s="250">
        <v>100.0</v>
      </c>
      <c r="K222" s="714"/>
      <c r="L222" s="714"/>
      <c r="M222" s="1"/>
      <c r="N222" s="1"/>
      <c r="O222" s="1"/>
      <c r="P222" s="1"/>
      <c r="Q222" s="1"/>
      <c r="R222" s="1"/>
      <c r="S222" s="1"/>
      <c r="T222" s="1"/>
      <c r="U222" s="1"/>
      <c r="V222" s="1"/>
      <c r="W222" s="1"/>
      <c r="X222" s="1"/>
      <c r="Y222" s="1"/>
      <c r="Z222" s="1"/>
    </row>
    <row r="223" ht="10.5" customHeight="1">
      <c r="A223" s="1"/>
      <c r="B223" s="129">
        <v>1983.0</v>
      </c>
      <c r="C223" s="846"/>
      <c r="D223" s="250">
        <v>4.414053445478327</v>
      </c>
      <c r="E223" s="250">
        <v>13.24216033643498</v>
      </c>
      <c r="F223" s="285">
        <v>23.56590174067574</v>
      </c>
      <c r="G223" s="847"/>
      <c r="H223" s="907">
        <v>12.68805810346921</v>
      </c>
      <c r="I223" s="250">
        <v>46.08982637394175</v>
      </c>
      <c r="J223" s="250">
        <f t="shared" ref="J223:J224" si="5">SUM(C223:I223)</f>
        <v>100</v>
      </c>
      <c r="K223" s="714"/>
      <c r="L223" s="714"/>
      <c r="M223" s="1"/>
      <c r="N223" s="1"/>
      <c r="O223" s="1"/>
      <c r="P223" s="1"/>
      <c r="Q223" s="1"/>
      <c r="R223" s="1"/>
      <c r="S223" s="1"/>
      <c r="T223" s="1"/>
      <c r="U223" s="1"/>
      <c r="V223" s="1"/>
      <c r="W223" s="1"/>
      <c r="X223" s="1"/>
      <c r="Y223" s="1"/>
      <c r="Z223" s="1"/>
    </row>
    <row r="224" ht="10.5" customHeight="1">
      <c r="A224" s="1"/>
      <c r="B224" s="129">
        <v>1984.0</v>
      </c>
      <c r="C224" s="846"/>
      <c r="D224" s="250">
        <v>4.794209050253922</v>
      </c>
      <c r="E224" s="250">
        <v>12.350299401197605</v>
      </c>
      <c r="F224" s="285">
        <v>23.10126582278481</v>
      </c>
      <c r="G224" s="847"/>
      <c r="H224" s="907">
        <v>11.629273099370877</v>
      </c>
      <c r="I224" s="250">
        <v>48.12495262639278</v>
      </c>
      <c r="J224" s="250">
        <f t="shared" si="5"/>
        <v>100</v>
      </c>
      <c r="K224" s="714"/>
      <c r="L224" s="714"/>
      <c r="M224" s="1"/>
      <c r="N224" s="1"/>
      <c r="O224" s="1"/>
      <c r="P224" s="1"/>
      <c r="Q224" s="1"/>
      <c r="R224" s="1"/>
      <c r="S224" s="1"/>
      <c r="T224" s="1"/>
      <c r="U224" s="1"/>
      <c r="V224" s="1"/>
      <c r="W224" s="1"/>
      <c r="X224" s="1"/>
      <c r="Y224" s="1"/>
      <c r="Z224" s="1"/>
    </row>
    <row r="225" ht="10.5" customHeight="1">
      <c r="A225" s="1"/>
      <c r="B225" s="129"/>
      <c r="C225" s="846"/>
      <c r="D225" s="250"/>
      <c r="E225" s="250"/>
      <c r="F225" s="285"/>
      <c r="G225" s="847"/>
      <c r="H225" s="907"/>
      <c r="I225" s="250"/>
      <c r="J225" s="250"/>
      <c r="K225" s="714"/>
      <c r="L225" s="714"/>
      <c r="M225" s="1"/>
      <c r="N225" s="1"/>
      <c r="O225" s="1"/>
      <c r="P225" s="1"/>
      <c r="Q225" s="1"/>
      <c r="R225" s="1"/>
      <c r="S225" s="1"/>
      <c r="T225" s="1"/>
      <c r="U225" s="1"/>
      <c r="V225" s="1"/>
      <c r="W225" s="1"/>
      <c r="X225" s="1"/>
      <c r="Y225" s="1"/>
      <c r="Z225" s="1"/>
    </row>
    <row r="226" ht="10.5" customHeight="1">
      <c r="A226" s="1"/>
      <c r="B226" s="129">
        <v>1985.0</v>
      </c>
      <c r="C226" s="846"/>
      <c r="D226" s="250">
        <v>5.178675846846921</v>
      </c>
      <c r="E226" s="250">
        <v>13.821332388960725</v>
      </c>
      <c r="F226" s="285">
        <v>21.8726579422011</v>
      </c>
      <c r="G226" s="847"/>
      <c r="H226" s="907">
        <v>11.03927656665651</v>
      </c>
      <c r="I226" s="250">
        <v>48.088057255334746</v>
      </c>
      <c r="J226" s="250">
        <f t="shared" ref="J226:J227" si="6">SUM(C226:I226)</f>
        <v>100</v>
      </c>
      <c r="K226" s="714"/>
      <c r="L226" s="714"/>
      <c r="M226" s="1"/>
      <c r="N226" s="1"/>
      <c r="O226" s="1"/>
      <c r="P226" s="1"/>
      <c r="Q226" s="1"/>
      <c r="R226" s="1"/>
      <c r="S226" s="1"/>
      <c r="T226" s="1"/>
      <c r="U226" s="1"/>
      <c r="V226" s="1"/>
      <c r="W226" s="1"/>
      <c r="X226" s="1"/>
      <c r="Y226" s="1"/>
      <c r="Z226" s="1"/>
    </row>
    <row r="227" ht="10.5" customHeight="1">
      <c r="A227" s="1"/>
      <c r="B227" s="129">
        <v>1986.0</v>
      </c>
      <c r="C227" s="846"/>
      <c r="D227" s="250">
        <v>4.960712451725908</v>
      </c>
      <c r="E227" s="250">
        <v>14.212455243146662</v>
      </c>
      <c r="F227" s="285">
        <v>21.988364976751058</v>
      </c>
      <c r="G227" s="847"/>
      <c r="H227" s="907">
        <v>11.143313378869841</v>
      </c>
      <c r="I227" s="250">
        <v>47.69515394950653</v>
      </c>
      <c r="J227" s="250">
        <f t="shared" si="6"/>
        <v>100</v>
      </c>
      <c r="K227" s="714"/>
      <c r="L227" s="714"/>
      <c r="M227" s="1"/>
      <c r="N227" s="1"/>
      <c r="O227" s="1"/>
      <c r="P227" s="1"/>
      <c r="Q227" s="1"/>
      <c r="R227" s="1"/>
      <c r="S227" s="1"/>
      <c r="T227" s="1"/>
      <c r="U227" s="1"/>
      <c r="V227" s="1"/>
      <c r="W227" s="1"/>
      <c r="X227" s="1"/>
      <c r="Y227" s="1"/>
      <c r="Z227" s="1"/>
    </row>
    <row r="228" ht="10.5" customHeight="1">
      <c r="A228" s="1"/>
      <c r="B228" s="129">
        <v>1987.0</v>
      </c>
      <c r="C228" s="846"/>
      <c r="D228" s="250">
        <v>5.581806377146155</v>
      </c>
      <c r="E228" s="250">
        <v>11.542947145674026</v>
      </c>
      <c r="F228" s="285">
        <v>22.5</v>
      </c>
      <c r="G228" s="847"/>
      <c r="H228" s="907">
        <v>12.238493723849372</v>
      </c>
      <c r="I228" s="250">
        <v>48.18809214639542</v>
      </c>
      <c r="J228" s="250">
        <v>100.0</v>
      </c>
      <c r="K228" s="714"/>
      <c r="L228" s="714"/>
      <c r="M228" s="1"/>
      <c r="N228" s="1"/>
      <c r="O228" s="1"/>
      <c r="P228" s="1"/>
      <c r="Q228" s="1"/>
      <c r="R228" s="1"/>
      <c r="S228" s="1"/>
      <c r="T228" s="1"/>
      <c r="U228" s="1"/>
      <c r="V228" s="1"/>
      <c r="W228" s="1"/>
      <c r="X228" s="1"/>
      <c r="Y228" s="1"/>
      <c r="Z228" s="1"/>
    </row>
    <row r="229" ht="10.5" customHeight="1">
      <c r="A229" s="1"/>
      <c r="B229" s="129">
        <v>1988.0</v>
      </c>
      <c r="C229" s="846"/>
      <c r="D229" s="250">
        <v>5.822364760276398</v>
      </c>
      <c r="E229" s="250">
        <v>10.887973857531641</v>
      </c>
      <c r="F229" s="285">
        <v>22.997582024017888</v>
      </c>
      <c r="G229" s="847"/>
      <c r="H229" s="907">
        <v>12.590168246613315</v>
      </c>
      <c r="I229" s="250">
        <v>47.701911111560754</v>
      </c>
      <c r="J229" s="250">
        <v>100.0</v>
      </c>
      <c r="K229" s="714"/>
      <c r="L229" s="714"/>
      <c r="M229" s="1"/>
      <c r="N229" s="1"/>
      <c r="O229" s="1"/>
      <c r="P229" s="1"/>
      <c r="Q229" s="1"/>
      <c r="R229" s="1"/>
      <c r="S229" s="1"/>
      <c r="T229" s="1"/>
      <c r="U229" s="1"/>
      <c r="V229" s="1"/>
      <c r="W229" s="1"/>
      <c r="X229" s="1"/>
      <c r="Y229" s="1"/>
      <c r="Z229" s="1"/>
    </row>
    <row r="230" ht="10.5" customHeight="1">
      <c r="A230" s="1"/>
      <c r="B230" s="129">
        <v>1989.0</v>
      </c>
      <c r="C230" s="846"/>
      <c r="D230" s="250">
        <v>5.4037419990152635</v>
      </c>
      <c r="E230" s="250">
        <v>9.753985636428462</v>
      </c>
      <c r="F230" s="285">
        <v>23.5</v>
      </c>
      <c r="G230" s="847"/>
      <c r="H230" s="907">
        <v>13.512538413215843</v>
      </c>
      <c r="I230" s="250">
        <v>47.76269546172261</v>
      </c>
      <c r="J230" s="250">
        <v>100.0</v>
      </c>
      <c r="K230" s="714"/>
      <c r="L230" s="714"/>
      <c r="M230" s="1"/>
      <c r="N230" s="1"/>
      <c r="O230" s="1"/>
      <c r="P230" s="1"/>
      <c r="Q230" s="1"/>
      <c r="R230" s="1"/>
      <c r="S230" s="1"/>
      <c r="T230" s="1"/>
      <c r="U230" s="1"/>
      <c r="V230" s="1"/>
      <c r="W230" s="1"/>
      <c r="X230" s="1"/>
      <c r="Y230" s="1"/>
      <c r="Z230" s="1"/>
    </row>
    <row r="231" ht="10.5" customHeight="1">
      <c r="A231" s="1"/>
      <c r="B231" s="129"/>
      <c r="C231" s="846"/>
      <c r="D231" s="250"/>
      <c r="E231" s="250"/>
      <c r="F231" s="285"/>
      <c r="G231" s="847"/>
      <c r="H231" s="907"/>
      <c r="I231" s="250"/>
      <c r="J231" s="250"/>
      <c r="K231" s="714"/>
      <c r="L231" s="714"/>
      <c r="M231" s="1"/>
      <c r="N231" s="1"/>
      <c r="O231" s="1"/>
      <c r="P231" s="1"/>
      <c r="Q231" s="1"/>
      <c r="R231" s="1"/>
      <c r="S231" s="1"/>
      <c r="T231" s="1"/>
      <c r="U231" s="1"/>
      <c r="V231" s="1"/>
      <c r="W231" s="1"/>
      <c r="X231" s="1"/>
      <c r="Y231" s="1"/>
      <c r="Z231" s="1"/>
    </row>
    <row r="232" ht="10.5" customHeight="1">
      <c r="A232" s="1"/>
      <c r="B232" s="129">
        <v>1990.0</v>
      </c>
      <c r="C232" s="846"/>
      <c r="D232" s="250">
        <v>4.6190682540964945</v>
      </c>
      <c r="E232" s="250">
        <v>8.887060880039368</v>
      </c>
      <c r="F232" s="285">
        <v>23.72147510521252</v>
      </c>
      <c r="G232" s="847"/>
      <c r="H232" s="907">
        <v>14.28686844946494</v>
      </c>
      <c r="I232" s="250">
        <v>48.48552731118668</v>
      </c>
      <c r="J232" s="250">
        <f t="shared" ref="J232:J234" si="7">SUM(C232:I232)</f>
        <v>100</v>
      </c>
      <c r="K232" s="714"/>
      <c r="L232" s="714"/>
      <c r="M232" s="1"/>
      <c r="N232" s="1"/>
      <c r="O232" s="1"/>
      <c r="P232" s="1"/>
      <c r="Q232" s="1"/>
      <c r="R232" s="1"/>
      <c r="S232" s="1"/>
      <c r="T232" s="1"/>
      <c r="U232" s="1"/>
      <c r="V232" s="1"/>
      <c r="W232" s="1"/>
      <c r="X232" s="1"/>
      <c r="Y232" s="1"/>
      <c r="Z232" s="1"/>
    </row>
    <row r="233" ht="10.5" customHeight="1">
      <c r="A233" s="1"/>
      <c r="B233" s="129">
        <v>1991.0</v>
      </c>
      <c r="C233" s="846"/>
      <c r="D233" s="250">
        <v>4.549975770868933</v>
      </c>
      <c r="E233" s="250">
        <v>8.1741436914994</v>
      </c>
      <c r="F233" s="285">
        <v>22.973679512356856</v>
      </c>
      <c r="G233" s="847"/>
      <c r="H233" s="907">
        <v>13.959805146777526</v>
      </c>
      <c r="I233" s="250">
        <v>50.34239587849728</v>
      </c>
      <c r="J233" s="250">
        <f t="shared" si="7"/>
        <v>100</v>
      </c>
      <c r="K233" s="714"/>
      <c r="L233" s="714"/>
      <c r="M233" s="1"/>
      <c r="N233" s="1"/>
      <c r="O233" s="1"/>
      <c r="P233" s="1"/>
      <c r="Q233" s="1"/>
      <c r="R233" s="1"/>
      <c r="S233" s="1"/>
      <c r="T233" s="1"/>
      <c r="U233" s="1"/>
      <c r="V233" s="1"/>
      <c r="W233" s="1"/>
      <c r="X233" s="1"/>
      <c r="Y233" s="1"/>
      <c r="Z233" s="1"/>
    </row>
    <row r="234" ht="10.5" customHeight="1">
      <c r="A234" s="1"/>
      <c r="B234" s="129">
        <v>1992.0</v>
      </c>
      <c r="C234" s="846"/>
      <c r="D234" s="250">
        <v>3.7963453240652076</v>
      </c>
      <c r="E234" s="250">
        <v>7.513828960264974</v>
      </c>
      <c r="F234" s="285">
        <v>21.96438831495105</v>
      </c>
      <c r="G234" s="847"/>
      <c r="H234" s="907">
        <v>14.382118675574281</v>
      </c>
      <c r="I234" s="250">
        <v>52.343318725144485</v>
      </c>
      <c r="J234" s="250">
        <f t="shared" si="7"/>
        <v>100</v>
      </c>
      <c r="K234" s="714"/>
      <c r="L234" s="714"/>
      <c r="M234" s="1"/>
      <c r="N234" s="1"/>
      <c r="O234" s="1"/>
      <c r="P234" s="1"/>
      <c r="Q234" s="1"/>
      <c r="R234" s="1"/>
      <c r="S234" s="1"/>
      <c r="T234" s="1"/>
      <c r="U234" s="1"/>
      <c r="V234" s="1"/>
      <c r="W234" s="1"/>
      <c r="X234" s="1"/>
      <c r="Y234" s="1"/>
      <c r="Z234" s="1"/>
    </row>
    <row r="235" ht="10.5" customHeight="1">
      <c r="A235" s="1"/>
      <c r="B235" s="129">
        <v>1993.0</v>
      </c>
      <c r="C235" s="846"/>
      <c r="D235" s="250">
        <v>4.1</v>
      </c>
      <c r="E235" s="250">
        <v>7.474857096133977</v>
      </c>
      <c r="F235" s="285">
        <v>21.262509508341324</v>
      </c>
      <c r="G235" s="847"/>
      <c r="H235" s="907">
        <v>14.498021521681496</v>
      </c>
      <c r="I235" s="250">
        <v>52.599276994397826</v>
      </c>
      <c r="J235" s="250">
        <v>100.0</v>
      </c>
      <c r="K235" s="714"/>
      <c r="L235" s="714"/>
      <c r="M235" s="1"/>
      <c r="N235" s="1"/>
      <c r="O235" s="1"/>
      <c r="P235" s="1"/>
      <c r="Q235" s="1"/>
      <c r="R235" s="1"/>
      <c r="S235" s="1"/>
      <c r="T235" s="1"/>
      <c r="U235" s="1"/>
      <c r="V235" s="1"/>
      <c r="W235" s="1"/>
      <c r="X235" s="1"/>
      <c r="Y235" s="1"/>
      <c r="Z235" s="1"/>
    </row>
    <row r="236" ht="10.5" customHeight="1">
      <c r="A236" s="1"/>
      <c r="B236" s="129">
        <v>1994.0</v>
      </c>
      <c r="C236" s="846"/>
      <c r="D236" s="250">
        <v>4.6044217065594735</v>
      </c>
      <c r="E236" s="250">
        <v>7.0966122850620454</v>
      </c>
      <c r="F236" s="285">
        <v>21.1</v>
      </c>
      <c r="G236" s="847"/>
      <c r="H236" s="907">
        <v>14.241655091038371</v>
      </c>
      <c r="I236" s="250">
        <v>53.00808569560537</v>
      </c>
      <c r="J236" s="250">
        <v>100.0</v>
      </c>
      <c r="K236" s="714"/>
      <c r="L236" s="714"/>
      <c r="M236" s="1"/>
      <c r="N236" s="1"/>
      <c r="O236" s="1"/>
      <c r="P236" s="1"/>
      <c r="Q236" s="1"/>
      <c r="R236" s="1"/>
      <c r="S236" s="1"/>
      <c r="T236" s="1"/>
      <c r="U236" s="1"/>
      <c r="V236" s="1"/>
      <c r="W236" s="1"/>
      <c r="X236" s="1"/>
      <c r="Y236" s="1"/>
      <c r="Z236" s="1"/>
    </row>
    <row r="237" ht="10.5" customHeight="1">
      <c r="A237" s="1"/>
      <c r="B237" s="129"/>
      <c r="C237" s="846"/>
      <c r="D237" s="250"/>
      <c r="E237" s="250"/>
      <c r="F237" s="285"/>
      <c r="G237" s="847"/>
      <c r="H237" s="907"/>
      <c r="I237" s="250"/>
      <c r="J237" s="250"/>
      <c r="K237" s="714"/>
      <c r="L237" s="714"/>
      <c r="M237" s="1"/>
      <c r="N237" s="1"/>
      <c r="O237" s="1"/>
      <c r="P237" s="1"/>
      <c r="Q237" s="1"/>
      <c r="R237" s="1"/>
      <c r="S237" s="1"/>
      <c r="T237" s="1"/>
      <c r="U237" s="1"/>
      <c r="V237" s="1"/>
      <c r="W237" s="1"/>
      <c r="X237" s="1"/>
      <c r="Y237" s="1"/>
      <c r="Z237" s="1"/>
    </row>
    <row r="238" ht="10.5" customHeight="1">
      <c r="A238" s="1"/>
      <c r="B238" s="129">
        <v>1995.0</v>
      </c>
      <c r="C238" s="846"/>
      <c r="D238" s="250">
        <v>3.86438142771892</v>
      </c>
      <c r="E238" s="250">
        <v>6.777634831939612</v>
      </c>
      <c r="F238" s="285">
        <v>21.3</v>
      </c>
      <c r="G238" s="847"/>
      <c r="H238" s="907">
        <v>14.407584223946182</v>
      </c>
      <c r="I238" s="250">
        <v>53.59603506134185</v>
      </c>
      <c r="J238" s="250">
        <v>100.0</v>
      </c>
      <c r="K238" s="714"/>
      <c r="L238" s="714"/>
      <c r="M238" s="1"/>
      <c r="N238" s="1"/>
      <c r="O238" s="1"/>
      <c r="P238" s="1"/>
      <c r="Q238" s="1"/>
      <c r="R238" s="1"/>
      <c r="S238" s="1"/>
      <c r="T238" s="1"/>
      <c r="U238" s="1"/>
      <c r="V238" s="1"/>
      <c r="W238" s="1"/>
      <c r="X238" s="1"/>
      <c r="Y238" s="1"/>
      <c r="Z238" s="1"/>
    </row>
    <row r="239" ht="10.5" customHeight="1">
      <c r="A239" s="1"/>
      <c r="B239" s="129">
        <v>1996.0</v>
      </c>
      <c r="C239" s="846"/>
      <c r="D239" s="250">
        <v>3.8600024266834327</v>
      </c>
      <c r="E239" s="250">
        <v>6.136830278706168</v>
      </c>
      <c r="F239" s="285">
        <v>18.677426013731246</v>
      </c>
      <c r="G239" s="847"/>
      <c r="H239" s="907">
        <v>12.975507830781376</v>
      </c>
      <c r="I239" s="250">
        <v>58.3</v>
      </c>
      <c r="J239" s="250">
        <v>100.0</v>
      </c>
      <c r="K239" s="714"/>
      <c r="L239" s="714"/>
      <c r="M239" s="1"/>
      <c r="N239" s="1"/>
      <c r="O239" s="1"/>
      <c r="P239" s="1"/>
      <c r="Q239" s="1"/>
      <c r="R239" s="1"/>
      <c r="S239" s="1"/>
      <c r="T239" s="1"/>
      <c r="U239" s="1"/>
      <c r="V239" s="1"/>
      <c r="W239" s="1"/>
      <c r="X239" s="1"/>
      <c r="Y239" s="1"/>
      <c r="Z239" s="1"/>
    </row>
    <row r="240" ht="10.5" customHeight="1">
      <c r="A240" s="1"/>
      <c r="B240" s="129">
        <v>1997.0</v>
      </c>
      <c r="C240" s="846"/>
      <c r="D240" s="250">
        <v>4.0280628590666705</v>
      </c>
      <c r="E240" s="250">
        <v>6.313832997441637</v>
      </c>
      <c r="F240" s="285">
        <v>20.07934180742313</v>
      </c>
      <c r="G240" s="847"/>
      <c r="H240" s="907">
        <v>13.793745432881394</v>
      </c>
      <c r="I240" s="250">
        <v>55.78501690318717</v>
      </c>
      <c r="J240" s="250">
        <f t="shared" ref="J240:J241" si="8">SUM(C240:I240)</f>
        <v>100</v>
      </c>
      <c r="K240" s="714"/>
      <c r="L240" s="714"/>
      <c r="M240" s="1"/>
      <c r="N240" s="1"/>
      <c r="O240" s="1"/>
      <c r="P240" s="1"/>
      <c r="Q240" s="1"/>
      <c r="R240" s="1"/>
      <c r="S240" s="1"/>
      <c r="T240" s="1"/>
      <c r="U240" s="1"/>
      <c r="V240" s="1"/>
      <c r="W240" s="1"/>
      <c r="X240" s="1"/>
      <c r="Y240" s="1"/>
      <c r="Z240" s="1"/>
    </row>
    <row r="241" ht="10.5" customHeight="1">
      <c r="A241" s="1"/>
      <c r="B241" s="129">
        <v>1998.0</v>
      </c>
      <c r="C241" s="846"/>
      <c r="D241" s="250">
        <v>3.78369422713979</v>
      </c>
      <c r="E241" s="250">
        <v>6.63410698592442</v>
      </c>
      <c r="F241" s="285">
        <v>19.60150408436703</v>
      </c>
      <c r="G241" s="847"/>
      <c r="H241" s="907">
        <v>13.566869804497847</v>
      </c>
      <c r="I241" s="250">
        <v>56.41382489807091</v>
      </c>
      <c r="J241" s="250">
        <f t="shared" si="8"/>
        <v>100</v>
      </c>
      <c r="K241" s="714"/>
      <c r="L241" s="714"/>
      <c r="M241" s="1"/>
      <c r="N241" s="1"/>
      <c r="O241" s="1"/>
      <c r="P241" s="1"/>
      <c r="Q241" s="1"/>
      <c r="R241" s="1"/>
      <c r="S241" s="1"/>
      <c r="T241" s="1"/>
      <c r="U241" s="1"/>
      <c r="V241" s="1"/>
      <c r="W241" s="1"/>
      <c r="X241" s="1"/>
      <c r="Y241" s="1"/>
      <c r="Z241" s="1"/>
    </row>
    <row r="242" ht="10.5" customHeight="1">
      <c r="A242" s="1"/>
      <c r="B242" s="129">
        <v>1999.0</v>
      </c>
      <c r="C242" s="846"/>
      <c r="D242" s="250">
        <v>3.5567188022243803</v>
      </c>
      <c r="E242" s="250">
        <v>6.8896047329927805</v>
      </c>
      <c r="F242" s="285">
        <v>18.738008953314857</v>
      </c>
      <c r="G242" s="847"/>
      <c r="H242" s="907">
        <v>14.0</v>
      </c>
      <c r="I242" s="250">
        <v>56.75459442957489</v>
      </c>
      <c r="J242" s="250">
        <v>100.0</v>
      </c>
      <c r="K242" s="714"/>
      <c r="L242" s="714"/>
      <c r="M242" s="1"/>
      <c r="N242" s="1"/>
      <c r="O242" s="1"/>
      <c r="P242" s="1"/>
      <c r="Q242" s="1"/>
      <c r="R242" s="1"/>
      <c r="S242" s="1"/>
      <c r="T242" s="1"/>
      <c r="U242" s="1"/>
      <c r="V242" s="1"/>
      <c r="W242" s="1"/>
      <c r="X242" s="1"/>
      <c r="Y242" s="1"/>
      <c r="Z242" s="1"/>
    </row>
    <row r="243" ht="10.5" customHeight="1">
      <c r="A243" s="1"/>
      <c r="B243" s="129"/>
      <c r="C243" s="846"/>
      <c r="D243" s="250"/>
      <c r="E243" s="250"/>
      <c r="F243" s="285"/>
      <c r="G243" s="847"/>
      <c r="H243" s="907"/>
      <c r="I243" s="250"/>
      <c r="J243" s="250"/>
      <c r="K243" s="714"/>
      <c r="L243" s="714"/>
      <c r="M243" s="1"/>
      <c r="N243" s="1"/>
      <c r="O243" s="1"/>
      <c r="P243" s="1"/>
      <c r="Q243" s="1"/>
      <c r="R243" s="1"/>
      <c r="S243" s="1"/>
      <c r="T243" s="1"/>
      <c r="U243" s="1"/>
      <c r="V243" s="1"/>
      <c r="W243" s="1"/>
      <c r="X243" s="1"/>
      <c r="Y243" s="1"/>
      <c r="Z243" s="1"/>
    </row>
    <row r="244" ht="10.5" customHeight="1">
      <c r="A244" s="1"/>
      <c r="B244" s="129">
        <v>2000.0</v>
      </c>
      <c r="C244" s="846"/>
      <c r="D244" s="250">
        <v>3.2862009707859747</v>
      </c>
      <c r="E244" s="250">
        <v>7.3789938241685356</v>
      </c>
      <c r="F244" s="285">
        <v>19.173834697365706</v>
      </c>
      <c r="G244" s="847"/>
      <c r="H244" s="907">
        <v>14.737811255644173</v>
      </c>
      <c r="I244" s="250">
        <v>55.42315925203562</v>
      </c>
      <c r="J244" s="250">
        <f t="shared" ref="J244:J245" si="9">SUM(C244:I244)</f>
        <v>100</v>
      </c>
      <c r="K244" s="714"/>
      <c r="L244" s="714"/>
      <c r="M244" s="1"/>
      <c r="N244" s="1"/>
      <c r="O244" s="1"/>
      <c r="P244" s="1"/>
      <c r="Q244" s="1"/>
      <c r="R244" s="1"/>
      <c r="S244" s="1"/>
      <c r="T244" s="1"/>
      <c r="U244" s="1"/>
      <c r="V244" s="1"/>
      <c r="W244" s="1"/>
      <c r="X244" s="1"/>
      <c r="Y244" s="1"/>
      <c r="Z244" s="1"/>
    </row>
    <row r="245" ht="10.5" customHeight="1">
      <c r="A245" s="1"/>
      <c r="B245" s="238">
        <v>2001.0</v>
      </c>
      <c r="C245" s="846"/>
      <c r="D245" s="285">
        <v>3.5257505108188822</v>
      </c>
      <c r="E245" s="54">
        <v>8.124692198878817</v>
      </c>
      <c r="F245" s="54">
        <v>19.262325142767327</v>
      </c>
      <c r="G245" s="847"/>
      <c r="H245" s="907">
        <v>14.150678472258605</v>
      </c>
      <c r="I245" s="250">
        <v>54.936553675276365</v>
      </c>
      <c r="J245" s="250">
        <f t="shared" si="9"/>
        <v>100</v>
      </c>
      <c r="K245" s="714"/>
      <c r="L245" s="714"/>
      <c r="M245" s="1"/>
      <c r="N245" s="1"/>
      <c r="O245" s="1"/>
      <c r="P245" s="1"/>
      <c r="Q245" s="1"/>
      <c r="R245" s="1"/>
      <c r="S245" s="1"/>
      <c r="T245" s="1"/>
      <c r="U245" s="1"/>
      <c r="V245" s="1"/>
      <c r="W245" s="1"/>
      <c r="X245" s="1"/>
      <c r="Y245" s="1"/>
      <c r="Z245" s="1"/>
    </row>
    <row r="246" ht="10.5" customHeight="1">
      <c r="A246" s="1"/>
      <c r="B246" s="238">
        <v>2002.0</v>
      </c>
      <c r="C246" s="846"/>
      <c r="D246" s="285">
        <v>3.705182686902754</v>
      </c>
      <c r="E246" s="54">
        <v>8.392580101180439</v>
      </c>
      <c r="F246" s="54">
        <v>19.3</v>
      </c>
      <c r="G246" s="847"/>
      <c r="H246" s="907">
        <v>13.851646992692523</v>
      </c>
      <c r="I246" s="250">
        <v>54.67646992692524</v>
      </c>
      <c r="J246" s="250">
        <v>100.0</v>
      </c>
      <c r="K246" s="714"/>
      <c r="L246" s="714"/>
      <c r="M246" s="1"/>
      <c r="N246" s="1"/>
      <c r="O246" s="1"/>
      <c r="P246" s="1"/>
      <c r="Q246" s="1"/>
      <c r="R246" s="1"/>
      <c r="S246" s="1"/>
      <c r="T246" s="1"/>
      <c r="U246" s="1"/>
      <c r="V246" s="1"/>
      <c r="W246" s="1"/>
      <c r="X246" s="1"/>
      <c r="Y246" s="1"/>
      <c r="Z246" s="1"/>
    </row>
    <row r="247" ht="10.5" customHeight="1">
      <c r="A247" s="1"/>
      <c r="B247" s="238">
        <v>2003.0</v>
      </c>
      <c r="C247" s="846"/>
      <c r="D247" s="285">
        <v>3.4</v>
      </c>
      <c r="E247" s="54">
        <v>7.21454113320407</v>
      </c>
      <c r="F247" s="54">
        <v>18.976331101417685</v>
      </c>
      <c r="G247" s="847"/>
      <c r="H247" s="907">
        <v>14.13629333181063</v>
      </c>
      <c r="I247" s="250">
        <v>56.32396789417889</v>
      </c>
      <c r="J247" s="250">
        <v>100.0</v>
      </c>
      <c r="K247" s="714"/>
      <c r="L247" s="714"/>
      <c r="M247" s="1"/>
      <c r="N247" s="1"/>
      <c r="O247" s="1"/>
      <c r="P247" s="1"/>
      <c r="Q247" s="1"/>
      <c r="R247" s="1"/>
      <c r="S247" s="1"/>
      <c r="T247" s="1"/>
      <c r="U247" s="1"/>
      <c r="V247" s="1"/>
      <c r="W247" s="1"/>
      <c r="X247" s="1"/>
      <c r="Y247" s="1"/>
      <c r="Z247" s="1"/>
    </row>
    <row r="248" ht="10.5" customHeight="1">
      <c r="A248" s="1"/>
      <c r="B248" s="238">
        <v>2004.0</v>
      </c>
      <c r="C248" s="846"/>
      <c r="D248" s="285">
        <v>3.06362621447786</v>
      </c>
      <c r="E248" s="54">
        <v>6.948078420302248</v>
      </c>
      <c r="F248" s="54">
        <v>18.61750169488217</v>
      </c>
      <c r="G248" s="847"/>
      <c r="H248" s="907">
        <v>14.391069941762122</v>
      </c>
      <c r="I248" s="250">
        <v>56.97972372857561</v>
      </c>
      <c r="J248" s="250">
        <f>SUM(C248:I248)</f>
        <v>100</v>
      </c>
      <c r="K248" s="714"/>
      <c r="L248" s="714"/>
      <c r="M248" s="1"/>
      <c r="N248" s="1"/>
      <c r="O248" s="1"/>
      <c r="P248" s="1"/>
      <c r="Q248" s="1"/>
      <c r="R248" s="1"/>
      <c r="S248" s="1"/>
      <c r="T248" s="1"/>
      <c r="U248" s="1"/>
      <c r="V248" s="1"/>
      <c r="W248" s="1"/>
      <c r="X248" s="1"/>
      <c r="Y248" s="1"/>
      <c r="Z248" s="1"/>
    </row>
    <row r="249" ht="10.5" customHeight="1">
      <c r="A249" s="1"/>
      <c r="B249" s="238"/>
      <c r="C249" s="846"/>
      <c r="D249" s="285"/>
      <c r="E249" s="54"/>
      <c r="F249" s="54"/>
      <c r="G249" s="847"/>
      <c r="H249" s="907"/>
      <c r="I249" s="250"/>
      <c r="J249" s="54"/>
      <c r="K249" s="714"/>
      <c r="L249" s="714"/>
      <c r="M249" s="1"/>
      <c r="N249" s="1"/>
      <c r="O249" s="1"/>
      <c r="P249" s="1"/>
      <c r="Q249" s="1"/>
      <c r="R249" s="1"/>
      <c r="S249" s="1"/>
      <c r="T249" s="1"/>
      <c r="U249" s="1"/>
      <c r="V249" s="1"/>
      <c r="W249" s="1"/>
      <c r="X249" s="1"/>
      <c r="Y249" s="1"/>
      <c r="Z249" s="1"/>
    </row>
    <row r="250" ht="10.5" customHeight="1">
      <c r="A250" s="1"/>
      <c r="B250" s="238">
        <v>2005.0</v>
      </c>
      <c r="C250" s="846"/>
      <c r="D250" s="285">
        <v>2.6661421320833436</v>
      </c>
      <c r="E250" s="284">
        <v>7.309906693192871</v>
      </c>
      <c r="F250" s="54">
        <v>18.13966277780538</v>
      </c>
      <c r="G250" s="847"/>
      <c r="H250" s="907">
        <v>14.2</v>
      </c>
      <c r="I250" s="250">
        <v>57.7</v>
      </c>
      <c r="J250" s="250">
        <f t="shared" ref="J250:J251" si="10">SUM(C250:I250)</f>
        <v>100.0157116</v>
      </c>
      <c r="K250" s="714"/>
      <c r="L250" s="714"/>
      <c r="M250" s="1"/>
      <c r="N250" s="1"/>
      <c r="O250" s="1"/>
      <c r="P250" s="1"/>
      <c r="Q250" s="1"/>
      <c r="R250" s="1"/>
      <c r="S250" s="1"/>
      <c r="T250" s="1"/>
      <c r="U250" s="1"/>
      <c r="V250" s="1"/>
      <c r="W250" s="1"/>
      <c r="X250" s="1"/>
      <c r="Y250" s="1"/>
      <c r="Z250" s="1"/>
    </row>
    <row r="251" ht="10.5" customHeight="1">
      <c r="A251" s="1"/>
      <c r="B251" s="238">
        <v>2006.0</v>
      </c>
      <c r="C251" s="846"/>
      <c r="D251" s="285">
        <v>2.6</v>
      </c>
      <c r="E251" s="284">
        <v>8.1</v>
      </c>
      <c r="F251" s="54">
        <v>16.4</v>
      </c>
      <c r="G251" s="847"/>
      <c r="H251" s="907">
        <v>14.1</v>
      </c>
      <c r="I251" s="250">
        <v>58.8</v>
      </c>
      <c r="J251" s="250">
        <f t="shared" si="10"/>
        <v>100</v>
      </c>
      <c r="K251" s="714"/>
      <c r="L251" s="714"/>
      <c r="M251" s="1"/>
      <c r="N251" s="1"/>
      <c r="O251" s="1"/>
      <c r="P251" s="1"/>
      <c r="Q251" s="1"/>
      <c r="R251" s="1"/>
      <c r="S251" s="1"/>
      <c r="T251" s="1"/>
      <c r="U251" s="1"/>
      <c r="V251" s="1"/>
      <c r="W251" s="1"/>
      <c r="X251" s="1"/>
      <c r="Y251" s="1"/>
      <c r="Z251" s="1"/>
    </row>
    <row r="252" ht="10.5" customHeight="1">
      <c r="A252" s="1"/>
      <c r="B252" s="238">
        <v>2007.0</v>
      </c>
      <c r="C252" s="846"/>
      <c r="D252" s="285">
        <v>2.958632625925733</v>
      </c>
      <c r="E252" s="284">
        <v>8.365796122717303</v>
      </c>
      <c r="F252" s="54">
        <v>16.0</v>
      </c>
      <c r="G252" s="847"/>
      <c r="H252" s="907">
        <v>13.73719837726731</v>
      </c>
      <c r="I252" s="250">
        <v>58.86220885626634</v>
      </c>
      <c r="J252" s="250">
        <v>100.0</v>
      </c>
      <c r="K252" s="714"/>
      <c r="L252" s="714"/>
      <c r="M252" s="1"/>
      <c r="N252" s="1"/>
      <c r="O252" s="1"/>
      <c r="P252" s="1"/>
      <c r="Q252" s="1"/>
      <c r="R252" s="1"/>
      <c r="S252" s="1"/>
      <c r="T252" s="1"/>
      <c r="U252" s="1"/>
      <c r="V252" s="1"/>
      <c r="W252" s="1"/>
      <c r="X252" s="1"/>
      <c r="Y252" s="1"/>
      <c r="Z252" s="1"/>
    </row>
    <row r="253" ht="10.5" customHeight="1">
      <c r="A253" s="1"/>
      <c r="B253" s="238">
        <v>2008.0</v>
      </c>
      <c r="C253" s="846"/>
      <c r="D253" s="285">
        <v>3.169722860391449</v>
      </c>
      <c r="E253" s="284">
        <v>9.247797341368805</v>
      </c>
      <c r="F253" s="54">
        <v>15.988143309672981</v>
      </c>
      <c r="G253" s="847"/>
      <c r="H253" s="907">
        <v>13.920989710788465</v>
      </c>
      <c r="I253" s="250">
        <v>57.6733467777783</v>
      </c>
      <c r="J253" s="250">
        <f t="shared" ref="J253:J254" si="11">SUM(C253:I253)</f>
        <v>100</v>
      </c>
      <c r="K253" s="714"/>
      <c r="L253" s="714"/>
      <c r="M253" s="1"/>
      <c r="N253" s="1"/>
      <c r="O253" s="1"/>
      <c r="P253" s="1"/>
      <c r="Q253" s="1"/>
      <c r="R253" s="1"/>
      <c r="S253" s="1"/>
      <c r="T253" s="1"/>
      <c r="U253" s="1"/>
      <c r="V253" s="1"/>
      <c r="W253" s="1"/>
      <c r="X253" s="1"/>
      <c r="Y253" s="1"/>
      <c r="Z253" s="1"/>
    </row>
    <row r="254" ht="10.5" customHeight="1">
      <c r="A254" s="1"/>
      <c r="B254" s="238">
        <v>2009.0</v>
      </c>
      <c r="C254" s="846"/>
      <c r="D254" s="285">
        <v>2.988126365195732</v>
      </c>
      <c r="E254" s="54">
        <v>8.819109534478685</v>
      </c>
      <c r="F254" s="54">
        <v>15.00378104873381</v>
      </c>
      <c r="G254" s="847"/>
      <c r="H254" s="907">
        <v>13.949698438308303</v>
      </c>
      <c r="I254" s="250">
        <v>59.23928461328347</v>
      </c>
      <c r="J254" s="54">
        <f t="shared" si="11"/>
        <v>100</v>
      </c>
      <c r="K254" s="714"/>
      <c r="L254" s="714"/>
      <c r="M254" s="1"/>
      <c r="N254" s="1"/>
      <c r="O254" s="1"/>
      <c r="P254" s="1"/>
      <c r="Q254" s="1"/>
      <c r="R254" s="1"/>
      <c r="S254" s="1"/>
      <c r="T254" s="1"/>
      <c r="U254" s="1"/>
      <c r="V254" s="1"/>
      <c r="W254" s="1"/>
      <c r="X254" s="1"/>
      <c r="Y254" s="1"/>
      <c r="Z254" s="1"/>
    </row>
    <row r="255" ht="10.5" customHeight="1">
      <c r="A255" s="1"/>
      <c r="B255" s="238"/>
      <c r="C255" s="846"/>
      <c r="D255" s="285"/>
      <c r="E255" s="284"/>
      <c r="F255" s="54"/>
      <c r="G255" s="847"/>
      <c r="H255" s="907"/>
      <c r="I255" s="250"/>
      <c r="J255" s="250"/>
      <c r="K255" s="714"/>
      <c r="L255" s="714"/>
      <c r="M255" s="1"/>
      <c r="N255" s="1"/>
      <c r="O255" s="1"/>
      <c r="P255" s="1"/>
      <c r="Q255" s="1"/>
      <c r="R255" s="1"/>
      <c r="S255" s="1"/>
      <c r="T255" s="1"/>
      <c r="U255" s="1"/>
      <c r="V255" s="1"/>
      <c r="W255" s="1"/>
      <c r="X255" s="1"/>
      <c r="Y255" s="1"/>
      <c r="Z255" s="1"/>
    </row>
    <row r="256" ht="10.5" customHeight="1">
      <c r="A256" s="1"/>
      <c r="B256" s="238">
        <v>2010.0</v>
      </c>
      <c r="C256" s="846"/>
      <c r="D256" s="285">
        <v>2.629606470904179</v>
      </c>
      <c r="E256" s="54">
        <v>9.232983013074882</v>
      </c>
      <c r="F256" s="54">
        <v>14.37752018149315</v>
      </c>
      <c r="G256" s="847"/>
      <c r="H256" s="907">
        <v>14.853739287976078</v>
      </c>
      <c r="I256" s="250">
        <v>58.90615104655171</v>
      </c>
      <c r="J256" s="54">
        <f>SUM(C256:I256)</f>
        <v>100</v>
      </c>
      <c r="K256" s="714"/>
      <c r="L256" s="714"/>
      <c r="M256" s="1"/>
      <c r="N256" s="1"/>
      <c r="O256" s="1"/>
      <c r="P256" s="1"/>
      <c r="Q256" s="1"/>
      <c r="R256" s="1"/>
      <c r="S256" s="1"/>
      <c r="T256" s="1"/>
      <c r="U256" s="1"/>
      <c r="V256" s="1"/>
      <c r="W256" s="1"/>
      <c r="X256" s="1"/>
      <c r="Y256" s="1"/>
      <c r="Z256" s="1"/>
    </row>
    <row r="257" ht="10.5" customHeight="1">
      <c r="A257" s="1"/>
      <c r="B257" s="11" t="s">
        <v>487</v>
      </c>
      <c r="C257" s="846"/>
      <c r="D257" s="250">
        <v>2.5</v>
      </c>
      <c r="E257" s="54">
        <v>9.628949784625592</v>
      </c>
      <c r="F257" s="54">
        <v>13.32737864134675</v>
      </c>
      <c r="G257" s="911"/>
      <c r="H257" s="907">
        <v>14.893824710406008</v>
      </c>
      <c r="I257" s="54">
        <v>59.7</v>
      </c>
      <c r="J257" s="250">
        <v>100.0</v>
      </c>
      <c r="K257" s="714"/>
      <c r="L257" s="714"/>
      <c r="M257" s="1"/>
      <c r="N257" s="1"/>
      <c r="O257" s="1"/>
      <c r="P257" s="1"/>
      <c r="Q257" s="1"/>
      <c r="R257" s="1"/>
      <c r="S257" s="1"/>
      <c r="T257" s="1"/>
      <c r="U257" s="1"/>
      <c r="V257" s="1"/>
      <c r="W257" s="1"/>
      <c r="X257" s="1"/>
      <c r="Y257" s="1"/>
      <c r="Z257" s="1"/>
    </row>
    <row r="258" ht="10.5" customHeight="1">
      <c r="A258" s="1"/>
      <c r="B258" s="11" t="s">
        <v>489</v>
      </c>
      <c r="C258" s="846"/>
      <c r="D258" s="250">
        <v>2.389578315712128</v>
      </c>
      <c r="E258" s="54">
        <v>9.1</v>
      </c>
      <c r="F258" s="54">
        <v>13.0</v>
      </c>
      <c r="G258" s="911"/>
      <c r="H258" s="907">
        <v>14.9</v>
      </c>
      <c r="I258" s="54">
        <v>60.6</v>
      </c>
      <c r="J258" s="250">
        <f t="shared" ref="J258:J259" si="12">SUM(C258:I258)</f>
        <v>99.98957832</v>
      </c>
      <c r="K258" s="714"/>
      <c r="L258" s="714"/>
      <c r="M258" s="1"/>
      <c r="N258" s="1"/>
      <c r="O258" s="1"/>
      <c r="P258" s="1"/>
      <c r="Q258" s="1"/>
      <c r="R258" s="1"/>
      <c r="S258" s="1"/>
      <c r="T258" s="1"/>
      <c r="U258" s="1"/>
      <c r="V258" s="1"/>
      <c r="W258" s="1"/>
      <c r="X258" s="1"/>
      <c r="Y258" s="1"/>
      <c r="Z258" s="1"/>
    </row>
    <row r="259" ht="10.5" customHeight="1">
      <c r="A259" s="1"/>
      <c r="B259" s="11" t="s">
        <v>55</v>
      </c>
      <c r="C259" s="846"/>
      <c r="D259" s="250">
        <v>2.3151245792179607</v>
      </c>
      <c r="E259" s="54">
        <v>9.1</v>
      </c>
      <c r="F259" s="54">
        <v>12.9</v>
      </c>
      <c r="G259" s="911"/>
      <c r="H259" s="907">
        <v>14.9</v>
      </c>
      <c r="I259" s="54">
        <v>60.8</v>
      </c>
      <c r="J259" s="250">
        <f t="shared" si="12"/>
        <v>100.0151246</v>
      </c>
      <c r="K259" s="714"/>
      <c r="L259" s="714"/>
      <c r="M259" s="1"/>
      <c r="N259" s="1"/>
      <c r="O259" s="1"/>
      <c r="P259" s="1"/>
      <c r="Q259" s="1"/>
      <c r="R259" s="1"/>
      <c r="S259" s="1"/>
      <c r="T259" s="1"/>
      <c r="U259" s="1"/>
      <c r="V259" s="1"/>
      <c r="W259" s="1"/>
      <c r="X259" s="1"/>
      <c r="Y259" s="1"/>
      <c r="Z259" s="1"/>
    </row>
    <row r="260" ht="10.5" customHeight="1">
      <c r="A260" s="1"/>
      <c r="B260" s="11" t="s">
        <v>57</v>
      </c>
      <c r="C260" s="846"/>
      <c r="D260" s="250">
        <v>2.4</v>
      </c>
      <c r="E260" s="54">
        <v>8.418487910835527</v>
      </c>
      <c r="F260" s="54">
        <v>13.4</v>
      </c>
      <c r="G260" s="911"/>
      <c r="H260" s="907">
        <v>14.8</v>
      </c>
      <c r="I260" s="54">
        <v>61.0</v>
      </c>
      <c r="J260" s="250">
        <v>100.0</v>
      </c>
      <c r="K260" s="714"/>
      <c r="L260" s="714"/>
      <c r="M260" s="1"/>
      <c r="N260" s="1"/>
      <c r="O260" s="1"/>
      <c r="P260" s="1"/>
      <c r="Q260" s="1"/>
      <c r="R260" s="1"/>
      <c r="S260" s="1"/>
      <c r="T260" s="1"/>
      <c r="U260" s="1"/>
      <c r="V260" s="1"/>
      <c r="W260" s="1"/>
      <c r="X260" s="1"/>
      <c r="Y260" s="1"/>
      <c r="Z260" s="1"/>
    </row>
    <row r="261" ht="10.5" customHeight="1">
      <c r="A261" s="1"/>
      <c r="B261" s="11"/>
      <c r="C261" s="846"/>
      <c r="D261" s="250"/>
      <c r="E261" s="54"/>
      <c r="F261" s="54"/>
      <c r="G261" s="911"/>
      <c r="H261" s="907"/>
      <c r="I261" s="54"/>
      <c r="J261" s="250"/>
      <c r="K261" s="714"/>
      <c r="L261" s="714"/>
      <c r="M261" s="1"/>
      <c r="N261" s="1"/>
      <c r="O261" s="1"/>
      <c r="P261" s="1"/>
      <c r="Q261" s="1"/>
      <c r="R261" s="1"/>
      <c r="S261" s="1"/>
      <c r="T261" s="1"/>
      <c r="U261" s="1"/>
      <c r="V261" s="1"/>
      <c r="W261" s="1"/>
      <c r="X261" s="1"/>
      <c r="Y261" s="1"/>
      <c r="Z261" s="1"/>
    </row>
    <row r="262" ht="10.5" customHeight="1">
      <c r="A262" s="1"/>
      <c r="B262" s="11" t="s">
        <v>58</v>
      </c>
      <c r="C262" s="846"/>
      <c r="D262" s="250">
        <v>2.3</v>
      </c>
      <c r="E262" s="54">
        <v>7.8</v>
      </c>
      <c r="F262" s="54">
        <v>13.4</v>
      </c>
      <c r="G262" s="911"/>
      <c r="H262" s="907">
        <v>15.0</v>
      </c>
      <c r="I262" s="54">
        <v>61.5</v>
      </c>
      <c r="J262" s="250">
        <v>100.0</v>
      </c>
      <c r="K262" s="714"/>
      <c r="L262" s="714"/>
      <c r="M262" s="1"/>
      <c r="N262" s="1"/>
      <c r="O262" s="1"/>
      <c r="P262" s="1"/>
      <c r="Q262" s="1"/>
      <c r="R262" s="1"/>
      <c r="S262" s="1"/>
      <c r="T262" s="1"/>
      <c r="U262" s="1"/>
      <c r="V262" s="1"/>
      <c r="W262" s="1"/>
      <c r="X262" s="1"/>
      <c r="Y262" s="1"/>
      <c r="Z262" s="1"/>
    </row>
    <row r="263" ht="10.5" customHeight="1">
      <c r="A263" s="1"/>
      <c r="B263" s="11" t="s">
        <v>59</v>
      </c>
      <c r="C263" s="846"/>
      <c r="D263" s="250">
        <v>2.4</v>
      </c>
      <c r="E263" s="54">
        <v>7.9</v>
      </c>
      <c r="F263" s="54">
        <v>13.5</v>
      </c>
      <c r="G263" s="911"/>
      <c r="H263" s="907">
        <v>15.0</v>
      </c>
      <c r="I263" s="54">
        <v>61.2</v>
      </c>
      <c r="J263" s="250">
        <v>100.0</v>
      </c>
      <c r="K263" s="714"/>
      <c r="L263" s="714"/>
      <c r="M263" s="1"/>
      <c r="N263" s="1"/>
      <c r="O263" s="1"/>
      <c r="P263" s="1"/>
      <c r="Q263" s="1"/>
      <c r="R263" s="1"/>
      <c r="S263" s="1"/>
      <c r="T263" s="1"/>
      <c r="U263" s="1"/>
      <c r="V263" s="1"/>
      <c r="W263" s="1"/>
      <c r="X263" s="1"/>
      <c r="Y263" s="1"/>
      <c r="Z263" s="1"/>
    </row>
    <row r="264" ht="12.0" customHeight="1">
      <c r="A264" s="1"/>
      <c r="B264" s="52" t="s">
        <v>1548</v>
      </c>
      <c r="C264" s="884"/>
      <c r="D264" s="785">
        <v>2.6</v>
      </c>
      <c r="E264" s="107">
        <v>8.0</v>
      </c>
      <c r="F264" s="107">
        <v>13.2</v>
      </c>
      <c r="G264" s="912"/>
      <c r="H264" s="913">
        <v>15.0</v>
      </c>
      <c r="I264" s="107">
        <v>61.2</v>
      </c>
      <c r="J264" s="107">
        <v>100.0</v>
      </c>
      <c r="K264" s="714"/>
      <c r="L264" s="714"/>
      <c r="M264" s="1"/>
      <c r="N264" s="1"/>
      <c r="O264" s="1"/>
      <c r="P264" s="1"/>
      <c r="Q264" s="1"/>
      <c r="R264" s="1"/>
      <c r="S264" s="1"/>
      <c r="T264" s="1"/>
      <c r="U264" s="1"/>
      <c r="V264" s="1"/>
      <c r="W264" s="1"/>
      <c r="X264" s="1"/>
      <c r="Y264" s="1"/>
      <c r="Z264" s="1"/>
    </row>
    <row r="265" ht="12.0" customHeight="1">
      <c r="A265" s="1"/>
      <c r="B265" s="60" t="s">
        <v>282</v>
      </c>
      <c r="C265" s="905"/>
      <c r="D265" s="714"/>
      <c r="E265" s="714"/>
      <c r="F265" s="714"/>
      <c r="G265" s="714"/>
      <c r="H265" s="714"/>
      <c r="I265" s="714"/>
      <c r="J265" s="714"/>
      <c r="K265" s="714"/>
      <c r="L265" s="714"/>
      <c r="M265" s="1"/>
      <c r="N265" s="1"/>
      <c r="O265" s="1"/>
      <c r="P265" s="1"/>
      <c r="Q265" s="1"/>
      <c r="R265" s="1"/>
      <c r="S265" s="1"/>
      <c r="T265" s="1"/>
      <c r="U265" s="1"/>
      <c r="V265" s="1"/>
      <c r="W265" s="1"/>
      <c r="X265" s="1"/>
      <c r="Y265" s="1"/>
      <c r="Z265" s="1"/>
    </row>
    <row r="266" ht="10.5" customHeight="1">
      <c r="A266" s="1"/>
      <c r="B266" s="60"/>
      <c r="C266" s="905"/>
      <c r="D266" s="714"/>
      <c r="E266" s="714"/>
      <c r="F266" s="714"/>
      <c r="G266" s="714"/>
      <c r="H266" s="714"/>
      <c r="I266" s="714"/>
      <c r="J266" s="714"/>
      <c r="K266" s="714"/>
      <c r="L266" s="714"/>
      <c r="M266" s="1"/>
      <c r="N266" s="1"/>
      <c r="O266" s="1"/>
      <c r="P266" s="1"/>
      <c r="Q266" s="1"/>
      <c r="R266" s="1"/>
      <c r="S266" s="1"/>
      <c r="T266" s="1"/>
      <c r="U266" s="1"/>
      <c r="V266" s="1"/>
      <c r="W266" s="1"/>
      <c r="X266" s="1"/>
      <c r="Y266" s="1"/>
      <c r="Z266" s="1"/>
    </row>
    <row r="267" ht="10.5" customHeight="1">
      <c r="A267" s="1"/>
      <c r="B267" s="474" t="s">
        <v>1549</v>
      </c>
      <c r="C267" s="186"/>
      <c r="D267" s="714"/>
      <c r="E267" s="714"/>
      <c r="F267" s="714"/>
      <c r="G267" s="714"/>
      <c r="H267" s="714"/>
      <c r="I267" s="714"/>
      <c r="J267" s="714"/>
      <c r="K267" s="714"/>
      <c r="L267" s="714"/>
      <c r="M267" s="1"/>
      <c r="N267" s="1"/>
      <c r="O267" s="1"/>
      <c r="P267" s="1"/>
      <c r="Q267" s="1"/>
      <c r="R267" s="1"/>
      <c r="S267" s="1"/>
      <c r="T267" s="1"/>
      <c r="U267" s="1"/>
      <c r="V267" s="1"/>
      <c r="W267" s="1"/>
      <c r="X267" s="1"/>
      <c r="Y267" s="1"/>
      <c r="Z267" s="1"/>
    </row>
    <row r="268" ht="10.5" customHeight="1">
      <c r="A268" s="1"/>
      <c r="B268" s="185" t="s">
        <v>1550</v>
      </c>
      <c r="C268" s="186"/>
      <c r="D268" s="714"/>
      <c r="E268" s="714"/>
      <c r="F268" s="714"/>
      <c r="G268" s="714"/>
      <c r="H268" s="714"/>
      <c r="I268" s="714"/>
      <c r="J268" s="714"/>
      <c r="K268" s="714"/>
      <c r="L268" s="714"/>
      <c r="M268" s="1"/>
      <c r="N268" s="1"/>
      <c r="O268" s="1"/>
      <c r="P268" s="1"/>
      <c r="Q268" s="1"/>
      <c r="R268" s="1"/>
      <c r="S268" s="1"/>
      <c r="T268" s="1"/>
      <c r="U268" s="1"/>
      <c r="V268" s="1"/>
      <c r="W268" s="1"/>
      <c r="X268" s="1"/>
      <c r="Y268" s="1"/>
      <c r="Z268" s="1"/>
    </row>
    <row r="269" ht="10.5" customHeight="1">
      <c r="A269" s="1"/>
      <c r="B269" s="185" t="s">
        <v>1551</v>
      </c>
      <c r="C269" s="186"/>
      <c r="D269" s="714"/>
      <c r="E269" s="714"/>
      <c r="F269" s="714"/>
      <c r="G269" s="714"/>
      <c r="H269" s="714"/>
      <c r="I269" s="714"/>
      <c r="J269" s="714"/>
      <c r="K269" s="714"/>
      <c r="L269" s="714"/>
      <c r="M269" s="1"/>
      <c r="N269" s="1"/>
      <c r="O269" s="1"/>
      <c r="P269" s="1"/>
      <c r="Q269" s="1"/>
      <c r="R269" s="1"/>
      <c r="S269" s="1"/>
      <c r="T269" s="1"/>
      <c r="U269" s="1"/>
      <c r="V269" s="1"/>
      <c r="W269" s="1"/>
      <c r="X269" s="1"/>
      <c r="Y269" s="1"/>
      <c r="Z269" s="1"/>
    </row>
    <row r="270" ht="10.5" customHeight="1">
      <c r="A270" s="1"/>
      <c r="B270" s="185" t="s">
        <v>1552</v>
      </c>
      <c r="C270" s="186"/>
      <c r="D270" s="714"/>
      <c r="E270" s="714"/>
      <c r="F270" s="714"/>
      <c r="G270" s="714"/>
      <c r="H270" s="714"/>
      <c r="I270" s="714"/>
      <c r="J270" s="714"/>
      <c r="K270" s="714"/>
      <c r="L270" s="714"/>
      <c r="M270" s="1"/>
      <c r="N270" s="1"/>
      <c r="O270" s="1"/>
      <c r="P270" s="1"/>
      <c r="Q270" s="1"/>
      <c r="R270" s="1"/>
      <c r="S270" s="1"/>
      <c r="T270" s="1"/>
      <c r="U270" s="1"/>
      <c r="V270" s="1"/>
      <c r="W270" s="1"/>
      <c r="X270" s="1"/>
      <c r="Y270" s="1"/>
      <c r="Z270" s="1"/>
    </row>
    <row r="271" ht="10.5" customHeight="1">
      <c r="A271" s="1"/>
      <c r="B271" s="714"/>
      <c r="C271" s="914"/>
      <c r="D271" s="714"/>
      <c r="E271" s="914"/>
      <c r="F271" s="914"/>
      <c r="G271" s="914"/>
      <c r="H271" s="714"/>
      <c r="I271" s="914"/>
      <c r="J271" s="914"/>
      <c r="K271" s="714"/>
      <c r="L271" s="714"/>
      <c r="M271" s="1"/>
      <c r="N271" s="1"/>
      <c r="O271" s="1"/>
      <c r="P271" s="1"/>
      <c r="Q271" s="1"/>
      <c r="R271" s="1"/>
      <c r="S271" s="1"/>
      <c r="T271" s="1"/>
      <c r="U271" s="1"/>
      <c r="V271" s="1"/>
      <c r="W271" s="1"/>
      <c r="X271" s="1"/>
      <c r="Y271" s="1"/>
      <c r="Z271" s="1"/>
    </row>
    <row r="272" ht="10.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0.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0.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0.5" customHeight="1">
      <c r="A275" s="1"/>
      <c r="B275" s="1"/>
      <c r="C275" s="1"/>
      <c r="D275" s="1"/>
      <c r="E275" s="1"/>
      <c r="F275" s="1"/>
      <c r="G275" s="110">
        <v>77.0</v>
      </c>
      <c r="H275" s="1"/>
      <c r="I275" s="1"/>
      <c r="J275" s="1"/>
      <c r="K275" s="1"/>
      <c r="L275" s="1"/>
      <c r="M275" s="1"/>
      <c r="N275" s="1"/>
      <c r="O275" s="1"/>
      <c r="P275" s="1"/>
      <c r="Q275" s="1"/>
      <c r="R275" s="1"/>
      <c r="S275" s="1"/>
      <c r="T275" s="1"/>
      <c r="U275" s="1"/>
      <c r="V275" s="1"/>
      <c r="W275" s="1"/>
      <c r="X275" s="1"/>
      <c r="Y275" s="1"/>
      <c r="Z275" s="1"/>
    </row>
    <row r="276" ht="10.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1.25" customHeight="1">
      <c r="A277" s="1"/>
      <c r="B277" s="1" t="s">
        <v>1553</v>
      </c>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3.25" customHeight="1">
      <c r="A278" s="1"/>
      <c r="B278" s="189" t="s">
        <v>1</v>
      </c>
      <c r="C278" s="273" t="s">
        <v>295</v>
      </c>
      <c r="D278" s="273" t="s">
        <v>363</v>
      </c>
      <c r="E278" s="273" t="s">
        <v>728</v>
      </c>
      <c r="F278" s="273" t="s">
        <v>2</v>
      </c>
      <c r="G278" s="1"/>
      <c r="H278" s="1"/>
      <c r="I278" s="1"/>
      <c r="J278" s="1"/>
      <c r="K278" s="1"/>
      <c r="L278" s="1"/>
      <c r="M278" s="1"/>
      <c r="N278" s="1"/>
      <c r="O278" s="1"/>
      <c r="P278" s="1"/>
      <c r="Q278" s="1"/>
      <c r="R278" s="1"/>
      <c r="S278" s="1"/>
      <c r="T278" s="1"/>
      <c r="U278" s="1"/>
      <c r="V278" s="1"/>
      <c r="W278" s="1"/>
      <c r="X278" s="1"/>
      <c r="Y278" s="1"/>
      <c r="Z278" s="1"/>
    </row>
    <row r="279" ht="11.25" customHeight="1">
      <c r="A279" s="1"/>
      <c r="B279" s="6"/>
      <c r="C279" s="8" t="s">
        <v>1170</v>
      </c>
      <c r="D279" s="9"/>
      <c r="E279" s="9"/>
      <c r="F279" s="10"/>
      <c r="G279" s="1"/>
      <c r="H279" s="1"/>
      <c r="I279" s="1"/>
      <c r="J279" s="1"/>
      <c r="K279" s="1"/>
      <c r="L279" s="1"/>
      <c r="M279" s="1"/>
      <c r="N279" s="1"/>
      <c r="O279" s="1"/>
      <c r="P279" s="1"/>
      <c r="Q279" s="1"/>
      <c r="R279" s="1"/>
      <c r="S279" s="1"/>
      <c r="T279" s="1"/>
      <c r="U279" s="1"/>
      <c r="V279" s="1"/>
      <c r="W279" s="1"/>
      <c r="X279" s="1"/>
      <c r="Y279" s="1"/>
      <c r="Z279" s="1"/>
    </row>
    <row r="280" ht="10.5" customHeight="1">
      <c r="A280" s="1"/>
      <c r="B280" s="48" t="s">
        <v>264</v>
      </c>
      <c r="C280" s="54">
        <v>700.0</v>
      </c>
      <c r="D280" s="250">
        <v>258.7</v>
      </c>
      <c r="E280" s="250">
        <v>540.7</v>
      </c>
      <c r="F280" s="843">
        <f t="shared" ref="F280:F284" si="13">SUM(C280:E280)</f>
        <v>1499.4</v>
      </c>
      <c r="G280" s="1"/>
      <c r="H280" s="1"/>
      <c r="I280" s="1"/>
      <c r="J280" s="1"/>
      <c r="K280" s="1"/>
      <c r="L280" s="1"/>
      <c r="M280" s="1"/>
      <c r="N280" s="1"/>
      <c r="O280" s="1"/>
      <c r="P280" s="1"/>
      <c r="Q280" s="1"/>
      <c r="R280" s="1"/>
      <c r="S280" s="1"/>
      <c r="T280" s="1"/>
      <c r="U280" s="1"/>
      <c r="V280" s="1"/>
      <c r="W280" s="1"/>
      <c r="X280" s="1"/>
      <c r="Y280" s="1"/>
      <c r="Z280" s="1"/>
    </row>
    <row r="281" ht="10.5" customHeight="1">
      <c r="A281" s="1"/>
      <c r="B281" s="48" t="s">
        <v>267</v>
      </c>
      <c r="C281" s="54">
        <v>826.2</v>
      </c>
      <c r="D281" s="250">
        <v>284.7</v>
      </c>
      <c r="E281" s="250">
        <v>620.2</v>
      </c>
      <c r="F281" s="250">
        <f t="shared" si="13"/>
        <v>1731.1</v>
      </c>
      <c r="G281" s="1"/>
      <c r="H281" s="1"/>
      <c r="I281" s="1"/>
      <c r="J281" s="1"/>
      <c r="K281" s="1"/>
      <c r="L281" s="1"/>
      <c r="M281" s="1"/>
      <c r="N281" s="1"/>
      <c r="O281" s="1"/>
      <c r="P281" s="1"/>
      <c r="Q281" s="1"/>
      <c r="R281" s="1"/>
      <c r="S281" s="1"/>
      <c r="T281" s="1"/>
      <c r="U281" s="1"/>
      <c r="V281" s="1"/>
      <c r="W281" s="1"/>
      <c r="X281" s="1"/>
      <c r="Y281" s="1"/>
      <c r="Z281" s="1"/>
    </row>
    <row r="282" ht="10.5" customHeight="1">
      <c r="A282" s="1"/>
      <c r="B282" s="48" t="s">
        <v>268</v>
      </c>
      <c r="C282" s="54">
        <v>623.6</v>
      </c>
      <c r="D282" s="250">
        <v>331.9</v>
      </c>
      <c r="E282" s="250">
        <v>857.7</v>
      </c>
      <c r="F282" s="250">
        <f t="shared" si="13"/>
        <v>1813.2</v>
      </c>
      <c r="G282" s="1"/>
      <c r="H282" s="1"/>
      <c r="I282" s="1"/>
      <c r="J282" s="1"/>
      <c r="K282" s="1"/>
      <c r="L282" s="1"/>
      <c r="M282" s="1"/>
      <c r="N282" s="1"/>
      <c r="O282" s="1"/>
      <c r="P282" s="1"/>
      <c r="Q282" s="1"/>
      <c r="R282" s="1"/>
      <c r="S282" s="1"/>
      <c r="T282" s="1"/>
      <c r="U282" s="1"/>
      <c r="V282" s="1"/>
      <c r="W282" s="1"/>
      <c r="X282" s="1"/>
      <c r="Y282" s="1"/>
      <c r="Z282" s="1"/>
    </row>
    <row r="283" ht="10.5" customHeight="1">
      <c r="A283" s="1"/>
      <c r="B283" s="48" t="s">
        <v>269</v>
      </c>
      <c r="C283" s="54">
        <v>1322.7</v>
      </c>
      <c r="D283" s="250">
        <v>361.9</v>
      </c>
      <c r="E283" s="250">
        <v>983.2</v>
      </c>
      <c r="F283" s="250">
        <f t="shared" si="13"/>
        <v>2667.8</v>
      </c>
      <c r="G283" s="1"/>
      <c r="H283" s="1"/>
      <c r="I283" s="1"/>
      <c r="J283" s="1"/>
      <c r="K283" s="1"/>
      <c r="L283" s="1"/>
      <c r="M283" s="1"/>
      <c r="N283" s="1"/>
      <c r="O283" s="1"/>
      <c r="P283" s="1"/>
      <c r="Q283" s="1"/>
      <c r="R283" s="1"/>
      <c r="S283" s="1"/>
      <c r="T283" s="1"/>
      <c r="U283" s="1"/>
      <c r="V283" s="1"/>
      <c r="W283" s="1"/>
      <c r="X283" s="1"/>
      <c r="Y283" s="1"/>
      <c r="Z283" s="1"/>
    </row>
    <row r="284" ht="10.5" customHeight="1">
      <c r="A284" s="1"/>
      <c r="B284" s="48" t="s">
        <v>270</v>
      </c>
      <c r="C284" s="54">
        <v>1239.6</v>
      </c>
      <c r="D284" s="250">
        <v>485.0</v>
      </c>
      <c r="E284" s="250">
        <v>1063.4</v>
      </c>
      <c r="F284" s="250">
        <f t="shared" si="13"/>
        <v>2788</v>
      </c>
      <c r="G284" s="1"/>
      <c r="H284" s="1"/>
      <c r="I284" s="1"/>
      <c r="J284" s="1"/>
      <c r="K284" s="1"/>
      <c r="L284" s="1"/>
      <c r="M284" s="1"/>
      <c r="N284" s="1"/>
      <c r="O284" s="1"/>
      <c r="P284" s="1"/>
      <c r="Q284" s="1"/>
      <c r="R284" s="1"/>
      <c r="S284" s="1"/>
      <c r="T284" s="1"/>
      <c r="U284" s="1"/>
      <c r="V284" s="1"/>
      <c r="W284" s="1"/>
      <c r="X284" s="1"/>
      <c r="Y284" s="1"/>
      <c r="Z284" s="1"/>
    </row>
    <row r="285" ht="10.5" customHeight="1">
      <c r="A285" s="1"/>
      <c r="B285" s="48"/>
      <c r="C285" s="54"/>
      <c r="D285" s="250"/>
      <c r="E285" s="250"/>
      <c r="F285" s="250"/>
      <c r="G285" s="1"/>
      <c r="H285" s="1"/>
      <c r="I285" s="1"/>
      <c r="J285" s="1"/>
      <c r="K285" s="1"/>
      <c r="L285" s="1"/>
      <c r="M285" s="1"/>
      <c r="N285" s="1"/>
      <c r="O285" s="1"/>
      <c r="P285" s="1"/>
      <c r="Q285" s="1"/>
      <c r="R285" s="1"/>
      <c r="S285" s="1"/>
      <c r="T285" s="1"/>
      <c r="U285" s="1"/>
      <c r="V285" s="1"/>
      <c r="W285" s="1"/>
      <c r="X285" s="1"/>
      <c r="Y285" s="1"/>
      <c r="Z285" s="1"/>
    </row>
    <row r="286" ht="10.5" customHeight="1">
      <c r="A286" s="1"/>
      <c r="B286" s="48" t="s">
        <v>271</v>
      </c>
      <c r="C286" s="54">
        <v>1248.1</v>
      </c>
      <c r="D286" s="250">
        <v>524.7</v>
      </c>
      <c r="E286" s="250">
        <v>1217.8</v>
      </c>
      <c r="F286" s="250">
        <f t="shared" ref="F286:F290" si="14">SUM(C286:E286)</f>
        <v>2990.6</v>
      </c>
      <c r="G286" s="1"/>
      <c r="H286" s="1"/>
      <c r="I286" s="1"/>
      <c r="J286" s="1"/>
      <c r="K286" s="1"/>
      <c r="L286" s="1"/>
      <c r="M286" s="1"/>
      <c r="N286" s="1"/>
      <c r="O286" s="1"/>
      <c r="P286" s="1"/>
      <c r="Q286" s="1"/>
      <c r="R286" s="1"/>
      <c r="S286" s="1"/>
      <c r="T286" s="1"/>
      <c r="U286" s="1"/>
      <c r="V286" s="1"/>
      <c r="W286" s="1"/>
      <c r="X286" s="1"/>
      <c r="Y286" s="1"/>
      <c r="Z286" s="1"/>
    </row>
    <row r="287" ht="10.5" customHeight="1">
      <c r="A287" s="1"/>
      <c r="B287" s="48" t="s">
        <v>272</v>
      </c>
      <c r="C287" s="54">
        <v>1791.8</v>
      </c>
      <c r="D287" s="250">
        <v>577.0</v>
      </c>
      <c r="E287" s="250">
        <v>1333.6</v>
      </c>
      <c r="F287" s="250">
        <f t="shared" si="14"/>
        <v>3702.4</v>
      </c>
      <c r="G287" s="1"/>
      <c r="H287" s="1"/>
      <c r="I287" s="1"/>
      <c r="J287" s="1"/>
      <c r="K287" s="1"/>
      <c r="L287" s="1"/>
      <c r="M287" s="1"/>
      <c r="N287" s="1"/>
      <c r="O287" s="1"/>
      <c r="P287" s="1"/>
      <c r="Q287" s="1"/>
      <c r="R287" s="1"/>
      <c r="S287" s="1"/>
      <c r="T287" s="1"/>
      <c r="U287" s="1"/>
      <c r="V287" s="1"/>
      <c r="W287" s="1"/>
      <c r="X287" s="1"/>
      <c r="Y287" s="1"/>
      <c r="Z287" s="1"/>
    </row>
    <row r="288" ht="10.5" customHeight="1">
      <c r="A288" s="1"/>
      <c r="B288" s="48" t="s">
        <v>274</v>
      </c>
      <c r="C288" s="54">
        <v>1942.8</v>
      </c>
      <c r="D288" s="250">
        <v>667.6</v>
      </c>
      <c r="E288" s="250">
        <v>1425.4</v>
      </c>
      <c r="F288" s="250">
        <f t="shared" si="14"/>
        <v>4035.8</v>
      </c>
      <c r="G288" s="1"/>
      <c r="H288" s="1"/>
      <c r="I288" s="1"/>
      <c r="J288" s="1"/>
      <c r="K288" s="1"/>
      <c r="L288" s="1"/>
      <c r="M288" s="1"/>
      <c r="N288" s="1"/>
      <c r="O288" s="1"/>
      <c r="P288" s="1"/>
      <c r="Q288" s="1"/>
      <c r="R288" s="1"/>
      <c r="S288" s="1"/>
      <c r="T288" s="1"/>
      <c r="U288" s="1"/>
      <c r="V288" s="1"/>
      <c r="W288" s="1"/>
      <c r="X288" s="1"/>
      <c r="Y288" s="1"/>
      <c r="Z288" s="1"/>
    </row>
    <row r="289" ht="10.5" customHeight="1">
      <c r="A289" s="1"/>
      <c r="B289" s="48" t="s">
        <v>275</v>
      </c>
      <c r="C289" s="54">
        <v>2052.3</v>
      </c>
      <c r="D289" s="250">
        <v>769.5</v>
      </c>
      <c r="E289" s="250">
        <v>1687.2</v>
      </c>
      <c r="F289" s="250">
        <f t="shared" si="14"/>
        <v>4509</v>
      </c>
      <c r="G289" s="1"/>
      <c r="H289" s="1"/>
      <c r="I289" s="1"/>
      <c r="J289" s="1"/>
      <c r="K289" s="1"/>
      <c r="L289" s="1"/>
      <c r="M289" s="1"/>
      <c r="N289" s="1"/>
      <c r="O289" s="1"/>
      <c r="P289" s="1"/>
      <c r="Q289" s="1"/>
      <c r="R289" s="1"/>
      <c r="S289" s="1"/>
      <c r="T289" s="1"/>
      <c r="U289" s="1"/>
      <c r="V289" s="1"/>
      <c r="W289" s="1"/>
      <c r="X289" s="1"/>
      <c r="Y289" s="1"/>
      <c r="Z289" s="1"/>
    </row>
    <row r="290" ht="10.5" customHeight="1">
      <c r="A290" s="1"/>
      <c r="B290" s="48" t="s">
        <v>276</v>
      </c>
      <c r="C290" s="54">
        <v>2936.4</v>
      </c>
      <c r="D290" s="250">
        <v>934.4</v>
      </c>
      <c r="E290" s="250">
        <v>2059.5</v>
      </c>
      <c r="F290" s="250">
        <f t="shared" si="14"/>
        <v>5930.3</v>
      </c>
      <c r="G290" s="1"/>
      <c r="H290" s="1"/>
      <c r="I290" s="1"/>
      <c r="J290" s="1"/>
      <c r="K290" s="1"/>
      <c r="L290" s="1"/>
      <c r="M290" s="1"/>
      <c r="N290" s="1"/>
      <c r="O290" s="1"/>
      <c r="P290" s="1"/>
      <c r="Q290" s="1"/>
      <c r="R290" s="1"/>
      <c r="S290" s="1"/>
      <c r="T290" s="1"/>
      <c r="U290" s="1"/>
      <c r="V290" s="1"/>
      <c r="W290" s="1"/>
      <c r="X290" s="1"/>
      <c r="Y290" s="1"/>
      <c r="Z290" s="1"/>
    </row>
    <row r="291" ht="10.5" customHeight="1">
      <c r="A291" s="1"/>
      <c r="B291" s="48"/>
      <c r="C291" s="54"/>
      <c r="D291" s="250"/>
      <c r="E291" s="250"/>
      <c r="F291" s="250"/>
      <c r="G291" s="1"/>
      <c r="H291" s="1"/>
      <c r="I291" s="1"/>
      <c r="J291" s="1"/>
      <c r="K291" s="1"/>
      <c r="L291" s="1"/>
      <c r="M291" s="1"/>
      <c r="N291" s="1"/>
      <c r="O291" s="1"/>
      <c r="P291" s="1"/>
      <c r="Q291" s="1"/>
      <c r="R291" s="1"/>
      <c r="S291" s="1"/>
      <c r="T291" s="1"/>
      <c r="U291" s="1"/>
      <c r="V291" s="1"/>
      <c r="W291" s="1"/>
      <c r="X291" s="1"/>
      <c r="Y291" s="1"/>
      <c r="Z291" s="1"/>
    </row>
    <row r="292" ht="10.5" customHeight="1">
      <c r="A292" s="1"/>
      <c r="B292" s="48" t="s">
        <v>56</v>
      </c>
      <c r="C292" s="54">
        <v>3407.4</v>
      </c>
      <c r="D292" s="250">
        <v>1013.6</v>
      </c>
      <c r="E292" s="250">
        <v>2603.8</v>
      </c>
      <c r="F292" s="250">
        <f t="shared" ref="F292:F296" si="15">SUM(C292:E292)</f>
        <v>7024.8</v>
      </c>
      <c r="G292" s="1"/>
      <c r="H292" s="1"/>
      <c r="I292" s="1"/>
      <c r="J292" s="1"/>
      <c r="K292" s="1"/>
      <c r="L292" s="1"/>
      <c r="M292" s="1"/>
      <c r="N292" s="1"/>
      <c r="O292" s="1"/>
      <c r="P292" s="1"/>
      <c r="Q292" s="1"/>
      <c r="R292" s="1"/>
      <c r="S292" s="1"/>
      <c r="T292" s="1"/>
      <c r="U292" s="1"/>
      <c r="V292" s="1"/>
      <c r="W292" s="1"/>
      <c r="X292" s="1"/>
      <c r="Y292" s="1"/>
      <c r="Z292" s="1"/>
    </row>
    <row r="293" ht="10.5" customHeight="1">
      <c r="A293" s="1"/>
      <c r="B293" s="48" t="s">
        <v>81</v>
      </c>
      <c r="C293" s="54">
        <v>3194.4</v>
      </c>
      <c r="D293" s="250">
        <v>1270.4</v>
      </c>
      <c r="E293" s="250">
        <v>3212.5</v>
      </c>
      <c r="F293" s="250">
        <f t="shared" si="15"/>
        <v>7677.3</v>
      </c>
      <c r="G293" s="1"/>
      <c r="H293" s="1"/>
      <c r="I293" s="1"/>
      <c r="J293" s="1"/>
      <c r="K293" s="1"/>
      <c r="L293" s="1"/>
      <c r="M293" s="1"/>
      <c r="N293" s="1"/>
      <c r="O293" s="1"/>
      <c r="P293" s="1"/>
      <c r="Q293" s="1"/>
      <c r="R293" s="1"/>
      <c r="S293" s="1"/>
      <c r="T293" s="1"/>
      <c r="U293" s="1"/>
      <c r="V293" s="1"/>
      <c r="W293" s="1"/>
      <c r="X293" s="1"/>
      <c r="Y293" s="1"/>
      <c r="Z293" s="1"/>
    </row>
    <row r="294" ht="10.5" customHeight="1">
      <c r="A294" s="1"/>
      <c r="B294" s="48" t="s">
        <v>86</v>
      </c>
      <c r="C294" s="54">
        <v>3072.0</v>
      </c>
      <c r="D294" s="250">
        <v>1341.8</v>
      </c>
      <c r="E294" s="250">
        <v>3467.6</v>
      </c>
      <c r="F294" s="250">
        <f t="shared" si="15"/>
        <v>7881.4</v>
      </c>
      <c r="G294" s="1"/>
      <c r="H294" s="1"/>
      <c r="I294" s="1"/>
      <c r="J294" s="1"/>
      <c r="K294" s="1"/>
      <c r="L294" s="1"/>
      <c r="M294" s="1"/>
      <c r="N294" s="1"/>
      <c r="O294" s="1"/>
      <c r="P294" s="1"/>
      <c r="Q294" s="1"/>
      <c r="R294" s="1"/>
      <c r="S294" s="1"/>
      <c r="T294" s="1"/>
      <c r="U294" s="1"/>
      <c r="V294" s="1"/>
      <c r="W294" s="1"/>
      <c r="X294" s="1"/>
      <c r="Y294" s="1"/>
      <c r="Z294" s="1"/>
    </row>
    <row r="295" ht="10.5" customHeight="1">
      <c r="A295" s="1"/>
      <c r="B295" s="48" t="s">
        <v>87</v>
      </c>
      <c r="C295" s="54">
        <v>3376.8</v>
      </c>
      <c r="D295" s="250">
        <v>1530.3</v>
      </c>
      <c r="E295" s="250">
        <v>3867.3</v>
      </c>
      <c r="F295" s="250">
        <f t="shared" si="15"/>
        <v>8774.4</v>
      </c>
      <c r="G295" s="1"/>
      <c r="H295" s="1"/>
      <c r="I295" s="1"/>
      <c r="J295" s="1"/>
      <c r="K295" s="1"/>
      <c r="L295" s="1"/>
      <c r="M295" s="1"/>
      <c r="N295" s="1"/>
      <c r="O295" s="1"/>
      <c r="P295" s="1"/>
      <c r="Q295" s="1"/>
      <c r="R295" s="1"/>
      <c r="S295" s="1"/>
      <c r="T295" s="1"/>
      <c r="U295" s="1"/>
      <c r="V295" s="1"/>
      <c r="W295" s="1"/>
      <c r="X295" s="1"/>
      <c r="Y295" s="1"/>
      <c r="Z295" s="1"/>
    </row>
    <row r="296" ht="10.5" customHeight="1">
      <c r="A296" s="1"/>
      <c r="B296" s="48" t="s">
        <v>90</v>
      </c>
      <c r="C296" s="54">
        <v>4718.5</v>
      </c>
      <c r="D296" s="250">
        <v>1779.1</v>
      </c>
      <c r="E296" s="250">
        <v>4436.3</v>
      </c>
      <c r="F296" s="250">
        <f t="shared" si="15"/>
        <v>10933.9</v>
      </c>
      <c r="G296" s="1"/>
      <c r="H296" s="1"/>
      <c r="I296" s="1"/>
      <c r="J296" s="1"/>
      <c r="K296" s="1"/>
      <c r="L296" s="1"/>
      <c r="M296" s="1"/>
      <c r="N296" s="1"/>
      <c r="O296" s="1"/>
      <c r="P296" s="1"/>
      <c r="Q296" s="1"/>
      <c r="R296" s="1"/>
      <c r="S296" s="1"/>
      <c r="T296" s="1"/>
      <c r="U296" s="1"/>
      <c r="V296" s="1"/>
      <c r="W296" s="1"/>
      <c r="X296" s="1"/>
      <c r="Y296" s="1"/>
      <c r="Z296" s="1"/>
    </row>
    <row r="297" ht="10.5" customHeight="1">
      <c r="A297" s="1"/>
      <c r="B297" s="48"/>
      <c r="C297" s="54"/>
      <c r="D297" s="250"/>
      <c r="E297" s="250"/>
      <c r="F297" s="250"/>
      <c r="G297" s="1"/>
      <c r="H297" s="1"/>
      <c r="I297" s="1"/>
      <c r="J297" s="1"/>
      <c r="K297" s="1"/>
      <c r="L297" s="1"/>
      <c r="M297" s="1"/>
      <c r="N297" s="1"/>
      <c r="O297" s="1"/>
      <c r="P297" s="1"/>
      <c r="Q297" s="1"/>
      <c r="R297" s="1"/>
      <c r="S297" s="1"/>
      <c r="T297" s="1"/>
      <c r="U297" s="1"/>
      <c r="V297" s="1"/>
      <c r="W297" s="1"/>
      <c r="X297" s="1"/>
      <c r="Y297" s="1"/>
      <c r="Z297" s="1"/>
    </row>
    <row r="298" ht="10.5" customHeight="1">
      <c r="A298" s="1"/>
      <c r="B298" s="48" t="s">
        <v>93</v>
      </c>
      <c r="C298" s="54">
        <v>4571.9</v>
      </c>
      <c r="D298" s="250">
        <v>2136.3</v>
      </c>
      <c r="E298" s="250">
        <v>4672.8</v>
      </c>
      <c r="F298" s="250">
        <f t="shared" ref="F298:F302" si="16">SUM(C298:E298)</f>
        <v>11381</v>
      </c>
      <c r="G298" s="1"/>
      <c r="H298" s="1"/>
      <c r="I298" s="1"/>
      <c r="J298" s="1"/>
      <c r="K298" s="1"/>
      <c r="L298" s="1"/>
      <c r="M298" s="1"/>
      <c r="N298" s="1"/>
      <c r="O298" s="1"/>
      <c r="P298" s="1"/>
      <c r="Q298" s="1"/>
      <c r="R298" s="1"/>
      <c r="S298" s="1"/>
      <c r="T298" s="1"/>
      <c r="U298" s="1"/>
      <c r="V298" s="1"/>
      <c r="W298" s="1"/>
      <c r="X298" s="1"/>
      <c r="Y298" s="1"/>
      <c r="Z298" s="1"/>
    </row>
    <row r="299" ht="10.5" customHeight="1">
      <c r="A299" s="1"/>
      <c r="B299" s="48" t="s">
        <v>97</v>
      </c>
      <c r="C299" s="54">
        <v>5182.4</v>
      </c>
      <c r="D299" s="250">
        <v>2492.5</v>
      </c>
      <c r="E299" s="250">
        <v>5673.9</v>
      </c>
      <c r="F299" s="250">
        <f t="shared" si="16"/>
        <v>13348.8</v>
      </c>
      <c r="G299" s="1"/>
      <c r="H299" s="1"/>
      <c r="I299" s="1"/>
      <c r="J299" s="1"/>
      <c r="K299" s="1"/>
      <c r="L299" s="1"/>
      <c r="M299" s="1"/>
      <c r="N299" s="1"/>
      <c r="O299" s="1"/>
      <c r="P299" s="1"/>
      <c r="Q299" s="1"/>
      <c r="R299" s="1"/>
      <c r="S299" s="1"/>
      <c r="T299" s="1"/>
      <c r="U299" s="1"/>
      <c r="V299" s="1"/>
      <c r="W299" s="1"/>
      <c r="X299" s="1"/>
      <c r="Y299" s="1"/>
      <c r="Z299" s="1"/>
    </row>
    <row r="300" ht="10.5" customHeight="1">
      <c r="A300" s="1"/>
      <c r="B300" s="48" t="s">
        <v>101</v>
      </c>
      <c r="C300" s="54">
        <v>5951.4</v>
      </c>
      <c r="D300" s="250">
        <v>3076.4</v>
      </c>
      <c r="E300" s="250">
        <v>7148.1</v>
      </c>
      <c r="F300" s="250">
        <f t="shared" si="16"/>
        <v>16175.9</v>
      </c>
      <c r="G300" s="1"/>
      <c r="H300" s="1"/>
      <c r="I300" s="1"/>
      <c r="J300" s="1"/>
      <c r="K300" s="1"/>
      <c r="L300" s="1"/>
      <c r="M300" s="1"/>
      <c r="N300" s="1"/>
      <c r="O300" s="1"/>
      <c r="P300" s="1"/>
      <c r="Q300" s="1"/>
      <c r="R300" s="1"/>
      <c r="S300" s="1"/>
      <c r="T300" s="1"/>
      <c r="U300" s="1"/>
      <c r="V300" s="1"/>
      <c r="W300" s="1"/>
      <c r="X300" s="1"/>
      <c r="Y300" s="1"/>
      <c r="Z300" s="1"/>
    </row>
    <row r="301" ht="10.5" customHeight="1">
      <c r="A301" s="1"/>
      <c r="B301" s="48" t="s">
        <v>103</v>
      </c>
      <c r="C301" s="54">
        <v>7545.5</v>
      </c>
      <c r="D301" s="250">
        <v>3363.7</v>
      </c>
      <c r="E301" s="250">
        <v>8425.6</v>
      </c>
      <c r="F301" s="250">
        <f t="shared" si="16"/>
        <v>19334.8</v>
      </c>
      <c r="G301" s="1"/>
      <c r="H301" s="1"/>
      <c r="I301" s="1"/>
      <c r="J301" s="1"/>
      <c r="K301" s="1"/>
      <c r="L301" s="1"/>
      <c r="M301" s="1"/>
      <c r="N301" s="1"/>
      <c r="O301" s="1"/>
      <c r="P301" s="1"/>
      <c r="Q301" s="1"/>
      <c r="R301" s="1"/>
      <c r="S301" s="1"/>
      <c r="T301" s="1"/>
      <c r="U301" s="1"/>
      <c r="V301" s="1"/>
      <c r="W301" s="1"/>
      <c r="X301" s="1"/>
      <c r="Y301" s="1"/>
      <c r="Z301" s="1"/>
    </row>
    <row r="302" ht="10.5" customHeight="1">
      <c r="A302" s="1"/>
      <c r="B302" s="48" t="s">
        <v>104</v>
      </c>
      <c r="C302" s="54">
        <v>7064.9</v>
      </c>
      <c r="D302" s="250">
        <v>4282.9</v>
      </c>
      <c r="E302" s="250">
        <v>8850.2</v>
      </c>
      <c r="F302" s="250">
        <f t="shared" si="16"/>
        <v>20198</v>
      </c>
      <c r="G302" s="1"/>
      <c r="H302" s="1"/>
      <c r="I302" s="1"/>
      <c r="J302" s="1"/>
      <c r="K302" s="1"/>
      <c r="L302" s="1"/>
      <c r="M302" s="1"/>
      <c r="N302" s="1"/>
      <c r="O302" s="1"/>
      <c r="P302" s="1"/>
      <c r="Q302" s="1"/>
      <c r="R302" s="1"/>
      <c r="S302" s="1"/>
      <c r="T302" s="1"/>
      <c r="U302" s="1"/>
      <c r="V302" s="1"/>
      <c r="W302" s="1"/>
      <c r="X302" s="1"/>
      <c r="Y302" s="1"/>
      <c r="Z302" s="1"/>
    </row>
    <row r="303" ht="10.5" customHeight="1">
      <c r="A303" s="1"/>
      <c r="B303" s="48"/>
      <c r="C303" s="54"/>
      <c r="D303" s="250"/>
      <c r="E303" s="250"/>
      <c r="F303" s="250"/>
      <c r="G303" s="1"/>
      <c r="H303" s="1"/>
      <c r="I303" s="1"/>
      <c r="J303" s="1"/>
      <c r="K303" s="1"/>
      <c r="L303" s="1"/>
      <c r="M303" s="1"/>
      <c r="N303" s="1"/>
      <c r="O303" s="1"/>
      <c r="P303" s="1"/>
      <c r="Q303" s="1"/>
      <c r="R303" s="1"/>
      <c r="S303" s="1"/>
      <c r="T303" s="1"/>
      <c r="U303" s="1"/>
      <c r="V303" s="1"/>
      <c r="W303" s="1"/>
      <c r="X303" s="1"/>
      <c r="Y303" s="1"/>
      <c r="Z303" s="1"/>
    </row>
    <row r="304" ht="10.5" customHeight="1">
      <c r="A304" s="1"/>
      <c r="B304" s="48" t="s">
        <v>108</v>
      </c>
      <c r="C304" s="54">
        <v>7614.7</v>
      </c>
      <c r="D304" s="250">
        <v>4817.0</v>
      </c>
      <c r="E304" s="250">
        <v>9520.7</v>
      </c>
      <c r="F304" s="250">
        <f t="shared" ref="F304:F308" si="17">SUM(C304:E304)</f>
        <v>21952.4</v>
      </c>
      <c r="G304" s="1"/>
      <c r="H304" s="1"/>
      <c r="I304" s="1"/>
      <c r="J304" s="1"/>
      <c r="K304" s="1"/>
      <c r="L304" s="1"/>
      <c r="M304" s="1"/>
      <c r="N304" s="1"/>
      <c r="O304" s="1"/>
      <c r="P304" s="1"/>
      <c r="Q304" s="1"/>
      <c r="R304" s="1"/>
      <c r="S304" s="1"/>
      <c r="T304" s="1"/>
      <c r="U304" s="1"/>
      <c r="V304" s="1"/>
      <c r="W304" s="1"/>
      <c r="X304" s="1"/>
      <c r="Y304" s="1"/>
      <c r="Z304" s="1"/>
    </row>
    <row r="305" ht="10.5" customHeight="1">
      <c r="A305" s="1"/>
      <c r="B305" s="48" t="s">
        <v>111</v>
      </c>
      <c r="C305" s="54">
        <v>6116.2</v>
      </c>
      <c r="D305" s="250">
        <v>5457.2</v>
      </c>
      <c r="E305" s="250">
        <v>10553.4</v>
      </c>
      <c r="F305" s="250">
        <f t="shared" si="17"/>
        <v>22126.8</v>
      </c>
      <c r="G305" s="1"/>
      <c r="H305" s="1"/>
      <c r="I305" s="1"/>
      <c r="J305" s="1"/>
      <c r="K305" s="1"/>
      <c r="L305" s="1"/>
      <c r="M305" s="1"/>
      <c r="N305" s="1"/>
      <c r="O305" s="1"/>
      <c r="P305" s="1"/>
      <c r="Q305" s="1"/>
      <c r="R305" s="1"/>
      <c r="S305" s="1"/>
      <c r="T305" s="1"/>
      <c r="U305" s="1"/>
      <c r="V305" s="1"/>
      <c r="W305" s="1"/>
      <c r="X305" s="1"/>
      <c r="Y305" s="1"/>
      <c r="Z305" s="1"/>
    </row>
    <row r="306" ht="10.5" customHeight="1">
      <c r="A306" s="1"/>
      <c r="B306" s="48" t="s">
        <v>112</v>
      </c>
      <c r="C306" s="54">
        <v>9338.9</v>
      </c>
      <c r="D306" s="250">
        <v>5423.4</v>
      </c>
      <c r="E306" s="250">
        <v>10961.4</v>
      </c>
      <c r="F306" s="250">
        <f t="shared" si="17"/>
        <v>25723.7</v>
      </c>
      <c r="G306" s="1"/>
      <c r="H306" s="1"/>
      <c r="I306" s="1"/>
      <c r="J306" s="1"/>
      <c r="K306" s="1"/>
      <c r="L306" s="1"/>
      <c r="M306" s="1"/>
      <c r="N306" s="1"/>
      <c r="O306" s="1"/>
      <c r="P306" s="1"/>
      <c r="Q306" s="1"/>
      <c r="R306" s="1"/>
      <c r="S306" s="1"/>
      <c r="T306" s="1"/>
      <c r="U306" s="1"/>
      <c r="V306" s="1"/>
      <c r="W306" s="1"/>
      <c r="X306" s="1"/>
      <c r="Y306" s="1"/>
      <c r="Z306" s="1"/>
    </row>
    <row r="307" ht="10.5" customHeight="1">
      <c r="A307" s="1"/>
      <c r="B307" s="48" t="s">
        <v>113</v>
      </c>
      <c r="C307" s="54">
        <v>9990.0</v>
      </c>
      <c r="D307" s="250">
        <v>6199.6</v>
      </c>
      <c r="E307" s="250">
        <v>11972.8</v>
      </c>
      <c r="F307" s="250">
        <f t="shared" si="17"/>
        <v>28162.4</v>
      </c>
      <c r="G307" s="1"/>
      <c r="H307" s="1"/>
      <c r="I307" s="1"/>
      <c r="J307" s="1"/>
      <c r="K307" s="90"/>
      <c r="L307" s="1"/>
      <c r="M307" s="1"/>
      <c r="N307" s="1"/>
      <c r="O307" s="1"/>
      <c r="P307" s="1"/>
      <c r="Q307" s="1"/>
      <c r="R307" s="1"/>
      <c r="S307" s="1"/>
      <c r="T307" s="1"/>
      <c r="U307" s="1"/>
      <c r="V307" s="1"/>
      <c r="W307" s="1"/>
      <c r="X307" s="1"/>
      <c r="Y307" s="1"/>
      <c r="Z307" s="1"/>
    </row>
    <row r="308" ht="10.5" customHeight="1">
      <c r="A308" s="1"/>
      <c r="B308" s="48" t="s">
        <v>114</v>
      </c>
      <c r="C308" s="54">
        <v>8661.8</v>
      </c>
      <c r="D308" s="250">
        <v>7411.3</v>
      </c>
      <c r="E308" s="250">
        <v>13868.2</v>
      </c>
      <c r="F308" s="250">
        <f t="shared" si="17"/>
        <v>29941.3</v>
      </c>
      <c r="G308" s="1"/>
      <c r="H308" s="1"/>
      <c r="I308" s="1"/>
      <c r="J308" s="1"/>
      <c r="K308" s="1"/>
      <c r="L308" s="1"/>
      <c r="M308" s="1"/>
      <c r="N308" s="1"/>
      <c r="O308" s="1"/>
      <c r="P308" s="1"/>
      <c r="Q308" s="1"/>
      <c r="R308" s="1"/>
      <c r="S308" s="1"/>
      <c r="T308" s="1"/>
      <c r="U308" s="1"/>
      <c r="V308" s="1"/>
      <c r="W308" s="1"/>
      <c r="X308" s="1"/>
      <c r="Y308" s="1"/>
      <c r="Z308" s="1"/>
    </row>
    <row r="309" ht="10.5" customHeight="1">
      <c r="A309" s="1"/>
      <c r="B309" s="48"/>
      <c r="C309" s="54"/>
      <c r="D309" s="250"/>
      <c r="E309" s="250"/>
      <c r="F309" s="250"/>
      <c r="G309" s="1"/>
      <c r="H309" s="1"/>
      <c r="I309" s="1"/>
      <c r="J309" s="1"/>
      <c r="K309" s="1"/>
      <c r="L309" s="1"/>
      <c r="M309" s="1"/>
      <c r="N309" s="1"/>
      <c r="O309" s="1"/>
      <c r="P309" s="1"/>
      <c r="Q309" s="1"/>
      <c r="R309" s="1"/>
      <c r="S309" s="1"/>
      <c r="T309" s="1"/>
      <c r="U309" s="1"/>
      <c r="V309" s="1"/>
      <c r="W309" s="1"/>
      <c r="X309" s="1"/>
      <c r="Y309" s="1"/>
      <c r="Z309" s="1"/>
    </row>
    <row r="310" ht="10.5" customHeight="1">
      <c r="A310" s="1"/>
      <c r="B310" s="168" t="s">
        <v>115</v>
      </c>
      <c r="C310" s="54">
        <v>13305.2</v>
      </c>
      <c r="D310" s="250">
        <v>8505.2</v>
      </c>
      <c r="E310" s="250">
        <v>14708.9</v>
      </c>
      <c r="F310" s="250">
        <f t="shared" ref="F310:F314" si="18">SUM(C310:E310)</f>
        <v>36519.3</v>
      </c>
      <c r="G310" s="1"/>
      <c r="H310" s="1"/>
      <c r="I310" s="1"/>
      <c r="J310" s="1"/>
      <c r="K310" s="1"/>
      <c r="L310" s="1"/>
      <c r="M310" s="1"/>
      <c r="N310" s="1"/>
      <c r="O310" s="1"/>
      <c r="P310" s="1"/>
      <c r="Q310" s="1"/>
      <c r="R310" s="1"/>
      <c r="S310" s="1"/>
      <c r="T310" s="1"/>
      <c r="U310" s="1"/>
      <c r="V310" s="1"/>
      <c r="W310" s="1"/>
      <c r="X310" s="1"/>
      <c r="Y310" s="1"/>
      <c r="Z310" s="1"/>
    </row>
    <row r="311" ht="10.5" customHeight="1">
      <c r="A311" s="1"/>
      <c r="B311" s="168" t="s">
        <v>117</v>
      </c>
      <c r="C311" s="54">
        <v>13954.3</v>
      </c>
      <c r="D311" s="250">
        <v>9463.5</v>
      </c>
      <c r="E311" s="250">
        <v>17040.5</v>
      </c>
      <c r="F311" s="250">
        <f t="shared" si="18"/>
        <v>40458.3</v>
      </c>
      <c r="G311" s="1"/>
      <c r="H311" s="1"/>
      <c r="I311" s="1"/>
      <c r="J311" s="1"/>
      <c r="K311" s="1"/>
      <c r="L311" s="1"/>
      <c r="M311" s="1"/>
      <c r="N311" s="1"/>
      <c r="O311" s="1"/>
      <c r="P311" s="1"/>
      <c r="Q311" s="1"/>
      <c r="R311" s="1"/>
      <c r="S311" s="1"/>
      <c r="T311" s="1"/>
      <c r="U311" s="1"/>
      <c r="V311" s="1"/>
      <c r="W311" s="1"/>
      <c r="X311" s="1"/>
      <c r="Y311" s="1"/>
      <c r="Z311" s="1"/>
    </row>
    <row r="312" ht="10.5" customHeight="1">
      <c r="A312" s="1"/>
      <c r="B312" s="168" t="s">
        <v>121</v>
      </c>
      <c r="C312" s="54">
        <v>13237.7</v>
      </c>
      <c r="D312" s="250">
        <v>10533.9</v>
      </c>
      <c r="E312" s="250">
        <v>19345.8</v>
      </c>
      <c r="F312" s="250">
        <f t="shared" si="18"/>
        <v>43117.4</v>
      </c>
      <c r="G312" s="1"/>
      <c r="H312" s="1"/>
      <c r="I312" s="1"/>
      <c r="J312" s="1"/>
      <c r="K312" s="1"/>
      <c r="L312" s="1"/>
      <c r="M312" s="1"/>
      <c r="N312" s="1"/>
      <c r="O312" s="1"/>
      <c r="P312" s="1"/>
      <c r="Q312" s="1"/>
      <c r="R312" s="1"/>
      <c r="S312" s="1"/>
      <c r="T312" s="1"/>
      <c r="U312" s="1"/>
      <c r="V312" s="1"/>
      <c r="W312" s="1"/>
      <c r="X312" s="1"/>
      <c r="Y312" s="1"/>
      <c r="Z312" s="1"/>
    </row>
    <row r="313" ht="10.5" customHeight="1">
      <c r="A313" s="1"/>
      <c r="B313" s="168" t="s">
        <v>122</v>
      </c>
      <c r="C313" s="54">
        <v>14916.2</v>
      </c>
      <c r="D313" s="250">
        <v>11837.6</v>
      </c>
      <c r="E313" s="250">
        <v>17915.9</v>
      </c>
      <c r="F313" s="250">
        <f t="shared" si="18"/>
        <v>44669.7</v>
      </c>
      <c r="G313" s="1"/>
      <c r="H313" s="1"/>
      <c r="I313" s="1"/>
      <c r="J313" s="1"/>
      <c r="K313" s="1"/>
      <c r="L313" s="1"/>
      <c r="M313" s="1"/>
      <c r="N313" s="1"/>
      <c r="O313" s="1"/>
      <c r="P313" s="1"/>
      <c r="Q313" s="1"/>
      <c r="R313" s="1"/>
      <c r="S313" s="1"/>
      <c r="T313" s="1"/>
      <c r="U313" s="1"/>
      <c r="V313" s="1"/>
      <c r="W313" s="1"/>
      <c r="X313" s="1"/>
      <c r="Y313" s="1"/>
      <c r="Z313" s="1"/>
    </row>
    <row r="314" ht="10.5" customHeight="1">
      <c r="A314" s="1"/>
      <c r="B314" s="168" t="s">
        <v>123</v>
      </c>
      <c r="C314" s="54">
        <v>14428.9</v>
      </c>
      <c r="D314" s="250">
        <v>12541.9</v>
      </c>
      <c r="E314" s="250">
        <v>19690.1</v>
      </c>
      <c r="F314" s="250">
        <f t="shared" si="18"/>
        <v>46660.9</v>
      </c>
      <c r="G314" s="1"/>
      <c r="H314" s="1"/>
      <c r="I314" s="1"/>
      <c r="J314" s="1"/>
      <c r="K314" s="1"/>
      <c r="L314" s="1"/>
      <c r="M314" s="1"/>
      <c r="N314" s="1"/>
      <c r="O314" s="1"/>
      <c r="P314" s="1"/>
      <c r="Q314" s="1"/>
      <c r="R314" s="1"/>
      <c r="S314" s="1"/>
      <c r="T314" s="1"/>
      <c r="U314" s="1"/>
      <c r="V314" s="1"/>
      <c r="W314" s="1"/>
      <c r="X314" s="1"/>
      <c r="Y314" s="1"/>
      <c r="Z314" s="1"/>
    </row>
    <row r="315" ht="10.5" customHeight="1">
      <c r="A315" s="1"/>
      <c r="B315" s="48"/>
      <c r="C315" s="54"/>
      <c r="D315" s="250"/>
      <c r="E315" s="250"/>
      <c r="F315" s="250"/>
      <c r="G315" s="1"/>
      <c r="H315" s="1"/>
      <c r="I315" s="1"/>
      <c r="J315" s="1"/>
      <c r="K315" s="1"/>
      <c r="L315" s="1"/>
      <c r="M315" s="1"/>
      <c r="N315" s="1"/>
      <c r="O315" s="1"/>
      <c r="P315" s="1"/>
      <c r="Q315" s="1"/>
      <c r="R315" s="1"/>
      <c r="S315" s="1"/>
      <c r="T315" s="1"/>
      <c r="U315" s="1"/>
      <c r="V315" s="1"/>
      <c r="W315" s="1"/>
      <c r="X315" s="1"/>
      <c r="Y315" s="1"/>
      <c r="Z315" s="1"/>
    </row>
    <row r="316" ht="10.5" customHeight="1">
      <c r="A316" s="1"/>
      <c r="B316" s="168" t="s">
        <v>125</v>
      </c>
      <c r="C316" s="54">
        <v>17922.7</v>
      </c>
      <c r="D316" s="250">
        <v>13094.2</v>
      </c>
      <c r="E316" s="250">
        <v>21168.7</v>
      </c>
      <c r="F316" s="250">
        <f t="shared" ref="F316:F320" si="19">SUM(C316:E316)</f>
        <v>52185.6</v>
      </c>
      <c r="G316" s="1"/>
      <c r="H316" s="1"/>
      <c r="I316" s="1"/>
      <c r="J316" s="1"/>
      <c r="K316" s="1"/>
      <c r="L316" s="1"/>
      <c r="M316" s="1"/>
      <c r="N316" s="1"/>
      <c r="O316" s="1"/>
      <c r="P316" s="1"/>
      <c r="Q316" s="1"/>
      <c r="R316" s="1"/>
      <c r="S316" s="1"/>
      <c r="T316" s="1"/>
      <c r="U316" s="1"/>
      <c r="V316" s="1"/>
      <c r="W316" s="1"/>
      <c r="X316" s="1"/>
      <c r="Y316" s="1"/>
      <c r="Z316" s="1"/>
    </row>
    <row r="317" ht="10.5" customHeight="1">
      <c r="A317" s="1"/>
      <c r="B317" s="168" t="s">
        <v>127</v>
      </c>
      <c r="C317" s="54">
        <v>27191.9</v>
      </c>
      <c r="D317" s="250">
        <v>15769.8</v>
      </c>
      <c r="E317" s="250">
        <v>25321.3</v>
      </c>
      <c r="F317" s="250">
        <f t="shared" si="19"/>
        <v>68283</v>
      </c>
      <c r="G317" s="1"/>
      <c r="H317" s="1"/>
      <c r="I317" s="1"/>
      <c r="J317" s="1"/>
      <c r="K317" s="1"/>
      <c r="L317" s="1"/>
      <c r="M317" s="1"/>
      <c r="N317" s="1"/>
      <c r="O317" s="1"/>
      <c r="P317" s="1"/>
      <c r="Q317" s="1"/>
      <c r="R317" s="1"/>
      <c r="S317" s="1"/>
      <c r="T317" s="1"/>
      <c r="U317" s="1"/>
      <c r="V317" s="1"/>
      <c r="W317" s="1"/>
      <c r="X317" s="1"/>
      <c r="Y317" s="1"/>
      <c r="Z317" s="1"/>
    </row>
    <row r="318" ht="10.5" customHeight="1">
      <c r="A318" s="1"/>
      <c r="B318" s="85" t="s">
        <v>128</v>
      </c>
      <c r="C318" s="54">
        <v>23061.2</v>
      </c>
      <c r="D318" s="250">
        <v>19551.1</v>
      </c>
      <c r="E318" s="250">
        <v>30319.2</v>
      </c>
      <c r="F318" s="250">
        <f t="shared" si="19"/>
        <v>72931.5</v>
      </c>
      <c r="G318" s="1"/>
      <c r="H318" s="1"/>
      <c r="I318" s="1"/>
      <c r="J318" s="1"/>
      <c r="K318" s="1"/>
      <c r="L318" s="1"/>
      <c r="M318" s="1"/>
      <c r="N318" s="1"/>
      <c r="O318" s="1"/>
      <c r="P318" s="1"/>
      <c r="Q318" s="1"/>
      <c r="R318" s="1"/>
      <c r="S318" s="1"/>
      <c r="T318" s="1"/>
      <c r="U318" s="1"/>
      <c r="V318" s="1"/>
      <c r="W318" s="1"/>
      <c r="X318" s="1"/>
      <c r="Y318" s="1"/>
      <c r="Z318" s="1"/>
    </row>
    <row r="319" ht="10.5" customHeight="1">
      <c r="A319" s="1"/>
      <c r="B319" s="85" t="s">
        <v>129</v>
      </c>
      <c r="C319" s="54">
        <v>20519.0</v>
      </c>
      <c r="D319" s="54">
        <v>21739.0</v>
      </c>
      <c r="E319" s="54">
        <v>31325.5</v>
      </c>
      <c r="F319" s="250">
        <f t="shared" si="19"/>
        <v>73583.5</v>
      </c>
      <c r="G319" s="1"/>
      <c r="H319" s="1"/>
      <c r="I319" s="1"/>
      <c r="J319" s="1"/>
      <c r="K319" s="1"/>
      <c r="L319" s="1"/>
      <c r="M319" s="1"/>
      <c r="N319" s="1"/>
      <c r="O319" s="1"/>
      <c r="P319" s="1"/>
      <c r="Q319" s="1"/>
      <c r="R319" s="1"/>
      <c r="S319" s="1"/>
      <c r="T319" s="1"/>
      <c r="U319" s="1"/>
      <c r="V319" s="1"/>
      <c r="W319" s="1"/>
      <c r="X319" s="1"/>
      <c r="Y319" s="1"/>
      <c r="Z319" s="1"/>
    </row>
    <row r="320" ht="10.5" customHeight="1">
      <c r="A320" s="1"/>
      <c r="B320" s="85" t="s">
        <v>130</v>
      </c>
      <c r="C320" s="54">
        <v>17751.5</v>
      </c>
      <c r="D320" s="54">
        <v>20694.9</v>
      </c>
      <c r="E320" s="54">
        <v>38666.2</v>
      </c>
      <c r="F320" s="250">
        <f t="shared" si="19"/>
        <v>77112.6</v>
      </c>
      <c r="G320" s="1"/>
      <c r="H320" s="1"/>
      <c r="I320" s="1"/>
      <c r="J320" s="1"/>
      <c r="K320" s="1"/>
      <c r="L320" s="1"/>
      <c r="M320" s="1"/>
      <c r="N320" s="1"/>
      <c r="O320" s="1"/>
      <c r="P320" s="1"/>
      <c r="Q320" s="1"/>
      <c r="R320" s="1"/>
      <c r="S320" s="1"/>
      <c r="T320" s="1"/>
      <c r="U320" s="1"/>
      <c r="V320" s="1"/>
      <c r="W320" s="1"/>
      <c r="X320" s="1"/>
      <c r="Y320" s="1"/>
      <c r="Z320" s="1"/>
    </row>
    <row r="321" ht="10.5" customHeight="1">
      <c r="A321" s="1"/>
      <c r="B321" s="85"/>
      <c r="C321" s="54"/>
      <c r="D321" s="54"/>
      <c r="E321" s="54"/>
      <c r="F321" s="250"/>
      <c r="G321" s="1"/>
      <c r="H321" s="1" t="s">
        <v>11</v>
      </c>
      <c r="I321" s="1"/>
      <c r="J321" s="1"/>
      <c r="K321" s="1"/>
      <c r="L321" s="1"/>
      <c r="M321" s="1"/>
      <c r="N321" s="1"/>
      <c r="O321" s="1"/>
      <c r="P321" s="1"/>
      <c r="Q321" s="1"/>
      <c r="R321" s="1"/>
      <c r="S321" s="1"/>
      <c r="T321" s="1"/>
      <c r="U321" s="1"/>
      <c r="V321" s="1"/>
      <c r="W321" s="1"/>
      <c r="X321" s="1"/>
      <c r="Y321" s="1"/>
      <c r="Z321" s="1"/>
    </row>
    <row r="322" ht="10.5" customHeight="1">
      <c r="A322" s="1"/>
      <c r="B322" s="48" t="s">
        <v>131</v>
      </c>
      <c r="C322" s="54">
        <v>18601.6</v>
      </c>
      <c r="D322" s="54">
        <v>20229.6</v>
      </c>
      <c r="E322" s="54">
        <v>40320.9</v>
      </c>
      <c r="F322" s="250">
        <f t="shared" ref="F322:F326" si="20">SUM(C322:E322)</f>
        <v>79152.1</v>
      </c>
      <c r="G322" s="1"/>
      <c r="H322" s="1"/>
      <c r="I322" s="1"/>
      <c r="J322" s="1"/>
      <c r="K322" s="1"/>
      <c r="L322" s="1"/>
      <c r="M322" s="1"/>
      <c r="N322" s="1"/>
      <c r="O322" s="1"/>
      <c r="P322" s="1"/>
      <c r="Q322" s="1"/>
      <c r="R322" s="1"/>
      <c r="S322" s="1"/>
      <c r="T322" s="1"/>
      <c r="U322" s="1"/>
      <c r="V322" s="1"/>
      <c r="W322" s="1"/>
      <c r="X322" s="1"/>
      <c r="Y322" s="1"/>
      <c r="Z322" s="1"/>
    </row>
    <row r="323" ht="10.5" customHeight="1">
      <c r="A323" s="1"/>
      <c r="B323" s="48" t="s">
        <v>133</v>
      </c>
      <c r="C323" s="54">
        <v>22920.1</v>
      </c>
      <c r="D323" s="54">
        <v>23409.8</v>
      </c>
      <c r="E323" s="54">
        <v>52205.2</v>
      </c>
      <c r="F323" s="250">
        <f t="shared" si="20"/>
        <v>98535.1</v>
      </c>
      <c r="G323" s="1"/>
      <c r="H323" s="1"/>
      <c r="I323" s="1"/>
      <c r="J323" s="1"/>
      <c r="K323" s="1"/>
      <c r="L323" s="1"/>
      <c r="M323" s="1"/>
      <c r="N323" s="1"/>
      <c r="O323" s="1"/>
      <c r="P323" s="1"/>
      <c r="Q323" s="1"/>
      <c r="R323" s="1"/>
      <c r="S323" s="1"/>
      <c r="T323" s="1"/>
      <c r="U323" s="1"/>
      <c r="V323" s="1"/>
      <c r="W323" s="1"/>
      <c r="X323" s="1"/>
      <c r="Y323" s="1"/>
      <c r="Z323" s="1"/>
    </row>
    <row r="324" ht="10.5" customHeight="1">
      <c r="A324" s="1"/>
      <c r="B324" s="48" t="s">
        <v>134</v>
      </c>
      <c r="C324" s="54">
        <v>40907.2</v>
      </c>
      <c r="D324" s="54">
        <v>28835.1</v>
      </c>
      <c r="E324" s="54">
        <v>59422.0</v>
      </c>
      <c r="F324" s="250">
        <f t="shared" si="20"/>
        <v>129164.3</v>
      </c>
      <c r="G324" s="1"/>
      <c r="H324" s="1"/>
      <c r="I324" s="1"/>
      <c r="J324" s="1"/>
      <c r="K324" s="1"/>
      <c r="L324" s="1"/>
      <c r="M324" s="1"/>
      <c r="N324" s="1"/>
      <c r="O324" s="1"/>
      <c r="P324" s="1"/>
      <c r="Q324" s="1"/>
      <c r="R324" s="1"/>
      <c r="S324" s="1"/>
      <c r="T324" s="1"/>
      <c r="U324" s="1"/>
      <c r="V324" s="1"/>
      <c r="W324" s="1"/>
      <c r="X324" s="1"/>
      <c r="Y324" s="1"/>
      <c r="Z324" s="1"/>
    </row>
    <row r="325" ht="10.5" customHeight="1">
      <c r="A325" s="1"/>
      <c r="B325" s="293">
        <v>39692.0</v>
      </c>
      <c r="C325" s="54">
        <v>35083.7</v>
      </c>
      <c r="D325" s="54">
        <v>33588.1</v>
      </c>
      <c r="E325" s="54">
        <v>65895.1</v>
      </c>
      <c r="F325" s="250">
        <f t="shared" si="20"/>
        <v>134566.9</v>
      </c>
      <c r="G325" s="1"/>
      <c r="H325" s="1"/>
      <c r="I325" s="1"/>
      <c r="J325" s="1"/>
      <c r="K325" s="1"/>
      <c r="L325" s="1"/>
      <c r="M325" s="1"/>
      <c r="N325" s="1"/>
      <c r="O325" s="1"/>
      <c r="P325" s="1"/>
      <c r="Q325" s="1"/>
      <c r="R325" s="1"/>
      <c r="S325" s="1"/>
      <c r="T325" s="1"/>
      <c r="U325" s="1"/>
      <c r="V325" s="1"/>
      <c r="W325" s="1"/>
      <c r="X325" s="1"/>
      <c r="Y325" s="1"/>
      <c r="Z325" s="1"/>
    </row>
    <row r="326" ht="10.5" customHeight="1">
      <c r="A326" s="1"/>
      <c r="B326" s="293">
        <v>40087.0</v>
      </c>
      <c r="C326" s="54">
        <v>30453.8</v>
      </c>
      <c r="D326" s="54">
        <v>33771.2</v>
      </c>
      <c r="E326" s="54">
        <v>68429.9</v>
      </c>
      <c r="F326" s="250">
        <f t="shared" si="20"/>
        <v>132654.9</v>
      </c>
      <c r="G326" s="1"/>
      <c r="H326" s="1"/>
      <c r="I326" s="1"/>
      <c r="J326" s="1"/>
      <c r="K326" s="1"/>
      <c r="L326" s="1"/>
      <c r="M326" s="1"/>
      <c r="N326" s="1"/>
      <c r="O326" s="1"/>
      <c r="P326" s="1"/>
      <c r="Q326" s="1"/>
      <c r="R326" s="1"/>
      <c r="S326" s="1"/>
      <c r="T326" s="1"/>
      <c r="U326" s="1"/>
      <c r="V326" s="1"/>
      <c r="W326" s="1"/>
      <c r="X326" s="1"/>
      <c r="Y326" s="1"/>
      <c r="Z326" s="1"/>
    </row>
    <row r="327" ht="10.5" customHeight="1">
      <c r="A327" s="1"/>
      <c r="B327" s="293"/>
      <c r="C327" s="54"/>
      <c r="D327" s="54"/>
      <c r="E327" s="54"/>
      <c r="F327" s="250"/>
      <c r="G327" s="1"/>
      <c r="H327" s="1"/>
      <c r="I327" s="1"/>
      <c r="J327" s="1"/>
      <c r="K327" s="1"/>
      <c r="L327" s="1"/>
      <c r="M327" s="1"/>
      <c r="N327" s="1"/>
      <c r="O327" s="1"/>
      <c r="P327" s="1"/>
      <c r="Q327" s="1"/>
      <c r="R327" s="1"/>
      <c r="S327" s="1"/>
      <c r="T327" s="1"/>
      <c r="U327" s="1"/>
      <c r="V327" s="1"/>
      <c r="W327" s="1"/>
      <c r="X327" s="1"/>
      <c r="Y327" s="1"/>
      <c r="Z327" s="1"/>
    </row>
    <row r="328" ht="10.5" customHeight="1">
      <c r="A328" s="1"/>
      <c r="B328" s="79" t="s">
        <v>139</v>
      </c>
      <c r="C328" s="54">
        <v>36611.6</v>
      </c>
      <c r="D328" s="54">
        <v>36791.1</v>
      </c>
      <c r="E328" s="54">
        <v>71185.5</v>
      </c>
      <c r="F328" s="250">
        <f>SUM(C328:E328)</f>
        <v>144588.2</v>
      </c>
      <c r="G328" s="1"/>
      <c r="H328" s="1"/>
      <c r="I328" s="1"/>
      <c r="J328" s="1"/>
      <c r="K328" s="1"/>
      <c r="L328" s="1"/>
      <c r="M328" s="1"/>
      <c r="N328" s="1"/>
      <c r="O328" s="1"/>
      <c r="P328" s="1"/>
      <c r="Q328" s="1"/>
      <c r="R328" s="1"/>
      <c r="S328" s="1"/>
      <c r="T328" s="1"/>
      <c r="U328" s="1"/>
      <c r="V328" s="1"/>
      <c r="W328" s="1"/>
      <c r="X328" s="1"/>
      <c r="Y328" s="1"/>
      <c r="Z328" s="1"/>
    </row>
    <row r="329" ht="10.5" customHeight="1">
      <c r="A329" s="1"/>
      <c r="B329" s="79" t="s">
        <v>143</v>
      </c>
      <c r="C329" s="54">
        <v>47679.8</v>
      </c>
      <c r="D329" s="54">
        <v>41874.7</v>
      </c>
      <c r="E329" s="54">
        <v>79036.6</v>
      </c>
      <c r="F329" s="250">
        <v>168591.1</v>
      </c>
      <c r="G329" s="1"/>
      <c r="H329" s="1"/>
      <c r="I329" s="1"/>
      <c r="J329" s="1"/>
      <c r="K329" s="1"/>
      <c r="L329" s="1"/>
      <c r="M329" s="1"/>
      <c r="N329" s="1"/>
      <c r="O329" s="1"/>
      <c r="P329" s="1"/>
      <c r="Q329" s="1"/>
      <c r="R329" s="1"/>
      <c r="S329" s="1"/>
      <c r="T329" s="1"/>
      <c r="U329" s="1"/>
      <c r="V329" s="1"/>
      <c r="W329" s="1"/>
      <c r="X329" s="1"/>
      <c r="Y329" s="1"/>
      <c r="Z329" s="1"/>
    </row>
    <row r="330" ht="10.5" customHeight="1">
      <c r="A330" s="1"/>
      <c r="B330" s="79" t="s">
        <v>149</v>
      </c>
      <c r="C330" s="54">
        <v>50740.6</v>
      </c>
      <c r="D330" s="54">
        <v>47737.1</v>
      </c>
      <c r="E330" s="54">
        <v>86146.2</v>
      </c>
      <c r="F330" s="250">
        <v>184623.9</v>
      </c>
      <c r="G330" s="1"/>
      <c r="H330" s="1"/>
      <c r="I330" s="1"/>
      <c r="J330" s="1"/>
      <c r="K330" s="1"/>
      <c r="L330" s="1"/>
      <c r="M330" s="1"/>
      <c r="N330" s="1"/>
      <c r="O330" s="1"/>
      <c r="P330" s="1"/>
      <c r="Q330" s="1"/>
      <c r="R330" s="1"/>
      <c r="S330" s="1"/>
      <c r="T330" s="1"/>
      <c r="U330" s="1"/>
      <c r="V330" s="1"/>
      <c r="W330" s="1"/>
      <c r="X330" s="1"/>
      <c r="Y330" s="1"/>
      <c r="Z330" s="1"/>
    </row>
    <row r="331" ht="10.5" customHeight="1">
      <c r="A331" s="1"/>
      <c r="B331" s="79" t="s">
        <v>151</v>
      </c>
      <c r="C331" s="54">
        <v>59402.7</v>
      </c>
      <c r="D331" s="54">
        <v>53889.9</v>
      </c>
      <c r="E331" s="54">
        <v>96179.7</v>
      </c>
      <c r="F331" s="250">
        <v>209472.3</v>
      </c>
      <c r="G331" s="1"/>
      <c r="H331" s="1"/>
      <c r="I331" s="1"/>
      <c r="J331" s="1"/>
      <c r="K331" s="1"/>
      <c r="L331" s="1"/>
      <c r="M331" s="1"/>
      <c r="N331" s="1"/>
      <c r="O331" s="1"/>
      <c r="P331" s="1"/>
      <c r="Q331" s="1"/>
      <c r="R331" s="1"/>
      <c r="S331" s="1"/>
      <c r="T331" s="1"/>
      <c r="U331" s="1"/>
      <c r="V331" s="1"/>
      <c r="W331" s="1"/>
      <c r="X331" s="1"/>
      <c r="Y331" s="1"/>
      <c r="Z331" s="1"/>
    </row>
    <row r="332" ht="10.5" customHeight="1">
      <c r="A332" s="1"/>
      <c r="B332" s="79" t="s">
        <v>153</v>
      </c>
      <c r="C332" s="54">
        <v>54966.6</v>
      </c>
      <c r="D332" s="54">
        <v>60771.3</v>
      </c>
      <c r="E332" s="54">
        <v>109053.6</v>
      </c>
      <c r="F332" s="250">
        <v>224791.5</v>
      </c>
      <c r="G332" s="1"/>
      <c r="H332" s="1"/>
      <c r="I332" s="1"/>
      <c r="J332" s="1"/>
      <c r="K332" s="1"/>
      <c r="L332" s="1"/>
      <c r="M332" s="1"/>
      <c r="N332" s="1"/>
      <c r="O332" s="1"/>
      <c r="P332" s="1"/>
      <c r="Q332" s="1"/>
      <c r="R332" s="1"/>
      <c r="S332" s="1"/>
      <c r="T332" s="1"/>
      <c r="U332" s="1"/>
      <c r="V332" s="1"/>
      <c r="W332" s="1"/>
      <c r="X332" s="1"/>
      <c r="Y332" s="1"/>
      <c r="Z332" s="1"/>
    </row>
    <row r="333" ht="10.5" customHeight="1">
      <c r="A333" s="1"/>
      <c r="B333" s="79"/>
      <c r="C333" s="54"/>
      <c r="D333" s="54"/>
      <c r="E333" s="54"/>
      <c r="F333" s="250"/>
      <c r="G333" s="1"/>
      <c r="H333" s="1"/>
      <c r="I333" s="1"/>
      <c r="J333" s="1"/>
      <c r="K333" s="1"/>
      <c r="L333" s="1"/>
      <c r="M333" s="1"/>
      <c r="N333" s="1"/>
      <c r="O333" s="1"/>
      <c r="P333" s="1"/>
      <c r="Q333" s="1"/>
      <c r="R333" s="1"/>
      <c r="S333" s="1"/>
      <c r="T333" s="1"/>
      <c r="U333" s="1"/>
      <c r="V333" s="1"/>
      <c r="W333" s="1"/>
      <c r="X333" s="1"/>
      <c r="Y333" s="1"/>
      <c r="Z333" s="1"/>
    </row>
    <row r="334" ht="10.5" customHeight="1">
      <c r="A334" s="1"/>
      <c r="B334" s="79" t="s">
        <v>155</v>
      </c>
      <c r="C334" s="54">
        <v>55778.5</v>
      </c>
      <c r="D334" s="54">
        <v>72996.1</v>
      </c>
      <c r="E334" s="54">
        <v>114616.2</v>
      </c>
      <c r="F334" s="250">
        <v>243390.8</v>
      </c>
      <c r="G334" s="1"/>
      <c r="H334" s="1"/>
      <c r="I334" s="1"/>
      <c r="J334" s="1"/>
      <c r="K334" s="1"/>
      <c r="L334" s="1"/>
      <c r="M334" s="1"/>
      <c r="N334" s="1"/>
      <c r="O334" s="1"/>
      <c r="P334" s="1"/>
      <c r="Q334" s="1"/>
      <c r="R334" s="1"/>
      <c r="S334" s="1"/>
      <c r="T334" s="1"/>
      <c r="U334" s="1"/>
      <c r="V334" s="1"/>
      <c r="W334" s="1"/>
      <c r="X334" s="1"/>
      <c r="Y334" s="1"/>
      <c r="Z334" s="1"/>
    </row>
    <row r="335" ht="10.5" customHeight="1">
      <c r="A335" s="1"/>
      <c r="B335" s="97" t="s">
        <v>1559</v>
      </c>
      <c r="C335" s="107">
        <v>65770.7</v>
      </c>
      <c r="D335" s="107">
        <v>74239.6</v>
      </c>
      <c r="E335" s="107">
        <v>126591.6</v>
      </c>
      <c r="F335" s="107">
        <v>266601.9</v>
      </c>
      <c r="G335" s="1"/>
      <c r="H335" s="1"/>
      <c r="I335" s="1"/>
      <c r="J335" s="1"/>
      <c r="K335" s="1"/>
      <c r="L335" s="1"/>
      <c r="M335" s="1"/>
      <c r="N335" s="1"/>
      <c r="O335" s="1"/>
      <c r="P335" s="1"/>
      <c r="Q335" s="1"/>
      <c r="R335" s="1"/>
      <c r="S335" s="1"/>
      <c r="T335" s="1"/>
      <c r="U335" s="1"/>
      <c r="V335" s="1"/>
      <c r="W335" s="1"/>
      <c r="X335" s="1"/>
      <c r="Y335" s="1"/>
      <c r="Z335" s="1"/>
    </row>
    <row r="336" ht="10.5" customHeight="1">
      <c r="A336" s="1"/>
      <c r="B336" s="658"/>
      <c r="C336" s="285"/>
      <c r="D336" s="285"/>
      <c r="E336" s="285"/>
      <c r="F336" s="285"/>
      <c r="G336" s="1"/>
      <c r="H336" s="1"/>
      <c r="I336" s="1"/>
      <c r="J336" s="1"/>
      <c r="K336" s="1"/>
      <c r="L336" s="1"/>
      <c r="M336" s="1"/>
      <c r="N336" s="1"/>
      <c r="O336" s="1"/>
      <c r="P336" s="1"/>
      <c r="Q336" s="1"/>
      <c r="R336" s="1"/>
      <c r="S336" s="1"/>
      <c r="T336" s="1"/>
      <c r="U336" s="1"/>
      <c r="V336" s="1"/>
      <c r="W336" s="1"/>
      <c r="X336" s="1"/>
      <c r="Y336" s="1"/>
      <c r="Z336" s="1"/>
    </row>
    <row r="337" ht="10.5" customHeight="1">
      <c r="A337" s="1"/>
      <c r="B337" s="185" t="s">
        <v>1560</v>
      </c>
      <c r="C337" s="612"/>
      <c r="D337" s="612"/>
      <c r="E337" s="612"/>
      <c r="F337" s="612"/>
      <c r="G337" s="1"/>
      <c r="H337" s="1"/>
      <c r="I337" s="1"/>
      <c r="J337" s="1"/>
      <c r="K337" s="1"/>
      <c r="L337" s="1"/>
      <c r="M337" s="1"/>
      <c r="N337" s="1"/>
      <c r="O337" s="1"/>
      <c r="P337" s="1"/>
      <c r="Q337" s="1"/>
      <c r="R337" s="1"/>
      <c r="S337" s="1"/>
      <c r="T337" s="1"/>
      <c r="U337" s="1"/>
      <c r="V337" s="1"/>
      <c r="W337" s="1"/>
      <c r="X337" s="1"/>
      <c r="Y337" s="1"/>
      <c r="Z337" s="1"/>
    </row>
    <row r="338" ht="10.5" customHeight="1">
      <c r="A338" s="1"/>
      <c r="B338" s="1"/>
      <c r="C338" s="612"/>
      <c r="D338" s="612"/>
      <c r="E338" s="612"/>
      <c r="F338" s="612"/>
      <c r="G338" s="612"/>
      <c r="H338" s="1"/>
      <c r="I338" s="1"/>
      <c r="J338" s="1"/>
      <c r="K338" s="1"/>
      <c r="L338" s="1"/>
      <c r="M338" s="58"/>
      <c r="N338" s="1"/>
      <c r="O338" s="1"/>
      <c r="P338" s="1"/>
      <c r="Q338" s="1"/>
      <c r="R338" s="1"/>
      <c r="S338" s="1"/>
      <c r="T338" s="1"/>
      <c r="U338" s="1"/>
      <c r="V338" s="1"/>
      <c r="W338" s="1"/>
      <c r="X338" s="1"/>
      <c r="Y338" s="1"/>
      <c r="Z338" s="1"/>
    </row>
    <row r="339" ht="10.5" customHeight="1">
      <c r="A339" s="1"/>
      <c r="B339" s="1"/>
      <c r="C339" s="612"/>
      <c r="D339" s="612"/>
      <c r="E339" s="612"/>
      <c r="F339" s="612"/>
      <c r="G339" s="1"/>
      <c r="H339" s="1"/>
      <c r="I339" s="1"/>
      <c r="J339" s="1"/>
      <c r="K339" s="1"/>
      <c r="L339" s="1"/>
      <c r="M339" s="1"/>
      <c r="N339" s="1"/>
      <c r="O339" s="1"/>
      <c r="P339" s="1"/>
      <c r="Q339" s="1"/>
      <c r="R339" s="1"/>
      <c r="S339" s="1"/>
      <c r="T339" s="1"/>
      <c r="U339" s="1"/>
      <c r="V339" s="1"/>
      <c r="W339" s="1"/>
      <c r="X339" s="1"/>
      <c r="Y339" s="1"/>
      <c r="Z339" s="1"/>
    </row>
    <row r="340" ht="10.5" customHeight="1">
      <c r="A340" s="1"/>
      <c r="B340" s="1"/>
      <c r="C340" s="612"/>
      <c r="D340" s="612"/>
      <c r="E340" s="612"/>
      <c r="F340" s="612"/>
      <c r="G340" s="1"/>
      <c r="H340" s="1"/>
      <c r="I340" s="1"/>
      <c r="J340" s="1"/>
      <c r="K340" s="1"/>
      <c r="L340" s="1"/>
      <c r="M340" s="1"/>
      <c r="N340" s="1"/>
      <c r="O340" s="1"/>
      <c r="P340" s="1"/>
      <c r="Q340" s="1"/>
      <c r="R340" s="1"/>
      <c r="S340" s="1"/>
      <c r="T340" s="1"/>
      <c r="U340" s="1"/>
      <c r="V340" s="1"/>
      <c r="W340" s="1"/>
      <c r="X340" s="1"/>
      <c r="Y340" s="1"/>
      <c r="Z340" s="1"/>
    </row>
    <row r="341" ht="10.5" customHeight="1">
      <c r="A341" s="1"/>
      <c r="B341" s="1"/>
      <c r="C341" s="612"/>
      <c r="D341" s="612"/>
      <c r="E341" s="612"/>
      <c r="F341" s="612"/>
      <c r="G341" s="1"/>
      <c r="H341" s="1"/>
      <c r="I341" s="1"/>
      <c r="J341" s="1"/>
      <c r="K341" s="1"/>
      <c r="L341" s="1"/>
      <c r="M341" s="1"/>
      <c r="N341" s="1"/>
      <c r="O341" s="1"/>
      <c r="P341" s="1"/>
      <c r="Q341" s="1"/>
      <c r="R341" s="1"/>
      <c r="S341" s="1"/>
      <c r="T341" s="1"/>
      <c r="U341" s="1"/>
      <c r="V341" s="1"/>
      <c r="W341" s="1"/>
      <c r="X341" s="1"/>
      <c r="Y341" s="1"/>
      <c r="Z341" s="1"/>
    </row>
    <row r="342" ht="10.5" customHeight="1">
      <c r="A342" s="1"/>
      <c r="B342" s="1"/>
      <c r="C342" s="612"/>
      <c r="D342" s="612"/>
      <c r="E342" s="612"/>
      <c r="F342" s="612"/>
      <c r="G342" s="110">
        <v>78.0</v>
      </c>
      <c r="H342" s="1"/>
      <c r="I342" s="1"/>
      <c r="J342" s="1"/>
      <c r="K342" s="1"/>
      <c r="L342" s="1"/>
      <c r="M342" s="1"/>
      <c r="N342" s="1"/>
      <c r="O342" s="1"/>
      <c r="P342" s="1"/>
      <c r="Q342" s="1"/>
      <c r="R342" s="1"/>
      <c r="S342" s="1"/>
      <c r="T342" s="1"/>
      <c r="U342" s="1"/>
      <c r="V342" s="1"/>
      <c r="W342" s="1"/>
      <c r="X342" s="1"/>
      <c r="Y342" s="1"/>
      <c r="Z342" s="1"/>
    </row>
    <row r="343" ht="10.5" customHeight="1">
      <c r="A343" s="1"/>
      <c r="B343" s="1"/>
      <c r="C343" s="612"/>
      <c r="D343" s="612"/>
      <c r="E343" s="612"/>
      <c r="F343" s="612"/>
      <c r="G343" s="1"/>
      <c r="H343" s="1"/>
      <c r="I343" s="1"/>
      <c r="J343" s="1"/>
      <c r="K343" s="1"/>
      <c r="L343" s="1"/>
      <c r="M343" s="1"/>
      <c r="N343" s="1"/>
      <c r="O343" s="1"/>
      <c r="P343" s="1"/>
      <c r="Q343" s="1"/>
      <c r="R343" s="58"/>
      <c r="S343" s="1"/>
      <c r="T343" s="1"/>
      <c r="U343" s="1"/>
      <c r="V343" s="1"/>
      <c r="W343" s="1"/>
      <c r="X343" s="1"/>
      <c r="Y343" s="1"/>
      <c r="Z343" s="1"/>
    </row>
    <row r="344" ht="11.25" customHeight="1">
      <c r="A344" s="1"/>
      <c r="B344" s="1" t="s">
        <v>1561</v>
      </c>
      <c r="C344" s="1"/>
      <c r="D344" s="1"/>
      <c r="E344" s="1"/>
      <c r="F344" s="1"/>
      <c r="G344" s="1"/>
      <c r="H344" s="1"/>
      <c r="I344" s="1"/>
      <c r="J344" s="1"/>
      <c r="K344" s="1"/>
      <c r="L344" s="1"/>
      <c r="M344" s="1"/>
      <c r="N344" s="1"/>
      <c r="O344" s="1"/>
      <c r="P344" s="195"/>
      <c r="Q344" s="1"/>
      <c r="R344" s="1"/>
      <c r="S344" s="1"/>
      <c r="T344" s="1"/>
      <c r="U344" s="1"/>
      <c r="V344" s="1"/>
      <c r="W344" s="1"/>
      <c r="X344" s="1"/>
      <c r="Y344" s="1"/>
      <c r="Z344" s="1"/>
    </row>
    <row r="345" ht="11.25" customHeight="1">
      <c r="A345" s="1"/>
      <c r="B345" s="866" t="s">
        <v>1</v>
      </c>
      <c r="C345" s="70"/>
      <c r="D345" s="917" t="s">
        <v>127</v>
      </c>
      <c r="E345" s="917" t="s">
        <v>128</v>
      </c>
      <c r="F345" s="505" t="s">
        <v>129</v>
      </c>
      <c r="G345" s="505" t="s">
        <v>130</v>
      </c>
      <c r="H345" s="798" t="s">
        <v>131</v>
      </c>
      <c r="I345" s="765" t="s">
        <v>133</v>
      </c>
      <c r="J345" s="918">
        <v>39295.0</v>
      </c>
      <c r="K345" s="918">
        <v>39692.0</v>
      </c>
      <c r="L345" s="918">
        <v>40087.0</v>
      </c>
      <c r="M345" s="766" t="s">
        <v>139</v>
      </c>
      <c r="N345" s="766" t="s">
        <v>143</v>
      </c>
      <c r="O345" s="766" t="s">
        <v>149</v>
      </c>
      <c r="P345" s="766" t="s">
        <v>151</v>
      </c>
      <c r="Q345" s="919" t="s">
        <v>153</v>
      </c>
      <c r="R345" s="919" t="s">
        <v>155</v>
      </c>
      <c r="S345" s="919" t="s">
        <v>1562</v>
      </c>
      <c r="T345" s="1"/>
      <c r="U345" s="1"/>
      <c r="V345" s="1"/>
      <c r="W345" s="1"/>
      <c r="X345" s="1"/>
      <c r="Y345" s="1"/>
      <c r="Z345" s="1"/>
    </row>
    <row r="346" ht="12.0" customHeight="1">
      <c r="A346" s="1"/>
      <c r="B346" s="118"/>
      <c r="C346" s="94"/>
      <c r="D346" s="920" t="s">
        <v>50</v>
      </c>
      <c r="E346" s="9"/>
      <c r="F346" s="9"/>
      <c r="G346" s="9"/>
      <c r="H346" s="9"/>
      <c r="I346" s="9"/>
      <c r="J346" s="9"/>
      <c r="K346" s="9"/>
      <c r="L346" s="9"/>
      <c r="M346" s="9"/>
      <c r="N346" s="9"/>
      <c r="O346" s="9"/>
      <c r="P346" s="9"/>
      <c r="Q346" s="9"/>
      <c r="R346" s="9"/>
      <c r="S346" s="10"/>
      <c r="T346" s="1"/>
      <c r="U346" s="1"/>
      <c r="V346" s="1"/>
      <c r="W346" s="1"/>
      <c r="X346" s="1"/>
      <c r="Y346" s="1"/>
      <c r="Z346" s="1"/>
    </row>
    <row r="347" ht="10.5" customHeight="1">
      <c r="A347" s="1"/>
      <c r="B347" s="129" t="s">
        <v>1563</v>
      </c>
      <c r="C347" s="87"/>
      <c r="D347" s="30">
        <v>1.3814457E7</v>
      </c>
      <c r="E347" s="30">
        <v>9134479.0</v>
      </c>
      <c r="F347" s="30">
        <v>8217185.0</v>
      </c>
      <c r="G347" s="30">
        <v>7473768.0</v>
      </c>
      <c r="H347" s="14">
        <v>7418730.0</v>
      </c>
      <c r="I347" s="12">
        <v>1.0641551E7</v>
      </c>
      <c r="J347" s="12">
        <v>2.1926055E7</v>
      </c>
      <c r="K347" s="12">
        <v>1.6399129E7</v>
      </c>
      <c r="L347" s="127">
        <v>1.3485988E7</v>
      </c>
      <c r="M347" s="192">
        <v>1.672529E7</v>
      </c>
      <c r="N347" s="192">
        <v>2.5123585E7</v>
      </c>
      <c r="O347" s="192">
        <v>2.5051453E7</v>
      </c>
      <c r="P347" s="541">
        <v>2.8496153E7</v>
      </c>
      <c r="Q347" s="12">
        <v>2.4859994E7</v>
      </c>
      <c r="R347" s="921">
        <v>2.6472758E7</v>
      </c>
      <c r="S347" s="428">
        <v>2.9824219E7</v>
      </c>
      <c r="T347" s="1"/>
      <c r="U347" s="1"/>
      <c r="V347" s="1"/>
      <c r="W347" s="1"/>
      <c r="X347" s="1"/>
      <c r="Y347" s="1"/>
      <c r="Z347" s="1"/>
    </row>
    <row r="348" ht="10.5" customHeight="1">
      <c r="A348" s="1"/>
      <c r="B348" s="129" t="s">
        <v>1564</v>
      </c>
      <c r="C348" s="87"/>
      <c r="D348" s="30">
        <v>3559642.0</v>
      </c>
      <c r="E348" s="30">
        <v>3832257.0</v>
      </c>
      <c r="F348" s="30">
        <v>2209104.0</v>
      </c>
      <c r="G348" s="13">
        <v>1841644.0</v>
      </c>
      <c r="H348" s="14">
        <v>1978498.0</v>
      </c>
      <c r="I348" s="12">
        <v>3222667.0</v>
      </c>
      <c r="J348" s="12">
        <v>4794331.0</v>
      </c>
      <c r="K348" s="12">
        <v>4957581.0</v>
      </c>
      <c r="L348" s="12">
        <v>3162491.0</v>
      </c>
      <c r="M348" s="33">
        <v>3324353.0</v>
      </c>
      <c r="N348" s="33">
        <v>4773681.0</v>
      </c>
      <c r="O348" s="33">
        <v>5474341.0</v>
      </c>
      <c r="P348" s="541">
        <v>5410103.0</v>
      </c>
      <c r="Q348" s="12">
        <v>5366216.0</v>
      </c>
      <c r="R348" s="921">
        <v>5456442.0</v>
      </c>
      <c r="S348" s="428">
        <v>7107286.0</v>
      </c>
      <c r="T348" s="1"/>
      <c r="U348" s="1"/>
      <c r="V348" s="1"/>
      <c r="W348" s="1"/>
      <c r="X348" s="1"/>
      <c r="Y348" s="1"/>
      <c r="Z348" s="1"/>
    </row>
    <row r="349" ht="10.5" customHeight="1">
      <c r="A349" s="1"/>
      <c r="B349" s="129" t="s">
        <v>1565</v>
      </c>
      <c r="C349" s="87"/>
      <c r="D349" s="30">
        <v>42895.0</v>
      </c>
      <c r="E349" s="30">
        <v>55306.0</v>
      </c>
      <c r="F349" s="30">
        <v>36164.0</v>
      </c>
      <c r="G349" s="30">
        <v>38784.0</v>
      </c>
      <c r="H349" s="14">
        <v>31675.0</v>
      </c>
      <c r="I349" s="12">
        <v>39371.0</v>
      </c>
      <c r="J349" s="12">
        <v>68534.0</v>
      </c>
      <c r="K349" s="12">
        <v>55290.0</v>
      </c>
      <c r="L349" s="12">
        <v>48266.0</v>
      </c>
      <c r="M349" s="33">
        <v>73783.0</v>
      </c>
      <c r="N349" s="33">
        <v>132846.0</v>
      </c>
      <c r="O349" s="33">
        <v>116427.0</v>
      </c>
      <c r="P349" s="541">
        <v>64189.0</v>
      </c>
      <c r="Q349" s="12">
        <v>70268.0</v>
      </c>
      <c r="R349" s="921">
        <v>159740.0</v>
      </c>
      <c r="S349" s="428">
        <v>152241.0</v>
      </c>
      <c r="T349" s="1"/>
      <c r="U349" s="1"/>
      <c r="V349" s="1"/>
      <c r="W349" s="1"/>
      <c r="X349" s="1"/>
      <c r="Y349" s="1"/>
      <c r="Z349" s="1"/>
    </row>
    <row r="350" ht="10.5" customHeight="1">
      <c r="A350" s="1"/>
      <c r="B350" s="129" t="s">
        <v>1566</v>
      </c>
      <c r="C350" s="87"/>
      <c r="D350" s="30">
        <v>131400.0</v>
      </c>
      <c r="E350" s="30">
        <v>215863.0</v>
      </c>
      <c r="F350" s="30">
        <v>343920.0</v>
      </c>
      <c r="G350" s="30">
        <v>248326.0</v>
      </c>
      <c r="H350" s="14">
        <v>257129.0</v>
      </c>
      <c r="I350" s="12">
        <v>372036.27452711936</v>
      </c>
      <c r="J350" s="12">
        <v>332495.0</v>
      </c>
      <c r="K350" s="12">
        <v>514400.0</v>
      </c>
      <c r="L350" s="12">
        <v>459194.0</v>
      </c>
      <c r="M350" s="33">
        <v>389230.0</v>
      </c>
      <c r="N350" s="33">
        <v>710495.0</v>
      </c>
      <c r="O350" s="33">
        <v>744700.0</v>
      </c>
      <c r="P350" s="541">
        <v>673851.0</v>
      </c>
      <c r="Q350" s="12">
        <v>798576.0</v>
      </c>
      <c r="R350" s="921">
        <v>1028546.0</v>
      </c>
      <c r="S350" s="428">
        <v>1190015.0</v>
      </c>
      <c r="T350" s="1"/>
      <c r="U350" s="1"/>
      <c r="V350" s="1"/>
      <c r="W350" s="1"/>
      <c r="X350" s="1"/>
      <c r="Y350" s="1"/>
      <c r="Z350" s="1"/>
    </row>
    <row r="351" ht="10.5" customHeight="1">
      <c r="A351" s="1"/>
      <c r="B351" s="129" t="s">
        <v>1567</v>
      </c>
      <c r="C351" s="87"/>
      <c r="D351" s="30">
        <v>42179.0</v>
      </c>
      <c r="E351" s="30">
        <v>96368.0</v>
      </c>
      <c r="F351" s="30">
        <v>71568.0</v>
      </c>
      <c r="G351" s="30">
        <v>55852.16</v>
      </c>
      <c r="H351" s="14">
        <v>74545.0</v>
      </c>
      <c r="I351" s="12">
        <v>97720.0</v>
      </c>
      <c r="J351" s="12">
        <v>102870.0</v>
      </c>
      <c r="K351" s="12">
        <v>96720.0</v>
      </c>
      <c r="L351" s="12">
        <v>112280.0</v>
      </c>
      <c r="M351" s="33">
        <v>117417.0</v>
      </c>
      <c r="N351" s="33">
        <v>270480.0</v>
      </c>
      <c r="O351" s="33">
        <v>376040.0</v>
      </c>
      <c r="P351" s="541">
        <v>520888.0</v>
      </c>
      <c r="Q351" s="12">
        <v>574750.0</v>
      </c>
      <c r="R351" s="921">
        <v>553350.0</v>
      </c>
      <c r="S351" s="428">
        <v>599239.0</v>
      </c>
      <c r="T351" s="1"/>
      <c r="U351" s="1"/>
      <c r="V351" s="1"/>
      <c r="W351" s="1"/>
      <c r="X351" s="1"/>
      <c r="Y351" s="1"/>
      <c r="Z351" s="1"/>
    </row>
    <row r="352" ht="10.5" customHeight="1">
      <c r="A352" s="1"/>
      <c r="B352" s="129" t="s">
        <v>1568</v>
      </c>
      <c r="C352" s="87"/>
      <c r="D352" s="30">
        <v>386526.0</v>
      </c>
      <c r="E352" s="30">
        <v>376784.0</v>
      </c>
      <c r="F352" s="30">
        <v>404226.0</v>
      </c>
      <c r="G352" s="30">
        <v>140883.0</v>
      </c>
      <c r="H352" s="14">
        <v>131532.0</v>
      </c>
      <c r="I352" s="12">
        <v>300246.0</v>
      </c>
      <c r="J352" s="12">
        <v>520353.0</v>
      </c>
      <c r="K352" s="12">
        <v>475261.0</v>
      </c>
      <c r="L352" s="12">
        <v>312637.0</v>
      </c>
      <c r="M352" s="33">
        <v>297964.0</v>
      </c>
      <c r="N352" s="33">
        <v>416834.0</v>
      </c>
      <c r="O352" s="33">
        <v>455638.0</v>
      </c>
      <c r="P352" s="541">
        <v>800511.0</v>
      </c>
      <c r="Q352" s="12">
        <v>329933.0</v>
      </c>
      <c r="R352" s="921">
        <v>278443.0</v>
      </c>
      <c r="S352" s="428">
        <v>459167.0</v>
      </c>
      <c r="T352" s="1"/>
      <c r="U352" s="1"/>
      <c r="V352" s="1"/>
      <c r="W352" s="1"/>
      <c r="X352" s="1"/>
      <c r="Y352" s="1"/>
      <c r="Z352" s="1"/>
    </row>
    <row r="353" ht="10.5" customHeight="1">
      <c r="A353" s="1"/>
      <c r="B353" s="129" t="s">
        <v>1569</v>
      </c>
      <c r="C353" s="87"/>
      <c r="D353" s="30">
        <v>1608979.0</v>
      </c>
      <c r="E353" s="30">
        <v>1969412.0</v>
      </c>
      <c r="F353" s="30">
        <v>2532059.0</v>
      </c>
      <c r="G353" s="30">
        <v>2402649.0</v>
      </c>
      <c r="H353" s="14">
        <v>2365232.0</v>
      </c>
      <c r="I353" s="12">
        <v>2174874.0</v>
      </c>
      <c r="J353" s="12">
        <v>2600339.0</v>
      </c>
      <c r="K353" s="12">
        <v>2647848.0</v>
      </c>
      <c r="L353" s="12">
        <v>3022010.0</v>
      </c>
      <c r="M353" s="33">
        <v>3063978.0</v>
      </c>
      <c r="N353" s="33">
        <v>3330491.0</v>
      </c>
      <c r="O353" s="33">
        <v>2977432.0</v>
      </c>
      <c r="P353" s="541">
        <v>3444655.0</v>
      </c>
      <c r="Q353" s="12">
        <v>4089150.0</v>
      </c>
      <c r="R353" s="921">
        <v>3384046.0</v>
      </c>
      <c r="S353" s="428">
        <v>4025378.0</v>
      </c>
      <c r="T353" s="1"/>
      <c r="U353" s="1"/>
      <c r="V353" s="1"/>
      <c r="W353" s="1"/>
      <c r="X353" s="1"/>
      <c r="Y353" s="1"/>
      <c r="Z353" s="1"/>
    </row>
    <row r="354" ht="10.5" customHeight="1">
      <c r="A354" s="1"/>
      <c r="B354" s="129" t="s">
        <v>1570</v>
      </c>
      <c r="C354" s="87"/>
      <c r="D354" s="30">
        <v>6112.0</v>
      </c>
      <c r="E354" s="30">
        <v>9851.0</v>
      </c>
      <c r="F354" s="30">
        <v>8096.0</v>
      </c>
      <c r="G354" s="30">
        <v>8256.0</v>
      </c>
      <c r="H354" s="14">
        <v>4157.0</v>
      </c>
      <c r="I354" s="12">
        <v>8455.0</v>
      </c>
      <c r="J354" s="12">
        <v>3569.0</v>
      </c>
      <c r="K354" s="12">
        <v>19047.0</v>
      </c>
      <c r="L354" s="12">
        <v>13472.0</v>
      </c>
      <c r="M354" s="33">
        <v>12018.0</v>
      </c>
      <c r="N354" s="33">
        <v>16788.0</v>
      </c>
      <c r="O354" s="33">
        <v>21323.0</v>
      </c>
      <c r="P354" s="541">
        <v>12952.0</v>
      </c>
      <c r="Q354" s="12">
        <v>71779.0</v>
      </c>
      <c r="R354" s="921">
        <v>71617.0</v>
      </c>
      <c r="S354" s="428">
        <v>69120.0</v>
      </c>
      <c r="T354" s="1"/>
      <c r="U354" s="1"/>
      <c r="V354" s="1"/>
      <c r="W354" s="1"/>
      <c r="X354" s="1"/>
      <c r="Y354" s="1"/>
      <c r="Z354" s="1"/>
    </row>
    <row r="355" ht="10.5" customHeight="1">
      <c r="A355" s="1"/>
      <c r="B355" s="129" t="s">
        <v>1571</v>
      </c>
      <c r="C355" s="87"/>
      <c r="D355" s="30">
        <v>281064.0</v>
      </c>
      <c r="E355" s="30">
        <v>286017.0</v>
      </c>
      <c r="F355" s="30">
        <v>297908.0</v>
      </c>
      <c r="G355" s="30">
        <v>244412.0</v>
      </c>
      <c r="H355" s="14">
        <v>324729.0</v>
      </c>
      <c r="I355" s="12">
        <v>269435.0</v>
      </c>
      <c r="J355" s="12">
        <v>473947.0</v>
      </c>
      <c r="K355" s="12">
        <v>513019.0</v>
      </c>
      <c r="L355" s="12">
        <v>367439.0</v>
      </c>
      <c r="M355" s="33">
        <v>300390.0</v>
      </c>
      <c r="N355" s="33">
        <v>536030.0</v>
      </c>
      <c r="O355" s="33">
        <v>798481.0</v>
      </c>
      <c r="P355" s="541">
        <v>1109141.0</v>
      </c>
      <c r="Q355" s="12">
        <v>874538.0</v>
      </c>
      <c r="R355" s="921">
        <v>513960.0</v>
      </c>
      <c r="S355" s="428">
        <v>1036290.0</v>
      </c>
      <c r="T355" s="1"/>
      <c r="U355" s="1"/>
      <c r="V355" s="1"/>
      <c r="W355" s="1"/>
      <c r="X355" s="1"/>
      <c r="Y355" s="1"/>
      <c r="Z355" s="1"/>
    </row>
    <row r="356" ht="10.5" customHeight="1">
      <c r="A356" s="1"/>
      <c r="B356" s="129" t="s">
        <v>1130</v>
      </c>
      <c r="C356" s="87"/>
      <c r="D356" s="30">
        <v>1936.0</v>
      </c>
      <c r="E356" s="30">
        <v>4186.0</v>
      </c>
      <c r="F356" s="30">
        <v>1630.0</v>
      </c>
      <c r="G356" s="30">
        <v>1406.0</v>
      </c>
      <c r="H356" s="14">
        <v>995.0</v>
      </c>
      <c r="I356" s="12">
        <v>1020.0</v>
      </c>
      <c r="J356" s="12">
        <v>1283.0</v>
      </c>
      <c r="K356" s="12">
        <v>1359.0</v>
      </c>
      <c r="L356" s="12">
        <v>1154.0</v>
      </c>
      <c r="M356" s="136" t="s">
        <v>40</v>
      </c>
      <c r="N356" s="136" t="s">
        <v>40</v>
      </c>
      <c r="O356" s="136" t="s">
        <v>40</v>
      </c>
      <c r="P356" s="136" t="s">
        <v>40</v>
      </c>
      <c r="Q356" s="136" t="s">
        <v>40</v>
      </c>
      <c r="R356" s="922" t="s">
        <v>40</v>
      </c>
      <c r="S356" s="12" t="s">
        <v>40</v>
      </c>
      <c r="T356" s="1"/>
      <c r="U356" s="1"/>
      <c r="V356" s="1"/>
      <c r="W356" s="1"/>
      <c r="X356" s="1"/>
      <c r="Y356" s="1"/>
      <c r="Z356" s="1"/>
    </row>
    <row r="357" ht="10.5" customHeight="1">
      <c r="A357" s="1"/>
      <c r="B357" s="129" t="s">
        <v>1131</v>
      </c>
      <c r="C357" s="87"/>
      <c r="D357" s="30">
        <v>80.0</v>
      </c>
      <c r="E357" s="30">
        <v>28.0</v>
      </c>
      <c r="F357" s="30">
        <v>30.0</v>
      </c>
      <c r="G357" s="30">
        <v>33.0</v>
      </c>
      <c r="H357" s="14">
        <v>28.0</v>
      </c>
      <c r="I357" s="12">
        <v>27.0</v>
      </c>
      <c r="J357" s="12">
        <v>34.0</v>
      </c>
      <c r="K357" s="12">
        <v>29.0</v>
      </c>
      <c r="L357" s="12">
        <v>25.0</v>
      </c>
      <c r="M357" s="136" t="s">
        <v>40</v>
      </c>
      <c r="N357" s="136" t="s">
        <v>40</v>
      </c>
      <c r="O357" s="136" t="s">
        <v>40</v>
      </c>
      <c r="P357" s="136" t="s">
        <v>40</v>
      </c>
      <c r="Q357" s="136" t="s">
        <v>40</v>
      </c>
      <c r="R357" s="922" t="s">
        <v>40</v>
      </c>
      <c r="S357" s="12" t="s">
        <v>40</v>
      </c>
      <c r="T357" s="1"/>
      <c r="U357" s="1"/>
      <c r="V357" s="1"/>
      <c r="W357" s="1"/>
      <c r="X357" s="1"/>
      <c r="Y357" s="1"/>
      <c r="Z357" s="1"/>
    </row>
    <row r="358" ht="10.5" customHeight="1">
      <c r="A358" s="1"/>
      <c r="B358" s="129" t="s">
        <v>1573</v>
      </c>
      <c r="C358" s="87"/>
      <c r="D358" s="30">
        <v>3389912.0</v>
      </c>
      <c r="E358" s="30">
        <v>3953173.0</v>
      </c>
      <c r="F358" s="30">
        <v>3452433.0</v>
      </c>
      <c r="G358" s="30">
        <v>3046569.0</v>
      </c>
      <c r="H358" s="14">
        <v>3654463.0</v>
      </c>
      <c r="I358" s="12">
        <v>3647917.0</v>
      </c>
      <c r="J358" s="12">
        <v>3881075.0</v>
      </c>
      <c r="K358" s="12">
        <v>4055381.0</v>
      </c>
      <c r="L358" s="12">
        <v>5302896.0</v>
      </c>
      <c r="M358" s="33">
        <v>4989675.0</v>
      </c>
      <c r="N358" s="33">
        <v>5920082.0</v>
      </c>
      <c r="O358" s="33">
        <v>6722532.0</v>
      </c>
      <c r="P358" s="541">
        <v>7905610.0</v>
      </c>
      <c r="Q358" s="12">
        <v>7704128.0</v>
      </c>
      <c r="R358" s="921">
        <v>6791958.0</v>
      </c>
      <c r="S358" s="428">
        <v>8507959.0</v>
      </c>
      <c r="T358" s="1"/>
      <c r="U358" s="1"/>
      <c r="V358" s="1"/>
      <c r="W358" s="1"/>
      <c r="X358" s="1"/>
      <c r="Y358" s="1"/>
      <c r="Z358" s="1"/>
    </row>
    <row r="359" ht="10.5" customHeight="1">
      <c r="A359" s="1"/>
      <c r="B359" s="129" t="s">
        <v>1574</v>
      </c>
      <c r="C359" s="87"/>
      <c r="D359" s="30">
        <v>39703.0</v>
      </c>
      <c r="E359" s="30">
        <v>31578.0</v>
      </c>
      <c r="F359" s="30">
        <v>35365.0</v>
      </c>
      <c r="G359" s="30">
        <v>31010.0</v>
      </c>
      <c r="H359" s="14">
        <v>36200.0</v>
      </c>
      <c r="I359" s="12">
        <v>26873.0</v>
      </c>
      <c r="J359" s="12">
        <v>14416.0</v>
      </c>
      <c r="K359" s="12">
        <v>16745.0</v>
      </c>
      <c r="L359" s="12">
        <v>29625.0</v>
      </c>
      <c r="M359" s="33">
        <v>36790.0</v>
      </c>
      <c r="N359" s="33">
        <v>32507.0</v>
      </c>
      <c r="O359" s="33">
        <v>15294.0</v>
      </c>
      <c r="P359" s="541">
        <v>6085.0</v>
      </c>
      <c r="Q359" s="12">
        <v>8425.0</v>
      </c>
      <c r="R359" s="921">
        <v>12580.0</v>
      </c>
      <c r="S359" s="428">
        <v>9980.0</v>
      </c>
      <c r="T359" s="1"/>
      <c r="U359" s="1"/>
      <c r="V359" s="1"/>
      <c r="W359" s="1"/>
      <c r="X359" s="1"/>
      <c r="Y359" s="1"/>
      <c r="Z359" s="1"/>
    </row>
    <row r="360" ht="10.5" customHeight="1">
      <c r="A360" s="1"/>
      <c r="B360" s="129" t="s">
        <v>1576</v>
      </c>
      <c r="C360" s="87"/>
      <c r="D360" s="30">
        <v>609173.0</v>
      </c>
      <c r="E360" s="30">
        <v>749026.0</v>
      </c>
      <c r="F360" s="30">
        <v>456445.0</v>
      </c>
      <c r="G360" s="30">
        <v>413001.0</v>
      </c>
      <c r="H360" s="14">
        <v>221176.0</v>
      </c>
      <c r="I360" s="12">
        <v>229526.0</v>
      </c>
      <c r="J360" s="12">
        <v>210076.0</v>
      </c>
      <c r="K360" s="12">
        <v>262127.0</v>
      </c>
      <c r="L360" s="12">
        <v>354354.0</v>
      </c>
      <c r="M360" s="33">
        <v>455154.0</v>
      </c>
      <c r="N360" s="33">
        <v>494266.0</v>
      </c>
      <c r="O360" s="33">
        <v>518948.0</v>
      </c>
      <c r="P360" s="541">
        <v>481817.0</v>
      </c>
      <c r="Q360" s="12">
        <v>587271.0</v>
      </c>
      <c r="R360" s="921">
        <v>626301.0</v>
      </c>
      <c r="S360" s="428">
        <v>726040.0</v>
      </c>
      <c r="T360" s="1"/>
      <c r="U360" s="1"/>
      <c r="V360" s="1"/>
      <c r="W360" s="1"/>
      <c r="X360" s="1"/>
      <c r="Y360" s="1"/>
      <c r="Z360" s="1"/>
    </row>
    <row r="361" ht="10.5" customHeight="1">
      <c r="A361" s="1"/>
      <c r="B361" s="129" t="s">
        <v>1577</v>
      </c>
      <c r="C361" s="87"/>
      <c r="D361" s="30">
        <v>164913.0</v>
      </c>
      <c r="E361" s="30">
        <v>151759.0</v>
      </c>
      <c r="F361" s="30">
        <v>228008.0</v>
      </c>
      <c r="G361" s="30">
        <v>119041.0</v>
      </c>
      <c r="H361" s="14">
        <v>90251.0</v>
      </c>
      <c r="I361" s="12">
        <v>87809.0</v>
      </c>
      <c r="J361" s="12">
        <v>124700.0</v>
      </c>
      <c r="K361" s="12">
        <v>79505.0</v>
      </c>
      <c r="L361" s="12">
        <v>90456.0</v>
      </c>
      <c r="M361" s="33">
        <v>209962.0</v>
      </c>
      <c r="N361" s="33">
        <v>165959.0</v>
      </c>
      <c r="O361" s="33">
        <v>74564.0</v>
      </c>
      <c r="P361" s="541">
        <v>135834.0</v>
      </c>
      <c r="Q361" s="12">
        <v>388380.0</v>
      </c>
      <c r="R361" s="921">
        <v>218192.0</v>
      </c>
      <c r="S361" s="428">
        <v>312483.0</v>
      </c>
      <c r="T361" s="1"/>
      <c r="U361" s="1"/>
      <c r="V361" s="1"/>
      <c r="W361" s="1"/>
      <c r="X361" s="1"/>
      <c r="Y361" s="1"/>
      <c r="Z361" s="1"/>
    </row>
    <row r="362" ht="10.5" customHeight="1">
      <c r="A362" s="1"/>
      <c r="B362" s="129" t="s">
        <v>1578</v>
      </c>
      <c r="C362" s="87"/>
      <c r="D362" s="30">
        <v>324410.0</v>
      </c>
      <c r="E362" s="30">
        <v>338009.0</v>
      </c>
      <c r="F362" s="30">
        <v>367305.0</v>
      </c>
      <c r="G362" s="30">
        <v>178456.0</v>
      </c>
      <c r="H362" s="13">
        <v>238569.0</v>
      </c>
      <c r="I362" s="13">
        <v>361907.0</v>
      </c>
      <c r="J362" s="12">
        <v>615157.0</v>
      </c>
      <c r="K362" s="12">
        <v>716143.0</v>
      </c>
      <c r="L362" s="12">
        <v>463990.0</v>
      </c>
      <c r="M362" s="33">
        <v>378088.0</v>
      </c>
      <c r="N362" s="33">
        <v>553268.0</v>
      </c>
      <c r="O362" s="33">
        <v>411168.0</v>
      </c>
      <c r="P362" s="541">
        <v>694087.0</v>
      </c>
      <c r="Q362" s="12">
        <v>534486.0</v>
      </c>
      <c r="R362" s="921">
        <v>154473.0</v>
      </c>
      <c r="S362" s="428">
        <v>819928.0</v>
      </c>
      <c r="T362" s="1"/>
      <c r="U362" s="1"/>
      <c r="V362" s="1"/>
      <c r="W362" s="1"/>
      <c r="X362" s="1"/>
      <c r="Y362" s="1"/>
      <c r="Z362" s="1"/>
    </row>
    <row r="363" ht="10.5" customHeight="1">
      <c r="A363" s="1"/>
      <c r="B363" s="129" t="s">
        <v>1580</v>
      </c>
      <c r="C363" s="87"/>
      <c r="D363" s="30">
        <v>2163160.0</v>
      </c>
      <c r="E363" s="30">
        <v>1349131.0</v>
      </c>
      <c r="F363" s="30">
        <v>1231010.0</v>
      </c>
      <c r="G363" s="30">
        <v>1018516.0</v>
      </c>
      <c r="H363" s="13">
        <v>1009197.0</v>
      </c>
      <c r="I363" s="13">
        <v>794587.0</v>
      </c>
      <c r="J363" s="12">
        <v>3872974.0</v>
      </c>
      <c r="K363" s="12">
        <v>2377297.0</v>
      </c>
      <c r="L363" s="12">
        <v>1504652.0</v>
      </c>
      <c r="M363" s="33">
        <v>3340142.0</v>
      </c>
      <c r="N363" s="33">
        <v>2386311.0</v>
      </c>
      <c r="O363" s="33">
        <v>2805232.0</v>
      </c>
      <c r="P363" s="541">
        <v>3836829.0</v>
      </c>
      <c r="Q363" s="12">
        <v>3138091.0</v>
      </c>
      <c r="R363" s="921">
        <v>4760112.0</v>
      </c>
      <c r="S363" s="428">
        <v>3974305.0</v>
      </c>
      <c r="T363" s="1"/>
      <c r="U363" s="1"/>
      <c r="V363" s="1"/>
      <c r="W363" s="1"/>
      <c r="X363" s="1"/>
      <c r="Y363" s="1"/>
      <c r="Z363" s="1"/>
    </row>
    <row r="364" ht="10.5" customHeight="1">
      <c r="A364" s="1"/>
      <c r="B364" s="129" t="s">
        <v>1581</v>
      </c>
      <c r="C364" s="87"/>
      <c r="D364" s="30">
        <v>448442.0</v>
      </c>
      <c r="E364" s="30">
        <v>339547.0</v>
      </c>
      <c r="F364" s="30">
        <v>469643.0</v>
      </c>
      <c r="G364" s="12">
        <v>347293.0</v>
      </c>
      <c r="H364" s="13">
        <v>622195.0</v>
      </c>
      <c r="I364" s="13">
        <v>480379.0</v>
      </c>
      <c r="J364" s="12">
        <v>1135405.0</v>
      </c>
      <c r="K364" s="12">
        <v>1644691.0</v>
      </c>
      <c r="L364" s="12">
        <v>1430826.0</v>
      </c>
      <c r="M364" s="33">
        <v>2255238.0</v>
      </c>
      <c r="N364" s="33">
        <v>2394900.0</v>
      </c>
      <c r="O364" s="33">
        <v>3680598.0</v>
      </c>
      <c r="P364" s="541">
        <v>5260791.0</v>
      </c>
      <c r="Q364" s="12">
        <v>5063106.0</v>
      </c>
      <c r="R364" s="921">
        <v>4598839.0</v>
      </c>
      <c r="S364" s="428">
        <v>6429810.0</v>
      </c>
      <c r="T364" s="1"/>
      <c r="U364" s="1"/>
      <c r="V364" s="1"/>
      <c r="W364" s="1"/>
      <c r="X364" s="1"/>
      <c r="Y364" s="1"/>
      <c r="Z364" s="1"/>
    </row>
    <row r="365" ht="10.5" customHeight="1">
      <c r="A365" s="1"/>
      <c r="B365" s="129" t="s">
        <v>1582</v>
      </c>
      <c r="C365" s="87"/>
      <c r="D365" s="30">
        <v>81757.0</v>
      </c>
      <c r="E365" s="30">
        <v>54288.0</v>
      </c>
      <c r="F365" s="30">
        <v>47886.0</v>
      </c>
      <c r="G365" s="30">
        <v>49934.0</v>
      </c>
      <c r="H365" s="14">
        <v>56333.0</v>
      </c>
      <c r="I365" s="12">
        <v>71287.0</v>
      </c>
      <c r="J365" s="12">
        <v>114543.0</v>
      </c>
      <c r="K365" s="12">
        <v>83244.0</v>
      </c>
      <c r="L365" s="12">
        <v>37006.0</v>
      </c>
      <c r="M365" s="33">
        <v>127155.0</v>
      </c>
      <c r="N365" s="33">
        <v>128720.0</v>
      </c>
      <c r="O365" s="33">
        <v>136955.0</v>
      </c>
      <c r="P365" s="541">
        <v>157676.0</v>
      </c>
      <c r="Q365" s="12">
        <v>163635.0</v>
      </c>
      <c r="R365" s="921">
        <v>207549.0</v>
      </c>
      <c r="S365" s="428">
        <v>95965.0</v>
      </c>
      <c r="T365" s="1"/>
      <c r="U365" s="1"/>
      <c r="V365" s="1"/>
      <c r="W365" s="1"/>
      <c r="X365" s="1"/>
      <c r="Y365" s="1"/>
      <c r="Z365" s="1"/>
    </row>
    <row r="366" ht="10.5" customHeight="1">
      <c r="A366" s="1"/>
      <c r="B366" s="129" t="s">
        <v>1583</v>
      </c>
      <c r="C366" s="87"/>
      <c r="D366" s="30">
        <v>2311.0</v>
      </c>
      <c r="E366" s="30">
        <v>2167.0</v>
      </c>
      <c r="F366" s="30">
        <v>1248.0</v>
      </c>
      <c r="G366" s="30">
        <v>953.0</v>
      </c>
      <c r="H366" s="14">
        <v>950.0</v>
      </c>
      <c r="I366" s="12">
        <v>81.0</v>
      </c>
      <c r="J366" s="12">
        <v>24.0</v>
      </c>
      <c r="K366" s="136" t="s">
        <v>40</v>
      </c>
      <c r="L366" s="136" t="s">
        <v>40</v>
      </c>
      <c r="M366" s="136" t="s">
        <v>40</v>
      </c>
      <c r="N366" s="136" t="s">
        <v>40</v>
      </c>
      <c r="O366" s="136" t="s">
        <v>40</v>
      </c>
      <c r="P366" s="136" t="s">
        <v>40</v>
      </c>
      <c r="Q366" s="136" t="s">
        <v>40</v>
      </c>
      <c r="R366" s="922" t="s">
        <v>40</v>
      </c>
      <c r="S366" s="428" t="s">
        <v>40</v>
      </c>
      <c r="T366" s="1"/>
      <c r="U366" s="1"/>
      <c r="V366" s="1"/>
      <c r="W366" s="1"/>
      <c r="X366" s="1"/>
      <c r="Y366" s="1"/>
      <c r="Z366" s="1"/>
    </row>
    <row r="367" ht="10.5" customHeight="1">
      <c r="A367" s="1"/>
      <c r="B367" s="129" t="s">
        <v>1584</v>
      </c>
      <c r="C367" s="87"/>
      <c r="D367" s="30">
        <v>92742.0</v>
      </c>
      <c r="E367" s="30">
        <v>111926.0</v>
      </c>
      <c r="F367" s="30">
        <v>107716.0</v>
      </c>
      <c r="G367" s="30">
        <v>90704.0</v>
      </c>
      <c r="H367" s="14">
        <v>84966.0</v>
      </c>
      <c r="I367" s="12">
        <v>92347.0</v>
      </c>
      <c r="J367" s="12">
        <v>115043.0</v>
      </c>
      <c r="K367" s="12">
        <v>168921.0</v>
      </c>
      <c r="L367" s="145">
        <v>255048.0</v>
      </c>
      <c r="M367" s="57">
        <v>232091.0</v>
      </c>
      <c r="N367" s="57">
        <v>292578.0</v>
      </c>
      <c r="O367" s="57">
        <v>359504.0</v>
      </c>
      <c r="P367" s="925">
        <v>391570.0</v>
      </c>
      <c r="Q367" s="145">
        <v>344401.0</v>
      </c>
      <c r="R367" s="926">
        <v>490002.0</v>
      </c>
      <c r="S367" s="927">
        <v>452466.0</v>
      </c>
      <c r="T367" s="1"/>
      <c r="U367" s="1"/>
      <c r="V367" s="1"/>
      <c r="W367" s="1"/>
      <c r="X367" s="1"/>
      <c r="Y367" s="1"/>
      <c r="Z367" s="1"/>
    </row>
    <row r="368" ht="10.5" customHeight="1">
      <c r="A368" s="1"/>
      <c r="B368" s="148" t="s">
        <v>1585</v>
      </c>
      <c r="C368" s="10"/>
      <c r="D368" s="929">
        <f t="shared" ref="D368:P368" si="21">SUM(D347:D367)</f>
        <v>27191793</v>
      </c>
      <c r="E368" s="929">
        <f t="shared" si="21"/>
        <v>23061155</v>
      </c>
      <c r="F368" s="929">
        <f t="shared" si="21"/>
        <v>20518949</v>
      </c>
      <c r="G368" s="929">
        <f t="shared" si="21"/>
        <v>17751490.16</v>
      </c>
      <c r="H368" s="929">
        <f t="shared" si="21"/>
        <v>18601550</v>
      </c>
      <c r="I368" s="929">
        <f t="shared" si="21"/>
        <v>22920115.27</v>
      </c>
      <c r="J368" s="929">
        <f t="shared" si="21"/>
        <v>40907223</v>
      </c>
      <c r="K368" s="929">
        <f t="shared" si="21"/>
        <v>35083737</v>
      </c>
      <c r="L368" s="929">
        <f t="shared" si="21"/>
        <v>30453809</v>
      </c>
      <c r="M368" s="929">
        <f t="shared" si="21"/>
        <v>36328718</v>
      </c>
      <c r="N368" s="929">
        <f t="shared" si="21"/>
        <v>47679821</v>
      </c>
      <c r="O368" s="929">
        <f t="shared" si="21"/>
        <v>50740630</v>
      </c>
      <c r="P368" s="929">
        <f t="shared" si="21"/>
        <v>59402742</v>
      </c>
      <c r="Q368" s="929">
        <v>5.4967127E7</v>
      </c>
      <c r="R368" s="929">
        <v>5.5778908E7</v>
      </c>
      <c r="S368" s="930">
        <v>6.5791891E7</v>
      </c>
      <c r="T368" s="1"/>
      <c r="U368" s="1"/>
      <c r="V368" s="1"/>
      <c r="W368" s="1"/>
      <c r="X368" s="1"/>
      <c r="Y368" s="1"/>
      <c r="Z368" s="1"/>
    </row>
    <row r="369" ht="10.5" customHeight="1">
      <c r="A369" s="1"/>
      <c r="B369" s="129" t="s">
        <v>1586</v>
      </c>
      <c r="C369" s="87"/>
      <c r="D369" s="30">
        <v>1921945.0</v>
      </c>
      <c r="E369" s="30">
        <v>2415893.0</v>
      </c>
      <c r="F369" s="30">
        <v>2735593.0</v>
      </c>
      <c r="G369" s="30">
        <v>2697200.0</v>
      </c>
      <c r="H369" s="931">
        <v>2642658.0</v>
      </c>
      <c r="I369" s="127">
        <v>2785205.0</v>
      </c>
      <c r="J369" s="12">
        <v>3170344.0</v>
      </c>
      <c r="K369" s="12">
        <v>3543622.0</v>
      </c>
      <c r="L369" s="127">
        <v>3628840.0</v>
      </c>
      <c r="M369" s="192">
        <v>3574585.0</v>
      </c>
      <c r="N369" s="192">
        <v>3946462.0</v>
      </c>
      <c r="O369" s="192">
        <v>4600114.0</v>
      </c>
      <c r="P369" s="541">
        <v>4757002.0</v>
      </c>
      <c r="Q369" s="12">
        <v>4771845.0</v>
      </c>
      <c r="R369" s="921">
        <v>4954198.0</v>
      </c>
      <c r="S369" s="428">
        <v>5078477.0</v>
      </c>
      <c r="T369" s="1"/>
      <c r="U369" s="1"/>
      <c r="V369" s="1"/>
      <c r="W369" s="1"/>
      <c r="X369" s="1"/>
      <c r="Y369" s="1"/>
      <c r="Z369" s="1"/>
    </row>
    <row r="370" ht="10.5" customHeight="1">
      <c r="A370" s="1"/>
      <c r="B370" s="129" t="s">
        <v>1587</v>
      </c>
      <c r="C370" s="87"/>
      <c r="D370" s="30">
        <v>2527125.0</v>
      </c>
      <c r="E370" s="30">
        <v>2756920.0</v>
      </c>
      <c r="F370" s="30">
        <v>3520209.0</v>
      </c>
      <c r="G370" s="30">
        <v>3663004.794</v>
      </c>
      <c r="H370" s="14">
        <v>2425120.599</v>
      </c>
      <c r="I370" s="12">
        <v>2956939.069</v>
      </c>
      <c r="J370" s="12">
        <v>4578981.09</v>
      </c>
      <c r="K370" s="12">
        <v>5837669.838</v>
      </c>
      <c r="L370" s="12">
        <v>4593269.33</v>
      </c>
      <c r="M370" s="33">
        <v>6463285.0</v>
      </c>
      <c r="N370" s="33">
        <v>7734702.0</v>
      </c>
      <c r="O370" s="33">
        <v>8110832.0</v>
      </c>
      <c r="P370" s="541">
        <v>1.0340071E7</v>
      </c>
      <c r="Q370" s="12">
        <v>1.2681126E7</v>
      </c>
      <c r="R370" s="921">
        <v>1.4831228E7</v>
      </c>
      <c r="S370" s="428">
        <v>1.8001227E7</v>
      </c>
      <c r="T370" s="1"/>
      <c r="U370" s="1"/>
      <c r="V370" s="1"/>
      <c r="W370" s="1"/>
      <c r="X370" s="1"/>
      <c r="Y370" s="1"/>
      <c r="Z370" s="1"/>
    </row>
    <row r="371" ht="10.5" customHeight="1">
      <c r="A371" s="1"/>
      <c r="B371" s="129" t="s">
        <v>1588</v>
      </c>
      <c r="C371" s="87"/>
      <c r="D371" s="30">
        <v>1152126.0</v>
      </c>
      <c r="E371" s="30">
        <v>1379704.0</v>
      </c>
      <c r="F371" s="30">
        <v>1334842.0</v>
      </c>
      <c r="G371" s="30">
        <v>1439726.0</v>
      </c>
      <c r="H371" s="14">
        <v>1493496.0</v>
      </c>
      <c r="I371" s="12">
        <v>1673453.0</v>
      </c>
      <c r="J371" s="12">
        <v>1884634.0</v>
      </c>
      <c r="K371" s="12">
        <v>2151983.0</v>
      </c>
      <c r="L371" s="12">
        <v>2125914.0</v>
      </c>
      <c r="M371" s="33">
        <v>2348595.0</v>
      </c>
      <c r="N371" s="33">
        <v>2586049.0</v>
      </c>
      <c r="O371" s="33">
        <v>2893705.0</v>
      </c>
      <c r="P371" s="541">
        <v>3669934.0</v>
      </c>
      <c r="Q371" s="12">
        <v>3894589.0</v>
      </c>
      <c r="R371" s="921">
        <v>4066749.0</v>
      </c>
      <c r="S371" s="428">
        <v>4039404.0</v>
      </c>
      <c r="T371" s="1"/>
      <c r="U371" s="1"/>
      <c r="V371" s="1"/>
      <c r="W371" s="1"/>
      <c r="X371" s="1"/>
      <c r="Y371" s="1"/>
      <c r="Z371" s="1"/>
    </row>
    <row r="372" ht="10.5" customHeight="1">
      <c r="A372" s="1"/>
      <c r="B372" s="129" t="s">
        <v>1589</v>
      </c>
      <c r="C372" s="87"/>
      <c r="D372" s="30">
        <v>3964532.0</v>
      </c>
      <c r="E372" s="30">
        <v>4776614.0</v>
      </c>
      <c r="F372" s="30">
        <v>5612110.0</v>
      </c>
      <c r="G372" s="30">
        <v>4993981.0</v>
      </c>
      <c r="H372" s="14">
        <v>4802807.0</v>
      </c>
      <c r="I372" s="12">
        <v>6123533.0</v>
      </c>
      <c r="J372" s="12">
        <v>7631585.0</v>
      </c>
      <c r="K372" s="12">
        <v>8552948.0</v>
      </c>
      <c r="L372" s="12">
        <v>8694644.0</v>
      </c>
      <c r="M372" s="33">
        <v>9424285.0</v>
      </c>
      <c r="N372" s="33">
        <v>1.0266731E7</v>
      </c>
      <c r="O372" s="33">
        <v>1.2683543E7</v>
      </c>
      <c r="P372" s="541">
        <v>1.3967065E7</v>
      </c>
      <c r="Q372" s="12">
        <v>1.6377022E7</v>
      </c>
      <c r="R372" s="921">
        <v>2.0276352E7</v>
      </c>
      <c r="S372" s="428">
        <v>1.9449328E7</v>
      </c>
      <c r="T372" s="1"/>
      <c r="U372" s="1"/>
      <c r="V372" s="1"/>
      <c r="W372" s="1"/>
      <c r="X372" s="1"/>
      <c r="Y372" s="1"/>
      <c r="Z372" s="1"/>
    </row>
    <row r="373" ht="10.5" customHeight="1">
      <c r="A373" s="286">
        <v>79.0</v>
      </c>
      <c r="B373" s="129" t="s">
        <v>1590</v>
      </c>
      <c r="C373" s="87"/>
      <c r="D373" s="30">
        <v>177787.0</v>
      </c>
      <c r="E373" s="30">
        <v>245402.0</v>
      </c>
      <c r="F373" s="30">
        <v>241207.0</v>
      </c>
      <c r="G373" s="30">
        <v>243180.0</v>
      </c>
      <c r="H373" s="14">
        <v>286846.0</v>
      </c>
      <c r="I373" s="12">
        <v>353988.0</v>
      </c>
      <c r="J373" s="12">
        <v>414895.0</v>
      </c>
      <c r="K373" s="12">
        <v>571385.0</v>
      </c>
      <c r="L373" s="12">
        <v>642456.0</v>
      </c>
      <c r="M373" s="33">
        <v>464673.0</v>
      </c>
      <c r="N373" s="33">
        <v>681012.0</v>
      </c>
      <c r="O373" s="33">
        <v>910366.0</v>
      </c>
      <c r="P373" s="541">
        <v>816609.0</v>
      </c>
      <c r="Q373" s="12">
        <v>1050078.0</v>
      </c>
      <c r="R373" s="921">
        <v>1223697.0</v>
      </c>
      <c r="S373" s="428">
        <v>1501603.0</v>
      </c>
      <c r="T373" s="1"/>
      <c r="U373" s="1"/>
      <c r="V373" s="1"/>
      <c r="W373" s="1"/>
      <c r="X373" s="1"/>
      <c r="Y373" s="1"/>
      <c r="Z373" s="1"/>
    </row>
    <row r="374" ht="10.5" customHeight="1">
      <c r="A374" s="87"/>
      <c r="B374" s="129" t="s">
        <v>1591</v>
      </c>
      <c r="C374" s="87"/>
      <c r="D374" s="30">
        <v>47292.0</v>
      </c>
      <c r="E374" s="30">
        <v>47600.0</v>
      </c>
      <c r="F374" s="30">
        <v>53606.0</v>
      </c>
      <c r="G374" s="30">
        <v>56737.0</v>
      </c>
      <c r="H374" s="14">
        <v>60731.0</v>
      </c>
      <c r="I374" s="12">
        <v>73995.0</v>
      </c>
      <c r="J374" s="12">
        <v>126705.0</v>
      </c>
      <c r="K374" s="12">
        <v>148493.0</v>
      </c>
      <c r="L374" s="12">
        <v>180668.0</v>
      </c>
      <c r="M374" s="33">
        <v>730730.0</v>
      </c>
      <c r="N374" s="33">
        <v>1059405.0</v>
      </c>
      <c r="O374" s="33">
        <v>1369709.0</v>
      </c>
      <c r="P374" s="541">
        <v>1445728.0</v>
      </c>
      <c r="Q374" s="12">
        <v>2186715.0</v>
      </c>
      <c r="R374" s="921">
        <v>3447690.0</v>
      </c>
      <c r="S374" s="428">
        <v>3209404.0</v>
      </c>
      <c r="T374" s="1"/>
      <c r="U374" s="1"/>
      <c r="V374" s="1"/>
      <c r="W374" s="1"/>
      <c r="X374" s="1"/>
      <c r="Y374" s="1"/>
      <c r="Z374" s="1"/>
    </row>
    <row r="375" ht="10.5" customHeight="1">
      <c r="A375" s="1"/>
      <c r="B375" s="129" t="s">
        <v>1592</v>
      </c>
      <c r="C375" s="87"/>
      <c r="D375" s="30">
        <v>3031049.0</v>
      </c>
      <c r="E375" s="30">
        <v>3880487.0</v>
      </c>
      <c r="F375" s="30">
        <v>4277397.0</v>
      </c>
      <c r="G375" s="30">
        <v>4074472.0</v>
      </c>
      <c r="H375" s="14">
        <v>4465065.0</v>
      </c>
      <c r="I375" s="12">
        <v>5305062.0</v>
      </c>
      <c r="J375" s="12">
        <v>6200584.0</v>
      </c>
      <c r="K375" s="12">
        <v>6968347.0</v>
      </c>
      <c r="L375" s="12">
        <v>7484923.0</v>
      </c>
      <c r="M375" s="33">
        <v>7734452.0</v>
      </c>
      <c r="N375" s="33">
        <v>8795505.0</v>
      </c>
      <c r="O375" s="33">
        <v>9962598.0</v>
      </c>
      <c r="P375" s="541">
        <v>1.0841554E7</v>
      </c>
      <c r="Q375" s="12">
        <v>1.1485586E7</v>
      </c>
      <c r="R375" s="921">
        <v>1.4430124E7</v>
      </c>
      <c r="S375" s="428">
        <v>1.4214201E7</v>
      </c>
      <c r="T375" s="1"/>
      <c r="U375" s="1"/>
      <c r="V375" s="1"/>
      <c r="W375" s="1"/>
      <c r="X375" s="1"/>
      <c r="Y375" s="1"/>
      <c r="Z375" s="1"/>
    </row>
    <row r="376" ht="10.5" customHeight="1">
      <c r="A376" s="1"/>
      <c r="B376" s="129" t="s">
        <v>1284</v>
      </c>
      <c r="C376" s="87"/>
      <c r="D376" s="30">
        <v>2018442.0</v>
      </c>
      <c r="E376" s="30">
        <v>3012209.0</v>
      </c>
      <c r="F376" s="30">
        <v>2922415.0</v>
      </c>
      <c r="G376" s="30">
        <v>2507395.0</v>
      </c>
      <c r="H376" s="14">
        <v>2969268.0</v>
      </c>
      <c r="I376" s="12">
        <v>2941100.0</v>
      </c>
      <c r="J376" s="12">
        <v>3491404.0</v>
      </c>
      <c r="K376" s="12">
        <v>4425047.0</v>
      </c>
      <c r="L376" s="12">
        <v>5151228.0</v>
      </c>
      <c r="M376" s="33">
        <v>4715064.0</v>
      </c>
      <c r="N376" s="33">
        <v>5345628.0</v>
      </c>
      <c r="O376" s="33">
        <v>5553072.0</v>
      </c>
      <c r="P376" s="541">
        <v>6289785.0</v>
      </c>
      <c r="Q376" s="12">
        <v>6365862.0</v>
      </c>
      <c r="R376" s="921">
        <v>7414735.0</v>
      </c>
      <c r="S376" s="428">
        <v>6132450.0</v>
      </c>
      <c r="T376" s="1"/>
      <c r="U376" s="1"/>
      <c r="V376" s="1"/>
      <c r="W376" s="1"/>
      <c r="X376" s="1"/>
      <c r="Y376" s="1"/>
      <c r="Z376" s="1"/>
    </row>
    <row r="377" ht="10.5" customHeight="1">
      <c r="A377" s="1"/>
      <c r="B377" s="129" t="s">
        <v>1593</v>
      </c>
      <c r="C377" s="87"/>
      <c r="D377" s="30">
        <v>607880.0</v>
      </c>
      <c r="E377" s="30">
        <v>710293.0</v>
      </c>
      <c r="F377" s="30">
        <v>753281.0</v>
      </c>
      <c r="G377" s="30">
        <v>773752.0</v>
      </c>
      <c r="H377" s="14">
        <v>830776.0</v>
      </c>
      <c r="I377" s="12">
        <v>897620.0</v>
      </c>
      <c r="J377" s="12">
        <v>1000767.0</v>
      </c>
      <c r="K377" s="12">
        <v>1034087.0</v>
      </c>
      <c r="L377" s="12">
        <v>967991.0</v>
      </c>
      <c r="M377" s="33">
        <v>1047207.0</v>
      </c>
      <c r="N377" s="33">
        <v>1142998.0</v>
      </c>
      <c r="O377" s="33">
        <v>1275507.0</v>
      </c>
      <c r="P377" s="541">
        <v>1325333.0</v>
      </c>
      <c r="Q377" s="12">
        <v>1429393.0</v>
      </c>
      <c r="R377" s="921">
        <v>1525505.0</v>
      </c>
      <c r="S377" s="428">
        <v>1621206.0</v>
      </c>
      <c r="T377" s="1"/>
      <c r="U377" s="1"/>
      <c r="V377" s="1"/>
      <c r="W377" s="1"/>
      <c r="X377" s="1"/>
      <c r="Y377" s="1"/>
      <c r="Z377" s="1"/>
    </row>
    <row r="378" ht="10.5" customHeight="1">
      <c r="A378" s="1"/>
      <c r="B378" s="129" t="s">
        <v>1594</v>
      </c>
      <c r="C378" s="87"/>
      <c r="D378" s="30">
        <v>72302.0</v>
      </c>
      <c r="E378" s="30">
        <v>101657.0</v>
      </c>
      <c r="F378" s="30">
        <v>121811.0</v>
      </c>
      <c r="G378" s="30">
        <v>126659.0</v>
      </c>
      <c r="H378" s="14">
        <v>121143.0</v>
      </c>
      <c r="I378" s="12">
        <v>143035.0</v>
      </c>
      <c r="J378" s="12">
        <v>153661.0</v>
      </c>
      <c r="K378" s="12">
        <v>140941.0</v>
      </c>
      <c r="L378" s="12">
        <v>88275.0</v>
      </c>
      <c r="M378" s="33">
        <v>89869.0</v>
      </c>
      <c r="N378" s="33">
        <v>120200.0</v>
      </c>
      <c r="O378" s="33">
        <v>152110.0</v>
      </c>
      <c r="P378" s="541">
        <v>181487.0</v>
      </c>
      <c r="Q378" s="12">
        <v>266834.0</v>
      </c>
      <c r="R378" s="921">
        <v>529415.0</v>
      </c>
      <c r="S378" s="428">
        <v>698189.0</v>
      </c>
      <c r="T378" s="1"/>
      <c r="U378" s="1"/>
      <c r="V378" s="1"/>
      <c r="W378" s="1"/>
      <c r="X378" s="1"/>
      <c r="Y378" s="1"/>
      <c r="Z378" s="1"/>
    </row>
    <row r="379" ht="10.5" customHeight="1">
      <c r="A379" s="1"/>
      <c r="B379" s="129" t="s">
        <v>1595</v>
      </c>
      <c r="C379" s="87"/>
      <c r="D379" s="30">
        <v>173483.0</v>
      </c>
      <c r="E379" s="30">
        <v>145396.0</v>
      </c>
      <c r="F379" s="30">
        <v>67917.0</v>
      </c>
      <c r="G379" s="30">
        <v>23577.0</v>
      </c>
      <c r="H379" s="14">
        <v>33240.0</v>
      </c>
      <c r="I379" s="12">
        <v>45369.0</v>
      </c>
      <c r="J379" s="12">
        <v>48326.0</v>
      </c>
      <c r="K379" s="12">
        <v>70246.0</v>
      </c>
      <c r="L379" s="12">
        <v>53293.0</v>
      </c>
      <c r="M379" s="33">
        <v>34321.0</v>
      </c>
      <c r="N379" s="33">
        <v>17115.0</v>
      </c>
      <c r="O379" s="33">
        <v>26167.0</v>
      </c>
      <c r="P379" s="541">
        <v>33522.0</v>
      </c>
      <c r="Q379" s="12">
        <v>27127.0</v>
      </c>
      <c r="R379" s="921">
        <v>16829.0</v>
      </c>
      <c r="S379" s="428">
        <v>8574.0</v>
      </c>
      <c r="T379" s="1"/>
      <c r="U379" s="1"/>
      <c r="V379" s="1"/>
      <c r="W379" s="1"/>
      <c r="X379" s="1"/>
      <c r="Y379" s="1"/>
      <c r="Z379" s="1"/>
    </row>
    <row r="380" ht="10.5" customHeight="1">
      <c r="A380" s="1"/>
      <c r="B380" s="129" t="s">
        <v>1596</v>
      </c>
      <c r="C380" s="87"/>
      <c r="D380" s="401">
        <v>75839.0</v>
      </c>
      <c r="E380" s="401">
        <v>78919.0</v>
      </c>
      <c r="F380" s="401">
        <v>98649.0</v>
      </c>
      <c r="G380" s="401">
        <v>95250.0</v>
      </c>
      <c r="H380" s="933">
        <v>98406.0</v>
      </c>
      <c r="I380" s="145">
        <v>110474.0</v>
      </c>
      <c r="J380" s="145">
        <v>133245.0</v>
      </c>
      <c r="K380" s="145">
        <v>143301.0</v>
      </c>
      <c r="L380" s="145">
        <v>159655.0</v>
      </c>
      <c r="M380" s="57">
        <v>164032.0</v>
      </c>
      <c r="N380" s="57">
        <v>178895.0</v>
      </c>
      <c r="O380" s="57">
        <v>199381.0</v>
      </c>
      <c r="P380" s="925">
        <v>221846.0</v>
      </c>
      <c r="Q380" s="145">
        <v>235142.0</v>
      </c>
      <c r="R380" s="926">
        <v>279557.0</v>
      </c>
      <c r="S380" s="927">
        <v>285507.0</v>
      </c>
      <c r="T380" s="1"/>
      <c r="U380" s="1"/>
      <c r="V380" s="1"/>
      <c r="W380" s="1"/>
      <c r="X380" s="1"/>
      <c r="Y380" s="1"/>
      <c r="Z380" s="1"/>
    </row>
    <row r="381" ht="10.5" customHeight="1">
      <c r="A381" s="1"/>
      <c r="B381" s="148" t="s">
        <v>1598</v>
      </c>
      <c r="C381" s="10"/>
      <c r="D381" s="935">
        <f t="shared" ref="D381:Q381" si="22">SUM(D369:D380)</f>
        <v>15769802</v>
      </c>
      <c r="E381" s="935">
        <f t="shared" si="22"/>
        <v>19551094</v>
      </c>
      <c r="F381" s="935">
        <f t="shared" si="22"/>
        <v>21739037</v>
      </c>
      <c r="G381" s="935">
        <f t="shared" si="22"/>
        <v>20694933.79</v>
      </c>
      <c r="H381" s="935">
        <f t="shared" si="22"/>
        <v>20229556.6</v>
      </c>
      <c r="I381" s="935">
        <f t="shared" si="22"/>
        <v>23409773.07</v>
      </c>
      <c r="J381" s="935">
        <f t="shared" si="22"/>
        <v>28835131.09</v>
      </c>
      <c r="K381" s="935">
        <f t="shared" si="22"/>
        <v>33588069.84</v>
      </c>
      <c r="L381" s="935">
        <f t="shared" si="22"/>
        <v>33771156.33</v>
      </c>
      <c r="M381" s="935">
        <f t="shared" si="22"/>
        <v>36791098</v>
      </c>
      <c r="N381" s="935">
        <f t="shared" si="22"/>
        <v>41874702</v>
      </c>
      <c r="O381" s="935">
        <f t="shared" si="22"/>
        <v>47737104</v>
      </c>
      <c r="P381" s="935">
        <f t="shared" si="22"/>
        <v>53889936</v>
      </c>
      <c r="Q381" s="935">
        <f t="shared" si="22"/>
        <v>60771319</v>
      </c>
      <c r="R381" s="938">
        <v>7.2996079E7</v>
      </c>
      <c r="S381" s="930">
        <v>7.423957E7</v>
      </c>
      <c r="T381" s="1"/>
      <c r="U381" s="1"/>
      <c r="V381" s="1"/>
      <c r="W381" s="1"/>
      <c r="X381" s="1"/>
      <c r="Y381" s="1"/>
      <c r="Z381" s="1"/>
    </row>
    <row r="382" ht="10.5" customHeight="1">
      <c r="A382" s="1"/>
      <c r="B382" s="129" t="s">
        <v>1601</v>
      </c>
      <c r="C382" s="87"/>
      <c r="D382" s="30">
        <v>877043.0</v>
      </c>
      <c r="E382" s="30">
        <v>1241936.0</v>
      </c>
      <c r="F382" s="30">
        <v>947821.0</v>
      </c>
      <c r="G382" s="30">
        <v>737611.0</v>
      </c>
      <c r="H382" s="931">
        <v>690064.0</v>
      </c>
      <c r="I382" s="127">
        <v>1131931.0</v>
      </c>
      <c r="J382" s="12">
        <v>1436741.0</v>
      </c>
      <c r="K382" s="12">
        <v>1083604.0</v>
      </c>
      <c r="L382" s="12">
        <v>1415246.0</v>
      </c>
      <c r="M382" s="192">
        <v>1607481.0</v>
      </c>
      <c r="N382" s="192">
        <v>2087639.0</v>
      </c>
      <c r="O382" s="192">
        <v>2435840.0</v>
      </c>
      <c r="P382" s="541">
        <v>2740676.0</v>
      </c>
      <c r="Q382" s="12">
        <v>2774342.0</v>
      </c>
      <c r="R382" s="921">
        <v>3361218.0</v>
      </c>
      <c r="S382" s="428">
        <v>3731764.0</v>
      </c>
      <c r="T382" s="1"/>
      <c r="U382" s="1"/>
      <c r="V382" s="1"/>
      <c r="W382" s="1"/>
      <c r="X382" s="1"/>
      <c r="Y382" s="1"/>
      <c r="Z382" s="1"/>
    </row>
    <row r="383" ht="10.5" customHeight="1">
      <c r="A383" s="1"/>
      <c r="B383" s="129" t="s">
        <v>1602</v>
      </c>
      <c r="C383" s="87"/>
      <c r="D383" s="30">
        <v>186523.0</v>
      </c>
      <c r="E383" s="30">
        <v>217557.0</v>
      </c>
      <c r="F383" s="30">
        <v>167548.0</v>
      </c>
      <c r="G383" s="30">
        <v>177216.0</v>
      </c>
      <c r="H383" s="14">
        <v>236372.0</v>
      </c>
      <c r="I383" s="12">
        <v>247688.0</v>
      </c>
      <c r="J383" s="12">
        <v>223282.0</v>
      </c>
      <c r="K383" s="12">
        <v>197249.0</v>
      </c>
      <c r="L383" s="12">
        <v>202947.0</v>
      </c>
      <c r="M383" s="33">
        <v>216730.0</v>
      </c>
      <c r="N383" s="33">
        <v>227855.0</v>
      </c>
      <c r="O383" s="33">
        <v>285540.0</v>
      </c>
      <c r="P383" s="541">
        <v>464099.0</v>
      </c>
      <c r="Q383" s="12">
        <v>506539.0</v>
      </c>
      <c r="R383" s="921">
        <v>614563.0</v>
      </c>
      <c r="S383" s="428">
        <v>507944.0</v>
      </c>
      <c r="T383" s="1"/>
      <c r="U383" s="1"/>
      <c r="V383" s="1"/>
      <c r="W383" s="1"/>
      <c r="X383" s="1"/>
      <c r="Y383" s="1"/>
      <c r="Z383" s="1"/>
    </row>
    <row r="384" ht="10.5" customHeight="1">
      <c r="A384" s="1"/>
      <c r="B384" s="129" t="s">
        <v>1603</v>
      </c>
      <c r="C384" s="87"/>
      <c r="D384" s="30">
        <v>3674.0</v>
      </c>
      <c r="E384" s="30">
        <v>4969.0</v>
      </c>
      <c r="F384" s="30">
        <v>2900.0</v>
      </c>
      <c r="G384" s="30">
        <v>4541.0</v>
      </c>
      <c r="H384" s="14">
        <v>4588.0</v>
      </c>
      <c r="I384" s="12">
        <v>7896.0</v>
      </c>
      <c r="J384" s="12">
        <v>8188.0</v>
      </c>
      <c r="K384" s="12">
        <v>7506.0</v>
      </c>
      <c r="L384" s="12">
        <v>6935.0</v>
      </c>
      <c r="M384" s="33">
        <v>8141.0</v>
      </c>
      <c r="N384" s="33">
        <v>8818.0</v>
      </c>
      <c r="O384" s="33">
        <v>12581.0</v>
      </c>
      <c r="P384" s="541">
        <v>17103.0</v>
      </c>
      <c r="Q384" s="12">
        <v>16771.0</v>
      </c>
      <c r="R384" s="921">
        <v>19373.0</v>
      </c>
      <c r="S384" s="428">
        <v>15350.0</v>
      </c>
      <c r="T384" s="1"/>
      <c r="U384" s="1"/>
      <c r="V384" s="1"/>
      <c r="W384" s="1"/>
      <c r="X384" s="1"/>
      <c r="Y384" s="1"/>
      <c r="Z384" s="1"/>
    </row>
    <row r="385" ht="10.5" customHeight="1">
      <c r="A385" s="1"/>
      <c r="B385" s="129" t="s">
        <v>1605</v>
      </c>
      <c r="C385" s="87"/>
      <c r="D385" s="30">
        <v>327581.0</v>
      </c>
      <c r="E385" s="30">
        <v>362267.0</v>
      </c>
      <c r="F385" s="30">
        <v>299578.0</v>
      </c>
      <c r="G385" s="30">
        <v>337647.62</v>
      </c>
      <c r="H385" s="14">
        <v>416501.99</v>
      </c>
      <c r="I385" s="12">
        <v>343964.0</v>
      </c>
      <c r="J385" s="12">
        <v>370270.0</v>
      </c>
      <c r="K385" s="12">
        <v>407007.0</v>
      </c>
      <c r="L385" s="12">
        <v>513903.0</v>
      </c>
      <c r="M385" s="33">
        <v>398868.0</v>
      </c>
      <c r="N385" s="33">
        <v>295345.0</v>
      </c>
      <c r="O385" s="33">
        <v>276255.0</v>
      </c>
      <c r="P385" s="541">
        <v>341672.0</v>
      </c>
      <c r="Q385" s="12">
        <v>432814.0</v>
      </c>
      <c r="R385" s="921">
        <v>529801.0</v>
      </c>
      <c r="S385" s="428">
        <v>399793.0</v>
      </c>
      <c r="T385" s="1"/>
      <c r="U385" s="1"/>
      <c r="V385" s="1"/>
      <c r="W385" s="1"/>
      <c r="X385" s="1"/>
      <c r="Y385" s="1"/>
      <c r="Z385" s="1"/>
    </row>
    <row r="386" ht="10.5" customHeight="1">
      <c r="A386" s="1"/>
      <c r="B386" s="129" t="s">
        <v>1606</v>
      </c>
      <c r="C386" s="87"/>
      <c r="D386" s="30">
        <v>9214912.0</v>
      </c>
      <c r="E386" s="30">
        <v>1.04081E7</v>
      </c>
      <c r="F386" s="30">
        <v>1.0580828E7</v>
      </c>
      <c r="G386" s="30">
        <v>1.6445721E7</v>
      </c>
      <c r="H386" s="14">
        <v>1.3480568E7</v>
      </c>
      <c r="I386" s="12">
        <v>1.8649876E7</v>
      </c>
      <c r="J386" s="12">
        <v>2.0891635E7</v>
      </c>
      <c r="K386" s="12">
        <v>2.5056118E7</v>
      </c>
      <c r="L386" s="12">
        <v>2.431918E7</v>
      </c>
      <c r="M386" s="33">
        <v>2.5289325E7</v>
      </c>
      <c r="N386" s="33">
        <v>2.6167835E7</v>
      </c>
      <c r="O386" s="33">
        <v>2.915831E7</v>
      </c>
      <c r="P386" s="541">
        <v>3.2573887E7</v>
      </c>
      <c r="Q386" s="12">
        <v>3.6302283E7</v>
      </c>
      <c r="R386" s="921">
        <v>3.6186017E7</v>
      </c>
      <c r="S386" s="428">
        <v>4.0472219E7</v>
      </c>
      <c r="T386" s="1"/>
      <c r="U386" s="1"/>
      <c r="V386" s="1"/>
      <c r="W386" s="1"/>
      <c r="X386" s="1"/>
      <c r="Y386" s="1"/>
      <c r="Z386" s="1"/>
    </row>
    <row r="387" ht="10.5" customHeight="1">
      <c r="A387" s="1"/>
      <c r="B387" s="129" t="s">
        <v>1607</v>
      </c>
      <c r="C387" s="87"/>
      <c r="D387" s="33">
        <v>2402656.0</v>
      </c>
      <c r="E387" s="33">
        <v>2991957.0</v>
      </c>
      <c r="F387" s="33">
        <v>3061641.0</v>
      </c>
      <c r="G387" s="33">
        <v>3332116.0</v>
      </c>
      <c r="H387" s="14">
        <v>3906328.0</v>
      </c>
      <c r="I387" s="12">
        <v>4814204.0</v>
      </c>
      <c r="J387" s="12">
        <v>5739291.0</v>
      </c>
      <c r="K387" s="12">
        <v>6596281.0</v>
      </c>
      <c r="L387" s="12">
        <v>6951716.0</v>
      </c>
      <c r="M387" s="33">
        <v>6999700.0</v>
      </c>
      <c r="N387" s="33">
        <v>7734494.0</v>
      </c>
      <c r="O387" s="33">
        <v>8400652.0</v>
      </c>
      <c r="P387" s="541">
        <v>8882997.0</v>
      </c>
      <c r="Q387" s="12">
        <v>9438719.0</v>
      </c>
      <c r="R387" s="921">
        <v>1.0170589E7</v>
      </c>
      <c r="S387" s="428">
        <v>1.027208E7</v>
      </c>
      <c r="T387" s="1"/>
      <c r="U387" s="1"/>
      <c r="V387" s="1"/>
      <c r="W387" s="1"/>
      <c r="X387" s="1"/>
      <c r="Y387" s="1"/>
      <c r="Z387" s="1"/>
    </row>
    <row r="388" ht="10.5" customHeight="1">
      <c r="A388" s="1"/>
      <c r="B388" s="129" t="s">
        <v>1608</v>
      </c>
      <c r="C388" s="87"/>
      <c r="D388" s="33">
        <v>4632129.0</v>
      </c>
      <c r="E388" s="33">
        <v>5753004.0</v>
      </c>
      <c r="F388" s="33">
        <v>6411735.0</v>
      </c>
      <c r="G388" s="33">
        <v>7329050.0</v>
      </c>
      <c r="H388" s="14">
        <v>9941786.0</v>
      </c>
      <c r="I388" s="12">
        <v>1.3018388E7</v>
      </c>
      <c r="J388" s="12">
        <v>1.2427138E7</v>
      </c>
      <c r="K388" s="12">
        <v>1.3658886E7</v>
      </c>
      <c r="L388" s="12">
        <v>1.5065757E7</v>
      </c>
      <c r="M388" s="33">
        <v>1.6146715E7</v>
      </c>
      <c r="N388" s="33">
        <v>1.9297479E7</v>
      </c>
      <c r="O388" s="33">
        <v>2.0495591E7</v>
      </c>
      <c r="P388" s="541">
        <v>2.2717904E7</v>
      </c>
      <c r="Q388" s="12">
        <v>2.6792372E7</v>
      </c>
      <c r="R388" s="921">
        <v>3.0646016E7</v>
      </c>
      <c r="S388" s="428">
        <v>3.3315352E7</v>
      </c>
      <c r="T388" s="1"/>
      <c r="U388" s="1"/>
      <c r="V388" s="1"/>
      <c r="W388" s="1"/>
      <c r="X388" s="1"/>
      <c r="Y388" s="1"/>
      <c r="Z388" s="1"/>
    </row>
    <row r="389" ht="10.5" customHeight="1">
      <c r="A389" s="1"/>
      <c r="B389" s="129" t="s">
        <v>1609</v>
      </c>
      <c r="C389" s="87"/>
      <c r="D389" s="33">
        <v>1318449.0</v>
      </c>
      <c r="E389" s="33">
        <v>1614523.0</v>
      </c>
      <c r="F389" s="33">
        <v>1717272.0</v>
      </c>
      <c r="G389" s="33">
        <v>1777940.0</v>
      </c>
      <c r="H389" s="14">
        <v>2143559.0</v>
      </c>
      <c r="I389" s="12">
        <v>2825723.0</v>
      </c>
      <c r="J389" s="12">
        <v>3176711.0</v>
      </c>
      <c r="K389" s="12">
        <v>3394898.0</v>
      </c>
      <c r="L389" s="12">
        <v>3596053.0</v>
      </c>
      <c r="M389" s="33">
        <v>3987079.0</v>
      </c>
      <c r="N389" s="33">
        <v>4526435.0</v>
      </c>
      <c r="O389" s="33">
        <v>4648444.0</v>
      </c>
      <c r="P389" s="541">
        <v>5407051.0</v>
      </c>
      <c r="Q389" s="12">
        <v>6626134.0</v>
      </c>
      <c r="R389" s="921">
        <v>6563866.0</v>
      </c>
      <c r="S389" s="428">
        <v>7486776.0</v>
      </c>
      <c r="T389" s="1"/>
      <c r="U389" s="1"/>
      <c r="V389" s="1"/>
      <c r="W389" s="1"/>
      <c r="X389" s="1"/>
      <c r="Y389" s="1"/>
      <c r="Z389" s="1"/>
    </row>
    <row r="390" ht="10.5" customHeight="1">
      <c r="A390" s="1"/>
      <c r="B390" s="129" t="s">
        <v>1611</v>
      </c>
      <c r="C390" s="87"/>
      <c r="D390" s="33">
        <v>918280.0</v>
      </c>
      <c r="E390" s="33">
        <v>1346371.0</v>
      </c>
      <c r="F390" s="33">
        <v>1385147.0</v>
      </c>
      <c r="G390" s="33">
        <v>1490221.0</v>
      </c>
      <c r="H390" s="14">
        <v>1463445.0</v>
      </c>
      <c r="I390" s="12">
        <v>2047590.0</v>
      </c>
      <c r="J390" s="12">
        <v>2460687.0</v>
      </c>
      <c r="K390" s="12">
        <v>2705316.0</v>
      </c>
      <c r="L390" s="12">
        <v>2806395.0</v>
      </c>
      <c r="M390" s="33">
        <v>3003295.0</v>
      </c>
      <c r="N390" s="33">
        <v>3531255.0</v>
      </c>
      <c r="O390" s="33">
        <v>3713738.0</v>
      </c>
      <c r="P390" s="541">
        <v>4264911.0</v>
      </c>
      <c r="Q390" s="12">
        <v>4976775.0</v>
      </c>
      <c r="R390" s="921">
        <v>5256743.0</v>
      </c>
      <c r="S390" s="428">
        <v>5793659.0</v>
      </c>
      <c r="T390" s="1"/>
      <c r="U390" s="1"/>
      <c r="V390" s="1"/>
      <c r="W390" s="1"/>
      <c r="X390" s="1"/>
      <c r="Y390" s="1"/>
      <c r="Z390" s="1"/>
    </row>
    <row r="391" ht="10.5" customHeight="1">
      <c r="A391" s="1"/>
      <c r="B391" s="129" t="s">
        <v>1612</v>
      </c>
      <c r="C391" s="87"/>
      <c r="D391" s="30">
        <v>4257484.0</v>
      </c>
      <c r="E391" s="30">
        <v>4880873.0</v>
      </c>
      <c r="F391" s="33">
        <v>5198697.0</v>
      </c>
      <c r="G391" s="33">
        <v>5324423.0</v>
      </c>
      <c r="H391" s="14">
        <v>5334847.0</v>
      </c>
      <c r="I391" s="12">
        <v>5956725.0</v>
      </c>
      <c r="J391" s="12">
        <v>8968514.0</v>
      </c>
      <c r="K391" s="12">
        <v>8629005.0</v>
      </c>
      <c r="L391" s="12">
        <v>9226708.0</v>
      </c>
      <c r="M391" s="33">
        <v>8804711.0</v>
      </c>
      <c r="N391" s="33">
        <v>9836254.0</v>
      </c>
      <c r="O391" s="33">
        <v>1.1131161E7</v>
      </c>
      <c r="P391" s="541">
        <v>1.2708386E7</v>
      </c>
      <c r="Q391" s="12">
        <v>1.4994234E7</v>
      </c>
      <c r="R391" s="921">
        <v>1.4196047E7</v>
      </c>
      <c r="S391" s="428">
        <v>1.6463166E7</v>
      </c>
      <c r="T391" s="1"/>
      <c r="U391" s="1"/>
      <c r="V391" s="1"/>
      <c r="W391" s="1"/>
      <c r="X391" s="1"/>
      <c r="Y391" s="1"/>
      <c r="Z391" s="1"/>
    </row>
    <row r="392" ht="10.5" customHeight="1">
      <c r="A392" s="1"/>
      <c r="B392" s="129" t="s">
        <v>1613</v>
      </c>
      <c r="C392" s="87"/>
      <c r="D392" s="30">
        <v>1182538.0</v>
      </c>
      <c r="E392" s="30">
        <v>1497685.0</v>
      </c>
      <c r="F392" s="33">
        <v>1552317.0</v>
      </c>
      <c r="G392" s="33">
        <v>1709675.0</v>
      </c>
      <c r="H392" s="14">
        <v>2702920.0</v>
      </c>
      <c r="I392" s="12">
        <v>3161188.0</v>
      </c>
      <c r="J392" s="12">
        <v>3719486.0</v>
      </c>
      <c r="K392" s="12">
        <v>4159198.0</v>
      </c>
      <c r="L392" s="145">
        <v>4325054.0</v>
      </c>
      <c r="M392" s="57">
        <v>4723501.0</v>
      </c>
      <c r="N392" s="57">
        <v>5323219.0</v>
      </c>
      <c r="O392" s="57">
        <v>5588080.0</v>
      </c>
      <c r="P392" s="925">
        <v>6060993.0</v>
      </c>
      <c r="Q392" s="145">
        <v>6192626.0</v>
      </c>
      <c r="R392" s="926">
        <v>7072014.0</v>
      </c>
      <c r="S392" s="927">
        <v>8133533.0</v>
      </c>
      <c r="T392" s="1"/>
      <c r="U392" s="1"/>
      <c r="V392" s="1"/>
      <c r="W392" s="1"/>
      <c r="X392" s="1"/>
      <c r="Y392" s="1"/>
      <c r="Z392" s="1"/>
    </row>
    <row r="393" ht="10.5" customHeight="1">
      <c r="A393" s="1"/>
      <c r="B393" s="148" t="s">
        <v>1614</v>
      </c>
      <c r="C393" s="10"/>
      <c r="D393" s="929">
        <f t="shared" ref="D393:N393" si="23">SUM(D382:D392)</f>
        <v>25321269</v>
      </c>
      <c r="E393" s="929">
        <f t="shared" si="23"/>
        <v>30319242</v>
      </c>
      <c r="F393" s="929">
        <f t="shared" si="23"/>
        <v>31325484</v>
      </c>
      <c r="G393" s="929">
        <f t="shared" si="23"/>
        <v>38666161.62</v>
      </c>
      <c r="H393" s="929">
        <f t="shared" si="23"/>
        <v>40320978.99</v>
      </c>
      <c r="I393" s="929">
        <f t="shared" si="23"/>
        <v>52205173</v>
      </c>
      <c r="J393" s="929">
        <f t="shared" si="23"/>
        <v>59421943</v>
      </c>
      <c r="K393" s="929">
        <f t="shared" si="23"/>
        <v>65895068</v>
      </c>
      <c r="L393" s="929">
        <f t="shared" si="23"/>
        <v>68429894</v>
      </c>
      <c r="M393" s="929">
        <f t="shared" si="23"/>
        <v>71185546</v>
      </c>
      <c r="N393" s="929">
        <f t="shared" si="23"/>
        <v>79036628</v>
      </c>
      <c r="O393" s="929">
        <v>8.6146192E7</v>
      </c>
      <c r="P393" s="929">
        <f t="shared" ref="P393:Q393" si="24">SUM(P382:P392)</f>
        <v>96179679</v>
      </c>
      <c r="Q393" s="929">
        <f t="shared" si="24"/>
        <v>109053609</v>
      </c>
      <c r="R393" s="938">
        <v>1.14616247E8</v>
      </c>
      <c r="S393" s="930">
        <v>1.26591636E8</v>
      </c>
      <c r="T393" s="1"/>
      <c r="U393" s="1"/>
      <c r="V393" s="1"/>
      <c r="W393" s="1"/>
      <c r="X393" s="1"/>
      <c r="Y393" s="1"/>
      <c r="Z393" s="1"/>
    </row>
    <row r="394" ht="10.5" customHeight="1">
      <c r="A394" s="1"/>
      <c r="B394" s="948" t="s">
        <v>1615</v>
      </c>
      <c r="C394" s="94"/>
      <c r="D394" s="935">
        <f t="shared" ref="D394:N394" si="25">+D368+D381+D393</f>
        <v>68282864</v>
      </c>
      <c r="E394" s="935">
        <f t="shared" si="25"/>
        <v>72931491</v>
      </c>
      <c r="F394" s="935">
        <f t="shared" si="25"/>
        <v>73583470</v>
      </c>
      <c r="G394" s="935">
        <f t="shared" si="25"/>
        <v>77112585.57</v>
      </c>
      <c r="H394" s="935">
        <f t="shared" si="25"/>
        <v>79152085.59</v>
      </c>
      <c r="I394" s="935">
        <f t="shared" si="25"/>
        <v>98535061.34</v>
      </c>
      <c r="J394" s="935">
        <f t="shared" si="25"/>
        <v>129164297.1</v>
      </c>
      <c r="K394" s="935">
        <f t="shared" si="25"/>
        <v>134566874.8</v>
      </c>
      <c r="L394" s="935">
        <f t="shared" si="25"/>
        <v>132654859.3</v>
      </c>
      <c r="M394" s="935">
        <f t="shared" si="25"/>
        <v>144305362</v>
      </c>
      <c r="N394" s="935">
        <f t="shared" si="25"/>
        <v>168591151</v>
      </c>
      <c r="O394" s="935">
        <v>1.84623929E8</v>
      </c>
      <c r="P394" s="935">
        <f>+P368+P381+P393</f>
        <v>209472357</v>
      </c>
      <c r="Q394" s="935">
        <v>2.24792055E8</v>
      </c>
      <c r="R394" s="938">
        <v>2.43391234E8</v>
      </c>
      <c r="S394" s="952">
        <v>2.66623097E8</v>
      </c>
      <c r="T394" s="1"/>
      <c r="U394" s="1"/>
      <c r="V394" s="1"/>
      <c r="W394" s="1"/>
      <c r="X394" s="1"/>
      <c r="Y394" s="1"/>
      <c r="Z394" s="1"/>
    </row>
    <row r="395" ht="6.0" customHeight="1">
      <c r="A395" s="1"/>
      <c r="B395" s="953"/>
      <c r="C395" s="953"/>
      <c r="D395" s="954"/>
      <c r="E395" s="954"/>
      <c r="F395" s="954"/>
      <c r="G395" s="954"/>
      <c r="H395" s="954"/>
      <c r="I395" s="954"/>
      <c r="J395" s="954"/>
      <c r="K395" s="954"/>
      <c r="L395" s="954"/>
      <c r="M395" s="954"/>
      <c r="N395" s="954"/>
      <c r="O395" s="954"/>
      <c r="P395" s="954"/>
      <c r="Q395" s="954"/>
      <c r="R395" s="1"/>
      <c r="S395" s="1"/>
      <c r="T395" s="1"/>
      <c r="U395" s="1"/>
      <c r="V395" s="1"/>
      <c r="W395" s="1"/>
      <c r="X395" s="1"/>
      <c r="Y395" s="1"/>
      <c r="Z395" s="1"/>
    </row>
    <row r="396" ht="10.5" customHeight="1">
      <c r="A396" s="1"/>
      <c r="B396" s="185" t="s">
        <v>1617</v>
      </c>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0.5" customHeight="1">
      <c r="A397" s="1"/>
      <c r="B397" s="185" t="s">
        <v>1618</v>
      </c>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0.5" customHeight="1">
      <c r="A398" s="1"/>
      <c r="B398" s="185" t="s">
        <v>1619</v>
      </c>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0.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0.5" customHeight="1">
      <c r="A400" s="1"/>
      <c r="B400" s="1"/>
      <c r="C400" s="1"/>
      <c r="D400" s="1"/>
      <c r="E400" s="1"/>
      <c r="F400" s="1"/>
      <c r="G400" s="1"/>
      <c r="H400" s="1"/>
      <c r="I400" s="1"/>
      <c r="J400" s="1"/>
      <c r="K400" s="1"/>
      <c r="L400" s="1"/>
      <c r="M400" s="1"/>
      <c r="N400" s="1"/>
      <c r="O400" s="1"/>
      <c r="P400" s="1"/>
      <c r="Q400" s="180"/>
      <c r="R400" s="1"/>
      <c r="S400" s="1"/>
      <c r="T400" s="1"/>
      <c r="U400" s="1"/>
      <c r="V400" s="1"/>
      <c r="W400" s="1"/>
      <c r="X400" s="1"/>
      <c r="Y400" s="1"/>
      <c r="Z400" s="1"/>
    </row>
    <row r="401" ht="11.25" customHeight="1">
      <c r="A401" s="1"/>
      <c r="B401" s="714" t="s">
        <v>1620</v>
      </c>
      <c r="C401" s="714"/>
      <c r="D401" s="714"/>
      <c r="E401" s="714"/>
      <c r="F401" s="714"/>
      <c r="G401" s="714"/>
      <c r="H401" s="714"/>
      <c r="I401" s="714"/>
      <c r="J401" s="714"/>
      <c r="K401" s="714"/>
      <c r="L401" s="714"/>
      <c r="M401" s="714"/>
      <c r="N401" s="714"/>
      <c r="O401" s="714"/>
      <c r="P401" s="714"/>
      <c r="Q401" s="714"/>
      <c r="R401" s="714"/>
      <c r="S401" s="1"/>
      <c r="T401" s="1"/>
      <c r="U401" s="1"/>
      <c r="V401" s="1"/>
      <c r="W401" s="1"/>
      <c r="X401" s="1"/>
      <c r="Y401" s="1"/>
      <c r="Z401" s="1"/>
    </row>
    <row r="402" ht="11.25" customHeight="1">
      <c r="A402" s="1"/>
      <c r="B402" s="866" t="s">
        <v>938</v>
      </c>
      <c r="C402" s="957"/>
      <c r="D402" s="505" t="s">
        <v>127</v>
      </c>
      <c r="E402" s="960" t="s">
        <v>128</v>
      </c>
      <c r="F402" s="963" t="s">
        <v>129</v>
      </c>
      <c r="G402" s="114" t="s">
        <v>130</v>
      </c>
      <c r="H402" s="505" t="s">
        <v>131</v>
      </c>
      <c r="I402" s="587" t="s">
        <v>133</v>
      </c>
      <c r="J402" s="965">
        <v>39295.0</v>
      </c>
      <c r="K402" s="965">
        <v>39692.0</v>
      </c>
      <c r="L402" s="965">
        <v>40087.0</v>
      </c>
      <c r="M402" s="968" t="s">
        <v>139</v>
      </c>
      <c r="N402" s="968" t="s">
        <v>143</v>
      </c>
      <c r="O402" s="968" t="s">
        <v>149</v>
      </c>
      <c r="P402" s="919" t="s">
        <v>151</v>
      </c>
      <c r="Q402" s="919" t="s">
        <v>153</v>
      </c>
      <c r="R402" s="919" t="s">
        <v>155</v>
      </c>
      <c r="S402" s="919" t="s">
        <v>1623</v>
      </c>
      <c r="T402" s="1"/>
      <c r="U402" s="1"/>
      <c r="V402" s="1"/>
      <c r="W402" s="1"/>
      <c r="X402" s="1"/>
      <c r="Y402" s="1"/>
      <c r="Z402" s="1"/>
    </row>
    <row r="403" ht="11.25" customHeight="1">
      <c r="A403" s="1"/>
      <c r="B403" s="970"/>
      <c r="C403" s="971"/>
      <c r="D403" s="798" t="s">
        <v>50</v>
      </c>
      <c r="E403" s="9"/>
      <c r="F403" s="9"/>
      <c r="G403" s="9"/>
      <c r="H403" s="9"/>
      <c r="I403" s="9"/>
      <c r="J403" s="9"/>
      <c r="K403" s="9"/>
      <c r="L403" s="9"/>
      <c r="M403" s="9"/>
      <c r="N403" s="9"/>
      <c r="O403" s="9"/>
      <c r="P403" s="9"/>
      <c r="Q403" s="9"/>
      <c r="R403" s="9"/>
      <c r="S403" s="10"/>
      <c r="T403" s="1"/>
      <c r="U403" s="1"/>
      <c r="V403" s="1"/>
      <c r="W403" s="1"/>
      <c r="X403" s="1"/>
      <c r="Y403" s="1"/>
      <c r="Z403" s="1"/>
    </row>
    <row r="404">
      <c r="A404" s="1"/>
      <c r="B404" s="974" t="s">
        <v>1284</v>
      </c>
      <c r="C404" s="300"/>
      <c r="D404" s="975">
        <v>2108442.0</v>
      </c>
      <c r="E404" s="975">
        <v>3012209.0</v>
      </c>
      <c r="F404" s="976">
        <v>2922415.0</v>
      </c>
      <c r="G404" s="456">
        <v>2507395.0</v>
      </c>
      <c r="H404" s="975">
        <v>2969268.0</v>
      </c>
      <c r="I404" s="975">
        <v>2941100.0</v>
      </c>
      <c r="J404" s="975">
        <v>3491404.0</v>
      </c>
      <c r="K404" s="975">
        <v>4425047.0</v>
      </c>
      <c r="L404" s="978">
        <v>5151228.0</v>
      </c>
      <c r="M404" s="979">
        <v>4705483.0</v>
      </c>
      <c r="N404" s="979">
        <v>5320492.0</v>
      </c>
      <c r="O404" s="979">
        <v>5553072.0</v>
      </c>
      <c r="P404" s="980">
        <v>6289785.0</v>
      </c>
      <c r="Q404" s="981">
        <v>6365862.0</v>
      </c>
      <c r="R404" s="611">
        <v>7414735.0</v>
      </c>
      <c r="S404" s="611">
        <v>6732450.0</v>
      </c>
      <c r="T404" s="1"/>
      <c r="U404" s="1"/>
      <c r="V404" s="1"/>
      <c r="W404" s="1"/>
      <c r="X404" s="1"/>
      <c r="Y404" s="1"/>
      <c r="Z404" s="1"/>
    </row>
    <row r="405">
      <c r="A405" s="1"/>
      <c r="B405" s="974" t="s">
        <v>1292</v>
      </c>
      <c r="C405" s="300"/>
      <c r="D405" s="975">
        <v>18154.0</v>
      </c>
      <c r="E405" s="975">
        <v>19960.0</v>
      </c>
      <c r="F405" s="976">
        <v>26681.0</v>
      </c>
      <c r="G405" s="456">
        <v>28184.0</v>
      </c>
      <c r="H405" s="975">
        <v>27401.0</v>
      </c>
      <c r="I405" s="975">
        <v>32390.0</v>
      </c>
      <c r="J405" s="975">
        <v>40429.0</v>
      </c>
      <c r="K405" s="975">
        <v>48045.0</v>
      </c>
      <c r="L405" s="975">
        <v>45300.0</v>
      </c>
      <c r="M405" s="456">
        <v>47840.0</v>
      </c>
      <c r="N405" s="456">
        <v>50319.0</v>
      </c>
      <c r="O405" s="456">
        <v>51974.0</v>
      </c>
      <c r="P405" s="980">
        <v>64112.0</v>
      </c>
      <c r="Q405" s="982">
        <v>70127.0</v>
      </c>
      <c r="R405" s="611">
        <v>86989.0</v>
      </c>
      <c r="S405" s="611">
        <v>93648.0</v>
      </c>
      <c r="T405" s="1"/>
      <c r="U405" s="1"/>
      <c r="V405" s="1"/>
      <c r="W405" s="1"/>
      <c r="X405" s="1"/>
      <c r="Y405" s="1"/>
      <c r="Z405" s="1"/>
    </row>
    <row r="406">
      <c r="A406" s="1"/>
      <c r="B406" s="974" t="s">
        <v>1286</v>
      </c>
      <c r="C406" s="300"/>
      <c r="D406" s="975">
        <v>130732.0</v>
      </c>
      <c r="E406" s="975">
        <v>157660.0</v>
      </c>
      <c r="F406" s="976">
        <v>149954.0</v>
      </c>
      <c r="G406" s="456">
        <v>167774.0</v>
      </c>
      <c r="H406" s="975">
        <v>171216.0</v>
      </c>
      <c r="I406" s="975">
        <v>218607.0</v>
      </c>
      <c r="J406" s="975">
        <v>249266.0</v>
      </c>
      <c r="K406" s="975">
        <v>283288.0</v>
      </c>
      <c r="L406" s="975">
        <v>277853.0</v>
      </c>
      <c r="M406" s="456">
        <v>316002.0</v>
      </c>
      <c r="N406" s="456">
        <v>362432.0</v>
      </c>
      <c r="O406" s="456">
        <v>375878.0</v>
      </c>
      <c r="P406" s="980">
        <v>471056.0</v>
      </c>
      <c r="Q406" s="982">
        <v>391082.0</v>
      </c>
      <c r="R406" s="611">
        <v>486618.0</v>
      </c>
      <c r="S406" s="611">
        <v>517074.0</v>
      </c>
      <c r="T406" s="1"/>
      <c r="U406" s="1"/>
      <c r="V406" s="1"/>
      <c r="W406" s="1"/>
      <c r="X406" s="1"/>
      <c r="Y406" s="1"/>
      <c r="Z406" s="1"/>
    </row>
    <row r="407">
      <c r="A407" s="1"/>
      <c r="B407" s="974" t="s">
        <v>1291</v>
      </c>
      <c r="C407" s="300"/>
      <c r="D407" s="975">
        <v>34287.0</v>
      </c>
      <c r="E407" s="975">
        <v>45589.0</v>
      </c>
      <c r="F407" s="976">
        <v>58174.0</v>
      </c>
      <c r="G407" s="456">
        <v>55245.0</v>
      </c>
      <c r="H407" s="975">
        <v>69606.0</v>
      </c>
      <c r="I407" s="975">
        <v>81553.0</v>
      </c>
      <c r="J407" s="975">
        <v>97114.0</v>
      </c>
      <c r="K407" s="975">
        <v>108196.0</v>
      </c>
      <c r="L407" s="975">
        <v>106150.0</v>
      </c>
      <c r="M407" s="456">
        <v>125412.0</v>
      </c>
      <c r="N407" s="456">
        <v>142288.0</v>
      </c>
      <c r="O407" s="456">
        <v>164883.0</v>
      </c>
      <c r="P407" s="980">
        <v>190797.0</v>
      </c>
      <c r="Q407" s="982">
        <v>187278.0</v>
      </c>
      <c r="R407" s="611">
        <v>231773.0</v>
      </c>
      <c r="S407" s="611">
        <v>231839.0</v>
      </c>
      <c r="T407" s="1"/>
      <c r="U407" s="1"/>
      <c r="V407" s="1"/>
      <c r="W407" s="1"/>
      <c r="X407" s="1"/>
      <c r="Y407" s="1"/>
      <c r="Z407" s="1"/>
    </row>
    <row r="408">
      <c r="A408" s="1"/>
      <c r="B408" s="974" t="s">
        <v>1346</v>
      </c>
      <c r="C408" s="300"/>
      <c r="D408" s="975">
        <v>39207.0</v>
      </c>
      <c r="E408" s="975">
        <v>50230.0</v>
      </c>
      <c r="F408" s="976">
        <v>72142.0</v>
      </c>
      <c r="G408" s="456">
        <v>66385.0</v>
      </c>
      <c r="H408" s="975">
        <v>76250.0</v>
      </c>
      <c r="I408" s="975">
        <v>91734.0</v>
      </c>
      <c r="J408" s="975">
        <v>98890.0</v>
      </c>
      <c r="K408" s="975">
        <v>112337.0</v>
      </c>
      <c r="L408" s="975">
        <v>126964.0</v>
      </c>
      <c r="M408" s="456">
        <v>128792.0</v>
      </c>
      <c r="N408" s="456">
        <v>125109.0</v>
      </c>
      <c r="O408" s="456">
        <v>154675.0</v>
      </c>
      <c r="P408" s="980">
        <v>172645.0</v>
      </c>
      <c r="Q408" s="982">
        <v>156618.0</v>
      </c>
      <c r="R408" s="611">
        <v>207395.0</v>
      </c>
      <c r="S408" s="611">
        <v>193424.0</v>
      </c>
      <c r="T408" s="1"/>
      <c r="U408" s="1"/>
      <c r="V408" s="1"/>
      <c r="W408" s="1"/>
      <c r="X408" s="1"/>
      <c r="Y408" s="1"/>
      <c r="Z408" s="1"/>
    </row>
    <row r="409">
      <c r="A409" s="1"/>
      <c r="B409" s="974" t="s">
        <v>1294</v>
      </c>
      <c r="C409" s="300"/>
      <c r="D409" s="975">
        <v>120080.0</v>
      </c>
      <c r="E409" s="975">
        <v>130580.0</v>
      </c>
      <c r="F409" s="976">
        <v>148440.0</v>
      </c>
      <c r="G409" s="456">
        <v>170479.0</v>
      </c>
      <c r="H409" s="975">
        <v>186320.0</v>
      </c>
      <c r="I409" s="975">
        <v>228696.0</v>
      </c>
      <c r="J409" s="975">
        <v>268013.0</v>
      </c>
      <c r="K409" s="975">
        <v>340222.0</v>
      </c>
      <c r="L409" s="975">
        <v>340719.0</v>
      </c>
      <c r="M409" s="456">
        <v>369697.0</v>
      </c>
      <c r="N409" s="456">
        <v>387064.0</v>
      </c>
      <c r="O409" s="456">
        <v>460976.0</v>
      </c>
      <c r="P409" s="980">
        <v>575029.0</v>
      </c>
      <c r="Q409" s="982">
        <v>511354.0</v>
      </c>
      <c r="R409" s="611">
        <v>678065.0</v>
      </c>
      <c r="S409" s="611">
        <v>649246.0</v>
      </c>
      <c r="T409" s="1"/>
      <c r="U409" s="1"/>
      <c r="V409" s="1"/>
      <c r="W409" s="1"/>
      <c r="X409" s="1"/>
      <c r="Y409" s="1"/>
      <c r="Z409" s="1"/>
    </row>
    <row r="410">
      <c r="A410" s="1"/>
      <c r="B410" s="974" t="s">
        <v>1295</v>
      </c>
      <c r="C410" s="300"/>
      <c r="D410" s="975">
        <v>103877.0</v>
      </c>
      <c r="E410" s="975">
        <v>132093.0</v>
      </c>
      <c r="F410" s="976">
        <v>142760.0</v>
      </c>
      <c r="G410" s="456">
        <v>122061.0</v>
      </c>
      <c r="H410" s="975">
        <v>95280.0</v>
      </c>
      <c r="I410" s="975">
        <v>84457.0</v>
      </c>
      <c r="J410" s="975">
        <v>90516.0</v>
      </c>
      <c r="K410" s="975">
        <v>108055.0</v>
      </c>
      <c r="L410" s="975">
        <v>100788.0</v>
      </c>
      <c r="M410" s="456">
        <v>103781.0</v>
      </c>
      <c r="N410" s="456">
        <v>121215.0</v>
      </c>
      <c r="O410" s="456">
        <v>124615.0</v>
      </c>
      <c r="P410" s="980">
        <v>122795.0</v>
      </c>
      <c r="Q410" s="982">
        <v>140727.0</v>
      </c>
      <c r="R410" s="611">
        <v>155290.0</v>
      </c>
      <c r="S410" s="611">
        <v>154484.0</v>
      </c>
      <c r="T410" s="1"/>
      <c r="U410" s="1"/>
      <c r="V410" s="1"/>
      <c r="W410" s="1"/>
      <c r="X410" s="1"/>
      <c r="Y410" s="1"/>
      <c r="Z410" s="1"/>
    </row>
    <row r="411">
      <c r="A411" s="1"/>
      <c r="B411" s="390" t="s">
        <v>1631</v>
      </c>
      <c r="C411" s="87"/>
      <c r="D411" s="975">
        <v>888830.0</v>
      </c>
      <c r="E411" s="975">
        <v>1289855.0</v>
      </c>
      <c r="F411" s="976">
        <v>1364642.0</v>
      </c>
      <c r="G411" s="456">
        <v>1256072.0</v>
      </c>
      <c r="H411" s="975">
        <v>1310736.0</v>
      </c>
      <c r="I411" s="975">
        <v>1559959.0</v>
      </c>
      <c r="J411" s="975">
        <v>1705005.0</v>
      </c>
      <c r="K411" s="975">
        <v>1835474.0</v>
      </c>
      <c r="L411" s="975">
        <v>2039295.0</v>
      </c>
      <c r="M411" s="456">
        <v>2120929.0</v>
      </c>
      <c r="N411" s="456">
        <v>2813746.0</v>
      </c>
      <c r="O411" s="456">
        <v>2972129.0</v>
      </c>
      <c r="P411" s="980">
        <v>297661.0</v>
      </c>
      <c r="Q411" s="982">
        <v>3651702.0</v>
      </c>
      <c r="R411" s="611">
        <v>4897616.0</v>
      </c>
      <c r="S411" s="611">
        <v>5165011.0</v>
      </c>
      <c r="T411" s="1"/>
      <c r="U411" s="1"/>
      <c r="V411" s="1"/>
      <c r="W411" s="1"/>
      <c r="X411" s="1"/>
      <c r="Y411" s="1"/>
      <c r="Z411" s="1"/>
    </row>
    <row r="412">
      <c r="A412" s="1"/>
      <c r="B412" s="974" t="s">
        <v>1290</v>
      </c>
      <c r="C412" s="300"/>
      <c r="D412" s="975">
        <v>21029.0</v>
      </c>
      <c r="E412" s="975">
        <v>29818.0</v>
      </c>
      <c r="F412" s="976">
        <v>20703.0</v>
      </c>
      <c r="G412" s="456">
        <v>33797.0</v>
      </c>
      <c r="H412" s="975">
        <v>38266.0</v>
      </c>
      <c r="I412" s="975">
        <v>39813.0</v>
      </c>
      <c r="J412" s="975">
        <v>41993.0</v>
      </c>
      <c r="K412" s="975">
        <v>57100.0</v>
      </c>
      <c r="L412" s="975">
        <v>58942.0</v>
      </c>
      <c r="M412" s="456">
        <v>53145.0</v>
      </c>
      <c r="N412" s="456">
        <v>32217.0</v>
      </c>
      <c r="O412" s="456">
        <v>46536.0</v>
      </c>
      <c r="P412" s="980">
        <v>44062.0</v>
      </c>
      <c r="Q412" s="982">
        <v>42652.0</v>
      </c>
      <c r="R412" s="611">
        <v>50668.0</v>
      </c>
      <c r="S412" s="611">
        <v>50451.0</v>
      </c>
      <c r="T412" s="1"/>
      <c r="U412" s="1"/>
      <c r="V412" s="1"/>
      <c r="W412" s="1"/>
      <c r="X412" s="1"/>
      <c r="Y412" s="1"/>
      <c r="Z412" s="1"/>
    </row>
    <row r="413">
      <c r="A413" s="496">
        <v>80.0</v>
      </c>
      <c r="B413" s="390" t="s">
        <v>1293</v>
      </c>
      <c r="C413" s="87"/>
      <c r="D413" s="975">
        <v>84061.0</v>
      </c>
      <c r="E413" s="975">
        <v>102722.0</v>
      </c>
      <c r="F413" s="976">
        <v>102512.0</v>
      </c>
      <c r="G413" s="456">
        <v>91720.0</v>
      </c>
      <c r="H413" s="975">
        <v>97478.0</v>
      </c>
      <c r="I413" s="975">
        <v>118741.0</v>
      </c>
      <c r="J413" s="975">
        <v>153265.0</v>
      </c>
      <c r="K413" s="975">
        <v>181784.0</v>
      </c>
      <c r="L413" s="975">
        <v>161790.0</v>
      </c>
      <c r="M413" s="456">
        <v>184765.0</v>
      </c>
      <c r="N413" s="456">
        <v>204644.0</v>
      </c>
      <c r="O413" s="456">
        <v>222665.0</v>
      </c>
      <c r="P413" s="980">
        <v>267666.0</v>
      </c>
      <c r="Q413" s="982">
        <v>267441.0</v>
      </c>
      <c r="R413" s="611">
        <v>290917.0</v>
      </c>
      <c r="S413" s="611">
        <v>292091.0</v>
      </c>
      <c r="T413" s="1"/>
      <c r="U413" s="1"/>
      <c r="V413" s="1"/>
      <c r="W413" s="1"/>
      <c r="X413" s="1"/>
      <c r="Y413" s="1"/>
      <c r="Z413" s="1"/>
    </row>
    <row r="414">
      <c r="A414" s="1"/>
      <c r="B414" s="390" t="s">
        <v>1337</v>
      </c>
      <c r="C414" s="87"/>
      <c r="D414" s="975">
        <v>30170.0</v>
      </c>
      <c r="E414" s="975">
        <v>33429.0</v>
      </c>
      <c r="F414" s="976">
        <v>38144.0</v>
      </c>
      <c r="G414" s="456">
        <v>36303.0</v>
      </c>
      <c r="H414" s="975">
        <v>40340.0</v>
      </c>
      <c r="I414" s="975">
        <v>39893.0</v>
      </c>
      <c r="J414" s="975">
        <v>47002.0</v>
      </c>
      <c r="K414" s="975">
        <v>56761.0</v>
      </c>
      <c r="L414" s="975">
        <v>52029.0</v>
      </c>
      <c r="M414" s="456">
        <v>57078.0</v>
      </c>
      <c r="N414" s="456">
        <v>60223.0</v>
      </c>
      <c r="O414" s="456">
        <v>57795.0</v>
      </c>
      <c r="P414" s="980">
        <v>66357.0</v>
      </c>
      <c r="Q414" s="982">
        <v>60656.0</v>
      </c>
      <c r="R414" s="611">
        <v>64624.0</v>
      </c>
      <c r="S414" s="611">
        <v>68892.0</v>
      </c>
      <c r="T414" s="1"/>
      <c r="U414" s="1"/>
      <c r="V414" s="1"/>
      <c r="W414" s="1"/>
      <c r="X414" s="1"/>
      <c r="Y414" s="1"/>
      <c r="Z414" s="1"/>
    </row>
    <row r="415">
      <c r="A415" s="1"/>
      <c r="B415" s="390" t="s">
        <v>1289</v>
      </c>
      <c r="C415" s="87"/>
      <c r="D415" s="975">
        <v>41919.0</v>
      </c>
      <c r="E415" s="975">
        <v>56418.0</v>
      </c>
      <c r="F415" s="976">
        <v>68558.0</v>
      </c>
      <c r="G415" s="456">
        <v>59729.0</v>
      </c>
      <c r="H415" s="975">
        <v>65261.0</v>
      </c>
      <c r="I415" s="975">
        <v>86218.0</v>
      </c>
      <c r="J415" s="975">
        <v>100075.0</v>
      </c>
      <c r="K415" s="975">
        <v>128303.0</v>
      </c>
      <c r="L415" s="975">
        <v>120002.0</v>
      </c>
      <c r="M415" s="456">
        <v>146363.0</v>
      </c>
      <c r="N415" s="456">
        <v>177817.0</v>
      </c>
      <c r="O415" s="456">
        <v>175123.0</v>
      </c>
      <c r="P415" s="980">
        <v>179507.0</v>
      </c>
      <c r="Q415" s="982">
        <v>200073.0</v>
      </c>
      <c r="R415" s="611">
        <v>240598.0</v>
      </c>
      <c r="S415" s="611">
        <v>277597.0</v>
      </c>
      <c r="T415" s="1"/>
      <c r="U415" s="1"/>
      <c r="V415" s="1"/>
      <c r="W415" s="1"/>
      <c r="X415" s="1"/>
      <c r="Y415" s="1"/>
      <c r="Z415" s="1"/>
    </row>
    <row r="416">
      <c r="A416" s="1"/>
      <c r="B416" s="974" t="s">
        <v>1285</v>
      </c>
      <c r="C416" s="300"/>
      <c r="D416" s="975">
        <v>575593.0</v>
      </c>
      <c r="E416" s="975">
        <v>694208.0</v>
      </c>
      <c r="F416" s="976">
        <v>818436.0</v>
      </c>
      <c r="G416" s="456">
        <v>780033.0</v>
      </c>
      <c r="H416" s="975">
        <v>955138.0</v>
      </c>
      <c r="I416" s="975">
        <v>1010199.0</v>
      </c>
      <c r="J416" s="975">
        <v>1210988.0</v>
      </c>
      <c r="K416" s="975">
        <v>1489552.0</v>
      </c>
      <c r="L416" s="975">
        <v>1555103.0</v>
      </c>
      <c r="M416" s="456">
        <v>1547928.0</v>
      </c>
      <c r="N416" s="456">
        <v>1588679.0</v>
      </c>
      <c r="O416" s="456">
        <v>1866363.0</v>
      </c>
      <c r="P416" s="980">
        <v>2018592.0</v>
      </c>
      <c r="Q416" s="982">
        <v>2101255.0</v>
      </c>
      <c r="R416" s="611">
        <v>2433365.0</v>
      </c>
      <c r="S416" s="611">
        <v>2427180.0</v>
      </c>
      <c r="T416" s="1"/>
      <c r="U416" s="1"/>
      <c r="V416" s="1"/>
      <c r="W416" s="1"/>
      <c r="X416" s="1"/>
      <c r="Y416" s="1"/>
      <c r="Z416" s="1"/>
    </row>
    <row r="417">
      <c r="A417" s="1"/>
      <c r="B417" s="970" t="s">
        <v>1288</v>
      </c>
      <c r="C417" s="971"/>
      <c r="D417" s="985">
        <v>423418.0</v>
      </c>
      <c r="E417" s="985">
        <v>515958.0</v>
      </c>
      <c r="F417" s="987">
        <v>558224.0</v>
      </c>
      <c r="G417" s="988">
        <v>456778.0</v>
      </c>
      <c r="H417" s="985">
        <v>519492.0</v>
      </c>
      <c r="I417" s="985">
        <v>772555.0</v>
      </c>
      <c r="J417" s="985">
        <v>1061169.0</v>
      </c>
      <c r="K417" s="985">
        <v>998779.0</v>
      </c>
      <c r="L417" s="985">
        <v>1210635.0</v>
      </c>
      <c r="M417" s="988">
        <v>1129840.0</v>
      </c>
      <c r="N417" s="988">
        <v>1157287.0</v>
      </c>
      <c r="O417" s="988">
        <v>1633100.0</v>
      </c>
      <c r="P417" s="989">
        <v>1849056.0</v>
      </c>
      <c r="Q417" s="990">
        <v>1647995.0</v>
      </c>
      <c r="R417" s="617">
        <v>2229729.0</v>
      </c>
      <c r="S417" s="617">
        <v>1534736.0</v>
      </c>
      <c r="T417" s="1"/>
      <c r="U417" s="1"/>
      <c r="V417" s="1"/>
      <c r="W417" s="1"/>
      <c r="X417" s="1"/>
      <c r="Y417" s="1"/>
      <c r="Z417" s="1"/>
    </row>
    <row r="418" ht="13.5" customHeight="1">
      <c r="A418" s="1"/>
      <c r="B418" s="60" t="s">
        <v>1637</v>
      </c>
      <c r="C418" s="714"/>
      <c r="D418" s="991"/>
      <c r="E418" s="991"/>
      <c r="F418" s="991"/>
      <c r="G418" s="991"/>
      <c r="H418" s="991"/>
      <c r="I418" s="991"/>
      <c r="J418" s="991"/>
      <c r="K418" s="991"/>
      <c r="L418" s="992"/>
      <c r="M418" s="991"/>
      <c r="N418" s="991"/>
      <c r="O418" s="59"/>
      <c r="P418" s="1"/>
      <c r="Q418" s="1"/>
      <c r="R418" s="1"/>
      <c r="S418" s="1"/>
      <c r="T418" s="1"/>
      <c r="U418" s="1"/>
      <c r="V418" s="1"/>
      <c r="W418" s="1"/>
      <c r="X418" s="1"/>
      <c r="Y418" s="1"/>
      <c r="Z418" s="1"/>
    </row>
    <row r="419" ht="14.25" customHeight="1">
      <c r="A419" s="1"/>
      <c r="B419" s="714"/>
      <c r="C419" s="714"/>
      <c r="D419" s="991"/>
      <c r="E419" s="991"/>
      <c r="F419" s="991"/>
      <c r="G419" s="991"/>
      <c r="H419" s="991"/>
      <c r="I419" s="991"/>
      <c r="J419" s="991"/>
      <c r="K419" s="991"/>
      <c r="L419" s="991"/>
      <c r="M419" s="991"/>
      <c r="N419" s="991"/>
      <c r="O419" s="991"/>
      <c r="P419" s="991"/>
      <c r="Q419" s="991"/>
      <c r="R419" s="991"/>
      <c r="S419" s="59"/>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627"/>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627"/>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627"/>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627"/>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627"/>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627"/>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627"/>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627"/>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627"/>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627"/>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627"/>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627"/>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627"/>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627"/>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627"/>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627"/>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627"/>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627"/>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627"/>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627"/>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627"/>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627"/>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627"/>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627"/>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627"/>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627"/>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627"/>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627"/>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627"/>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627"/>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627"/>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627"/>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627"/>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627"/>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627"/>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627"/>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627"/>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627"/>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627"/>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627"/>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627"/>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627"/>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627"/>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627"/>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627"/>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627"/>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627"/>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627"/>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627"/>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627"/>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627"/>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627"/>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627"/>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627"/>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627"/>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627"/>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627"/>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627"/>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627"/>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627"/>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627"/>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627"/>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627"/>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627"/>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627"/>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627"/>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627"/>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627"/>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627"/>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627"/>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627"/>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627"/>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627"/>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627"/>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627"/>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627"/>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627"/>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627"/>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627"/>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627"/>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627"/>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627"/>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627"/>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627"/>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627"/>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627"/>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627"/>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627"/>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627"/>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627"/>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627"/>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627"/>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627"/>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627"/>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627"/>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627"/>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627"/>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627"/>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627"/>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627"/>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627"/>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627"/>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627"/>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627"/>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627"/>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627"/>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627"/>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627"/>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627"/>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627"/>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627"/>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627"/>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627"/>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627"/>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627"/>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627"/>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627"/>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627"/>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627"/>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627"/>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627"/>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627"/>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627"/>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627"/>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627"/>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627"/>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627"/>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627"/>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627"/>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627"/>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627"/>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627"/>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627"/>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627"/>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627"/>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627"/>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627"/>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627"/>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627"/>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627"/>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627"/>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627"/>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627"/>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627"/>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627"/>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627"/>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627"/>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627"/>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627"/>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627"/>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627"/>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627"/>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627"/>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627"/>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627"/>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627"/>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627"/>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627"/>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627"/>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627"/>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627"/>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627"/>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627"/>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627"/>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627"/>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627"/>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627"/>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627"/>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627"/>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627"/>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627"/>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627"/>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627"/>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627"/>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627"/>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627"/>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627"/>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627"/>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627"/>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627"/>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627"/>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627"/>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627"/>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627"/>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627"/>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627"/>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627"/>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627"/>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627"/>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627"/>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627"/>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627"/>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627"/>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627"/>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627"/>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627"/>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627"/>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627"/>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627"/>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627"/>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627"/>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627"/>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627"/>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627"/>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627"/>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627"/>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627"/>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627"/>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627"/>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627"/>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627"/>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627"/>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627"/>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627"/>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627"/>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627"/>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627"/>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627"/>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627"/>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627"/>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627"/>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627"/>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627"/>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627"/>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627"/>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627"/>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627"/>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627"/>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627"/>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627"/>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627"/>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627"/>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627"/>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627"/>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627"/>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627"/>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627"/>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627"/>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627"/>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627"/>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627"/>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627"/>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627"/>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627"/>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627"/>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627"/>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627"/>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627"/>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627"/>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627"/>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627"/>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627"/>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627"/>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627"/>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627"/>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627"/>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627"/>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627"/>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627"/>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627"/>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627"/>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627"/>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627"/>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627"/>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627"/>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627"/>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627"/>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627"/>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627"/>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627"/>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627"/>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627"/>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627"/>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627"/>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627"/>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627"/>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627"/>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627"/>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627"/>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627"/>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627"/>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627"/>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627"/>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627"/>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627"/>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627"/>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627"/>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627"/>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627"/>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627"/>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627"/>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627"/>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627"/>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627"/>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627"/>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627"/>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627"/>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627"/>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627"/>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627"/>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627"/>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627"/>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627"/>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627"/>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627"/>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627"/>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627"/>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627"/>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627"/>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627"/>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627"/>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627"/>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627"/>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627"/>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627"/>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627"/>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627"/>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627"/>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627"/>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627"/>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627"/>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627"/>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627"/>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627"/>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627"/>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627"/>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627"/>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627"/>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627"/>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627"/>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627"/>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627"/>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627"/>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627"/>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627"/>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627"/>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627"/>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627"/>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627"/>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627"/>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627"/>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627"/>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627"/>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627"/>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627"/>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627"/>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627"/>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627"/>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627"/>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627"/>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627"/>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627"/>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627"/>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627"/>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627"/>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627"/>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627"/>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627"/>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627"/>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627"/>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627"/>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627"/>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627"/>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627"/>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627"/>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627"/>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627"/>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627"/>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627"/>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627"/>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627"/>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627"/>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627"/>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627"/>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627"/>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627"/>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627"/>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627"/>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627"/>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627"/>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627"/>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627"/>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627"/>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627"/>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627"/>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627"/>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627"/>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627"/>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627"/>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627"/>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627"/>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627"/>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627"/>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627"/>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627"/>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627"/>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627"/>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627"/>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627"/>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627"/>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627"/>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627"/>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627"/>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627"/>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627"/>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627"/>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627"/>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627"/>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627"/>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627"/>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627"/>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627"/>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627"/>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627"/>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627"/>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627"/>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627"/>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627"/>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627"/>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627"/>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627"/>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627"/>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627"/>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627"/>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627"/>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627"/>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627"/>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627"/>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627"/>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627"/>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627"/>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627"/>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627"/>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627"/>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627"/>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627"/>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627"/>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627"/>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627"/>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627"/>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627"/>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627"/>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627"/>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627"/>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627"/>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627"/>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627"/>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627"/>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627"/>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627"/>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627"/>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627"/>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627"/>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627"/>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627"/>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627"/>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627"/>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627"/>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627"/>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627"/>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627"/>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627"/>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627"/>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627"/>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627"/>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627"/>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627"/>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627"/>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627"/>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627"/>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627"/>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627"/>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627"/>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627"/>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627"/>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627"/>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627"/>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627"/>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627"/>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627"/>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627"/>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627"/>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627"/>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627"/>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627"/>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627"/>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627"/>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627"/>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627"/>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627"/>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627"/>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627"/>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627"/>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627"/>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627"/>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627"/>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627"/>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627"/>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627"/>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627"/>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627"/>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627"/>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627"/>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627"/>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627"/>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627"/>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627"/>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627"/>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627"/>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627"/>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627"/>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627"/>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627"/>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627"/>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627"/>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627"/>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627"/>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627"/>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627"/>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627"/>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627"/>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627"/>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627"/>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627"/>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627"/>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627"/>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627"/>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627"/>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627"/>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627"/>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627"/>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627"/>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627"/>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627"/>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627"/>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627"/>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627"/>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627"/>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627"/>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627"/>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627"/>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627"/>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627"/>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627"/>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627"/>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627"/>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627"/>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627"/>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627"/>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627"/>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627"/>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627"/>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627"/>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627"/>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627"/>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627"/>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627"/>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627"/>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627"/>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627"/>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627"/>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627"/>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627"/>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627"/>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627"/>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627"/>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627"/>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627"/>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627"/>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627"/>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627"/>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627"/>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627"/>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627"/>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627"/>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627"/>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627"/>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627"/>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627"/>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627"/>
      <c r="U1000" s="1"/>
      <c r="V1000" s="1"/>
      <c r="W1000" s="1"/>
      <c r="X1000" s="1"/>
      <c r="Y1000" s="1"/>
      <c r="Z1000" s="1"/>
    </row>
  </sheetData>
  <mergeCells count="411">
    <mergeCell ref="H34:I34"/>
    <mergeCell ref="H53:I53"/>
    <mergeCell ref="H39:I39"/>
    <mergeCell ref="H36:I36"/>
    <mergeCell ref="H47:I47"/>
    <mergeCell ref="H28:I28"/>
    <mergeCell ref="H56:I56"/>
    <mergeCell ref="I151:J151"/>
    <mergeCell ref="I152:J152"/>
    <mergeCell ref="I137:J137"/>
    <mergeCell ref="I143:J143"/>
    <mergeCell ref="I144:J144"/>
    <mergeCell ref="I142:J142"/>
    <mergeCell ref="I148:J148"/>
    <mergeCell ref="H49:I49"/>
    <mergeCell ref="H48:I48"/>
    <mergeCell ref="H58:I58"/>
    <mergeCell ref="H59:I59"/>
    <mergeCell ref="H54:I54"/>
    <mergeCell ref="H55:I55"/>
    <mergeCell ref="H23:I23"/>
    <mergeCell ref="H25:I25"/>
    <mergeCell ref="H26:I26"/>
    <mergeCell ref="H27:I27"/>
    <mergeCell ref="H40:I40"/>
    <mergeCell ref="H41:I41"/>
    <mergeCell ref="H37:I37"/>
    <mergeCell ref="H38:I38"/>
    <mergeCell ref="H29:I29"/>
    <mergeCell ref="H33:I33"/>
    <mergeCell ref="H32:I32"/>
    <mergeCell ref="H30:I30"/>
    <mergeCell ref="H31:I31"/>
    <mergeCell ref="K141:L141"/>
    <mergeCell ref="K143:L143"/>
    <mergeCell ref="K142:L142"/>
    <mergeCell ref="K147:L147"/>
    <mergeCell ref="I145:J145"/>
    <mergeCell ref="K140:L140"/>
    <mergeCell ref="K137:L137"/>
    <mergeCell ref="K146:L146"/>
    <mergeCell ref="K145:L145"/>
    <mergeCell ref="K144:L144"/>
    <mergeCell ref="H17:I17"/>
    <mergeCell ref="H18:I18"/>
    <mergeCell ref="H19:I19"/>
    <mergeCell ref="H21:I21"/>
    <mergeCell ref="H20:I20"/>
    <mergeCell ref="H22:I22"/>
    <mergeCell ref="H24:I24"/>
    <mergeCell ref="H43:I43"/>
    <mergeCell ref="H42:I42"/>
    <mergeCell ref="H35:I35"/>
    <mergeCell ref="H45:I45"/>
    <mergeCell ref="H44:I44"/>
    <mergeCell ref="H50:I50"/>
    <mergeCell ref="H46:I46"/>
    <mergeCell ref="H52:I52"/>
    <mergeCell ref="H51:I51"/>
    <mergeCell ref="H11:I11"/>
    <mergeCell ref="H10:I10"/>
    <mergeCell ref="H14:I14"/>
    <mergeCell ref="H15:I15"/>
    <mergeCell ref="K139:L139"/>
    <mergeCell ref="I139:J139"/>
    <mergeCell ref="I146:J146"/>
    <mergeCell ref="I147:J147"/>
    <mergeCell ref="C152:D152"/>
    <mergeCell ref="C151:D151"/>
    <mergeCell ref="C153:D153"/>
    <mergeCell ref="C147:D147"/>
    <mergeCell ref="C148:D148"/>
    <mergeCell ref="C149:D149"/>
    <mergeCell ref="C146:D146"/>
    <mergeCell ref="C145:D145"/>
    <mergeCell ref="C150:D150"/>
    <mergeCell ref="C185:D185"/>
    <mergeCell ref="C180:D180"/>
    <mergeCell ref="C184:D184"/>
    <mergeCell ref="C182:D182"/>
    <mergeCell ref="C183:D183"/>
    <mergeCell ref="C181:D181"/>
    <mergeCell ref="C190:D190"/>
    <mergeCell ref="C171:D171"/>
    <mergeCell ref="C168:D168"/>
    <mergeCell ref="C154:D154"/>
    <mergeCell ref="C155:D155"/>
    <mergeCell ref="C179:D179"/>
    <mergeCell ref="C172:D172"/>
    <mergeCell ref="C189:D189"/>
    <mergeCell ref="C186:D186"/>
    <mergeCell ref="C187:D187"/>
    <mergeCell ref="C175:D175"/>
    <mergeCell ref="C174:D174"/>
    <mergeCell ref="C173:D173"/>
    <mergeCell ref="C176:D176"/>
    <mergeCell ref="C177:D177"/>
    <mergeCell ref="C178:D178"/>
    <mergeCell ref="C163:D163"/>
    <mergeCell ref="C164:D164"/>
    <mergeCell ref="C165:D165"/>
    <mergeCell ref="C166:D166"/>
    <mergeCell ref="C170:D170"/>
    <mergeCell ref="C169:D169"/>
    <mergeCell ref="D124:E124"/>
    <mergeCell ref="D127:E127"/>
    <mergeCell ref="D126:E126"/>
    <mergeCell ref="C140:D140"/>
    <mergeCell ref="C141:D141"/>
    <mergeCell ref="C142:D142"/>
    <mergeCell ref="C137:D137"/>
    <mergeCell ref="C144:D144"/>
    <mergeCell ref="D116:E116"/>
    <mergeCell ref="D121:E121"/>
    <mergeCell ref="D120:E120"/>
    <mergeCell ref="D119:E119"/>
    <mergeCell ref="D118:E118"/>
    <mergeCell ref="D117:E117"/>
    <mergeCell ref="C143:D143"/>
    <mergeCell ref="B347:C347"/>
    <mergeCell ref="B350:C350"/>
    <mergeCell ref="B348:C348"/>
    <mergeCell ref="B349:C349"/>
    <mergeCell ref="C191:D191"/>
    <mergeCell ref="C192:D192"/>
    <mergeCell ref="B345:C346"/>
    <mergeCell ref="C194:D194"/>
    <mergeCell ref="C206:D206"/>
    <mergeCell ref="C193:D193"/>
    <mergeCell ref="B278:B279"/>
    <mergeCell ref="C188:D188"/>
    <mergeCell ref="C195:D195"/>
    <mergeCell ref="B206:B207"/>
    <mergeCell ref="C156:D156"/>
    <mergeCell ref="C159:D159"/>
    <mergeCell ref="C157:D157"/>
    <mergeCell ref="C158:D158"/>
    <mergeCell ref="C162:D162"/>
    <mergeCell ref="C160:D160"/>
    <mergeCell ref="C161:D161"/>
    <mergeCell ref="C167:D167"/>
    <mergeCell ref="D122:E122"/>
    <mergeCell ref="D123:E123"/>
    <mergeCell ref="B137:B138"/>
    <mergeCell ref="C139:D139"/>
    <mergeCell ref="D86:E86"/>
    <mergeCell ref="D85:E85"/>
    <mergeCell ref="D98:E98"/>
    <mergeCell ref="D97:E97"/>
    <mergeCell ref="D96:E96"/>
    <mergeCell ref="D94:E94"/>
    <mergeCell ref="D95:E95"/>
    <mergeCell ref="D84:E84"/>
    <mergeCell ref="D91:E91"/>
    <mergeCell ref="D103:E103"/>
    <mergeCell ref="D102:E102"/>
    <mergeCell ref="D101:E101"/>
    <mergeCell ref="D100:E100"/>
    <mergeCell ref="D99:E99"/>
    <mergeCell ref="D110:E110"/>
    <mergeCell ref="D108:E108"/>
    <mergeCell ref="D107:E107"/>
    <mergeCell ref="D109:E109"/>
    <mergeCell ref="D106:E106"/>
    <mergeCell ref="D105:E105"/>
    <mergeCell ref="D104:E104"/>
    <mergeCell ref="D92:E92"/>
    <mergeCell ref="D93:E93"/>
    <mergeCell ref="D75:E75"/>
    <mergeCell ref="D76:E76"/>
    <mergeCell ref="C71:H71"/>
    <mergeCell ref="D72:E72"/>
    <mergeCell ref="D73:E73"/>
    <mergeCell ref="D74:E74"/>
    <mergeCell ref="D83:E83"/>
    <mergeCell ref="D82:E82"/>
    <mergeCell ref="D81:E81"/>
    <mergeCell ref="D80:E80"/>
    <mergeCell ref="D79:E79"/>
    <mergeCell ref="D78:E78"/>
    <mergeCell ref="D77:E77"/>
    <mergeCell ref="D90:E90"/>
    <mergeCell ref="D89:E89"/>
    <mergeCell ref="D88:E88"/>
    <mergeCell ref="D87:E87"/>
    <mergeCell ref="K163:L163"/>
    <mergeCell ref="I165:J165"/>
    <mergeCell ref="I150:J150"/>
    <mergeCell ref="K148:L148"/>
    <mergeCell ref="I156:J156"/>
    <mergeCell ref="I155:J155"/>
    <mergeCell ref="K168:L168"/>
    <mergeCell ref="K171:L171"/>
    <mergeCell ref="K162:L162"/>
    <mergeCell ref="I167:J167"/>
    <mergeCell ref="G172:H172"/>
    <mergeCell ref="I172:J172"/>
    <mergeCell ref="K173:L173"/>
    <mergeCell ref="K172:L172"/>
    <mergeCell ref="G174:H174"/>
    <mergeCell ref="G173:H173"/>
    <mergeCell ref="G184:H184"/>
    <mergeCell ref="I184:J184"/>
    <mergeCell ref="G185:H185"/>
    <mergeCell ref="G163:H163"/>
    <mergeCell ref="G165:H165"/>
    <mergeCell ref="G164:H164"/>
    <mergeCell ref="G167:H167"/>
    <mergeCell ref="K165:L165"/>
    <mergeCell ref="K164:L164"/>
    <mergeCell ref="G162:H162"/>
    <mergeCell ref="G155:H155"/>
    <mergeCell ref="G158:H158"/>
    <mergeCell ref="G157:H157"/>
    <mergeCell ref="G156:H156"/>
    <mergeCell ref="G150:H150"/>
    <mergeCell ref="G148:H148"/>
    <mergeCell ref="G149:H149"/>
    <mergeCell ref="G161:H161"/>
    <mergeCell ref="G160:H160"/>
    <mergeCell ref="G151:H151"/>
    <mergeCell ref="G152:H152"/>
    <mergeCell ref="G153:H153"/>
    <mergeCell ref="G154:H154"/>
    <mergeCell ref="G159:H159"/>
    <mergeCell ref="I174:J174"/>
    <mergeCell ref="K169:L169"/>
    <mergeCell ref="K170:L170"/>
    <mergeCell ref="I173:J173"/>
    <mergeCell ref="I169:J169"/>
    <mergeCell ref="I162:J162"/>
    <mergeCell ref="I161:J161"/>
    <mergeCell ref="K191:L191"/>
    <mergeCell ref="K193:L193"/>
    <mergeCell ref="K194:L194"/>
    <mergeCell ref="K195:L195"/>
    <mergeCell ref="K190:L190"/>
    <mergeCell ref="I186:J186"/>
    <mergeCell ref="K189:L189"/>
    <mergeCell ref="K188:L188"/>
    <mergeCell ref="K185:L185"/>
    <mergeCell ref="I187:J187"/>
    <mergeCell ref="I185:J185"/>
    <mergeCell ref="I177:J177"/>
    <mergeCell ref="I181:J181"/>
    <mergeCell ref="I179:J179"/>
    <mergeCell ref="I180:J180"/>
    <mergeCell ref="K181:L181"/>
    <mergeCell ref="K180:L180"/>
    <mergeCell ref="K184:L184"/>
    <mergeCell ref="K174:L174"/>
    <mergeCell ref="K179:L179"/>
    <mergeCell ref="K183:L183"/>
    <mergeCell ref="K177:L177"/>
    <mergeCell ref="K176:L176"/>
    <mergeCell ref="K178:L178"/>
    <mergeCell ref="I163:J163"/>
    <mergeCell ref="I164:J164"/>
    <mergeCell ref="I168:J168"/>
    <mergeCell ref="I166:J166"/>
    <mergeCell ref="B380:C380"/>
    <mergeCell ref="B381:C381"/>
    <mergeCell ref="A373:A374"/>
    <mergeCell ref="B377:C377"/>
    <mergeCell ref="B378:C378"/>
    <mergeCell ref="B379:C379"/>
    <mergeCell ref="B391:C391"/>
    <mergeCell ref="B390:C390"/>
    <mergeCell ref="B388:C388"/>
    <mergeCell ref="B389:C389"/>
    <mergeCell ref="B392:C392"/>
    <mergeCell ref="B393:C393"/>
    <mergeCell ref="B383:C383"/>
    <mergeCell ref="B384:C384"/>
    <mergeCell ref="B385:C385"/>
    <mergeCell ref="B386:C386"/>
    <mergeCell ref="B382:C382"/>
    <mergeCell ref="B415:C415"/>
    <mergeCell ref="B413:C413"/>
    <mergeCell ref="B414:C414"/>
    <mergeCell ref="B387:C387"/>
    <mergeCell ref="B411:C411"/>
    <mergeCell ref="B394:C394"/>
    <mergeCell ref="I195:J195"/>
    <mergeCell ref="C207:J207"/>
    <mergeCell ref="G206:H206"/>
    <mergeCell ref="I194:J194"/>
    <mergeCell ref="I193:J193"/>
    <mergeCell ref="I191:J191"/>
    <mergeCell ref="I190:J190"/>
    <mergeCell ref="I188:J188"/>
    <mergeCell ref="I189:J189"/>
    <mergeCell ref="G191:H191"/>
    <mergeCell ref="G190:H190"/>
    <mergeCell ref="G193:H193"/>
    <mergeCell ref="G195:H195"/>
    <mergeCell ref="G188:H188"/>
    <mergeCell ref="G192:H192"/>
    <mergeCell ref="G189:H189"/>
    <mergeCell ref="G194:H194"/>
    <mergeCell ref="I192:J192"/>
    <mergeCell ref="H5:I5"/>
    <mergeCell ref="H7:I7"/>
    <mergeCell ref="H6:I6"/>
    <mergeCell ref="B2:B3"/>
    <mergeCell ref="B70:B71"/>
    <mergeCell ref="D70:E70"/>
    <mergeCell ref="C3:I3"/>
    <mergeCell ref="H16:I16"/>
    <mergeCell ref="H13:I13"/>
    <mergeCell ref="H12:I12"/>
    <mergeCell ref="H2:I2"/>
    <mergeCell ref="H4:I4"/>
    <mergeCell ref="H8:I8"/>
    <mergeCell ref="H9:I9"/>
    <mergeCell ref="B373:C373"/>
    <mergeCell ref="B374:C374"/>
    <mergeCell ref="D403:S403"/>
    <mergeCell ref="B369:C369"/>
    <mergeCell ref="B368:C368"/>
    <mergeCell ref="B357:C357"/>
    <mergeCell ref="B361:C361"/>
    <mergeCell ref="B360:C360"/>
    <mergeCell ref="C279:F279"/>
    <mergeCell ref="B354:C354"/>
    <mergeCell ref="B355:C355"/>
    <mergeCell ref="B366:C366"/>
    <mergeCell ref="B367:C367"/>
    <mergeCell ref="B370:C370"/>
    <mergeCell ref="B375:C375"/>
    <mergeCell ref="B371:C371"/>
    <mergeCell ref="B376:C376"/>
    <mergeCell ref="B372:C372"/>
    <mergeCell ref="B365:C365"/>
    <mergeCell ref="B362:C362"/>
    <mergeCell ref="K187:L187"/>
    <mergeCell ref="K186:L186"/>
    <mergeCell ref="G186:H186"/>
    <mergeCell ref="G187:H187"/>
    <mergeCell ref="B352:C352"/>
    <mergeCell ref="B353:C353"/>
    <mergeCell ref="B363:C363"/>
    <mergeCell ref="B364:C364"/>
    <mergeCell ref="D346:S346"/>
    <mergeCell ref="B358:C358"/>
    <mergeCell ref="B359:C359"/>
    <mergeCell ref="B356:C356"/>
    <mergeCell ref="B351:C351"/>
    <mergeCell ref="G177:H177"/>
    <mergeCell ref="I178:J178"/>
    <mergeCell ref="I176:J176"/>
    <mergeCell ref="I175:J175"/>
    <mergeCell ref="G175:H175"/>
    <mergeCell ref="G176:H176"/>
    <mergeCell ref="K175:L175"/>
    <mergeCell ref="G179:H179"/>
    <mergeCell ref="G180:H180"/>
    <mergeCell ref="G178:H178"/>
    <mergeCell ref="G183:H183"/>
    <mergeCell ref="I183:J183"/>
    <mergeCell ref="I182:J182"/>
    <mergeCell ref="K182:L182"/>
    <mergeCell ref="G182:H182"/>
    <mergeCell ref="G181:H181"/>
    <mergeCell ref="G168:H168"/>
    <mergeCell ref="G169:H169"/>
    <mergeCell ref="K167:L167"/>
    <mergeCell ref="K166:L166"/>
    <mergeCell ref="G170:H170"/>
    <mergeCell ref="G171:H171"/>
    <mergeCell ref="I170:J170"/>
    <mergeCell ref="I171:J171"/>
    <mergeCell ref="G166:H166"/>
    <mergeCell ref="G140:H140"/>
    <mergeCell ref="G141:H141"/>
    <mergeCell ref="I140:J140"/>
    <mergeCell ref="I141:J141"/>
    <mergeCell ref="D115:E115"/>
    <mergeCell ref="D114:E114"/>
    <mergeCell ref="D113:E113"/>
    <mergeCell ref="D112:E112"/>
    <mergeCell ref="D111:E111"/>
    <mergeCell ref="K159:L159"/>
    <mergeCell ref="K160:L160"/>
    <mergeCell ref="K161:L161"/>
    <mergeCell ref="K149:L149"/>
    <mergeCell ref="I149:J149"/>
    <mergeCell ref="G147:H147"/>
    <mergeCell ref="G146:H146"/>
    <mergeCell ref="G145:H145"/>
    <mergeCell ref="G144:H144"/>
    <mergeCell ref="G143:H143"/>
    <mergeCell ref="G142:H142"/>
    <mergeCell ref="I157:J157"/>
    <mergeCell ref="I153:J153"/>
    <mergeCell ref="I154:J154"/>
    <mergeCell ref="K152:L152"/>
    <mergeCell ref="K153:L153"/>
    <mergeCell ref="K154:L154"/>
    <mergeCell ref="K155:L155"/>
    <mergeCell ref="I159:J159"/>
    <mergeCell ref="I160:J160"/>
    <mergeCell ref="K158:L158"/>
    <mergeCell ref="K157:L157"/>
    <mergeCell ref="I158:J158"/>
    <mergeCell ref="K151:L151"/>
    <mergeCell ref="K150:L150"/>
    <mergeCell ref="K156:L156"/>
    <mergeCell ref="G137:H137"/>
    <mergeCell ref="G139:H139"/>
    <mergeCell ref="C138:L138"/>
  </mergeCells>
  <printOptions/>
  <pageMargins bottom="0.7874015748031497" footer="0.0" header="0.0" left="0.2362204724409449" right="0.15748031496062992" top="0.7874015748031497"/>
  <pageSetup paperSize="9" orientation="landscape"/>
  <rowBreaks count="6" manualBreakCount="6">
    <brk id="400" man="1"/>
    <brk id="276" man="1"/>
    <brk id="68" man="1"/>
    <brk id="343" man="1"/>
    <brk id="135" man="1"/>
    <brk id="204" man="1"/>
  </rowBreaks>
  <colBreaks count="1" manualBreakCount="1">
    <brk id="22"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10" width="9.43"/>
    <col customWidth="1" min="11" max="26" width="8.71"/>
  </cols>
  <sheetData>
    <row r="1" ht="11.25" customHeight="1">
      <c r="A1" s="1"/>
      <c r="B1" s="1" t="s">
        <v>1455</v>
      </c>
      <c r="C1" s="1"/>
      <c r="D1" s="1"/>
      <c r="E1" s="1"/>
      <c r="F1" s="1"/>
      <c r="G1" s="1"/>
      <c r="H1" s="1"/>
      <c r="I1" s="1"/>
      <c r="J1" s="1"/>
      <c r="K1" s="1"/>
      <c r="L1" s="1"/>
      <c r="M1" s="1"/>
      <c r="N1" s="1"/>
      <c r="O1" s="1"/>
      <c r="P1" s="1"/>
      <c r="Q1" s="1"/>
      <c r="R1" s="1"/>
      <c r="S1" s="1"/>
      <c r="T1" s="1"/>
      <c r="U1" s="1"/>
      <c r="V1" s="1"/>
      <c r="W1" s="1"/>
      <c r="X1" s="1"/>
      <c r="Y1" s="1"/>
      <c r="Z1" s="1"/>
    </row>
    <row r="2" ht="24.0" customHeight="1">
      <c r="A2" s="1"/>
      <c r="B2" s="29" t="s">
        <v>1456</v>
      </c>
      <c r="C2" s="128" t="s">
        <v>1457</v>
      </c>
      <c r="D2" s="10"/>
      <c r="E2" s="128" t="s">
        <v>1458</v>
      </c>
      <c r="F2" s="10"/>
      <c r="G2" s="128" t="s">
        <v>1459</v>
      </c>
      <c r="H2" s="10"/>
      <c r="I2" s="190" t="s">
        <v>2</v>
      </c>
      <c r="J2" s="1"/>
      <c r="K2" s="1"/>
      <c r="L2" s="1"/>
      <c r="M2" s="1"/>
      <c r="N2" s="1"/>
      <c r="O2" s="1"/>
      <c r="P2" s="1"/>
      <c r="Q2" s="1"/>
      <c r="R2" s="1"/>
      <c r="S2" s="1"/>
      <c r="T2" s="1"/>
      <c r="U2" s="1"/>
      <c r="V2" s="1"/>
      <c r="W2" s="1"/>
      <c r="X2" s="1"/>
      <c r="Y2" s="1"/>
      <c r="Z2" s="1"/>
    </row>
    <row r="3" ht="11.25" customHeight="1">
      <c r="A3" s="1"/>
      <c r="B3" s="6"/>
      <c r="C3" s="114" t="s">
        <v>1170</v>
      </c>
      <c r="D3" s="9"/>
      <c r="E3" s="9"/>
      <c r="F3" s="9"/>
      <c r="G3" s="9"/>
      <c r="H3" s="9"/>
      <c r="I3" s="10"/>
      <c r="J3" s="1"/>
      <c r="K3" s="1"/>
      <c r="L3" s="1"/>
      <c r="M3" s="1"/>
      <c r="N3" s="1"/>
      <c r="O3" s="1"/>
      <c r="P3" s="1"/>
      <c r="Q3" s="1"/>
      <c r="R3" s="1"/>
      <c r="S3" s="1"/>
      <c r="T3" s="1"/>
      <c r="U3" s="1"/>
      <c r="V3" s="1"/>
      <c r="W3" s="1"/>
      <c r="X3" s="1"/>
      <c r="Y3" s="1"/>
      <c r="Z3" s="1"/>
    </row>
    <row r="4" ht="10.5" customHeight="1">
      <c r="A4" s="1"/>
      <c r="B4" s="129">
        <v>1970.0</v>
      </c>
      <c r="C4" s="841"/>
      <c r="D4" s="822">
        <v>77.8</v>
      </c>
      <c r="E4" s="842"/>
      <c r="F4" s="285">
        <v>120.9</v>
      </c>
      <c r="G4" s="842"/>
      <c r="H4" s="843">
        <v>-36.5</v>
      </c>
      <c r="I4" s="250">
        <f t="shared" ref="I4:I8" si="1">+D4+F4+H4</f>
        <v>162.2</v>
      </c>
      <c r="J4" s="1"/>
      <c r="K4" s="1"/>
      <c r="L4" s="1"/>
      <c r="M4" s="1"/>
      <c r="N4" s="1"/>
      <c r="O4" s="1"/>
      <c r="P4" s="1"/>
      <c r="Q4" s="1"/>
      <c r="R4" s="1"/>
      <c r="S4" s="1"/>
      <c r="T4" s="1"/>
      <c r="U4" s="1"/>
      <c r="V4" s="1"/>
      <c r="W4" s="1"/>
      <c r="X4" s="1"/>
      <c r="Y4" s="1"/>
      <c r="Z4" s="1"/>
    </row>
    <row r="5" ht="10.5" customHeight="1">
      <c r="A5" s="1"/>
      <c r="B5" s="129">
        <v>1971.0</v>
      </c>
      <c r="C5" s="846"/>
      <c r="D5" s="285">
        <v>84.6</v>
      </c>
      <c r="E5" s="847"/>
      <c r="F5" s="285">
        <v>142.4</v>
      </c>
      <c r="G5" s="847"/>
      <c r="H5" s="250">
        <v>-48.0</v>
      </c>
      <c r="I5" s="250">
        <f t="shared" si="1"/>
        <v>179</v>
      </c>
      <c r="J5" s="1"/>
      <c r="K5" s="1"/>
      <c r="L5" s="1"/>
      <c r="M5" s="1"/>
      <c r="N5" s="1"/>
      <c r="O5" s="1"/>
      <c r="P5" s="1"/>
      <c r="Q5" s="1"/>
      <c r="R5" s="1"/>
      <c r="S5" s="1"/>
      <c r="T5" s="1"/>
      <c r="U5" s="1"/>
      <c r="V5" s="1"/>
      <c r="W5" s="1"/>
      <c r="X5" s="1"/>
      <c r="Y5" s="1"/>
      <c r="Z5" s="1"/>
    </row>
    <row r="6" ht="10.5" customHeight="1">
      <c r="A6" s="1"/>
      <c r="B6" s="129">
        <v>1972.0</v>
      </c>
      <c r="C6" s="846"/>
      <c r="D6" s="285">
        <v>97.4</v>
      </c>
      <c r="E6" s="847"/>
      <c r="F6" s="285">
        <v>142.0</v>
      </c>
      <c r="G6" s="847"/>
      <c r="H6" s="250">
        <v>-26.4</v>
      </c>
      <c r="I6" s="250">
        <f t="shared" si="1"/>
        <v>213</v>
      </c>
      <c r="J6" s="1"/>
      <c r="K6" s="1"/>
      <c r="L6" s="1"/>
      <c r="M6" s="1"/>
      <c r="N6" s="1"/>
      <c r="O6" s="1"/>
      <c r="P6" s="1"/>
      <c r="Q6" s="1"/>
      <c r="R6" s="1"/>
      <c r="S6" s="1"/>
      <c r="T6" s="1"/>
      <c r="U6" s="1"/>
      <c r="V6" s="1"/>
      <c r="W6" s="1"/>
      <c r="X6" s="1"/>
      <c r="Y6" s="1"/>
      <c r="Z6" s="1"/>
    </row>
    <row r="7" ht="10.5" customHeight="1">
      <c r="A7" s="1"/>
      <c r="B7" s="129">
        <v>1973.0</v>
      </c>
      <c r="C7" s="846"/>
      <c r="D7" s="285">
        <v>117.0</v>
      </c>
      <c r="E7" s="847"/>
      <c r="F7" s="285">
        <v>163.7</v>
      </c>
      <c r="G7" s="847"/>
      <c r="H7" s="250">
        <v>59.2</v>
      </c>
      <c r="I7" s="250">
        <f t="shared" si="1"/>
        <v>339.9</v>
      </c>
      <c r="J7" s="1"/>
      <c r="K7" s="1"/>
      <c r="L7" s="1"/>
      <c r="M7" s="1"/>
      <c r="N7" s="1"/>
      <c r="O7" s="1"/>
      <c r="P7" s="1"/>
      <c r="Q7" s="1"/>
      <c r="R7" s="1"/>
      <c r="S7" s="1"/>
      <c r="T7" s="1"/>
      <c r="U7" s="1"/>
      <c r="V7" s="1"/>
      <c r="W7" s="1"/>
      <c r="X7" s="1"/>
      <c r="Y7" s="1"/>
      <c r="Z7" s="1"/>
    </row>
    <row r="8" ht="10.5" customHeight="1">
      <c r="A8" s="1"/>
      <c r="B8" s="129">
        <v>1974.0</v>
      </c>
      <c r="C8" s="846"/>
      <c r="D8" s="285">
        <v>137.5</v>
      </c>
      <c r="E8" s="847"/>
      <c r="F8" s="285">
        <v>192.9</v>
      </c>
      <c r="G8" s="847"/>
      <c r="H8" s="250">
        <v>95.4</v>
      </c>
      <c r="I8" s="250">
        <f t="shared" si="1"/>
        <v>425.8</v>
      </c>
      <c r="J8" s="1"/>
      <c r="K8" s="1"/>
      <c r="L8" s="1"/>
      <c r="M8" s="1"/>
      <c r="N8" s="1"/>
      <c r="O8" s="1"/>
      <c r="P8" s="1"/>
      <c r="Q8" s="1"/>
      <c r="R8" s="1"/>
      <c r="S8" s="1"/>
      <c r="T8" s="1"/>
      <c r="U8" s="1"/>
      <c r="V8" s="1"/>
      <c r="W8" s="1"/>
      <c r="X8" s="1"/>
      <c r="Y8" s="1"/>
      <c r="Z8" s="1"/>
    </row>
    <row r="9" ht="10.5" customHeight="1">
      <c r="A9" s="1"/>
      <c r="B9" s="129"/>
      <c r="C9" s="846"/>
      <c r="D9" s="285"/>
      <c r="E9" s="847"/>
      <c r="F9" s="285"/>
      <c r="G9" s="847"/>
      <c r="H9" s="250"/>
      <c r="I9" s="250"/>
      <c r="J9" s="1"/>
      <c r="K9" s="1"/>
      <c r="L9" s="1"/>
      <c r="M9" s="1"/>
      <c r="N9" s="1"/>
      <c r="O9" s="1"/>
      <c r="P9" s="1"/>
      <c r="Q9" s="1"/>
      <c r="R9" s="1"/>
      <c r="S9" s="1"/>
      <c r="T9" s="1"/>
      <c r="U9" s="1"/>
      <c r="V9" s="1"/>
      <c r="W9" s="1"/>
      <c r="X9" s="1"/>
      <c r="Y9" s="1"/>
      <c r="Z9" s="1"/>
    </row>
    <row r="10" ht="10.5" customHeight="1">
      <c r="A10" s="1"/>
      <c r="B10" s="129">
        <v>1975.0</v>
      </c>
      <c r="C10" s="846"/>
      <c r="D10" s="285">
        <v>161.3</v>
      </c>
      <c r="E10" s="847"/>
      <c r="F10" s="285">
        <v>336.5</v>
      </c>
      <c r="G10" s="847"/>
      <c r="H10" s="250">
        <v>60.0</v>
      </c>
      <c r="I10" s="250">
        <f t="shared" ref="I10:I14" si="2">+D10+F10+H10</f>
        <v>557.8</v>
      </c>
      <c r="J10" s="1"/>
      <c r="K10" s="1"/>
      <c r="L10" s="1"/>
      <c r="M10" s="1"/>
      <c r="N10" s="1"/>
      <c r="O10" s="1"/>
      <c r="P10" s="1"/>
      <c r="Q10" s="1"/>
      <c r="R10" s="1"/>
      <c r="S10" s="1"/>
      <c r="T10" s="1"/>
      <c r="U10" s="1"/>
      <c r="V10" s="1"/>
      <c r="W10" s="1"/>
      <c r="X10" s="1"/>
      <c r="Y10" s="1"/>
      <c r="Z10" s="1"/>
    </row>
    <row r="11" ht="10.5" customHeight="1">
      <c r="A11" s="1"/>
      <c r="B11" s="129">
        <v>1976.0</v>
      </c>
      <c r="C11" s="846"/>
      <c r="D11" s="285">
        <v>177.8</v>
      </c>
      <c r="E11" s="847"/>
      <c r="F11" s="285">
        <v>321.8</v>
      </c>
      <c r="G11" s="847"/>
      <c r="H11" s="250">
        <v>44.8</v>
      </c>
      <c r="I11" s="250">
        <f t="shared" si="2"/>
        <v>544.4</v>
      </c>
      <c r="J11" s="1"/>
      <c r="K11" s="1"/>
      <c r="L11" s="1"/>
      <c r="M11" s="1"/>
      <c r="N11" s="1"/>
      <c r="O11" s="1"/>
      <c r="P11" s="1"/>
      <c r="Q11" s="1"/>
      <c r="R11" s="1"/>
      <c r="S11" s="1"/>
      <c r="T11" s="1"/>
      <c r="U11" s="1"/>
      <c r="V11" s="1"/>
      <c r="W11" s="1"/>
      <c r="X11" s="1"/>
      <c r="Y11" s="1"/>
      <c r="Z11" s="1"/>
    </row>
    <row r="12" ht="10.5" customHeight="1">
      <c r="A12" s="1"/>
      <c r="B12" s="129">
        <v>1977.0</v>
      </c>
      <c r="C12" s="846"/>
      <c r="D12" s="285">
        <v>195.2</v>
      </c>
      <c r="E12" s="847"/>
      <c r="F12" s="285">
        <v>356.3</v>
      </c>
      <c r="G12" s="847"/>
      <c r="H12" s="250">
        <v>70.3</v>
      </c>
      <c r="I12" s="250">
        <f t="shared" si="2"/>
        <v>621.8</v>
      </c>
      <c r="J12" s="1"/>
      <c r="K12" s="1"/>
      <c r="L12" s="1"/>
      <c r="M12" s="1"/>
      <c r="N12" s="1"/>
      <c r="O12" s="1"/>
      <c r="P12" s="1"/>
      <c r="Q12" s="1"/>
      <c r="R12" s="1"/>
      <c r="S12" s="1"/>
      <c r="T12" s="1"/>
      <c r="U12" s="1"/>
      <c r="V12" s="1"/>
      <c r="W12" s="1"/>
      <c r="X12" s="1"/>
      <c r="Y12" s="1"/>
      <c r="Z12" s="1"/>
    </row>
    <row r="13" ht="10.5" customHeight="1">
      <c r="A13" s="1"/>
      <c r="B13" s="129">
        <v>1978.0</v>
      </c>
      <c r="C13" s="846"/>
      <c r="D13" s="285">
        <v>223.0</v>
      </c>
      <c r="E13" s="847"/>
      <c r="F13" s="285">
        <v>368.9</v>
      </c>
      <c r="G13" s="847"/>
      <c r="H13" s="250">
        <v>28.9</v>
      </c>
      <c r="I13" s="250">
        <f t="shared" si="2"/>
        <v>620.8</v>
      </c>
      <c r="J13" s="1"/>
      <c r="K13" s="1"/>
      <c r="L13" s="1"/>
      <c r="M13" s="1"/>
      <c r="N13" s="1"/>
      <c r="O13" s="1"/>
      <c r="P13" s="1"/>
      <c r="Q13" s="1"/>
      <c r="R13" s="1"/>
      <c r="S13" s="1"/>
      <c r="T13" s="1"/>
      <c r="U13" s="1"/>
      <c r="V13" s="1"/>
      <c r="W13" s="1"/>
      <c r="X13" s="1"/>
      <c r="Y13" s="1"/>
      <c r="Z13" s="1"/>
    </row>
    <row r="14" ht="10.5" customHeight="1">
      <c r="A14" s="1"/>
      <c r="B14" s="129">
        <v>1979.0</v>
      </c>
      <c r="C14" s="846"/>
      <c r="D14" s="285">
        <v>256.1</v>
      </c>
      <c r="E14" s="847"/>
      <c r="F14" s="285">
        <v>397.8</v>
      </c>
      <c r="G14" s="847"/>
      <c r="H14" s="250">
        <v>-54.0</v>
      </c>
      <c r="I14" s="250">
        <f t="shared" si="2"/>
        <v>599.9</v>
      </c>
      <c r="J14" s="1"/>
      <c r="K14" s="1"/>
      <c r="L14" s="1"/>
      <c r="M14" s="1"/>
      <c r="N14" s="1"/>
      <c r="O14" s="1"/>
      <c r="P14" s="1"/>
      <c r="Q14" s="1"/>
      <c r="R14" s="1"/>
      <c r="S14" s="1"/>
      <c r="T14" s="1"/>
      <c r="U14" s="1"/>
      <c r="V14" s="1"/>
      <c r="W14" s="1"/>
      <c r="X14" s="1"/>
      <c r="Y14" s="1"/>
      <c r="Z14" s="1"/>
    </row>
    <row r="15" ht="10.5" customHeight="1">
      <c r="A15" s="1"/>
      <c r="B15" s="129"/>
      <c r="C15" s="846"/>
      <c r="D15" s="285"/>
      <c r="E15" s="847"/>
      <c r="F15" s="285"/>
      <c r="G15" s="847"/>
      <c r="H15" s="250"/>
      <c r="I15" s="250"/>
      <c r="J15" s="1"/>
      <c r="K15" s="1"/>
      <c r="L15" s="1"/>
      <c r="M15" s="1"/>
      <c r="N15" s="1"/>
      <c r="O15" s="1"/>
      <c r="P15" s="1"/>
      <c r="Q15" s="1"/>
      <c r="R15" s="1"/>
      <c r="S15" s="1"/>
      <c r="T15" s="1"/>
      <c r="U15" s="1"/>
      <c r="V15" s="1"/>
      <c r="W15" s="1"/>
      <c r="X15" s="1"/>
      <c r="Y15" s="1"/>
      <c r="Z15" s="1"/>
    </row>
    <row r="16" ht="10.5" customHeight="1">
      <c r="A16" s="1"/>
      <c r="B16" s="129">
        <v>1980.0</v>
      </c>
      <c r="C16" s="846"/>
      <c r="D16" s="285">
        <v>298.7</v>
      </c>
      <c r="E16" s="847"/>
      <c r="F16" s="285">
        <v>636.1</v>
      </c>
      <c r="G16" s="847"/>
      <c r="H16" s="250">
        <v>-31.6</v>
      </c>
      <c r="I16" s="250">
        <f t="shared" ref="I16:I20" si="3">+D16+F16+H16</f>
        <v>903.2</v>
      </c>
      <c r="J16" s="1"/>
      <c r="K16" s="1"/>
      <c r="L16" s="1"/>
      <c r="M16" s="1"/>
      <c r="N16" s="1"/>
      <c r="O16" s="1"/>
      <c r="P16" s="1"/>
      <c r="Q16" s="1"/>
      <c r="R16" s="1"/>
      <c r="S16" s="1"/>
      <c r="T16" s="1"/>
      <c r="U16" s="1"/>
      <c r="V16" s="1"/>
      <c r="W16" s="1"/>
      <c r="X16" s="1"/>
      <c r="Y16" s="1"/>
      <c r="Z16" s="1"/>
    </row>
    <row r="17" ht="10.5" customHeight="1">
      <c r="A17" s="1"/>
      <c r="B17" s="129">
        <v>1981.0</v>
      </c>
      <c r="C17" s="846"/>
      <c r="D17" s="285">
        <v>337.9</v>
      </c>
      <c r="E17" s="847"/>
      <c r="F17" s="285">
        <v>946.9</v>
      </c>
      <c r="G17" s="847"/>
      <c r="H17" s="250">
        <v>75.3</v>
      </c>
      <c r="I17" s="250">
        <f t="shared" si="3"/>
        <v>1360.1</v>
      </c>
      <c r="J17" s="1"/>
      <c r="K17" s="1"/>
      <c r="L17" s="1"/>
      <c r="M17" s="1"/>
      <c r="N17" s="1"/>
      <c r="O17" s="1"/>
      <c r="P17" s="1"/>
      <c r="Q17" s="1"/>
      <c r="R17" s="1"/>
      <c r="S17" s="1"/>
      <c r="T17" s="1"/>
      <c r="U17" s="1"/>
      <c r="V17" s="1"/>
      <c r="W17" s="1"/>
      <c r="X17" s="1"/>
      <c r="Y17" s="1"/>
      <c r="Z17" s="1"/>
    </row>
    <row r="18" ht="10.5" customHeight="1">
      <c r="A18" s="1"/>
      <c r="B18" s="129">
        <v>1982.0</v>
      </c>
      <c r="C18" s="846"/>
      <c r="D18" s="285">
        <v>377.2</v>
      </c>
      <c r="E18" s="847"/>
      <c r="F18" s="285">
        <v>737.3</v>
      </c>
      <c r="G18" s="847"/>
      <c r="H18" s="250">
        <v>-23.7</v>
      </c>
      <c r="I18" s="250">
        <f t="shared" si="3"/>
        <v>1090.8</v>
      </c>
      <c r="J18" s="1"/>
      <c r="K18" s="1"/>
      <c r="L18" s="1"/>
      <c r="M18" s="1"/>
      <c r="N18" s="1"/>
      <c r="O18" s="1"/>
      <c r="P18" s="1"/>
      <c r="Q18" s="1"/>
      <c r="R18" s="1"/>
      <c r="S18" s="1"/>
      <c r="T18" s="1"/>
      <c r="U18" s="1"/>
      <c r="V18" s="1"/>
      <c r="W18" s="1"/>
      <c r="X18" s="1"/>
      <c r="Y18" s="1"/>
      <c r="Z18" s="1"/>
    </row>
    <row r="19" ht="10.5" customHeight="1">
      <c r="A19" s="1"/>
      <c r="B19" s="129">
        <v>1983.0</v>
      </c>
      <c r="C19" s="846"/>
      <c r="D19" s="285">
        <v>356.4</v>
      </c>
      <c r="E19" s="847"/>
      <c r="F19" s="285">
        <v>689.9</v>
      </c>
      <c r="G19" s="847"/>
      <c r="H19" s="250">
        <v>-259.8</v>
      </c>
      <c r="I19" s="250">
        <f t="shared" si="3"/>
        <v>786.5</v>
      </c>
      <c r="J19" s="1"/>
      <c r="K19" s="1"/>
      <c r="L19" s="1"/>
      <c r="M19" s="1"/>
      <c r="N19" s="1"/>
      <c r="O19" s="1"/>
      <c r="P19" s="1"/>
      <c r="Q19" s="1"/>
      <c r="R19" s="1"/>
      <c r="S19" s="1"/>
      <c r="T19" s="1"/>
      <c r="U19" s="1"/>
      <c r="V19" s="1"/>
      <c r="W19" s="1"/>
      <c r="X19" s="1"/>
      <c r="Y19" s="1"/>
      <c r="Z19" s="1"/>
    </row>
    <row r="20" ht="10.5" customHeight="1">
      <c r="A20" s="1"/>
      <c r="B20" s="129">
        <v>1984.0</v>
      </c>
      <c r="C20" s="846"/>
      <c r="D20" s="285">
        <v>364.4</v>
      </c>
      <c r="E20" s="847"/>
      <c r="F20" s="285">
        <v>657.0</v>
      </c>
      <c r="G20" s="847"/>
      <c r="H20" s="250">
        <v>-167.0</v>
      </c>
      <c r="I20" s="250">
        <f t="shared" si="3"/>
        <v>854.4</v>
      </c>
      <c r="J20" s="1"/>
      <c r="K20" s="1"/>
      <c r="L20" s="1"/>
      <c r="M20" s="1"/>
      <c r="N20" s="1"/>
      <c r="O20" s="1"/>
      <c r="P20" s="1"/>
      <c r="Q20" s="1"/>
      <c r="R20" s="1"/>
      <c r="S20" s="1"/>
      <c r="T20" s="1"/>
      <c r="U20" s="1"/>
      <c r="V20" s="1"/>
      <c r="W20" s="1"/>
      <c r="X20" s="1"/>
      <c r="Y20" s="1"/>
      <c r="Z20" s="1"/>
    </row>
    <row r="21" ht="10.5" customHeight="1">
      <c r="A21" s="1"/>
      <c r="B21" s="129"/>
      <c r="C21" s="846"/>
      <c r="D21" s="285"/>
      <c r="E21" s="847"/>
      <c r="F21" s="285"/>
      <c r="G21" s="847"/>
      <c r="H21" s="250"/>
      <c r="I21" s="250"/>
      <c r="J21" s="1"/>
      <c r="K21" s="1"/>
      <c r="L21" s="1"/>
      <c r="M21" s="1"/>
      <c r="N21" s="1"/>
      <c r="O21" s="1"/>
      <c r="P21" s="1"/>
      <c r="Q21" s="1"/>
      <c r="R21" s="1"/>
      <c r="S21" s="1"/>
      <c r="T21" s="1"/>
      <c r="U21" s="1"/>
      <c r="V21" s="1"/>
      <c r="W21" s="1"/>
      <c r="X21" s="1"/>
      <c r="Y21" s="1"/>
      <c r="Z21" s="1"/>
    </row>
    <row r="22" ht="10.5" customHeight="1">
      <c r="A22" s="1"/>
      <c r="B22" s="129">
        <v>1985.0</v>
      </c>
      <c r="C22" s="846"/>
      <c r="D22" s="285">
        <v>388.4</v>
      </c>
      <c r="E22" s="847"/>
      <c r="F22" s="285">
        <v>720.5</v>
      </c>
      <c r="G22" s="847"/>
      <c r="H22" s="250">
        <v>-38.1</v>
      </c>
      <c r="I22" s="250">
        <f t="shared" ref="I22:I26" si="4">+D22+F22+H22</f>
        <v>1070.8</v>
      </c>
      <c r="J22" s="1"/>
      <c r="K22" s="1"/>
      <c r="L22" s="1"/>
      <c r="M22" s="1"/>
      <c r="N22" s="1"/>
      <c r="O22" s="1"/>
      <c r="P22" s="1"/>
      <c r="Q22" s="1"/>
      <c r="R22" s="1"/>
      <c r="S22" s="1"/>
      <c r="T22" s="1"/>
      <c r="U22" s="1"/>
      <c r="V22" s="1"/>
      <c r="W22" s="1"/>
      <c r="X22" s="1"/>
      <c r="Y22" s="1"/>
      <c r="Z22" s="1"/>
    </row>
    <row r="23" ht="10.5" customHeight="1">
      <c r="A23" s="1"/>
      <c r="B23" s="129">
        <v>1986.0</v>
      </c>
      <c r="C23" s="846"/>
      <c r="D23" s="285">
        <v>452.5</v>
      </c>
      <c r="E23" s="847"/>
      <c r="F23" s="285">
        <v>693.9</v>
      </c>
      <c r="G23" s="847"/>
      <c r="H23" s="250">
        <v>41.8</v>
      </c>
      <c r="I23" s="250">
        <f t="shared" si="4"/>
        <v>1188.2</v>
      </c>
      <c r="J23" s="1"/>
      <c r="K23" s="1"/>
      <c r="L23" s="1"/>
      <c r="M23" s="1"/>
      <c r="N23" s="1"/>
      <c r="O23" s="1"/>
      <c r="P23" s="1"/>
      <c r="Q23" s="1"/>
      <c r="R23" s="1"/>
      <c r="S23" s="1"/>
      <c r="T23" s="1"/>
      <c r="U23" s="1"/>
      <c r="V23" s="1"/>
      <c r="W23" s="1"/>
      <c r="X23" s="1"/>
      <c r="Y23" s="1"/>
      <c r="Z23" s="1"/>
    </row>
    <row r="24" ht="10.5" customHeight="1">
      <c r="A24" s="1"/>
      <c r="B24" s="129">
        <v>1987.0</v>
      </c>
      <c r="C24" s="846"/>
      <c r="D24" s="285">
        <v>517.4</v>
      </c>
      <c r="E24" s="847"/>
      <c r="F24" s="285">
        <v>818.8</v>
      </c>
      <c r="G24" s="847"/>
      <c r="H24" s="250">
        <v>240.1</v>
      </c>
      <c r="I24" s="250">
        <f t="shared" si="4"/>
        <v>1576.3</v>
      </c>
      <c r="J24" s="1"/>
      <c r="K24" s="1"/>
      <c r="L24" s="1"/>
      <c r="M24" s="1"/>
      <c r="N24" s="1"/>
      <c r="O24" s="1"/>
      <c r="P24" s="1"/>
      <c r="Q24" s="1"/>
      <c r="R24" s="1"/>
      <c r="S24" s="1"/>
      <c r="T24" s="1"/>
      <c r="U24" s="1"/>
      <c r="V24" s="1"/>
      <c r="W24" s="1"/>
      <c r="X24" s="1"/>
      <c r="Y24" s="1"/>
      <c r="Z24" s="1"/>
    </row>
    <row r="25" ht="10.5" customHeight="1">
      <c r="A25" s="1"/>
      <c r="B25" s="129">
        <v>1988.0</v>
      </c>
      <c r="C25" s="846"/>
      <c r="D25" s="285">
        <v>584.8</v>
      </c>
      <c r="E25" s="847"/>
      <c r="F25" s="285">
        <v>1151.9</v>
      </c>
      <c r="G25" s="847"/>
      <c r="H25" s="250">
        <v>698.3</v>
      </c>
      <c r="I25" s="250">
        <f t="shared" si="4"/>
        <v>2435</v>
      </c>
      <c r="J25" s="1"/>
      <c r="K25" s="1"/>
      <c r="L25" s="1"/>
      <c r="M25" s="1"/>
      <c r="N25" s="1"/>
      <c r="O25" s="1"/>
      <c r="P25" s="1"/>
      <c r="Q25" s="1"/>
      <c r="R25" s="1"/>
      <c r="S25" s="1"/>
      <c r="T25" s="1"/>
      <c r="U25" s="1"/>
      <c r="V25" s="1"/>
      <c r="W25" s="1"/>
      <c r="X25" s="1"/>
      <c r="Y25" s="1"/>
      <c r="Z25" s="1"/>
    </row>
    <row r="26" ht="10.5" customHeight="1">
      <c r="A26" s="1"/>
      <c r="B26" s="129">
        <v>1989.0</v>
      </c>
      <c r="C26" s="846"/>
      <c r="D26" s="285">
        <v>698.1</v>
      </c>
      <c r="E26" s="847"/>
      <c r="F26" s="285">
        <v>1307.9</v>
      </c>
      <c r="G26" s="847"/>
      <c r="H26" s="250">
        <v>474.4</v>
      </c>
      <c r="I26" s="250">
        <f t="shared" si="4"/>
        <v>2480.4</v>
      </c>
      <c r="J26" s="1"/>
      <c r="K26" s="1"/>
      <c r="L26" s="1"/>
      <c r="M26" s="1"/>
      <c r="N26" s="1"/>
      <c r="O26" s="1"/>
      <c r="P26" s="1"/>
      <c r="Q26" s="1"/>
      <c r="R26" s="1"/>
      <c r="S26" s="1"/>
      <c r="T26" s="1"/>
      <c r="U26" s="1"/>
      <c r="V26" s="1"/>
      <c r="W26" s="1"/>
      <c r="X26" s="1"/>
      <c r="Y26" s="1"/>
      <c r="Z26" s="1"/>
    </row>
    <row r="27" ht="10.5" customHeight="1">
      <c r="A27" s="1"/>
      <c r="B27" s="129"/>
      <c r="C27" s="846"/>
      <c r="D27" s="285"/>
      <c r="E27" s="847"/>
      <c r="F27" s="285"/>
      <c r="G27" s="847"/>
      <c r="H27" s="250"/>
      <c r="I27" s="250"/>
      <c r="J27" s="1"/>
      <c r="K27" s="1"/>
      <c r="L27" s="1"/>
      <c r="M27" s="1"/>
      <c r="N27" s="1"/>
      <c r="O27" s="1"/>
      <c r="P27" s="1"/>
      <c r="Q27" s="1"/>
      <c r="R27" s="1"/>
      <c r="S27" s="1"/>
      <c r="T27" s="1"/>
      <c r="U27" s="1"/>
      <c r="V27" s="1"/>
      <c r="W27" s="1"/>
      <c r="X27" s="1"/>
      <c r="Y27" s="1"/>
      <c r="Z27" s="1"/>
    </row>
    <row r="28" ht="10.5" customHeight="1">
      <c r="A28" s="1"/>
      <c r="B28" s="129">
        <v>1990.0</v>
      </c>
      <c r="C28" s="846"/>
      <c r="D28" s="285">
        <v>758.6</v>
      </c>
      <c r="E28" s="847"/>
      <c r="F28" s="285">
        <v>1097.0</v>
      </c>
      <c r="G28" s="847"/>
      <c r="H28" s="250">
        <v>-85.0</v>
      </c>
      <c r="I28" s="250">
        <f t="shared" ref="I28:I32" si="5">+D28+F28+H28</f>
        <v>1770.6</v>
      </c>
      <c r="J28" s="1"/>
      <c r="K28" s="1"/>
      <c r="L28" s="1"/>
      <c r="M28" s="1"/>
      <c r="N28" s="1"/>
      <c r="O28" s="1"/>
      <c r="P28" s="1"/>
      <c r="Q28" s="1"/>
      <c r="R28" s="1"/>
      <c r="S28" s="1"/>
      <c r="T28" s="1"/>
      <c r="U28" s="1"/>
      <c r="V28" s="1"/>
      <c r="W28" s="1"/>
      <c r="X28" s="1"/>
      <c r="Y28" s="1"/>
      <c r="Z28" s="1"/>
    </row>
    <row r="29" ht="10.5" customHeight="1">
      <c r="A29" s="1"/>
      <c r="B29" s="129">
        <v>1991.0</v>
      </c>
      <c r="C29" s="846"/>
      <c r="D29" s="285">
        <v>815.7</v>
      </c>
      <c r="E29" s="847"/>
      <c r="F29" s="285">
        <v>1015.4</v>
      </c>
      <c r="G29" s="847"/>
      <c r="H29" s="250">
        <v>-400.8</v>
      </c>
      <c r="I29" s="250">
        <f t="shared" si="5"/>
        <v>1430.3</v>
      </c>
      <c r="J29" s="1"/>
      <c r="K29" s="1"/>
      <c r="L29" s="1"/>
      <c r="M29" s="1"/>
      <c r="N29" s="1"/>
      <c r="O29" s="1"/>
      <c r="P29" s="1"/>
      <c r="Q29" s="1"/>
      <c r="R29" s="1"/>
      <c r="S29" s="1"/>
      <c r="T29" s="1"/>
      <c r="U29" s="1"/>
      <c r="V29" s="1"/>
      <c r="W29" s="1"/>
      <c r="X29" s="1"/>
      <c r="Y29" s="1"/>
      <c r="Z29" s="1"/>
    </row>
    <row r="30" ht="10.5" customHeight="1">
      <c r="A30" s="1"/>
      <c r="B30" s="129">
        <v>1992.0</v>
      </c>
      <c r="C30" s="846"/>
      <c r="D30" s="285">
        <v>834.1</v>
      </c>
      <c r="E30" s="847"/>
      <c r="F30" s="285">
        <v>931.4</v>
      </c>
      <c r="G30" s="847"/>
      <c r="H30" s="250">
        <v>-413.0</v>
      </c>
      <c r="I30" s="250">
        <f t="shared" si="5"/>
        <v>1352.5</v>
      </c>
      <c r="J30" s="1"/>
      <c r="K30" s="1"/>
      <c r="L30" s="1"/>
      <c r="M30" s="1"/>
      <c r="N30" s="1"/>
      <c r="O30" s="1"/>
      <c r="P30" s="1"/>
      <c r="Q30" s="1"/>
      <c r="R30" s="1"/>
      <c r="S30" s="1"/>
      <c r="T30" s="1"/>
      <c r="U30" s="1"/>
      <c r="V30" s="1"/>
      <c r="W30" s="1"/>
      <c r="X30" s="1"/>
      <c r="Y30" s="1"/>
      <c r="Z30" s="1"/>
    </row>
    <row r="31" ht="10.5" customHeight="1">
      <c r="A31" s="1"/>
      <c r="B31" s="129">
        <v>1993.0</v>
      </c>
      <c r="C31" s="846"/>
      <c r="D31" s="285">
        <v>930.5</v>
      </c>
      <c r="E31" s="847"/>
      <c r="F31" s="285">
        <v>1274.0</v>
      </c>
      <c r="G31" s="847"/>
      <c r="H31" s="250">
        <v>-117.0</v>
      </c>
      <c r="I31" s="250">
        <f t="shared" si="5"/>
        <v>2087.5</v>
      </c>
      <c r="J31" s="1"/>
      <c r="K31" s="1"/>
      <c r="L31" s="1"/>
      <c r="M31" s="1"/>
      <c r="N31" s="1"/>
      <c r="O31" s="1"/>
      <c r="P31" s="1"/>
      <c r="Q31" s="1"/>
      <c r="R31" s="1"/>
      <c r="S31" s="1"/>
      <c r="T31" s="1"/>
      <c r="U31" s="1"/>
      <c r="V31" s="1"/>
      <c r="W31" s="1"/>
      <c r="X31" s="1"/>
      <c r="Y31" s="1"/>
      <c r="Z31" s="1"/>
    </row>
    <row r="32" ht="10.5" customHeight="1">
      <c r="A32" s="1"/>
      <c r="B32" s="129">
        <v>1994.0</v>
      </c>
      <c r="C32" s="846"/>
      <c r="D32" s="285">
        <v>1113.4</v>
      </c>
      <c r="E32" s="847"/>
      <c r="F32" s="285">
        <v>1784.5</v>
      </c>
      <c r="G32" s="847"/>
      <c r="H32" s="250">
        <v>353.4</v>
      </c>
      <c r="I32" s="250">
        <f t="shared" si="5"/>
        <v>3251.3</v>
      </c>
      <c r="J32" s="1"/>
      <c r="K32" s="1"/>
      <c r="L32" s="1"/>
      <c r="M32" s="1"/>
      <c r="N32" s="1"/>
      <c r="O32" s="1"/>
      <c r="P32" s="1"/>
      <c r="Q32" s="1"/>
      <c r="R32" s="1"/>
      <c r="S32" s="1"/>
      <c r="T32" s="1"/>
      <c r="U32" s="1"/>
      <c r="V32" s="1"/>
      <c r="W32" s="1"/>
      <c r="X32" s="1"/>
      <c r="Y32" s="1"/>
      <c r="Z32" s="1"/>
    </row>
    <row r="33" ht="10.5" customHeight="1">
      <c r="A33" s="1"/>
      <c r="B33" s="129"/>
      <c r="C33" s="846"/>
      <c r="D33" s="285"/>
      <c r="E33" s="847"/>
      <c r="F33" s="285"/>
      <c r="G33" s="847"/>
      <c r="H33" s="250"/>
      <c r="I33" s="250"/>
      <c r="J33" s="1"/>
      <c r="K33" s="1"/>
      <c r="L33" s="1"/>
      <c r="M33" s="1"/>
      <c r="N33" s="1"/>
      <c r="O33" s="1"/>
      <c r="P33" s="1"/>
      <c r="Q33" s="1"/>
      <c r="R33" s="1"/>
      <c r="S33" s="1"/>
      <c r="T33" s="1"/>
      <c r="U33" s="1"/>
      <c r="V33" s="1"/>
      <c r="W33" s="1"/>
      <c r="X33" s="1"/>
      <c r="Y33" s="1"/>
      <c r="Z33" s="1"/>
    </row>
    <row r="34" ht="10.5" customHeight="1">
      <c r="A34" s="1"/>
      <c r="B34" s="129">
        <v>1995.0</v>
      </c>
      <c r="C34" s="846"/>
      <c r="D34" s="285">
        <v>1322.7</v>
      </c>
      <c r="E34" s="847"/>
      <c r="F34" s="285">
        <v>1934.9</v>
      </c>
      <c r="G34" s="847"/>
      <c r="H34" s="250">
        <v>522.5</v>
      </c>
      <c r="I34" s="250">
        <f t="shared" ref="I34:I38" si="6">+D34+F34+H34</f>
        <v>3780.1</v>
      </c>
      <c r="J34" s="1"/>
      <c r="K34" s="1"/>
      <c r="L34" s="1"/>
      <c r="M34" s="1"/>
      <c r="N34" s="1"/>
      <c r="O34" s="1"/>
      <c r="P34" s="1"/>
      <c r="Q34" s="1"/>
      <c r="R34" s="1"/>
      <c r="S34" s="1"/>
      <c r="T34" s="1"/>
      <c r="U34" s="1"/>
      <c r="V34" s="1"/>
      <c r="W34" s="1"/>
      <c r="X34" s="1"/>
      <c r="Y34" s="1"/>
      <c r="Z34" s="1"/>
    </row>
    <row r="35" ht="10.5" customHeight="1">
      <c r="A35" s="1"/>
      <c r="B35" s="129">
        <v>1996.0</v>
      </c>
      <c r="C35" s="846"/>
      <c r="D35" s="285">
        <v>1493.8</v>
      </c>
      <c r="E35" s="847"/>
      <c r="F35" s="285">
        <v>2703.9</v>
      </c>
      <c r="G35" s="847"/>
      <c r="H35" s="250">
        <v>392.1</v>
      </c>
      <c r="I35" s="250">
        <f t="shared" si="6"/>
        <v>4589.8</v>
      </c>
      <c r="J35" s="1"/>
      <c r="K35" s="1"/>
      <c r="L35" s="1"/>
      <c r="M35" s="1"/>
      <c r="N35" s="1"/>
      <c r="O35" s="1"/>
      <c r="P35" s="1"/>
      <c r="Q35" s="1"/>
      <c r="R35" s="1"/>
      <c r="S35" s="1"/>
      <c r="T35" s="1"/>
      <c r="U35" s="1"/>
      <c r="V35" s="1"/>
      <c r="W35" s="1"/>
      <c r="X35" s="1"/>
      <c r="Y35" s="1"/>
      <c r="Z35" s="1"/>
    </row>
    <row r="36" ht="10.5" customHeight="1">
      <c r="A36" s="1"/>
      <c r="B36" s="129">
        <v>1997.0</v>
      </c>
      <c r="C36" s="846"/>
      <c r="D36" s="285">
        <v>1579.4</v>
      </c>
      <c r="E36" s="847"/>
      <c r="F36" s="285">
        <v>2578.4</v>
      </c>
      <c r="G36" s="847"/>
      <c r="H36" s="250">
        <v>224.6</v>
      </c>
      <c r="I36" s="250">
        <f t="shared" si="6"/>
        <v>4382.4</v>
      </c>
      <c r="J36" s="1"/>
      <c r="K36" s="1"/>
      <c r="L36" s="1"/>
      <c r="M36" s="1"/>
      <c r="N36" s="1"/>
      <c r="O36" s="1"/>
      <c r="P36" s="1"/>
      <c r="Q36" s="1"/>
      <c r="R36" s="1"/>
      <c r="S36" s="1"/>
      <c r="T36" s="1"/>
      <c r="U36" s="1"/>
      <c r="V36" s="1"/>
      <c r="W36" s="1"/>
      <c r="X36" s="1"/>
      <c r="Y36" s="1"/>
      <c r="Z36" s="1"/>
    </row>
    <row r="37" ht="10.5" customHeight="1">
      <c r="A37" s="1"/>
      <c r="B37" s="129">
        <v>1998.0</v>
      </c>
      <c r="C37" s="846"/>
      <c r="D37" s="285">
        <v>1768.9</v>
      </c>
      <c r="E37" s="847"/>
      <c r="F37" s="285">
        <v>2149.7</v>
      </c>
      <c r="G37" s="847"/>
      <c r="H37" s="250">
        <v>-70.7</v>
      </c>
      <c r="I37" s="250">
        <f t="shared" si="6"/>
        <v>3847.9</v>
      </c>
      <c r="J37" s="1"/>
      <c r="K37" s="1"/>
      <c r="L37" s="1"/>
      <c r="M37" s="1"/>
      <c r="N37" s="1"/>
      <c r="O37" s="1"/>
      <c r="P37" s="1"/>
      <c r="Q37" s="1"/>
      <c r="R37" s="1"/>
      <c r="S37" s="1"/>
      <c r="T37" s="1"/>
      <c r="U37" s="1"/>
      <c r="V37" s="1"/>
      <c r="W37" s="1"/>
      <c r="X37" s="1"/>
      <c r="Y37" s="1"/>
      <c r="Z37" s="1"/>
    </row>
    <row r="38" ht="10.5" customHeight="1">
      <c r="A38" s="1"/>
      <c r="B38" s="129">
        <v>1999.0</v>
      </c>
      <c r="C38" s="846"/>
      <c r="D38" s="285">
        <v>1882.9</v>
      </c>
      <c r="E38" s="847"/>
      <c r="F38" s="285">
        <v>1815.9</v>
      </c>
      <c r="G38" s="847"/>
      <c r="H38" s="250">
        <v>-481.0</v>
      </c>
      <c r="I38" s="250">
        <f t="shared" si="6"/>
        <v>3217.8</v>
      </c>
      <c r="J38" s="1"/>
      <c r="K38" s="1"/>
      <c r="L38" s="1"/>
      <c r="M38" s="1"/>
      <c r="N38" s="1"/>
      <c r="O38" s="1"/>
      <c r="P38" s="1"/>
      <c r="Q38" s="1"/>
      <c r="R38" s="1"/>
      <c r="S38" s="1"/>
      <c r="T38" s="1"/>
      <c r="U38" s="1"/>
      <c r="V38" s="1"/>
      <c r="W38" s="1"/>
      <c r="X38" s="1"/>
      <c r="Y38" s="1"/>
      <c r="Z38" s="1"/>
    </row>
    <row r="39" ht="10.5" customHeight="1">
      <c r="A39" s="1"/>
      <c r="B39" s="129"/>
      <c r="C39" s="846"/>
      <c r="D39" s="285"/>
      <c r="E39" s="847"/>
      <c r="F39" s="285"/>
      <c r="G39" s="847"/>
      <c r="H39" s="250"/>
      <c r="I39" s="250"/>
      <c r="J39" s="1"/>
      <c r="K39" s="1"/>
      <c r="L39" s="1"/>
      <c r="M39" s="1"/>
      <c r="N39" s="1"/>
      <c r="O39" s="1"/>
      <c r="P39" s="1"/>
      <c r="Q39" s="1"/>
      <c r="R39" s="1"/>
      <c r="S39" s="1"/>
      <c r="T39" s="1"/>
      <c r="U39" s="1"/>
      <c r="V39" s="1"/>
      <c r="W39" s="1"/>
      <c r="X39" s="1"/>
      <c r="Y39" s="1"/>
      <c r="Z39" s="1"/>
    </row>
    <row r="40" ht="10.5" customHeight="1">
      <c r="A40" s="1"/>
      <c r="B40" s="129">
        <v>2000.0</v>
      </c>
      <c r="C40" s="846"/>
      <c r="D40" s="285">
        <v>2028.4</v>
      </c>
      <c r="E40" s="847"/>
      <c r="F40" s="285">
        <v>2010.1</v>
      </c>
      <c r="G40" s="847"/>
      <c r="H40" s="250">
        <v>-249.5</v>
      </c>
      <c r="I40" s="250">
        <f t="shared" ref="I40:I44" si="7">+D40+F40+H40</f>
        <v>3789</v>
      </c>
      <c r="J40" s="1"/>
      <c r="K40" s="1"/>
      <c r="L40" s="1"/>
      <c r="M40" s="1"/>
      <c r="N40" s="1"/>
      <c r="O40" s="1"/>
      <c r="P40" s="1"/>
      <c r="Q40" s="1"/>
      <c r="R40" s="1"/>
      <c r="S40" s="1"/>
      <c r="T40" s="1"/>
      <c r="U40" s="1"/>
      <c r="V40" s="1"/>
      <c r="W40" s="1"/>
      <c r="X40" s="1"/>
      <c r="Y40" s="1"/>
      <c r="Z40" s="1"/>
    </row>
    <row r="41" ht="10.5" customHeight="1">
      <c r="A41" s="1"/>
      <c r="B41" s="238">
        <v>2001.0</v>
      </c>
      <c r="C41" s="846"/>
      <c r="D41" s="285">
        <v>2205.0</v>
      </c>
      <c r="E41" s="847"/>
      <c r="F41" s="285">
        <v>2306.0</v>
      </c>
      <c r="G41" s="847"/>
      <c r="H41" s="250">
        <v>84.3</v>
      </c>
      <c r="I41" s="250">
        <f t="shared" si="7"/>
        <v>4595.3</v>
      </c>
      <c r="J41" s="1"/>
      <c r="K41" s="1"/>
      <c r="L41" s="1"/>
      <c r="M41" s="1"/>
      <c r="N41" s="1"/>
      <c r="O41" s="1"/>
      <c r="P41" s="1"/>
      <c r="Q41" s="1"/>
      <c r="R41" s="1"/>
      <c r="S41" s="1"/>
      <c r="T41" s="1"/>
      <c r="U41" s="1"/>
      <c r="V41" s="1"/>
      <c r="W41" s="1"/>
      <c r="X41" s="1"/>
      <c r="Y41" s="1"/>
      <c r="Z41" s="1"/>
    </row>
    <row r="42" ht="10.5" customHeight="1">
      <c r="A42" s="1"/>
      <c r="B42" s="238">
        <v>2002.0</v>
      </c>
      <c r="C42" s="846"/>
      <c r="D42" s="285">
        <v>2520.4</v>
      </c>
      <c r="E42" s="847"/>
      <c r="F42" s="285">
        <v>4226.5</v>
      </c>
      <c r="G42" s="847"/>
      <c r="H42" s="250">
        <v>59.0</v>
      </c>
      <c r="I42" s="250">
        <f t="shared" si="7"/>
        <v>6805.9</v>
      </c>
      <c r="J42" s="1"/>
      <c r="K42" s="1"/>
      <c r="L42" s="1"/>
      <c r="M42" s="1"/>
      <c r="N42" s="1"/>
      <c r="O42" s="1"/>
      <c r="P42" s="1"/>
      <c r="Q42" s="1"/>
      <c r="R42" s="1"/>
      <c r="S42" s="1"/>
      <c r="T42" s="1"/>
      <c r="U42" s="1"/>
      <c r="V42" s="1"/>
      <c r="W42" s="1"/>
      <c r="X42" s="1"/>
      <c r="Y42" s="1"/>
      <c r="Z42" s="1"/>
    </row>
    <row r="43" ht="10.5" customHeight="1">
      <c r="A43" s="1"/>
      <c r="B43" s="238">
        <v>2003.0</v>
      </c>
      <c r="C43" s="846"/>
      <c r="D43" s="285">
        <v>2766.8</v>
      </c>
      <c r="E43" s="847"/>
      <c r="F43" s="285">
        <v>3805.0</v>
      </c>
      <c r="G43" s="847"/>
      <c r="H43" s="250">
        <v>-244.5</v>
      </c>
      <c r="I43" s="250">
        <f t="shared" si="7"/>
        <v>6327.3</v>
      </c>
      <c r="J43" s="1"/>
      <c r="K43" s="1"/>
      <c r="L43" s="1"/>
      <c r="M43" s="1"/>
      <c r="N43" s="1"/>
      <c r="O43" s="1"/>
      <c r="P43" s="1"/>
      <c r="Q43" s="1"/>
      <c r="R43" s="1"/>
      <c r="S43" s="1"/>
      <c r="T43" s="1"/>
      <c r="U43" s="1"/>
      <c r="V43" s="1"/>
      <c r="W43" s="1"/>
      <c r="X43" s="1"/>
      <c r="Y43" s="1"/>
      <c r="Z43" s="1"/>
    </row>
    <row r="44" ht="10.5" customHeight="1">
      <c r="A44" s="1"/>
      <c r="B44" s="238">
        <v>2004.0</v>
      </c>
      <c r="C44" s="846"/>
      <c r="D44" s="285">
        <v>2843.1</v>
      </c>
      <c r="E44" s="847"/>
      <c r="F44" s="285">
        <v>4748.3</v>
      </c>
      <c r="G44" s="847"/>
      <c r="H44" s="250">
        <v>227.4</v>
      </c>
      <c r="I44" s="250">
        <f t="shared" si="7"/>
        <v>7818.8</v>
      </c>
      <c r="J44" s="1"/>
      <c r="K44" s="1"/>
      <c r="L44" s="1"/>
      <c r="M44" s="1"/>
      <c r="N44" s="1"/>
      <c r="O44" s="1"/>
      <c r="P44" s="1"/>
      <c r="Q44" s="1"/>
      <c r="R44" s="1"/>
      <c r="S44" s="1"/>
      <c r="T44" s="1"/>
      <c r="U44" s="1"/>
      <c r="V44" s="1"/>
      <c r="W44" s="1"/>
      <c r="X44" s="1"/>
      <c r="Y44" s="1"/>
      <c r="Z44" s="1"/>
    </row>
    <row r="45" ht="10.5" customHeight="1">
      <c r="A45" s="1"/>
      <c r="B45" s="238"/>
      <c r="C45" s="846"/>
      <c r="D45" s="285"/>
      <c r="E45" s="847"/>
      <c r="F45" s="285"/>
      <c r="G45" s="847"/>
      <c r="H45" s="250"/>
      <c r="I45" s="250"/>
      <c r="J45" s="1"/>
      <c r="K45" s="1"/>
      <c r="L45" s="1"/>
      <c r="M45" s="1"/>
      <c r="N45" s="1"/>
      <c r="O45" s="1"/>
      <c r="P45" s="1"/>
      <c r="Q45" s="1"/>
      <c r="R45" s="1"/>
      <c r="S45" s="1"/>
      <c r="T45" s="1"/>
      <c r="U45" s="1"/>
      <c r="V45" s="1"/>
      <c r="W45" s="1"/>
      <c r="X45" s="1"/>
      <c r="Y45" s="1"/>
      <c r="Z45" s="1"/>
    </row>
    <row r="46" ht="10.5" customHeight="1">
      <c r="A46" s="1"/>
      <c r="B46" s="238">
        <v>2005.0</v>
      </c>
      <c r="C46" s="846"/>
      <c r="D46" s="285">
        <v>3065.2</v>
      </c>
      <c r="E46" s="847"/>
      <c r="F46" s="285">
        <v>3649.2</v>
      </c>
      <c r="G46" s="847"/>
      <c r="H46" s="250">
        <v>31.7</v>
      </c>
      <c r="I46" s="250">
        <f t="shared" ref="I46:I50" si="8">+D46+F46+H46</f>
        <v>6746.1</v>
      </c>
      <c r="J46" s="1"/>
      <c r="K46" s="1"/>
      <c r="L46" s="1"/>
      <c r="M46" s="1"/>
      <c r="N46" s="1"/>
      <c r="O46" s="1"/>
      <c r="P46" s="1"/>
      <c r="Q46" s="1"/>
      <c r="R46" s="1"/>
      <c r="S46" s="1"/>
      <c r="T46" s="1"/>
      <c r="U46" s="1"/>
      <c r="V46" s="1"/>
      <c r="W46" s="1"/>
      <c r="X46" s="1"/>
      <c r="Y46" s="1"/>
      <c r="Z46" s="1"/>
    </row>
    <row r="47" ht="10.5" customHeight="1">
      <c r="A47" s="1"/>
      <c r="B47" s="238">
        <v>2006.0</v>
      </c>
      <c r="C47" s="846"/>
      <c r="D47" s="285">
        <v>3245.9</v>
      </c>
      <c r="E47" s="847"/>
      <c r="F47" s="285">
        <v>4581.1</v>
      </c>
      <c r="G47" s="847"/>
      <c r="H47" s="250">
        <v>29.2</v>
      </c>
      <c r="I47" s="250">
        <f t="shared" si="8"/>
        <v>7856.2</v>
      </c>
      <c r="J47" s="1"/>
      <c r="K47" s="1"/>
      <c r="L47" s="1"/>
      <c r="M47" s="1"/>
      <c r="N47" s="1"/>
      <c r="O47" s="1"/>
      <c r="P47" s="1"/>
      <c r="Q47" s="1"/>
      <c r="R47" s="1"/>
      <c r="S47" s="1"/>
      <c r="T47" s="1"/>
      <c r="U47" s="1"/>
      <c r="V47" s="1"/>
      <c r="W47" s="1"/>
      <c r="X47" s="1"/>
      <c r="Y47" s="1"/>
      <c r="Z47" s="1"/>
    </row>
    <row r="48" ht="10.5" customHeight="1">
      <c r="A48" s="1"/>
      <c r="B48" s="238">
        <v>2007.0</v>
      </c>
      <c r="C48" s="846"/>
      <c r="D48" s="285">
        <v>3557.1</v>
      </c>
      <c r="E48" s="847"/>
      <c r="F48" s="285">
        <v>4738.4</v>
      </c>
      <c r="G48" s="847"/>
      <c r="H48" s="250">
        <v>822.1</v>
      </c>
      <c r="I48" s="250">
        <f t="shared" si="8"/>
        <v>9117.6</v>
      </c>
      <c r="J48" s="1"/>
      <c r="K48" s="1"/>
      <c r="L48" s="1"/>
      <c r="M48" s="1"/>
      <c r="N48" s="1"/>
      <c r="O48" s="1"/>
      <c r="P48" s="1"/>
      <c r="Q48" s="1"/>
      <c r="R48" s="1"/>
      <c r="S48" s="1"/>
      <c r="T48" s="1"/>
      <c r="U48" s="1"/>
      <c r="V48" s="1"/>
      <c r="W48" s="1"/>
      <c r="X48" s="1"/>
      <c r="Y48" s="1"/>
      <c r="Z48" s="1"/>
    </row>
    <row r="49" ht="10.5" customHeight="1">
      <c r="A49" s="1"/>
      <c r="B49" s="238">
        <v>2008.0</v>
      </c>
      <c r="C49" s="846"/>
      <c r="D49" s="285">
        <v>3756.2</v>
      </c>
      <c r="E49" s="847"/>
      <c r="F49" s="285">
        <v>7808.2</v>
      </c>
      <c r="G49" s="847"/>
      <c r="H49" s="250">
        <v>-31.2</v>
      </c>
      <c r="I49" s="250">
        <f t="shared" si="8"/>
        <v>11533.2</v>
      </c>
      <c r="J49" s="1"/>
      <c r="K49" s="1"/>
      <c r="L49" s="1"/>
      <c r="M49" s="1"/>
      <c r="N49" s="1"/>
      <c r="O49" s="1"/>
      <c r="P49" s="1"/>
      <c r="Q49" s="1"/>
      <c r="R49" s="1"/>
      <c r="S49" s="1"/>
      <c r="T49" s="1"/>
      <c r="U49" s="1"/>
      <c r="V49" s="1"/>
      <c r="W49" s="1"/>
      <c r="X49" s="1"/>
      <c r="Y49" s="1"/>
      <c r="Z49" s="1"/>
    </row>
    <row r="50" ht="10.5" customHeight="1">
      <c r="A50" s="1"/>
      <c r="B50" s="238">
        <v>2009.0</v>
      </c>
      <c r="C50" s="846"/>
      <c r="D50" s="285">
        <v>3937.0</v>
      </c>
      <c r="E50" s="847"/>
      <c r="F50" s="285">
        <v>6940.7</v>
      </c>
      <c r="G50" s="847"/>
      <c r="H50" s="250">
        <v>-619.1</v>
      </c>
      <c r="I50" s="250">
        <f t="shared" si="8"/>
        <v>10258.6</v>
      </c>
      <c r="J50" s="1"/>
      <c r="K50" s="1"/>
      <c r="L50" s="1"/>
      <c r="M50" s="1"/>
      <c r="N50" s="1"/>
      <c r="O50" s="1"/>
      <c r="P50" s="1"/>
      <c r="Q50" s="1"/>
      <c r="R50" s="1"/>
      <c r="S50" s="1"/>
      <c r="T50" s="1"/>
      <c r="U50" s="1"/>
      <c r="V50" s="1"/>
      <c r="W50" s="1"/>
      <c r="X50" s="1"/>
      <c r="Y50" s="1"/>
      <c r="Z50" s="1"/>
    </row>
    <row r="51" ht="10.5" customHeight="1">
      <c r="A51" s="1"/>
      <c r="B51" s="238"/>
      <c r="C51" s="846"/>
      <c r="D51" s="285"/>
      <c r="E51" s="847"/>
      <c r="F51" s="285"/>
      <c r="G51" s="847"/>
      <c r="H51" s="250"/>
      <c r="I51" s="250"/>
      <c r="J51" s="1"/>
      <c r="K51" s="1"/>
      <c r="L51" s="1"/>
      <c r="M51" s="1"/>
      <c r="N51" s="1"/>
      <c r="O51" s="1"/>
      <c r="P51" s="1"/>
      <c r="Q51" s="1"/>
      <c r="R51" s="1"/>
      <c r="S51" s="1"/>
      <c r="T51" s="1"/>
      <c r="U51" s="1"/>
      <c r="V51" s="1"/>
      <c r="W51" s="1"/>
      <c r="X51" s="1"/>
      <c r="Y51" s="1"/>
      <c r="Z51" s="1"/>
    </row>
    <row r="52" ht="10.5" customHeight="1">
      <c r="A52" s="1"/>
      <c r="B52" s="238">
        <v>2010.0</v>
      </c>
      <c r="C52" s="846"/>
      <c r="D52" s="285">
        <v>3989.0</v>
      </c>
      <c r="E52" s="847"/>
      <c r="F52" s="285">
        <v>5515.0</v>
      </c>
      <c r="G52" s="847"/>
      <c r="H52" s="250">
        <v>-229.5</v>
      </c>
      <c r="I52" s="250">
        <v>9274.5</v>
      </c>
      <c r="J52" s="1"/>
      <c r="K52" s="1"/>
      <c r="L52" s="1"/>
      <c r="M52" s="1"/>
      <c r="N52" s="1"/>
      <c r="O52" s="1"/>
      <c r="P52" s="1"/>
      <c r="Q52" s="1"/>
      <c r="R52" s="1"/>
      <c r="S52" s="1"/>
      <c r="T52" s="1"/>
      <c r="U52" s="1"/>
      <c r="V52" s="1"/>
      <c r="W52" s="1"/>
      <c r="X52" s="1"/>
      <c r="Y52" s="1"/>
      <c r="Z52" s="1"/>
    </row>
    <row r="53" ht="10.5" customHeight="1">
      <c r="A53" s="1"/>
      <c r="B53" s="238">
        <v>2011.0</v>
      </c>
      <c r="C53" s="846"/>
      <c r="D53" s="285">
        <v>4056.7</v>
      </c>
      <c r="E53" s="847"/>
      <c r="F53" s="285">
        <v>7497.0</v>
      </c>
      <c r="G53" s="847"/>
      <c r="H53" s="250">
        <v>380.9</v>
      </c>
      <c r="I53" s="250">
        <v>11934.6</v>
      </c>
      <c r="J53" s="1"/>
      <c r="K53" s="1"/>
      <c r="L53" s="1"/>
      <c r="M53" s="1"/>
      <c r="N53" s="1"/>
      <c r="O53" s="1"/>
      <c r="P53" s="1"/>
      <c r="Q53" s="1"/>
      <c r="R53" s="1"/>
      <c r="S53" s="1"/>
      <c r="T53" s="1"/>
      <c r="U53" s="1"/>
      <c r="V53" s="1"/>
      <c r="W53" s="1"/>
      <c r="X53" s="1"/>
      <c r="Y53" s="1"/>
      <c r="Z53" s="1"/>
    </row>
    <row r="54" ht="10.5" customHeight="1">
      <c r="A54" s="1"/>
      <c r="B54" s="238">
        <v>2012.0</v>
      </c>
      <c r="C54" s="846"/>
      <c r="D54" s="250">
        <v>4213.5</v>
      </c>
      <c r="E54" s="847"/>
      <c r="F54" s="250">
        <v>8769.3</v>
      </c>
      <c r="G54" s="847"/>
      <c r="H54" s="250">
        <v>823.8</v>
      </c>
      <c r="I54" s="250">
        <v>13806.3</v>
      </c>
      <c r="J54" s="1"/>
      <c r="K54" s="1"/>
      <c r="L54" s="1"/>
      <c r="M54" s="1"/>
      <c r="N54" s="1"/>
      <c r="O54" s="1"/>
      <c r="P54" s="1"/>
      <c r="Q54" s="1"/>
      <c r="R54" s="1"/>
      <c r="S54" s="1"/>
      <c r="T54" s="1"/>
      <c r="U54" s="1"/>
      <c r="V54" s="1"/>
      <c r="W54" s="1"/>
      <c r="X54" s="1"/>
      <c r="Y54" s="1"/>
      <c r="Z54" s="1"/>
    </row>
    <row r="55" ht="10.5" customHeight="1">
      <c r="A55" s="1"/>
      <c r="B55" s="238">
        <v>2013.0</v>
      </c>
      <c r="C55" s="846"/>
      <c r="D55" s="250">
        <v>4331.7</v>
      </c>
      <c r="E55" s="847"/>
      <c r="F55" s="250">
        <v>9454.9</v>
      </c>
      <c r="G55" s="847"/>
      <c r="H55" s="250">
        <v>136.4</v>
      </c>
      <c r="I55" s="250">
        <v>13922.1</v>
      </c>
      <c r="J55" s="1"/>
      <c r="K55" s="1"/>
      <c r="L55" s="1"/>
      <c r="M55" s="1"/>
      <c r="N55" s="1"/>
      <c r="O55" s="1"/>
      <c r="P55" s="1"/>
      <c r="Q55" s="1"/>
      <c r="R55" s="1"/>
      <c r="S55" s="1"/>
      <c r="T55" s="1"/>
      <c r="U55" s="1"/>
      <c r="V55" s="1"/>
      <c r="W55" s="1"/>
      <c r="X55" s="1"/>
      <c r="Y55" s="1"/>
      <c r="Z55" s="1"/>
    </row>
    <row r="56" ht="10.5" customHeight="1">
      <c r="A56" s="1"/>
      <c r="B56" s="238">
        <v>2014.0</v>
      </c>
      <c r="C56" s="846"/>
      <c r="D56" s="250">
        <v>4472.7</v>
      </c>
      <c r="E56" s="847"/>
      <c r="F56" s="250">
        <v>10355.9</v>
      </c>
      <c r="G56" s="847"/>
      <c r="H56" s="250">
        <v>139.3</v>
      </c>
      <c r="I56" s="250">
        <v>14922.0</v>
      </c>
      <c r="J56" s="1"/>
      <c r="K56" s="1"/>
      <c r="L56" s="1"/>
      <c r="M56" s="1"/>
      <c r="N56" s="1"/>
      <c r="O56" s="1"/>
      <c r="P56" s="1"/>
      <c r="Q56" s="1"/>
      <c r="R56" s="1"/>
      <c r="S56" s="1"/>
      <c r="T56" s="1"/>
      <c r="U56" s="1"/>
      <c r="V56" s="1"/>
      <c r="W56" s="1"/>
      <c r="X56" s="1"/>
      <c r="Y56" s="1"/>
      <c r="Z56" s="1"/>
    </row>
    <row r="57" ht="10.5" customHeight="1">
      <c r="A57" s="1"/>
      <c r="B57" s="238"/>
      <c r="C57" s="846"/>
      <c r="D57" s="250"/>
      <c r="E57" s="847"/>
      <c r="F57" s="250"/>
      <c r="G57" s="847"/>
      <c r="H57" s="250"/>
      <c r="I57" s="250"/>
      <c r="J57" s="1"/>
      <c r="K57" s="1"/>
      <c r="L57" s="1"/>
      <c r="M57" s="1"/>
      <c r="N57" s="1"/>
      <c r="O57" s="1"/>
      <c r="P57" s="1"/>
      <c r="Q57" s="1"/>
      <c r="R57" s="1"/>
      <c r="S57" s="1"/>
      <c r="T57" s="1"/>
      <c r="U57" s="1"/>
      <c r="V57" s="1"/>
      <c r="W57" s="1"/>
      <c r="X57" s="1"/>
      <c r="Y57" s="1"/>
      <c r="Z57" s="1"/>
    </row>
    <row r="58" ht="10.5" customHeight="1">
      <c r="A58" s="1"/>
      <c r="B58" s="238">
        <v>2015.0</v>
      </c>
      <c r="C58" s="846"/>
      <c r="D58" s="250">
        <v>4662.1</v>
      </c>
      <c r="E58" s="847"/>
      <c r="F58" s="250">
        <v>9393.3</v>
      </c>
      <c r="G58" s="847"/>
      <c r="H58" s="250">
        <v>-2202.6</v>
      </c>
      <c r="I58" s="250">
        <v>11852.5</v>
      </c>
      <c r="J58" s="1"/>
      <c r="K58" s="1"/>
      <c r="L58" s="1"/>
      <c r="M58" s="1"/>
      <c r="N58" s="1"/>
      <c r="O58" s="1"/>
      <c r="P58" s="1"/>
      <c r="Q58" s="1"/>
      <c r="R58" s="1"/>
      <c r="S58" s="1"/>
      <c r="T58" s="1"/>
      <c r="U58" s="1"/>
      <c r="V58" s="1"/>
      <c r="W58" s="1"/>
      <c r="X58" s="1"/>
      <c r="Y58" s="1"/>
      <c r="Z58" s="1"/>
    </row>
    <row r="59" ht="10.5" customHeight="1">
      <c r="A59" s="1"/>
      <c r="B59" s="238">
        <v>2016.0</v>
      </c>
      <c r="C59" s="846"/>
      <c r="D59" s="250">
        <v>5472.0</v>
      </c>
      <c r="E59" s="847"/>
      <c r="F59" s="250">
        <v>10079.0</v>
      </c>
      <c r="G59" s="847"/>
      <c r="H59" s="250">
        <v>-3519.9</v>
      </c>
      <c r="I59" s="54">
        <v>12031.1</v>
      </c>
      <c r="J59" s="1"/>
      <c r="K59" s="1"/>
      <c r="L59" s="1"/>
      <c r="M59" s="1"/>
      <c r="N59" s="1"/>
      <c r="O59" s="1"/>
      <c r="P59" s="1"/>
      <c r="Q59" s="1"/>
      <c r="R59" s="1"/>
      <c r="S59" s="1"/>
      <c r="T59" s="1"/>
      <c r="U59" s="1"/>
      <c r="V59" s="1"/>
      <c r="W59" s="1"/>
      <c r="X59" s="1"/>
      <c r="Y59" s="1"/>
      <c r="Z59" s="1"/>
    </row>
    <row r="60" ht="10.5" customHeight="1">
      <c r="A60" s="1"/>
      <c r="B60" s="279">
        <v>2017.0</v>
      </c>
      <c r="C60" s="857"/>
      <c r="D60" s="857">
        <v>5593.3</v>
      </c>
      <c r="E60" s="296"/>
      <c r="F60" s="785">
        <v>10576.3</v>
      </c>
      <c r="G60" s="859">
        <v>-320.3</v>
      </c>
      <c r="H60" s="94"/>
      <c r="I60" s="107">
        <v>15849.0</v>
      </c>
      <c r="J60" s="1"/>
      <c r="K60" s="1"/>
      <c r="L60" s="1"/>
      <c r="M60" s="1"/>
      <c r="N60" s="1"/>
      <c r="O60" s="1"/>
      <c r="P60" s="1"/>
      <c r="Q60" s="1"/>
      <c r="R60" s="1"/>
      <c r="S60" s="1"/>
      <c r="T60" s="1"/>
      <c r="U60" s="1"/>
      <c r="V60" s="1"/>
      <c r="W60" s="1"/>
      <c r="X60" s="1"/>
      <c r="Y60" s="1"/>
      <c r="Z60" s="1"/>
    </row>
    <row r="61" ht="10.5" customHeight="1">
      <c r="A61" s="1"/>
      <c r="B61" s="65"/>
      <c r="C61" s="860"/>
      <c r="D61" s="1"/>
      <c r="E61" s="860"/>
      <c r="F61" s="1"/>
      <c r="G61" s="860"/>
      <c r="H61" s="1"/>
      <c r="I61" s="860"/>
      <c r="J61" s="1"/>
      <c r="K61" s="1"/>
      <c r="L61" s="1"/>
      <c r="M61" s="1"/>
      <c r="N61" s="1"/>
      <c r="O61" s="1"/>
      <c r="P61" s="1"/>
      <c r="Q61" s="1"/>
      <c r="R61" s="1"/>
      <c r="S61" s="1"/>
      <c r="T61" s="1"/>
      <c r="U61" s="1"/>
      <c r="V61" s="1"/>
      <c r="W61" s="1"/>
      <c r="X61" s="1"/>
      <c r="Y61" s="1"/>
      <c r="Z61" s="1"/>
    </row>
    <row r="62" ht="10.5" customHeight="1">
      <c r="A62" s="1"/>
      <c r="B62" s="65"/>
      <c r="C62" s="861"/>
      <c r="D62" s="861"/>
      <c r="E62" s="861"/>
      <c r="F62" s="861"/>
      <c r="G62" s="1"/>
      <c r="H62" s="1"/>
      <c r="I62" s="1"/>
      <c r="J62" s="1"/>
      <c r="K62" s="1"/>
      <c r="L62" s="1"/>
      <c r="M62" s="1"/>
      <c r="N62" s="1"/>
      <c r="O62" s="1"/>
      <c r="P62" s="1"/>
      <c r="Q62" s="1"/>
      <c r="R62" s="1"/>
      <c r="S62" s="1"/>
      <c r="T62" s="1"/>
      <c r="U62" s="1"/>
      <c r="V62" s="1"/>
      <c r="W62" s="1"/>
      <c r="X62" s="1"/>
      <c r="Y62" s="1"/>
      <c r="Z62" s="1"/>
    </row>
    <row r="63" ht="10.5" customHeight="1">
      <c r="A63" s="1"/>
      <c r="B63" s="65"/>
      <c r="C63" s="861"/>
      <c r="D63" s="861"/>
      <c r="E63" s="861"/>
      <c r="F63" s="861"/>
      <c r="G63" s="1"/>
      <c r="H63" s="1"/>
      <c r="I63" s="1"/>
      <c r="J63" s="1"/>
      <c r="K63" s="1"/>
      <c r="L63" s="1"/>
      <c r="M63" s="1"/>
      <c r="N63" s="1"/>
      <c r="O63" s="1"/>
      <c r="P63" s="1"/>
      <c r="Q63" s="1"/>
      <c r="R63" s="1"/>
      <c r="S63" s="1"/>
      <c r="T63" s="1"/>
      <c r="U63" s="1"/>
      <c r="V63" s="1"/>
      <c r="W63" s="1"/>
      <c r="X63" s="1"/>
      <c r="Y63" s="1"/>
      <c r="Z63" s="1"/>
    </row>
    <row r="64" ht="10.5" customHeight="1">
      <c r="A64" s="1"/>
      <c r="B64" s="65"/>
      <c r="C64" s="861"/>
      <c r="D64" s="861"/>
      <c r="E64" s="861"/>
      <c r="F64" s="861"/>
      <c r="G64" s="1"/>
      <c r="H64" s="1"/>
      <c r="I64" s="1"/>
      <c r="J64" s="1"/>
      <c r="K64" s="1"/>
      <c r="L64" s="1"/>
      <c r="M64" s="1"/>
      <c r="N64" s="1"/>
      <c r="O64" s="1"/>
      <c r="P64" s="1"/>
      <c r="Q64" s="1"/>
      <c r="R64" s="1"/>
      <c r="S64" s="1"/>
      <c r="T64" s="1"/>
      <c r="U64" s="1"/>
      <c r="V64" s="1"/>
      <c r="W64" s="1"/>
      <c r="X64" s="1"/>
      <c r="Y64" s="1"/>
      <c r="Z64" s="1"/>
    </row>
    <row r="65" ht="10.5" customHeight="1">
      <c r="A65" s="1"/>
      <c r="B65" s="65"/>
      <c r="C65" s="1"/>
      <c r="D65" s="1"/>
      <c r="E65" s="1"/>
      <c r="F65" s="1"/>
      <c r="G65" s="1"/>
      <c r="H65" s="1"/>
      <c r="I65" s="1"/>
      <c r="J65" s="1"/>
      <c r="K65" s="1"/>
      <c r="L65" s="1"/>
      <c r="M65" s="1"/>
      <c r="N65" s="1"/>
      <c r="O65" s="1"/>
      <c r="P65" s="1"/>
      <c r="Q65" s="1"/>
      <c r="R65" s="1"/>
      <c r="S65" s="1"/>
      <c r="T65" s="1"/>
      <c r="U65" s="1"/>
      <c r="V65" s="1"/>
      <c r="W65" s="1"/>
      <c r="X65" s="1"/>
      <c r="Y65" s="1"/>
      <c r="Z65" s="1"/>
    </row>
    <row r="66" ht="10.5" customHeight="1">
      <c r="A66" s="1"/>
      <c r="B66" s="65"/>
      <c r="C66" s="1"/>
      <c r="D66" s="1"/>
      <c r="E66" s="1"/>
      <c r="F66" s="1"/>
      <c r="G66" s="1"/>
      <c r="H66" s="1"/>
      <c r="I66" s="1"/>
      <c r="J66" s="1"/>
      <c r="K66" s="1"/>
      <c r="L66" s="1"/>
      <c r="M66" s="1"/>
      <c r="N66" s="1"/>
      <c r="O66" s="1"/>
      <c r="P66" s="1"/>
      <c r="Q66" s="1"/>
      <c r="R66" s="1"/>
      <c r="S66" s="1"/>
      <c r="T66" s="1"/>
      <c r="U66" s="1"/>
      <c r="V66" s="1"/>
      <c r="W66" s="1"/>
      <c r="X66" s="1"/>
      <c r="Y66" s="1"/>
      <c r="Z66" s="1"/>
    </row>
    <row r="67" ht="10.5" customHeight="1">
      <c r="A67" s="1"/>
      <c r="B67" s="65"/>
      <c r="C67" s="1"/>
      <c r="D67" s="1"/>
      <c r="E67" s="1"/>
      <c r="F67" s="110">
        <v>81.0</v>
      </c>
      <c r="G67" s="1"/>
      <c r="H67" s="1"/>
      <c r="I67" s="1"/>
      <c r="J67" s="1"/>
      <c r="K67" s="1"/>
      <c r="L67" s="1"/>
      <c r="M67" s="1"/>
      <c r="N67" s="1"/>
      <c r="O67" s="1"/>
      <c r="P67" s="1"/>
      <c r="Q67" s="1"/>
      <c r="R67" s="1"/>
      <c r="S67" s="1"/>
      <c r="T67" s="1"/>
      <c r="U67" s="1"/>
      <c r="V67" s="1"/>
      <c r="W67" s="1"/>
      <c r="X67" s="1"/>
      <c r="Y67" s="1"/>
      <c r="Z67" s="1"/>
    </row>
    <row r="68" ht="10.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1.25" customHeight="1">
      <c r="A69" s="1"/>
      <c r="B69" s="1" t="s">
        <v>1490</v>
      </c>
      <c r="C69" s="1"/>
      <c r="D69" s="1"/>
      <c r="E69" s="1"/>
      <c r="F69" s="1"/>
      <c r="G69" s="1"/>
      <c r="H69" s="1"/>
      <c r="I69" s="1"/>
      <c r="J69" s="1"/>
      <c r="K69" s="1"/>
      <c r="L69" s="1"/>
      <c r="M69" s="1"/>
      <c r="N69" s="1"/>
      <c r="O69" s="1"/>
      <c r="P69" s="1"/>
      <c r="Q69" s="1"/>
      <c r="R69" s="1"/>
      <c r="S69" s="1"/>
      <c r="T69" s="1"/>
      <c r="U69" s="1"/>
      <c r="V69" s="1"/>
      <c r="W69" s="1"/>
      <c r="X69" s="1"/>
      <c r="Y69" s="1"/>
      <c r="Z69" s="1"/>
    </row>
    <row r="70" ht="33.75" customHeight="1">
      <c r="A70" s="1"/>
      <c r="B70" s="29" t="s">
        <v>1491</v>
      </c>
      <c r="C70" s="128" t="s">
        <v>1493</v>
      </c>
      <c r="D70" s="10"/>
      <c r="E70" s="128" t="s">
        <v>1494</v>
      </c>
      <c r="F70" s="10"/>
      <c r="G70" s="190" t="s">
        <v>1495</v>
      </c>
      <c r="H70" s="190" t="s">
        <v>2</v>
      </c>
      <c r="I70" s="1"/>
      <c r="J70" s="1"/>
      <c r="K70" s="1"/>
      <c r="L70" s="1"/>
      <c r="M70" s="1"/>
      <c r="N70" s="1"/>
      <c r="O70" s="1"/>
      <c r="P70" s="1"/>
      <c r="Q70" s="1"/>
      <c r="R70" s="1"/>
      <c r="S70" s="1"/>
      <c r="T70" s="1"/>
      <c r="U70" s="1"/>
      <c r="V70" s="1"/>
      <c r="W70" s="1"/>
      <c r="X70" s="1"/>
      <c r="Y70" s="1"/>
      <c r="Z70" s="1"/>
    </row>
    <row r="71" ht="11.25" customHeight="1">
      <c r="A71" s="1"/>
      <c r="B71" s="6"/>
      <c r="C71" s="114" t="s">
        <v>1170</v>
      </c>
      <c r="D71" s="9"/>
      <c r="E71" s="9"/>
      <c r="F71" s="9"/>
      <c r="G71" s="9"/>
      <c r="H71" s="10"/>
      <c r="I71" s="1"/>
      <c r="J71" s="1"/>
      <c r="K71" s="1"/>
      <c r="L71" s="1"/>
      <c r="M71" s="1"/>
      <c r="N71" s="1"/>
      <c r="O71" s="1"/>
      <c r="P71" s="1"/>
      <c r="Q71" s="1"/>
      <c r="R71" s="1"/>
      <c r="S71" s="1"/>
      <c r="T71" s="1"/>
      <c r="U71" s="1"/>
      <c r="V71" s="1"/>
      <c r="W71" s="1"/>
      <c r="X71" s="1"/>
      <c r="Y71" s="1"/>
      <c r="Z71" s="1"/>
    </row>
    <row r="72" ht="10.5" customHeight="1">
      <c r="A72" s="1"/>
      <c r="B72" s="129">
        <v>1980.0</v>
      </c>
      <c r="C72" s="841"/>
      <c r="D72" s="868">
        <v>21353.9</v>
      </c>
      <c r="E72" s="869"/>
      <c r="F72" s="868">
        <v>2515.1</v>
      </c>
      <c r="G72" s="870">
        <v>3615.8</v>
      </c>
      <c r="H72" s="870">
        <f t="shared" ref="H72:H76" si="9">SUM(D72:G72)</f>
        <v>27484.8</v>
      </c>
      <c r="I72" s="612"/>
      <c r="J72" s="612"/>
      <c r="K72" s="1"/>
      <c r="L72" s="1"/>
      <c r="M72" s="1"/>
      <c r="N72" s="1"/>
      <c r="O72" s="1"/>
      <c r="P72" s="1"/>
      <c r="Q72" s="1"/>
      <c r="R72" s="1"/>
      <c r="S72" s="1"/>
      <c r="T72" s="1"/>
      <c r="U72" s="1"/>
      <c r="V72" s="1"/>
      <c r="W72" s="1"/>
      <c r="X72" s="1"/>
      <c r="Y72" s="1"/>
      <c r="Z72" s="1"/>
    </row>
    <row r="73" ht="10.5" customHeight="1">
      <c r="A73" s="1"/>
      <c r="B73" s="129">
        <v>1981.0</v>
      </c>
      <c r="C73" s="846"/>
      <c r="D73" s="872">
        <v>21754.6</v>
      </c>
      <c r="E73" s="873"/>
      <c r="F73" s="872">
        <v>3210.5</v>
      </c>
      <c r="G73" s="870">
        <v>4485.0</v>
      </c>
      <c r="H73" s="870">
        <f t="shared" si="9"/>
        <v>29450.1</v>
      </c>
      <c r="I73" s="612"/>
      <c r="J73" s="612"/>
      <c r="K73" s="1"/>
      <c r="L73" s="1"/>
      <c r="M73" s="1"/>
      <c r="N73" s="1"/>
      <c r="O73" s="1"/>
      <c r="P73" s="1"/>
      <c r="Q73" s="1"/>
      <c r="R73" s="1"/>
      <c r="S73" s="1"/>
      <c r="T73" s="1"/>
      <c r="U73" s="1"/>
      <c r="V73" s="1"/>
      <c r="W73" s="1"/>
      <c r="X73" s="1"/>
      <c r="Y73" s="1"/>
      <c r="Z73" s="1"/>
    </row>
    <row r="74" ht="10.5" customHeight="1">
      <c r="A74" s="1"/>
      <c r="B74" s="129">
        <v>1982.0</v>
      </c>
      <c r="C74" s="846"/>
      <c r="D74" s="872">
        <v>24750.7</v>
      </c>
      <c r="E74" s="873"/>
      <c r="F74" s="872">
        <v>3626.7</v>
      </c>
      <c r="G74" s="870">
        <v>4534.9</v>
      </c>
      <c r="H74" s="870">
        <f t="shared" si="9"/>
        <v>32912.3</v>
      </c>
      <c r="I74" s="612"/>
      <c r="J74" s="612"/>
      <c r="K74" s="1"/>
      <c r="L74" s="1"/>
      <c r="M74" s="1"/>
      <c r="N74" s="1"/>
      <c r="O74" s="1"/>
      <c r="P74" s="1"/>
      <c r="Q74" s="1"/>
      <c r="R74" s="1"/>
      <c r="S74" s="1"/>
      <c r="T74" s="1"/>
      <c r="U74" s="1"/>
      <c r="V74" s="1"/>
      <c r="W74" s="1"/>
      <c r="X74" s="1"/>
      <c r="Y74" s="1"/>
      <c r="Z74" s="1"/>
    </row>
    <row r="75" ht="10.5" customHeight="1">
      <c r="A75" s="1"/>
      <c r="B75" s="129">
        <v>1983.0</v>
      </c>
      <c r="C75" s="846"/>
      <c r="D75" s="872">
        <v>27569.9</v>
      </c>
      <c r="E75" s="873"/>
      <c r="F75" s="872">
        <v>3955.4</v>
      </c>
      <c r="G75" s="870">
        <v>4613.1</v>
      </c>
      <c r="H75" s="870">
        <f t="shared" si="9"/>
        <v>36138.4</v>
      </c>
      <c r="I75" s="612"/>
      <c r="J75" s="612"/>
      <c r="K75" s="1"/>
      <c r="L75" s="1"/>
      <c r="M75" s="1"/>
      <c r="N75" s="1"/>
      <c r="O75" s="1"/>
      <c r="P75" s="1"/>
      <c r="Q75" s="1"/>
      <c r="R75" s="1"/>
      <c r="S75" s="1"/>
      <c r="T75" s="1"/>
      <c r="U75" s="1"/>
      <c r="V75" s="1"/>
      <c r="W75" s="1"/>
      <c r="X75" s="1"/>
      <c r="Y75" s="1"/>
      <c r="Z75" s="1"/>
    </row>
    <row r="76" ht="10.5" customHeight="1">
      <c r="A76" s="1"/>
      <c r="B76" s="129">
        <v>1984.0</v>
      </c>
      <c r="C76" s="846"/>
      <c r="D76" s="872">
        <v>29496.8</v>
      </c>
      <c r="E76" s="873"/>
      <c r="F76" s="872">
        <v>4220.4</v>
      </c>
      <c r="G76" s="870">
        <v>4966.3</v>
      </c>
      <c r="H76" s="870">
        <f t="shared" si="9"/>
        <v>38683.5</v>
      </c>
      <c r="I76" s="612"/>
      <c r="J76" s="612"/>
      <c r="K76" s="1"/>
      <c r="L76" s="1"/>
      <c r="M76" s="1"/>
      <c r="N76" s="1"/>
      <c r="O76" s="1"/>
      <c r="P76" s="1"/>
      <c r="Q76" s="1"/>
      <c r="R76" s="1"/>
      <c r="S76" s="1"/>
      <c r="T76" s="1"/>
      <c r="U76" s="1"/>
      <c r="V76" s="1"/>
      <c r="W76" s="1"/>
      <c r="X76" s="1"/>
      <c r="Y76" s="1"/>
      <c r="Z76" s="1"/>
    </row>
    <row r="77" ht="10.5" customHeight="1">
      <c r="A77" s="1"/>
      <c r="B77" s="129"/>
      <c r="C77" s="846"/>
      <c r="D77" s="878"/>
      <c r="E77" s="873"/>
      <c r="F77" s="872"/>
      <c r="G77" s="870"/>
      <c r="H77" s="870"/>
      <c r="I77" s="612"/>
      <c r="J77" s="612"/>
      <c r="K77" s="1"/>
      <c r="L77" s="1"/>
      <c r="M77" s="1"/>
      <c r="N77" s="1"/>
      <c r="O77" s="1"/>
      <c r="P77" s="1"/>
      <c r="Q77" s="1"/>
      <c r="R77" s="1"/>
      <c r="S77" s="1"/>
      <c r="T77" s="1"/>
      <c r="U77" s="1"/>
      <c r="V77" s="1"/>
      <c r="W77" s="1"/>
      <c r="X77" s="1"/>
      <c r="Y77" s="1"/>
      <c r="Z77" s="1"/>
    </row>
    <row r="78" ht="10.5" customHeight="1">
      <c r="A78" s="1"/>
      <c r="B78" s="129">
        <v>1985.0</v>
      </c>
      <c r="C78" s="846"/>
      <c r="D78" s="872">
        <v>29966.7</v>
      </c>
      <c r="E78" s="873"/>
      <c r="F78" s="872">
        <v>4527.3</v>
      </c>
      <c r="G78" s="870">
        <v>5579.6</v>
      </c>
      <c r="H78" s="870">
        <f t="shared" ref="H78:H82" si="10">SUM(D78:G78)</f>
        <v>40073.6</v>
      </c>
      <c r="I78" s="612"/>
      <c r="J78" s="612"/>
      <c r="K78" s="1"/>
      <c r="L78" s="1"/>
      <c r="M78" s="1"/>
      <c r="N78" s="1"/>
      <c r="O78" s="1"/>
      <c r="P78" s="1"/>
      <c r="Q78" s="1"/>
      <c r="R78" s="1"/>
      <c r="S78" s="1"/>
      <c r="T78" s="1"/>
      <c r="U78" s="1"/>
      <c r="V78" s="1"/>
      <c r="W78" s="1"/>
      <c r="X78" s="1"/>
      <c r="Y78" s="1"/>
      <c r="Z78" s="1"/>
    </row>
    <row r="79" ht="10.5" customHeight="1">
      <c r="A79" s="1"/>
      <c r="B79" s="129">
        <v>1986.0</v>
      </c>
      <c r="C79" s="846"/>
      <c r="D79" s="872">
        <v>30579.5</v>
      </c>
      <c r="E79" s="873"/>
      <c r="F79" s="872">
        <v>4770.9</v>
      </c>
      <c r="G79" s="870">
        <v>7191.5</v>
      </c>
      <c r="H79" s="870">
        <f t="shared" si="10"/>
        <v>42541.9</v>
      </c>
      <c r="I79" s="612"/>
      <c r="J79" s="612"/>
      <c r="K79" s="1"/>
      <c r="L79" s="1"/>
      <c r="M79" s="1"/>
      <c r="N79" s="1"/>
      <c r="O79" s="1"/>
      <c r="P79" s="1"/>
      <c r="Q79" s="1"/>
      <c r="R79" s="1"/>
      <c r="S79" s="1"/>
      <c r="T79" s="1"/>
      <c r="U79" s="1"/>
      <c r="V79" s="1"/>
      <c r="W79" s="1"/>
      <c r="X79" s="1"/>
      <c r="Y79" s="1"/>
      <c r="Z79" s="1"/>
    </row>
    <row r="80" ht="10.5" customHeight="1">
      <c r="A80" s="1"/>
      <c r="B80" s="129">
        <v>1987.0</v>
      </c>
      <c r="C80" s="846"/>
      <c r="D80" s="872">
        <v>31469.5</v>
      </c>
      <c r="E80" s="873"/>
      <c r="F80" s="872">
        <v>5078.7</v>
      </c>
      <c r="G80" s="870">
        <v>8550.0</v>
      </c>
      <c r="H80" s="870">
        <f t="shared" si="10"/>
        <v>45098.2</v>
      </c>
      <c r="I80" s="612"/>
      <c r="J80" s="612"/>
      <c r="K80" s="1"/>
      <c r="L80" s="1"/>
      <c r="M80" s="1"/>
      <c r="N80" s="1"/>
      <c r="O80" s="1"/>
      <c r="P80" s="1"/>
      <c r="Q80" s="1"/>
      <c r="R80" s="1"/>
      <c r="S80" s="1"/>
      <c r="T80" s="1"/>
      <c r="U80" s="1"/>
      <c r="V80" s="1"/>
      <c r="W80" s="1"/>
      <c r="X80" s="1"/>
      <c r="Y80" s="1"/>
      <c r="Z80" s="1"/>
    </row>
    <row r="81" ht="10.5" customHeight="1">
      <c r="A81" s="1"/>
      <c r="B81" s="129">
        <v>1988.0</v>
      </c>
      <c r="C81" s="846"/>
      <c r="D81" s="872">
        <v>32433.1</v>
      </c>
      <c r="E81" s="873"/>
      <c r="F81" s="872">
        <v>5363.2</v>
      </c>
      <c r="G81" s="870">
        <v>10400.0</v>
      </c>
      <c r="H81" s="870">
        <f t="shared" si="10"/>
        <v>48196.3</v>
      </c>
      <c r="I81" s="612"/>
      <c r="J81" s="612"/>
      <c r="K81" s="1"/>
      <c r="L81" s="1"/>
      <c r="M81" s="1"/>
      <c r="N81" s="1"/>
      <c r="O81" s="1"/>
      <c r="P81" s="1"/>
      <c r="Q81" s="1"/>
      <c r="R81" s="1"/>
      <c r="S81" s="1"/>
      <c r="T81" s="1"/>
      <c r="U81" s="1"/>
      <c r="V81" s="1"/>
      <c r="W81" s="1"/>
      <c r="X81" s="1"/>
      <c r="Y81" s="1"/>
      <c r="Z81" s="1"/>
    </row>
    <row r="82" ht="10.5" customHeight="1">
      <c r="A82" s="1"/>
      <c r="B82" s="129">
        <v>1989.0</v>
      </c>
      <c r="C82" s="846"/>
      <c r="D82" s="872">
        <v>33597.5</v>
      </c>
      <c r="E82" s="873"/>
      <c r="F82" s="872">
        <v>5863.1</v>
      </c>
      <c r="G82" s="870">
        <v>11883.3</v>
      </c>
      <c r="H82" s="870">
        <f t="shared" si="10"/>
        <v>51343.9</v>
      </c>
      <c r="I82" s="612"/>
      <c r="J82" s="612"/>
      <c r="K82" s="1"/>
      <c r="L82" s="1"/>
      <c r="M82" s="1"/>
      <c r="N82" s="1"/>
      <c r="O82" s="1"/>
      <c r="P82" s="1"/>
      <c r="Q82" s="1"/>
      <c r="R82" s="1"/>
      <c r="S82" s="1"/>
      <c r="T82" s="1"/>
      <c r="U82" s="1"/>
      <c r="V82" s="1"/>
      <c r="W82" s="1"/>
      <c r="X82" s="1"/>
      <c r="Y82" s="1"/>
      <c r="Z82" s="1"/>
    </row>
    <row r="83" ht="10.5" customHeight="1">
      <c r="A83" s="1"/>
      <c r="B83" s="129"/>
      <c r="C83" s="846"/>
      <c r="D83" s="878"/>
      <c r="E83" s="873"/>
      <c r="F83" s="872"/>
      <c r="G83" s="870"/>
      <c r="H83" s="870"/>
      <c r="I83" s="612"/>
      <c r="J83" s="612"/>
      <c r="K83" s="1"/>
      <c r="L83" s="1"/>
      <c r="M83" s="1"/>
      <c r="N83" s="1"/>
      <c r="O83" s="1"/>
      <c r="P83" s="1"/>
      <c r="Q83" s="1"/>
      <c r="R83" s="1"/>
      <c r="S83" s="1"/>
      <c r="T83" s="1"/>
      <c r="U83" s="1"/>
      <c r="V83" s="1"/>
      <c r="W83" s="1"/>
      <c r="X83" s="1"/>
      <c r="Y83" s="1"/>
      <c r="Z83" s="1"/>
    </row>
    <row r="84" ht="10.5" customHeight="1">
      <c r="A84" s="1"/>
      <c r="B84" s="129">
        <v>1990.0</v>
      </c>
      <c r="C84" s="846"/>
      <c r="D84" s="872">
        <v>36982.5</v>
      </c>
      <c r="E84" s="873"/>
      <c r="F84" s="872">
        <v>6208.9</v>
      </c>
      <c r="G84" s="870">
        <v>12168.0</v>
      </c>
      <c r="H84" s="870">
        <f t="shared" ref="H84:H88" si="11">SUM(D84:G84)</f>
        <v>55359.4</v>
      </c>
      <c r="I84" s="612"/>
      <c r="J84" s="612"/>
      <c r="K84" s="1"/>
      <c r="L84" s="1"/>
      <c r="M84" s="1"/>
      <c r="N84" s="1"/>
      <c r="O84" s="1"/>
      <c r="P84" s="1"/>
      <c r="Q84" s="1"/>
      <c r="R84" s="1"/>
      <c r="S84" s="1"/>
      <c r="T84" s="1"/>
      <c r="U84" s="1"/>
      <c r="V84" s="1"/>
      <c r="W84" s="1"/>
      <c r="X84" s="1"/>
      <c r="Y84" s="1"/>
      <c r="Z84" s="1"/>
    </row>
    <row r="85" ht="10.5" customHeight="1">
      <c r="A85" s="1"/>
      <c r="B85" s="129">
        <v>1991.0</v>
      </c>
      <c r="C85" s="846"/>
      <c r="D85" s="872">
        <v>40339.6</v>
      </c>
      <c r="E85" s="873"/>
      <c r="F85" s="872">
        <v>6384.8</v>
      </c>
      <c r="G85" s="870">
        <v>12460.0</v>
      </c>
      <c r="H85" s="870">
        <f t="shared" si="11"/>
        <v>59184.4</v>
      </c>
      <c r="I85" s="612"/>
      <c r="J85" s="612"/>
      <c r="K85" s="1"/>
      <c r="L85" s="1"/>
      <c r="M85" s="1"/>
      <c r="N85" s="1"/>
      <c r="O85" s="1"/>
      <c r="P85" s="1"/>
      <c r="Q85" s="1"/>
      <c r="R85" s="1"/>
      <c r="S85" s="1"/>
      <c r="T85" s="1"/>
      <c r="U85" s="1"/>
      <c r="V85" s="1"/>
      <c r="W85" s="1"/>
      <c r="X85" s="1"/>
      <c r="Y85" s="1"/>
      <c r="Z85" s="1"/>
    </row>
    <row r="86" ht="10.5" customHeight="1">
      <c r="A86" s="1"/>
      <c r="B86" s="129">
        <v>1992.0</v>
      </c>
      <c r="C86" s="846"/>
      <c r="D86" s="872">
        <v>40689.5</v>
      </c>
      <c r="E86" s="873"/>
      <c r="F86" s="872">
        <v>6459.1</v>
      </c>
      <c r="G86" s="870">
        <v>11356.7</v>
      </c>
      <c r="H86" s="870">
        <f t="shared" si="11"/>
        <v>58505.3</v>
      </c>
      <c r="I86" s="612"/>
      <c r="J86" s="612"/>
      <c r="K86" s="1"/>
      <c r="L86" s="1"/>
      <c r="M86" s="1"/>
      <c r="N86" s="1"/>
      <c r="O86" s="1"/>
      <c r="P86" s="1"/>
      <c r="Q86" s="1"/>
      <c r="R86" s="1"/>
      <c r="S86" s="1"/>
      <c r="T86" s="1"/>
      <c r="U86" s="1"/>
      <c r="V86" s="1"/>
      <c r="W86" s="1"/>
      <c r="X86" s="1"/>
      <c r="Y86" s="1"/>
      <c r="Z86" s="1"/>
    </row>
    <row r="87" ht="10.5" customHeight="1">
      <c r="A87" s="1"/>
      <c r="B87" s="129">
        <v>1993.0</v>
      </c>
      <c r="C87" s="846"/>
      <c r="D87" s="872">
        <v>44396.9</v>
      </c>
      <c r="E87" s="873"/>
      <c r="F87" s="872">
        <v>6868.6</v>
      </c>
      <c r="G87" s="870">
        <v>12858.6</v>
      </c>
      <c r="H87" s="870">
        <f t="shared" si="11"/>
        <v>64124.1</v>
      </c>
      <c r="I87" s="612"/>
      <c r="J87" s="612"/>
      <c r="K87" s="1"/>
      <c r="L87" s="1"/>
      <c r="M87" s="1"/>
      <c r="N87" s="1"/>
      <c r="O87" s="1"/>
      <c r="P87" s="1"/>
      <c r="Q87" s="1"/>
      <c r="R87" s="1"/>
      <c r="S87" s="1"/>
      <c r="T87" s="1"/>
      <c r="U87" s="1"/>
      <c r="V87" s="1"/>
      <c r="W87" s="1"/>
      <c r="X87" s="1"/>
      <c r="Y87" s="1"/>
      <c r="Z87" s="1"/>
    </row>
    <row r="88" ht="10.5" customHeight="1">
      <c r="A88" s="1"/>
      <c r="B88" s="129">
        <v>1994.0</v>
      </c>
      <c r="C88" s="846"/>
      <c r="D88" s="872">
        <v>44615.2</v>
      </c>
      <c r="E88" s="873"/>
      <c r="F88" s="872">
        <v>7747.6</v>
      </c>
      <c r="G88" s="870">
        <v>16571.9</v>
      </c>
      <c r="H88" s="870">
        <f t="shared" si="11"/>
        <v>68934.7</v>
      </c>
      <c r="I88" s="612"/>
      <c r="J88" s="612"/>
      <c r="K88" s="1"/>
      <c r="L88" s="1"/>
      <c r="M88" s="1"/>
      <c r="N88" s="1"/>
      <c r="O88" s="1"/>
      <c r="P88" s="1"/>
      <c r="Q88" s="1"/>
      <c r="R88" s="1"/>
      <c r="S88" s="1"/>
      <c r="T88" s="1"/>
      <c r="U88" s="1"/>
      <c r="V88" s="1"/>
      <c r="W88" s="1"/>
      <c r="X88" s="1"/>
      <c r="Y88" s="1"/>
      <c r="Z88" s="1"/>
    </row>
    <row r="89" ht="10.5" customHeight="1">
      <c r="A89" s="1"/>
      <c r="B89" s="129"/>
      <c r="C89" s="846"/>
      <c r="D89" s="878"/>
      <c r="E89" s="873"/>
      <c r="F89" s="872"/>
      <c r="G89" s="870"/>
      <c r="H89" s="870"/>
      <c r="I89" s="612"/>
      <c r="J89" s="612"/>
      <c r="K89" s="1"/>
      <c r="L89" s="1"/>
      <c r="M89" s="1"/>
      <c r="N89" s="1"/>
      <c r="O89" s="1"/>
      <c r="P89" s="1"/>
      <c r="Q89" s="1"/>
      <c r="R89" s="1"/>
      <c r="S89" s="1"/>
      <c r="T89" s="1"/>
      <c r="U89" s="1"/>
      <c r="V89" s="1"/>
      <c r="W89" s="1"/>
      <c r="X89" s="1"/>
      <c r="Y89" s="1"/>
      <c r="Z89" s="1"/>
    </row>
    <row r="90" ht="10.5" customHeight="1">
      <c r="A90" s="1"/>
      <c r="B90" s="129">
        <v>1995.0</v>
      </c>
      <c r="C90" s="846"/>
      <c r="D90" s="872">
        <v>45256.9</v>
      </c>
      <c r="E90" s="873"/>
      <c r="F90" s="872">
        <v>8689.1</v>
      </c>
      <c r="G90" s="870">
        <v>19059.5</v>
      </c>
      <c r="H90" s="870">
        <f t="shared" ref="H90:H94" si="12">SUM(D90:G90)</f>
        <v>73005.5</v>
      </c>
      <c r="I90" s="612"/>
      <c r="J90" s="612"/>
      <c r="K90" s="1"/>
      <c r="L90" s="1"/>
      <c r="M90" s="1"/>
      <c r="N90" s="1"/>
      <c r="O90" s="1"/>
      <c r="P90" s="1"/>
      <c r="Q90" s="1"/>
      <c r="R90" s="1"/>
      <c r="S90" s="1"/>
      <c r="T90" s="1"/>
      <c r="U90" s="1"/>
      <c r="V90" s="1"/>
      <c r="W90" s="1"/>
      <c r="X90" s="1"/>
      <c r="Y90" s="1"/>
      <c r="Z90" s="1"/>
    </row>
    <row r="91" ht="10.5" customHeight="1">
      <c r="A91" s="1"/>
      <c r="B91" s="129">
        <v>1996.0</v>
      </c>
      <c r="C91" s="846"/>
      <c r="D91" s="872">
        <v>46958.9</v>
      </c>
      <c r="E91" s="873"/>
      <c r="F91" s="872">
        <v>10305.5</v>
      </c>
      <c r="G91" s="870">
        <v>19476.9</v>
      </c>
      <c r="H91" s="870">
        <f t="shared" si="12"/>
        <v>76741.3</v>
      </c>
      <c r="I91" s="612"/>
      <c r="J91" s="612"/>
      <c r="K91" s="1"/>
      <c r="L91" s="1"/>
      <c r="M91" s="1"/>
      <c r="N91" s="1"/>
      <c r="O91" s="1"/>
      <c r="P91" s="1"/>
      <c r="Q91" s="1"/>
      <c r="R91" s="1"/>
      <c r="S91" s="1"/>
      <c r="T91" s="1"/>
      <c r="U91" s="1"/>
      <c r="V91" s="1"/>
      <c r="W91" s="1"/>
      <c r="X91" s="1"/>
      <c r="Y91" s="1"/>
      <c r="Z91" s="1"/>
    </row>
    <row r="92" ht="10.5" customHeight="1">
      <c r="A92" s="1"/>
      <c r="B92" s="129">
        <v>1997.0</v>
      </c>
      <c r="C92" s="846"/>
      <c r="D92" s="872">
        <v>48918.0</v>
      </c>
      <c r="E92" s="873"/>
      <c r="F92" s="872">
        <v>11634.7</v>
      </c>
      <c r="G92" s="870">
        <v>19802.5</v>
      </c>
      <c r="H92" s="870">
        <f t="shared" si="12"/>
        <v>80355.2</v>
      </c>
      <c r="I92" s="612"/>
      <c r="J92" s="612"/>
      <c r="K92" s="1"/>
      <c r="L92" s="1"/>
      <c r="M92" s="1"/>
      <c r="N92" s="1"/>
      <c r="O92" s="1"/>
      <c r="P92" s="1"/>
      <c r="Q92" s="1"/>
      <c r="R92" s="1"/>
      <c r="S92" s="1"/>
      <c r="T92" s="1"/>
      <c r="U92" s="1"/>
      <c r="V92" s="1"/>
      <c r="W92" s="1"/>
      <c r="X92" s="1"/>
      <c r="Y92" s="1"/>
      <c r="Z92" s="1"/>
    </row>
    <row r="93" ht="10.5" customHeight="1">
      <c r="A93" s="1"/>
      <c r="B93" s="129">
        <v>1998.0</v>
      </c>
      <c r="C93" s="846"/>
      <c r="D93" s="872">
        <v>52986.1</v>
      </c>
      <c r="E93" s="873"/>
      <c r="F93" s="872">
        <v>14588.5</v>
      </c>
      <c r="G93" s="870">
        <v>19390.7</v>
      </c>
      <c r="H93" s="870">
        <f t="shared" si="12"/>
        <v>86965.3</v>
      </c>
      <c r="I93" s="612"/>
      <c r="J93" s="612"/>
      <c r="K93" s="1"/>
      <c r="L93" s="1"/>
      <c r="M93" s="1"/>
      <c r="N93" s="1"/>
      <c r="O93" s="1"/>
      <c r="P93" s="1"/>
      <c r="Q93" s="1"/>
      <c r="R93" s="1"/>
      <c r="S93" s="1"/>
      <c r="T93" s="1"/>
      <c r="U93" s="1"/>
      <c r="V93" s="1"/>
      <c r="W93" s="1"/>
      <c r="X93" s="1"/>
      <c r="Y93" s="1"/>
      <c r="Z93" s="1"/>
    </row>
    <row r="94" ht="10.5" customHeight="1">
      <c r="A94" s="1"/>
      <c r="B94" s="129">
        <v>1999.0</v>
      </c>
      <c r="C94" s="846"/>
      <c r="D94" s="872">
        <v>55582.6</v>
      </c>
      <c r="E94" s="873"/>
      <c r="F94" s="872">
        <v>14945.6</v>
      </c>
      <c r="G94" s="870">
        <v>19268.3</v>
      </c>
      <c r="H94" s="870">
        <f t="shared" si="12"/>
        <v>89796.5</v>
      </c>
      <c r="I94" s="612"/>
      <c r="J94" s="612"/>
      <c r="K94" s="1"/>
      <c r="L94" s="1"/>
      <c r="M94" s="1"/>
      <c r="N94" s="1"/>
      <c r="O94" s="1"/>
      <c r="P94" s="1"/>
      <c r="Q94" s="1"/>
      <c r="R94" s="1"/>
      <c r="S94" s="1"/>
      <c r="T94" s="1"/>
      <c r="U94" s="1"/>
      <c r="V94" s="1"/>
      <c r="W94" s="1"/>
      <c r="X94" s="1"/>
      <c r="Y94" s="1"/>
      <c r="Z94" s="1"/>
    </row>
    <row r="95" ht="10.5" customHeight="1">
      <c r="A95" s="1"/>
      <c r="B95" s="129"/>
      <c r="C95" s="846"/>
      <c r="D95" s="878"/>
      <c r="E95" s="873"/>
      <c r="F95" s="872"/>
      <c r="G95" s="870"/>
      <c r="H95" s="870"/>
      <c r="I95" s="612"/>
      <c r="J95" s="612"/>
      <c r="K95" s="1"/>
      <c r="L95" s="1"/>
      <c r="M95" s="1"/>
      <c r="N95" s="1"/>
      <c r="O95" s="1"/>
      <c r="P95" s="1"/>
      <c r="Q95" s="1"/>
      <c r="R95" s="1"/>
      <c r="S95" s="1"/>
      <c r="T95" s="1"/>
      <c r="U95" s="1"/>
      <c r="V95" s="1"/>
      <c r="W95" s="1"/>
      <c r="X95" s="1"/>
      <c r="Y95" s="1"/>
      <c r="Z95" s="1"/>
    </row>
    <row r="96" ht="10.5" customHeight="1">
      <c r="A96" s="1"/>
      <c r="B96" s="129">
        <v>2000.0</v>
      </c>
      <c r="C96" s="846"/>
      <c r="D96" s="872">
        <v>59725.0</v>
      </c>
      <c r="E96" s="873"/>
      <c r="F96" s="872">
        <v>15461.1</v>
      </c>
      <c r="G96" s="870">
        <v>19672.7</v>
      </c>
      <c r="H96" s="870">
        <f t="shared" ref="H96:H100" si="13">SUM(D96:G96)</f>
        <v>94858.8</v>
      </c>
      <c r="I96" s="612"/>
      <c r="J96" s="612"/>
      <c r="K96" s="1"/>
      <c r="L96" s="1"/>
      <c r="M96" s="1"/>
      <c r="N96" s="1"/>
      <c r="O96" s="1"/>
      <c r="P96" s="1"/>
      <c r="Q96" s="1"/>
      <c r="R96" s="1"/>
      <c r="S96" s="1"/>
      <c r="T96" s="1"/>
      <c r="U96" s="1"/>
      <c r="V96" s="1"/>
      <c r="W96" s="1"/>
      <c r="X96" s="1"/>
      <c r="Y96" s="1"/>
      <c r="Z96" s="1"/>
    </row>
    <row r="97" ht="10.5" customHeight="1">
      <c r="A97" s="1"/>
      <c r="B97" s="129">
        <v>2001.0</v>
      </c>
      <c r="C97" s="846"/>
      <c r="D97" s="872">
        <v>63711.6</v>
      </c>
      <c r="E97" s="873"/>
      <c r="F97" s="872">
        <v>16221.0</v>
      </c>
      <c r="G97" s="870">
        <v>21099.2</v>
      </c>
      <c r="H97" s="870">
        <f t="shared" si="13"/>
        <v>101031.8</v>
      </c>
      <c r="I97" s="612"/>
      <c r="J97" s="612"/>
      <c r="K97" s="1"/>
      <c r="L97" s="1"/>
      <c r="M97" s="1"/>
      <c r="N97" s="1"/>
      <c r="O97" s="1"/>
      <c r="P97" s="1"/>
      <c r="Q97" s="1"/>
      <c r="R97" s="1"/>
      <c r="S97" s="1"/>
      <c r="T97" s="1"/>
      <c r="U97" s="1"/>
      <c r="V97" s="1"/>
      <c r="W97" s="1"/>
      <c r="X97" s="1"/>
      <c r="Y97" s="1"/>
      <c r="Z97" s="1"/>
    </row>
    <row r="98" ht="10.5" customHeight="1">
      <c r="A98" s="1"/>
      <c r="B98" s="129">
        <v>2002.0</v>
      </c>
      <c r="C98" s="846"/>
      <c r="D98" s="872">
        <v>68755.2</v>
      </c>
      <c r="E98" s="873"/>
      <c r="F98" s="872">
        <v>18825.5</v>
      </c>
      <c r="G98" s="870">
        <v>23970.5</v>
      </c>
      <c r="H98" s="870">
        <f t="shared" si="13"/>
        <v>111551.2</v>
      </c>
      <c r="I98" s="612"/>
      <c r="J98" s="612"/>
      <c r="K98" s="1"/>
      <c r="L98" s="1"/>
      <c r="M98" s="1"/>
      <c r="N98" s="1"/>
      <c r="O98" s="1"/>
      <c r="P98" s="1"/>
      <c r="Q98" s="1"/>
      <c r="R98" s="1"/>
      <c r="S98" s="1"/>
      <c r="T98" s="1"/>
      <c r="U98" s="1"/>
      <c r="V98" s="1"/>
      <c r="W98" s="1"/>
      <c r="X98" s="1"/>
      <c r="Y98" s="1"/>
      <c r="Z98" s="1"/>
    </row>
    <row r="99" ht="10.5" customHeight="1">
      <c r="A99" s="1"/>
      <c r="B99" s="238">
        <v>2003.0</v>
      </c>
      <c r="C99" s="846"/>
      <c r="D99" s="872">
        <v>72718.4</v>
      </c>
      <c r="E99" s="873"/>
      <c r="F99" s="872">
        <v>20747.9</v>
      </c>
      <c r="G99" s="870">
        <v>29542.5</v>
      </c>
      <c r="H99" s="870">
        <f t="shared" si="13"/>
        <v>123008.8</v>
      </c>
      <c r="I99" s="612"/>
      <c r="J99" s="612"/>
      <c r="K99" s="1"/>
      <c r="L99" s="1"/>
      <c r="M99" s="1"/>
      <c r="N99" s="1"/>
      <c r="O99" s="1"/>
      <c r="P99" s="1"/>
      <c r="Q99" s="1"/>
      <c r="R99" s="1"/>
      <c r="S99" s="1"/>
      <c r="T99" s="1"/>
      <c r="U99" s="1"/>
      <c r="V99" s="1"/>
      <c r="W99" s="1"/>
      <c r="X99" s="1"/>
      <c r="Y99" s="1"/>
      <c r="Z99" s="1"/>
    </row>
    <row r="100" ht="10.5" customHeight="1">
      <c r="A100" s="1"/>
      <c r="B100" s="238">
        <v>2004.0</v>
      </c>
      <c r="C100" s="846"/>
      <c r="D100" s="872">
        <v>75665.4</v>
      </c>
      <c r="E100" s="873"/>
      <c r="F100" s="872">
        <v>23421.4</v>
      </c>
      <c r="G100" s="870">
        <v>47882.5</v>
      </c>
      <c r="H100" s="870">
        <f t="shared" si="13"/>
        <v>146969.3</v>
      </c>
      <c r="I100" s="612"/>
      <c r="J100" s="612"/>
      <c r="K100" s="1"/>
      <c r="L100" s="1"/>
      <c r="M100" s="1"/>
      <c r="N100" s="1"/>
      <c r="O100" s="1"/>
      <c r="P100" s="1"/>
      <c r="Q100" s="1"/>
      <c r="R100" s="1"/>
      <c r="S100" s="1"/>
      <c r="T100" s="1"/>
      <c r="U100" s="1"/>
      <c r="V100" s="1"/>
      <c r="W100" s="1"/>
      <c r="X100" s="1"/>
      <c r="Y100" s="1"/>
      <c r="Z100" s="1"/>
    </row>
    <row r="101" ht="10.5" customHeight="1">
      <c r="A101" s="1"/>
      <c r="B101" s="238"/>
      <c r="C101" s="846"/>
      <c r="D101" s="872"/>
      <c r="E101" s="873"/>
      <c r="F101" s="872"/>
      <c r="G101" s="870"/>
      <c r="H101" s="870"/>
      <c r="I101" s="612"/>
      <c r="J101" s="612"/>
      <c r="K101" s="1"/>
      <c r="L101" s="1"/>
      <c r="M101" s="1"/>
      <c r="N101" s="1"/>
      <c r="O101" s="1"/>
      <c r="P101" s="1"/>
      <c r="Q101" s="1"/>
      <c r="R101" s="1"/>
      <c r="S101" s="1"/>
      <c r="T101" s="1"/>
      <c r="U101" s="1"/>
      <c r="V101" s="1"/>
      <c r="W101" s="1"/>
      <c r="X101" s="1"/>
      <c r="Y101" s="1"/>
      <c r="Z101" s="1"/>
    </row>
    <row r="102" ht="10.5" customHeight="1">
      <c r="A102" s="1"/>
      <c r="B102" s="238">
        <v>2005.0</v>
      </c>
      <c r="C102" s="846"/>
      <c r="D102" s="872">
        <v>85237.4</v>
      </c>
      <c r="E102" s="873"/>
      <c r="F102" s="872">
        <v>24728.5</v>
      </c>
      <c r="G102" s="870">
        <v>53206.6</v>
      </c>
      <c r="H102" s="870">
        <f t="shared" ref="H102:H106" si="14">SUM(D102:G102)</f>
        <v>163172.5</v>
      </c>
      <c r="I102" s="612"/>
      <c r="J102" s="612"/>
      <c r="K102" s="1"/>
      <c r="L102" s="1"/>
      <c r="M102" s="1"/>
      <c r="N102" s="1"/>
      <c r="O102" s="1"/>
      <c r="P102" s="1"/>
      <c r="Q102" s="1"/>
      <c r="R102" s="1"/>
      <c r="S102" s="1"/>
      <c r="T102" s="1"/>
      <c r="U102" s="1"/>
      <c r="V102" s="1"/>
      <c r="W102" s="1"/>
      <c r="X102" s="1"/>
      <c r="Y102" s="1"/>
      <c r="Z102" s="1"/>
    </row>
    <row r="103" ht="10.5" customHeight="1">
      <c r="A103" s="1"/>
      <c r="B103" s="238">
        <v>2006.0</v>
      </c>
      <c r="C103" s="846"/>
      <c r="D103" s="872">
        <v>94664.1</v>
      </c>
      <c r="E103" s="873"/>
      <c r="F103" s="872">
        <v>26836.7</v>
      </c>
      <c r="G103" s="870">
        <v>62049.3</v>
      </c>
      <c r="H103" s="870">
        <f t="shared" si="14"/>
        <v>183550.1</v>
      </c>
      <c r="I103" s="612"/>
      <c r="J103" s="612"/>
      <c r="K103" s="1"/>
      <c r="L103" s="1"/>
      <c r="M103" s="1"/>
      <c r="N103" s="1"/>
      <c r="O103" s="1"/>
      <c r="P103" s="1"/>
      <c r="Q103" s="1"/>
      <c r="R103" s="1"/>
      <c r="S103" s="1"/>
      <c r="T103" s="1"/>
      <c r="U103" s="1"/>
      <c r="V103" s="1"/>
      <c r="W103" s="1"/>
      <c r="X103" s="1"/>
      <c r="Y103" s="1"/>
      <c r="Z103" s="1"/>
    </row>
    <row r="104" ht="10.5" customHeight="1">
      <c r="A104" s="1"/>
      <c r="B104" s="238">
        <v>2007.0</v>
      </c>
      <c r="C104" s="846"/>
      <c r="D104" s="872">
        <v>105188.2</v>
      </c>
      <c r="E104" s="873"/>
      <c r="F104" s="872">
        <v>28891.4</v>
      </c>
      <c r="G104" s="870">
        <v>70515.4</v>
      </c>
      <c r="H104" s="870">
        <f t="shared" si="14"/>
        <v>204595</v>
      </c>
      <c r="I104" s="612"/>
      <c r="J104" s="612"/>
      <c r="K104" s="1"/>
      <c r="L104" s="1"/>
      <c r="M104" s="1"/>
      <c r="N104" s="1"/>
      <c r="O104" s="1"/>
      <c r="P104" s="1"/>
      <c r="Q104" s="1"/>
      <c r="R104" s="1"/>
      <c r="S104" s="1"/>
      <c r="T104" s="1"/>
      <c r="U104" s="1"/>
      <c r="V104" s="1"/>
      <c r="W104" s="1"/>
      <c r="X104" s="1"/>
      <c r="Y104" s="1"/>
      <c r="Z104" s="1"/>
    </row>
    <row r="105" ht="10.5" customHeight="1">
      <c r="A105" s="1"/>
      <c r="B105" s="238">
        <v>2008.0</v>
      </c>
      <c r="C105" s="846"/>
      <c r="D105" s="872">
        <v>116795.9</v>
      </c>
      <c r="E105" s="873"/>
      <c r="F105" s="872">
        <v>33810.5</v>
      </c>
      <c r="G105" s="870">
        <v>75723.6</v>
      </c>
      <c r="H105" s="870">
        <f t="shared" si="14"/>
        <v>226330</v>
      </c>
      <c r="I105" s="612"/>
      <c r="J105" s="612"/>
      <c r="K105" s="1"/>
      <c r="L105" s="1"/>
      <c r="M105" s="1"/>
      <c r="N105" s="1"/>
      <c r="O105" s="1"/>
      <c r="P105" s="1"/>
      <c r="Q105" s="1"/>
      <c r="R105" s="1"/>
      <c r="S105" s="1"/>
      <c r="T105" s="1"/>
      <c r="U105" s="1"/>
      <c r="V105" s="1"/>
      <c r="W105" s="1"/>
      <c r="X105" s="1"/>
      <c r="Y105" s="1"/>
      <c r="Z105" s="1"/>
    </row>
    <row r="106" ht="10.5" customHeight="1">
      <c r="A106" s="1"/>
      <c r="B106" s="238">
        <v>2009.0</v>
      </c>
      <c r="C106" s="846"/>
      <c r="D106" s="872">
        <v>123084.3</v>
      </c>
      <c r="E106" s="873"/>
      <c r="F106" s="872">
        <v>37370.2</v>
      </c>
      <c r="G106" s="870">
        <v>78362.4</v>
      </c>
      <c r="H106" s="870">
        <f t="shared" si="14"/>
        <v>238816.9</v>
      </c>
      <c r="I106" s="612"/>
      <c r="J106" s="612"/>
      <c r="K106" s="1"/>
      <c r="L106" s="1"/>
      <c r="M106" s="1"/>
      <c r="N106" s="1"/>
      <c r="O106" s="1"/>
      <c r="P106" s="1"/>
      <c r="Q106" s="1"/>
      <c r="R106" s="1"/>
      <c r="S106" s="1"/>
      <c r="T106" s="1"/>
      <c r="U106" s="1"/>
      <c r="V106" s="1"/>
      <c r="W106" s="1"/>
      <c r="X106" s="1"/>
      <c r="Y106" s="1"/>
      <c r="Z106" s="1"/>
    </row>
    <row r="107" ht="10.5" customHeight="1">
      <c r="A107" s="1"/>
      <c r="B107" s="238"/>
      <c r="C107" s="846"/>
      <c r="D107" s="872"/>
      <c r="E107" s="873"/>
      <c r="F107" s="872"/>
      <c r="G107" s="870"/>
      <c r="H107" s="870"/>
      <c r="I107" s="612"/>
      <c r="J107" s="612"/>
      <c r="K107" s="1"/>
      <c r="L107" s="1"/>
      <c r="M107" s="1"/>
      <c r="N107" s="1"/>
      <c r="O107" s="1"/>
      <c r="P107" s="1"/>
      <c r="Q107" s="1"/>
      <c r="R107" s="1"/>
      <c r="S107" s="1"/>
      <c r="T107" s="1"/>
      <c r="U107" s="1"/>
      <c r="V107" s="1"/>
      <c r="W107" s="1"/>
      <c r="X107" s="1"/>
      <c r="Y107" s="1"/>
      <c r="Z107" s="1"/>
    </row>
    <row r="108" ht="10.5" customHeight="1">
      <c r="A108" s="1"/>
      <c r="B108" s="238">
        <v>2010.0</v>
      </c>
      <c r="C108" s="846"/>
      <c r="D108" s="872">
        <v>132858.7</v>
      </c>
      <c r="E108" s="873"/>
      <c r="F108" s="878">
        <v>39148.2</v>
      </c>
      <c r="G108" s="878">
        <v>84972.0</v>
      </c>
      <c r="H108" s="870">
        <f t="shared" ref="H108:H109" si="15">SUM(D108:G108)</f>
        <v>256978.9</v>
      </c>
      <c r="I108" s="612"/>
      <c r="J108" s="612"/>
      <c r="K108" s="1"/>
      <c r="L108" s="1"/>
      <c r="M108" s="1"/>
      <c r="N108" s="1"/>
      <c r="O108" s="1"/>
      <c r="P108" s="1"/>
      <c r="Q108" s="1"/>
      <c r="R108" s="1"/>
      <c r="S108" s="1"/>
      <c r="T108" s="1"/>
      <c r="U108" s="1"/>
      <c r="V108" s="1"/>
      <c r="W108" s="1"/>
      <c r="X108" s="1"/>
      <c r="Y108" s="1"/>
      <c r="Z108" s="1"/>
    </row>
    <row r="109" ht="10.5" customHeight="1">
      <c r="A109" s="1"/>
      <c r="B109" s="11">
        <v>2011.0</v>
      </c>
      <c r="C109" s="846"/>
      <c r="D109" s="872">
        <v>143869.0</v>
      </c>
      <c r="E109" s="873"/>
      <c r="F109" s="878">
        <v>42730.2</v>
      </c>
      <c r="G109" s="878">
        <v>97721.0</v>
      </c>
      <c r="H109" s="870">
        <f t="shared" si="15"/>
        <v>284320.2</v>
      </c>
      <c r="I109" s="612"/>
      <c r="J109" s="612"/>
      <c r="K109" s="1"/>
      <c r="L109" s="1"/>
      <c r="M109" s="1"/>
      <c r="N109" s="1"/>
      <c r="O109" s="1"/>
      <c r="P109" s="1"/>
      <c r="Q109" s="1"/>
      <c r="R109" s="1"/>
      <c r="S109" s="1"/>
      <c r="T109" s="1"/>
      <c r="U109" s="1"/>
      <c r="V109" s="1"/>
      <c r="W109" s="1"/>
      <c r="X109" s="1"/>
      <c r="Y109" s="1"/>
      <c r="Z109" s="1"/>
    </row>
    <row r="110" ht="10.5" customHeight="1">
      <c r="A110" s="1"/>
      <c r="B110" s="238">
        <v>2012.0</v>
      </c>
      <c r="C110" s="846"/>
      <c r="D110" s="878">
        <v>158212.7</v>
      </c>
      <c r="E110" s="873"/>
      <c r="F110" s="878">
        <v>47226.5</v>
      </c>
      <c r="G110" s="878">
        <v>104123.0</v>
      </c>
      <c r="H110" s="870">
        <v>309562.2</v>
      </c>
      <c r="I110" s="612"/>
      <c r="J110" s="612"/>
      <c r="K110" s="1"/>
      <c r="L110" s="1"/>
      <c r="M110" s="1"/>
      <c r="N110" s="1"/>
      <c r="O110" s="1"/>
      <c r="P110" s="1"/>
      <c r="Q110" s="1"/>
      <c r="R110" s="1"/>
      <c r="S110" s="1"/>
      <c r="T110" s="1"/>
      <c r="U110" s="1"/>
      <c r="V110" s="1"/>
      <c r="W110" s="1"/>
      <c r="X110" s="1"/>
      <c r="Y110" s="1"/>
      <c r="Z110" s="1"/>
    </row>
    <row r="111" ht="10.5" customHeight="1">
      <c r="A111" s="1"/>
      <c r="B111" s="238">
        <v>2013.0</v>
      </c>
      <c r="C111" s="846"/>
      <c r="D111" s="878">
        <v>173786.1</v>
      </c>
      <c r="E111" s="873"/>
      <c r="F111" s="878">
        <v>57958.2</v>
      </c>
      <c r="G111" s="878">
        <v>106212.0</v>
      </c>
      <c r="H111" s="870">
        <v>331956.3</v>
      </c>
      <c r="I111" s="612"/>
      <c r="J111" s="612"/>
      <c r="K111" s="1"/>
      <c r="L111" s="1"/>
      <c r="M111" s="1"/>
      <c r="N111" s="1"/>
      <c r="O111" s="1"/>
      <c r="P111" s="1"/>
      <c r="Q111" s="1"/>
      <c r="R111" s="1"/>
      <c r="S111" s="1"/>
      <c r="T111" s="1"/>
      <c r="U111" s="1"/>
      <c r="V111" s="1"/>
      <c r="W111" s="1"/>
      <c r="X111" s="1"/>
      <c r="Y111" s="1"/>
      <c r="Z111" s="1"/>
    </row>
    <row r="112" ht="10.5" customHeight="1">
      <c r="A112" s="1"/>
      <c r="B112" s="238">
        <v>2014.0</v>
      </c>
      <c r="C112" s="846"/>
      <c r="D112" s="878">
        <v>192104.5</v>
      </c>
      <c r="E112" s="873"/>
      <c r="F112" s="878">
        <v>57117.8</v>
      </c>
      <c r="G112" s="878">
        <v>115351.0</v>
      </c>
      <c r="H112" s="870">
        <v>364573.3</v>
      </c>
      <c r="I112" s="612"/>
      <c r="J112" s="612"/>
      <c r="K112" s="1"/>
      <c r="L112" s="1"/>
      <c r="M112" s="1"/>
      <c r="N112" s="1"/>
      <c r="O112" s="1"/>
      <c r="P112" s="1"/>
      <c r="Q112" s="1"/>
      <c r="R112" s="1"/>
      <c r="S112" s="1"/>
      <c r="T112" s="1"/>
      <c r="U112" s="1"/>
      <c r="V112" s="1"/>
      <c r="W112" s="1"/>
      <c r="X112" s="1"/>
      <c r="Y112" s="1"/>
      <c r="Z112" s="1"/>
    </row>
    <row r="113" ht="10.5" customHeight="1">
      <c r="A113" s="1"/>
      <c r="B113" s="238"/>
      <c r="C113" s="846"/>
      <c r="D113" s="878"/>
      <c r="E113" s="873"/>
      <c r="F113" s="878"/>
      <c r="G113" s="878"/>
      <c r="H113" s="870"/>
      <c r="I113" s="612"/>
      <c r="J113" s="612"/>
      <c r="K113" s="1"/>
      <c r="L113" s="1"/>
      <c r="M113" s="1"/>
      <c r="N113" s="1"/>
      <c r="O113" s="1"/>
      <c r="P113" s="1"/>
      <c r="Q113" s="1"/>
      <c r="R113" s="1"/>
      <c r="S113" s="1"/>
      <c r="T113" s="1"/>
      <c r="U113" s="1"/>
      <c r="V113" s="1"/>
      <c r="W113" s="1"/>
      <c r="X113" s="1"/>
      <c r="Y113" s="1"/>
      <c r="Z113" s="1"/>
    </row>
    <row r="114" ht="10.5" customHeight="1">
      <c r="A114" s="1"/>
      <c r="B114" s="238">
        <v>2015.0</v>
      </c>
      <c r="C114" s="846"/>
      <c r="D114" s="878">
        <v>208196.1</v>
      </c>
      <c r="E114" s="873"/>
      <c r="F114" s="878">
        <v>61121.8</v>
      </c>
      <c r="G114" s="878">
        <v>125067.1</v>
      </c>
      <c r="H114" s="870">
        <v>394385.0</v>
      </c>
      <c r="I114" s="612"/>
      <c r="J114" s="612"/>
      <c r="K114" s="1"/>
      <c r="L114" s="1"/>
      <c r="M114" s="1"/>
      <c r="N114" s="1"/>
      <c r="O114" s="1"/>
      <c r="P114" s="1"/>
      <c r="Q114" s="1"/>
      <c r="R114" s="1"/>
      <c r="S114" s="1"/>
      <c r="T114" s="1"/>
      <c r="U114" s="1"/>
      <c r="V114" s="1"/>
      <c r="W114" s="1"/>
      <c r="X114" s="1"/>
      <c r="Y114" s="1"/>
      <c r="Z114" s="1"/>
    </row>
    <row r="115" ht="10.5" customHeight="1">
      <c r="A115" s="1"/>
      <c r="B115" s="238">
        <v>2016.0</v>
      </c>
      <c r="C115" s="846"/>
      <c r="D115" s="878">
        <v>231305.2</v>
      </c>
      <c r="E115" s="873"/>
      <c r="F115" s="878">
        <v>65088.2</v>
      </c>
      <c r="G115" s="878">
        <v>134460.0</v>
      </c>
      <c r="H115" s="870">
        <v>430853.4</v>
      </c>
      <c r="I115" s="612"/>
      <c r="J115" s="612"/>
      <c r="K115" s="1"/>
      <c r="L115" s="1"/>
      <c r="M115" s="1"/>
      <c r="N115" s="1"/>
      <c r="O115" s="1"/>
      <c r="P115" s="1"/>
      <c r="Q115" s="1"/>
      <c r="R115" s="1"/>
      <c r="S115" s="1"/>
      <c r="T115" s="1"/>
      <c r="U115" s="1"/>
      <c r="V115" s="1"/>
      <c r="W115" s="1"/>
      <c r="X115" s="1"/>
      <c r="Y115" s="1"/>
      <c r="Z115" s="1"/>
    </row>
    <row r="116" ht="10.5" customHeight="1">
      <c r="A116" s="1"/>
      <c r="B116" s="279">
        <v>2017.0</v>
      </c>
      <c r="C116" s="884"/>
      <c r="D116" s="886">
        <v>252519.1</v>
      </c>
      <c r="E116" s="887"/>
      <c r="F116" s="886">
        <v>69155.7</v>
      </c>
      <c r="G116" s="888">
        <v>148438.0</v>
      </c>
      <c r="H116" s="888">
        <v>470112.9</v>
      </c>
      <c r="I116" s="612"/>
      <c r="J116" s="612"/>
      <c r="K116" s="1"/>
      <c r="L116" s="1"/>
      <c r="M116" s="1"/>
      <c r="N116" s="1"/>
      <c r="O116" s="1"/>
      <c r="P116" s="1"/>
      <c r="Q116" s="1"/>
      <c r="R116" s="1"/>
      <c r="S116" s="1"/>
      <c r="T116" s="1"/>
      <c r="U116" s="1"/>
      <c r="V116" s="1"/>
      <c r="W116" s="1"/>
      <c r="X116" s="1"/>
      <c r="Y116" s="1"/>
      <c r="Z116" s="1"/>
    </row>
    <row r="117" ht="6.0" customHeight="1">
      <c r="A117" s="1"/>
      <c r="B117" s="1"/>
      <c r="C117" s="1"/>
      <c r="D117" s="1"/>
      <c r="E117" s="889"/>
      <c r="F117" s="1"/>
      <c r="G117" s="889"/>
      <c r="H117" s="889"/>
      <c r="I117" s="1"/>
      <c r="J117" s="1"/>
      <c r="K117" s="1"/>
      <c r="L117" s="1"/>
      <c r="M117" s="1"/>
      <c r="N117" s="1"/>
      <c r="O117" s="1"/>
      <c r="P117" s="1"/>
      <c r="Q117" s="1"/>
      <c r="R117" s="1"/>
      <c r="S117" s="1"/>
      <c r="T117" s="1"/>
      <c r="U117" s="1"/>
      <c r="V117" s="1"/>
      <c r="W117" s="1"/>
      <c r="X117" s="1"/>
      <c r="Y117" s="1"/>
      <c r="Z117" s="1"/>
    </row>
    <row r="118" ht="10.5" customHeight="1">
      <c r="A118" s="1"/>
      <c r="B118" s="65" t="s">
        <v>1514</v>
      </c>
      <c r="D118" s="861"/>
      <c r="E118" s="861"/>
      <c r="F118" s="861"/>
      <c r="G118" s="861"/>
      <c r="H118" s="1"/>
      <c r="I118" s="1"/>
      <c r="J118" s="1"/>
      <c r="K118" s="1"/>
      <c r="L118" s="1"/>
      <c r="M118" s="1"/>
      <c r="N118" s="1"/>
      <c r="O118" s="1"/>
      <c r="P118" s="1"/>
      <c r="Q118" s="1"/>
      <c r="R118" s="1"/>
      <c r="S118" s="1"/>
      <c r="T118" s="1"/>
      <c r="U118" s="1"/>
      <c r="V118" s="1"/>
      <c r="W118" s="1"/>
      <c r="X118" s="1"/>
      <c r="Y118" s="1"/>
      <c r="Z118" s="1"/>
    </row>
    <row r="119" ht="10.5" customHeight="1">
      <c r="A119" s="1"/>
      <c r="B119" s="65"/>
      <c r="C119" s="1"/>
      <c r="D119" s="861"/>
      <c r="E119" s="861"/>
      <c r="F119" s="861"/>
      <c r="G119" s="861"/>
      <c r="H119" s="1"/>
      <c r="I119" s="1"/>
      <c r="J119" s="1"/>
      <c r="K119" s="1"/>
      <c r="L119" s="1"/>
      <c r="M119" s="1"/>
      <c r="N119" s="1"/>
      <c r="O119" s="1"/>
      <c r="P119" s="1"/>
      <c r="Q119" s="1"/>
      <c r="R119" s="1"/>
      <c r="S119" s="1"/>
      <c r="T119" s="1"/>
      <c r="U119" s="1"/>
      <c r="V119" s="1"/>
      <c r="W119" s="1"/>
      <c r="X119" s="1"/>
      <c r="Y119" s="1"/>
      <c r="Z119" s="1"/>
    </row>
    <row r="120" ht="10.5" customHeight="1">
      <c r="A120" s="1"/>
      <c r="B120" s="65"/>
      <c r="C120" s="1"/>
      <c r="D120" s="861"/>
      <c r="E120" s="861"/>
      <c r="F120" s="861"/>
      <c r="G120" s="861"/>
      <c r="H120" s="1"/>
      <c r="I120" s="1"/>
      <c r="J120" s="1"/>
      <c r="K120" s="1"/>
      <c r="L120" s="1"/>
      <c r="M120" s="1"/>
      <c r="N120" s="1"/>
      <c r="O120" s="1"/>
      <c r="P120" s="1"/>
      <c r="Q120" s="1"/>
      <c r="R120" s="1"/>
      <c r="S120" s="1"/>
      <c r="T120" s="1"/>
      <c r="U120" s="1"/>
      <c r="V120" s="1"/>
      <c r="W120" s="1"/>
      <c r="X120" s="1"/>
      <c r="Y120" s="1"/>
      <c r="Z120" s="1"/>
    </row>
    <row r="121" ht="10.5" customHeight="1">
      <c r="A121" s="1"/>
      <c r="B121" s="65"/>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0.5" customHeight="1">
      <c r="A122" s="1"/>
      <c r="B122" s="65"/>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0.5" customHeight="1">
      <c r="A123" s="1"/>
      <c r="B123" s="65"/>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0.5" customHeight="1">
      <c r="A124" s="1"/>
      <c r="B124" s="65"/>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0.5" customHeight="1">
      <c r="A125" s="1"/>
      <c r="B125" s="65"/>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0.5" customHeight="1">
      <c r="A126" s="1"/>
      <c r="B126" s="65"/>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0.5" customHeight="1">
      <c r="A127" s="1"/>
      <c r="B127" s="65"/>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0.5" customHeight="1">
      <c r="A128" s="1"/>
      <c r="B128" s="65"/>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0.5" customHeight="1">
      <c r="A129" s="1"/>
      <c r="B129" s="65"/>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0.5" customHeight="1">
      <c r="A130" s="1"/>
      <c r="B130" s="65"/>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0.5" customHeight="1">
      <c r="A131" s="1"/>
      <c r="B131" s="65"/>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0.5" customHeight="1">
      <c r="A132" s="1"/>
      <c r="B132" s="65"/>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0.5" customHeight="1">
      <c r="A133" s="1"/>
      <c r="B133" s="65"/>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0.5" customHeight="1">
      <c r="A134" s="1"/>
      <c r="B134" s="65"/>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0.5" customHeight="1">
      <c r="A135" s="1"/>
      <c r="B135" s="1"/>
      <c r="C135" s="1"/>
      <c r="D135" s="1"/>
      <c r="E135" s="1"/>
      <c r="F135" s="110">
        <v>82.0</v>
      </c>
      <c r="G135" s="110"/>
      <c r="H135" s="1"/>
      <c r="I135" s="1"/>
      <c r="J135" s="1"/>
      <c r="K135" s="1"/>
      <c r="L135" s="1"/>
      <c r="M135" s="1"/>
      <c r="N135" s="1"/>
      <c r="O135" s="1"/>
      <c r="P135" s="1"/>
      <c r="Q135" s="1"/>
      <c r="R135" s="1"/>
      <c r="S135" s="1"/>
      <c r="T135" s="1"/>
      <c r="U135" s="1"/>
      <c r="V135" s="1"/>
      <c r="W135" s="1"/>
      <c r="X135" s="1"/>
      <c r="Y135" s="1"/>
      <c r="Z135" s="1"/>
    </row>
    <row r="136" ht="10.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1.25" customHeight="1">
      <c r="A137" s="1"/>
      <c r="B137" s="1" t="s">
        <v>1515</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36.0" customHeight="1">
      <c r="A138" s="1"/>
      <c r="B138" s="29" t="s">
        <v>1516</v>
      </c>
      <c r="C138" s="273" t="s">
        <v>1517</v>
      </c>
      <c r="D138" s="273" t="s">
        <v>1518</v>
      </c>
      <c r="E138" s="273" t="s">
        <v>1519</v>
      </c>
      <c r="F138" s="273" t="s">
        <v>1520</v>
      </c>
      <c r="G138" s="273" t="s">
        <v>1521</v>
      </c>
      <c r="H138" s="273" t="s">
        <v>1522</v>
      </c>
      <c r="I138" s="273" t="s">
        <v>1523</v>
      </c>
      <c r="J138" s="273" t="s">
        <v>2</v>
      </c>
      <c r="K138" s="1"/>
      <c r="L138" s="1"/>
      <c r="M138" s="1"/>
      <c r="N138" s="1"/>
      <c r="O138" s="1"/>
      <c r="P138" s="1"/>
      <c r="Q138" s="1"/>
      <c r="R138" s="1"/>
      <c r="S138" s="1"/>
      <c r="T138" s="1"/>
      <c r="U138" s="1"/>
      <c r="V138" s="1"/>
      <c r="W138" s="1"/>
      <c r="X138" s="1"/>
      <c r="Y138" s="1"/>
      <c r="Z138" s="1"/>
    </row>
    <row r="139" ht="11.25" customHeight="1">
      <c r="A139" s="1"/>
      <c r="B139" s="6"/>
      <c r="C139" s="8" t="s">
        <v>1170</v>
      </c>
      <c r="D139" s="9"/>
      <c r="E139" s="9"/>
      <c r="F139" s="9"/>
      <c r="G139" s="9"/>
      <c r="H139" s="9"/>
      <c r="I139" s="9"/>
      <c r="J139" s="10"/>
      <c r="K139" s="1"/>
      <c r="L139" s="1"/>
      <c r="M139" s="1"/>
      <c r="N139" s="1"/>
      <c r="O139" s="1"/>
      <c r="P139" s="1"/>
      <c r="Q139" s="1"/>
      <c r="R139" s="1"/>
      <c r="S139" s="1"/>
      <c r="T139" s="1"/>
      <c r="U139" s="1"/>
      <c r="V139" s="1"/>
      <c r="W139" s="1"/>
      <c r="X139" s="1"/>
      <c r="Y139" s="1"/>
      <c r="Z139" s="1"/>
    </row>
    <row r="140" ht="10.5" customHeight="1">
      <c r="A140" s="1"/>
      <c r="B140" s="11">
        <v>1980.0</v>
      </c>
      <c r="C140" s="878">
        <v>675.6</v>
      </c>
      <c r="D140" s="878">
        <v>801.5</v>
      </c>
      <c r="E140" s="878">
        <v>866.9</v>
      </c>
      <c r="F140" s="878">
        <v>180.0</v>
      </c>
      <c r="G140" s="878">
        <v>579.9</v>
      </c>
      <c r="H140" s="878">
        <v>612.3</v>
      </c>
      <c r="I140" s="878">
        <v>122.4</v>
      </c>
      <c r="J140" s="878">
        <f t="shared" ref="J140:J144" si="16">SUM(C140:I140)</f>
        <v>3838.6</v>
      </c>
      <c r="K140" s="1"/>
      <c r="L140" s="1"/>
      <c r="M140" s="1"/>
      <c r="N140" s="1"/>
      <c r="O140" s="1"/>
      <c r="P140" s="1"/>
      <c r="Q140" s="1"/>
      <c r="R140" s="1"/>
      <c r="S140" s="1"/>
      <c r="T140" s="1"/>
      <c r="U140" s="1"/>
      <c r="V140" s="1"/>
      <c r="W140" s="1"/>
      <c r="X140" s="1"/>
      <c r="Y140" s="1"/>
      <c r="Z140" s="1"/>
    </row>
    <row r="141" ht="10.5" customHeight="1">
      <c r="A141" s="1"/>
      <c r="B141" s="11">
        <v>1981.0</v>
      </c>
      <c r="C141" s="878">
        <v>855.9</v>
      </c>
      <c r="D141" s="878">
        <v>1054.6</v>
      </c>
      <c r="E141" s="878">
        <v>1129.7</v>
      </c>
      <c r="F141" s="878">
        <v>201.8</v>
      </c>
      <c r="G141" s="878">
        <v>601.3</v>
      </c>
      <c r="H141" s="878">
        <v>833.2</v>
      </c>
      <c r="I141" s="878">
        <v>162.2</v>
      </c>
      <c r="J141" s="878">
        <f t="shared" si="16"/>
        <v>4838.7</v>
      </c>
      <c r="K141" s="1"/>
      <c r="L141" s="1"/>
      <c r="M141" s="1"/>
      <c r="N141" s="1"/>
      <c r="O141" s="1"/>
      <c r="P141" s="1"/>
      <c r="Q141" s="1"/>
      <c r="R141" s="1"/>
      <c r="S141" s="1"/>
      <c r="T141" s="1"/>
      <c r="U141" s="1"/>
      <c r="V141" s="1"/>
      <c r="W141" s="1"/>
      <c r="X141" s="1"/>
      <c r="Y141" s="1"/>
      <c r="Z141" s="1"/>
    </row>
    <row r="142" ht="10.5" customHeight="1">
      <c r="A142" s="1"/>
      <c r="B142" s="11">
        <v>1982.0</v>
      </c>
      <c r="C142" s="878">
        <v>988.5</v>
      </c>
      <c r="D142" s="878">
        <v>1599.5</v>
      </c>
      <c r="E142" s="878">
        <v>1367.6</v>
      </c>
      <c r="F142" s="878">
        <v>247.3</v>
      </c>
      <c r="G142" s="878">
        <v>634.0</v>
      </c>
      <c r="H142" s="878">
        <v>774.6</v>
      </c>
      <c r="I142" s="878">
        <v>174.0</v>
      </c>
      <c r="J142" s="878">
        <f t="shared" si="16"/>
        <v>5785.5</v>
      </c>
      <c r="K142" s="1"/>
      <c r="L142" s="1"/>
      <c r="M142" s="1"/>
      <c r="N142" s="1"/>
      <c r="O142" s="1"/>
      <c r="P142" s="1"/>
      <c r="Q142" s="1"/>
      <c r="R142" s="1"/>
      <c r="S142" s="1"/>
      <c r="T142" s="1"/>
      <c r="U142" s="1"/>
      <c r="V142" s="1"/>
      <c r="W142" s="1"/>
      <c r="X142" s="1"/>
      <c r="Y142" s="1"/>
      <c r="Z142" s="1"/>
    </row>
    <row r="143" ht="10.5" customHeight="1">
      <c r="A143" s="1"/>
      <c r="B143" s="11">
        <v>1983.0</v>
      </c>
      <c r="C143" s="878">
        <v>1330.5</v>
      </c>
      <c r="D143" s="878">
        <v>2253.8</v>
      </c>
      <c r="E143" s="878">
        <v>1780.2</v>
      </c>
      <c r="F143" s="878">
        <v>308.7</v>
      </c>
      <c r="G143" s="878">
        <v>670.0</v>
      </c>
      <c r="H143" s="878">
        <v>880.7</v>
      </c>
      <c r="I143" s="878">
        <v>185.0</v>
      </c>
      <c r="J143" s="878">
        <f t="shared" si="16"/>
        <v>7408.9</v>
      </c>
      <c r="K143" s="1"/>
      <c r="L143" s="1"/>
      <c r="M143" s="1"/>
      <c r="N143" s="1"/>
      <c r="O143" s="1"/>
      <c r="P143" s="1"/>
      <c r="Q143" s="1"/>
      <c r="R143" s="1"/>
      <c r="S143" s="1"/>
      <c r="T143" s="1"/>
      <c r="U143" s="1"/>
      <c r="V143" s="1"/>
      <c r="W143" s="1"/>
      <c r="X143" s="1"/>
      <c r="Y143" s="1"/>
      <c r="Z143" s="1"/>
    </row>
    <row r="144" ht="10.5" customHeight="1">
      <c r="A144" s="1"/>
      <c r="B144" s="11">
        <v>1984.0</v>
      </c>
      <c r="C144" s="878">
        <v>1923.0</v>
      </c>
      <c r="D144" s="878">
        <v>2968.8</v>
      </c>
      <c r="E144" s="878">
        <v>2233.7</v>
      </c>
      <c r="F144" s="878">
        <v>443.3</v>
      </c>
      <c r="G144" s="878">
        <v>720.0</v>
      </c>
      <c r="H144" s="878">
        <v>999.5</v>
      </c>
      <c r="I144" s="878">
        <v>207.0</v>
      </c>
      <c r="J144" s="878">
        <f t="shared" si="16"/>
        <v>9495.3</v>
      </c>
      <c r="K144" s="1"/>
      <c r="L144" s="1"/>
      <c r="M144" s="1"/>
      <c r="N144" s="1"/>
      <c r="O144" s="1"/>
      <c r="P144" s="1"/>
      <c r="Q144" s="1"/>
      <c r="R144" s="1"/>
      <c r="S144" s="1"/>
      <c r="T144" s="1"/>
      <c r="U144" s="1"/>
      <c r="V144" s="1"/>
      <c r="W144" s="1"/>
      <c r="X144" s="1"/>
      <c r="Y144" s="1"/>
      <c r="Z144" s="1"/>
    </row>
    <row r="145" ht="10.5" customHeight="1">
      <c r="A145" s="1"/>
      <c r="B145" s="11"/>
      <c r="C145" s="878"/>
      <c r="D145" s="878"/>
      <c r="E145" s="878"/>
      <c r="F145" s="878"/>
      <c r="G145" s="878"/>
      <c r="H145" s="878"/>
      <c r="I145" s="878"/>
      <c r="J145" s="878"/>
      <c r="K145" s="1"/>
      <c r="L145" s="1"/>
      <c r="M145" s="1"/>
      <c r="N145" s="1"/>
      <c r="O145" s="1"/>
      <c r="P145" s="1"/>
      <c r="Q145" s="1"/>
      <c r="R145" s="1"/>
      <c r="S145" s="1"/>
      <c r="T145" s="1"/>
      <c r="U145" s="1"/>
      <c r="V145" s="1"/>
      <c r="W145" s="1"/>
      <c r="X145" s="1"/>
      <c r="Y145" s="1"/>
      <c r="Z145" s="1"/>
    </row>
    <row r="146" ht="10.5" customHeight="1">
      <c r="A146" s="1"/>
      <c r="B146" s="11">
        <v>1985.0</v>
      </c>
      <c r="C146" s="878">
        <v>2338.4</v>
      </c>
      <c r="D146" s="878">
        <v>3315.3</v>
      </c>
      <c r="E146" s="878">
        <v>2754.0</v>
      </c>
      <c r="F146" s="878">
        <v>549.2</v>
      </c>
      <c r="G146" s="878">
        <v>792.0</v>
      </c>
      <c r="H146" s="878">
        <v>1128.2</v>
      </c>
      <c r="I146" s="878">
        <v>240.5</v>
      </c>
      <c r="J146" s="878">
        <f t="shared" ref="J146:J150" si="17">SUM(C146:I146)</f>
        <v>11117.6</v>
      </c>
      <c r="K146" s="1"/>
      <c r="L146" s="1"/>
      <c r="M146" s="1"/>
      <c r="N146" s="1"/>
      <c r="O146" s="1"/>
      <c r="P146" s="1"/>
      <c r="Q146" s="1"/>
      <c r="R146" s="1"/>
      <c r="S146" s="1"/>
      <c r="T146" s="1"/>
      <c r="U146" s="1"/>
      <c r="V146" s="1"/>
      <c r="W146" s="1"/>
      <c r="X146" s="1"/>
      <c r="Y146" s="1"/>
      <c r="Z146" s="1"/>
    </row>
    <row r="147" ht="10.5" customHeight="1">
      <c r="A147" s="1"/>
      <c r="B147" s="11">
        <v>1986.0</v>
      </c>
      <c r="C147" s="878">
        <v>2648.6</v>
      </c>
      <c r="D147" s="878">
        <v>3436.6</v>
      </c>
      <c r="E147" s="878">
        <v>3080.7</v>
      </c>
      <c r="F147" s="878">
        <v>684.3</v>
      </c>
      <c r="G147" s="878">
        <v>890.2</v>
      </c>
      <c r="H147" s="878">
        <v>1420.3</v>
      </c>
      <c r="I147" s="878">
        <v>251.4</v>
      </c>
      <c r="J147" s="878">
        <f t="shared" si="17"/>
        <v>12412.1</v>
      </c>
      <c r="K147" s="1"/>
      <c r="L147" s="1"/>
      <c r="M147" s="1"/>
      <c r="N147" s="1"/>
      <c r="O147" s="1"/>
      <c r="P147" s="1"/>
      <c r="Q147" s="1"/>
      <c r="R147" s="1"/>
      <c r="S147" s="1"/>
      <c r="T147" s="1"/>
      <c r="U147" s="1"/>
      <c r="V147" s="1"/>
      <c r="W147" s="1"/>
      <c r="X147" s="1"/>
      <c r="Y147" s="1"/>
      <c r="Z147" s="1"/>
    </row>
    <row r="148" ht="10.5" customHeight="1">
      <c r="A148" s="1"/>
      <c r="B148" s="11">
        <v>1987.0</v>
      </c>
      <c r="C148" s="878">
        <v>2807.5</v>
      </c>
      <c r="D148" s="878">
        <v>3355.2</v>
      </c>
      <c r="E148" s="878">
        <v>3224.1</v>
      </c>
      <c r="F148" s="878">
        <v>789.4</v>
      </c>
      <c r="G148" s="878">
        <v>940.4</v>
      </c>
      <c r="H148" s="878">
        <v>1500.0</v>
      </c>
      <c r="I148" s="878">
        <v>263.7</v>
      </c>
      <c r="J148" s="878">
        <f t="shared" si="17"/>
        <v>12880.3</v>
      </c>
      <c r="K148" s="1"/>
      <c r="L148" s="1"/>
      <c r="M148" s="1"/>
      <c r="N148" s="1"/>
      <c r="O148" s="1"/>
      <c r="P148" s="1"/>
      <c r="Q148" s="1"/>
      <c r="R148" s="1"/>
      <c r="S148" s="1"/>
      <c r="T148" s="1"/>
      <c r="U148" s="1"/>
      <c r="V148" s="1"/>
      <c r="W148" s="1"/>
      <c r="X148" s="1"/>
      <c r="Y148" s="1"/>
      <c r="Z148" s="1"/>
    </row>
    <row r="149" ht="10.5" customHeight="1">
      <c r="A149" s="1"/>
      <c r="B149" s="11">
        <v>1988.0</v>
      </c>
      <c r="C149" s="878">
        <v>2923.5</v>
      </c>
      <c r="D149" s="878">
        <v>3477.7</v>
      </c>
      <c r="E149" s="878">
        <v>3411.7</v>
      </c>
      <c r="F149" s="878">
        <v>920.7</v>
      </c>
      <c r="G149" s="878">
        <v>924.8</v>
      </c>
      <c r="H149" s="878">
        <v>1295.0</v>
      </c>
      <c r="I149" s="878">
        <v>407.5</v>
      </c>
      <c r="J149" s="878">
        <f t="shared" si="17"/>
        <v>13360.9</v>
      </c>
      <c r="K149" s="1"/>
      <c r="L149" s="1"/>
      <c r="M149" s="1"/>
      <c r="N149" s="1"/>
      <c r="O149" s="1"/>
      <c r="P149" s="1"/>
      <c r="Q149" s="1"/>
      <c r="R149" s="1"/>
      <c r="S149" s="1"/>
      <c r="T149" s="1"/>
      <c r="U149" s="1"/>
      <c r="V149" s="1"/>
      <c r="W149" s="1"/>
      <c r="X149" s="1"/>
      <c r="Y149" s="1"/>
      <c r="Z149" s="1"/>
    </row>
    <row r="150" ht="10.5" customHeight="1">
      <c r="A150" s="1"/>
      <c r="B150" s="11">
        <v>1989.0</v>
      </c>
      <c r="C150" s="878">
        <v>3149.1</v>
      </c>
      <c r="D150" s="878">
        <v>4650.0</v>
      </c>
      <c r="E150" s="878">
        <v>3586.9</v>
      </c>
      <c r="F150" s="878">
        <v>971.7</v>
      </c>
      <c r="G150" s="878">
        <v>986.6</v>
      </c>
      <c r="H150" s="878">
        <v>1160.0</v>
      </c>
      <c r="I150" s="878">
        <v>405.5</v>
      </c>
      <c r="J150" s="878">
        <f t="shared" si="17"/>
        <v>14909.8</v>
      </c>
      <c r="K150" s="1"/>
      <c r="L150" s="1"/>
      <c r="M150" s="1"/>
      <c r="N150" s="1"/>
      <c r="O150" s="1"/>
      <c r="P150" s="1"/>
      <c r="Q150" s="1"/>
      <c r="R150" s="1"/>
      <c r="S150" s="1"/>
      <c r="T150" s="1"/>
      <c r="U150" s="1"/>
      <c r="V150" s="1"/>
      <c r="W150" s="1"/>
      <c r="X150" s="1"/>
      <c r="Y150" s="1"/>
      <c r="Z150" s="1"/>
    </row>
    <row r="151" ht="10.5" customHeight="1">
      <c r="A151" s="1"/>
      <c r="B151" s="11"/>
      <c r="C151" s="878"/>
      <c r="D151" s="878"/>
      <c r="E151" s="878"/>
      <c r="F151" s="878"/>
      <c r="G151" s="878"/>
      <c r="H151" s="878"/>
      <c r="I151" s="878"/>
      <c r="J151" s="878"/>
      <c r="K151" s="1"/>
      <c r="L151" s="1"/>
      <c r="M151" s="1"/>
      <c r="N151" s="1"/>
      <c r="O151" s="1"/>
      <c r="P151" s="1"/>
      <c r="Q151" s="1"/>
      <c r="R151" s="1"/>
      <c r="S151" s="1"/>
      <c r="T151" s="1"/>
      <c r="U151" s="1"/>
      <c r="V151" s="1"/>
      <c r="W151" s="1"/>
      <c r="X151" s="1"/>
      <c r="Y151" s="1"/>
      <c r="Z151" s="1"/>
    </row>
    <row r="152" ht="10.5" customHeight="1">
      <c r="A152" s="1"/>
      <c r="B152" s="11">
        <v>1990.0</v>
      </c>
      <c r="C152" s="878">
        <v>3441.1</v>
      </c>
      <c r="D152" s="878">
        <v>4948.6</v>
      </c>
      <c r="E152" s="878">
        <v>3780.3</v>
      </c>
      <c r="F152" s="878">
        <v>1013.1</v>
      </c>
      <c r="G152" s="878">
        <v>1209.4</v>
      </c>
      <c r="H152" s="878">
        <v>905.0</v>
      </c>
      <c r="I152" s="878">
        <v>675.6</v>
      </c>
      <c r="J152" s="878">
        <f t="shared" ref="J152:J156" si="18">SUM(C152:I152)</f>
        <v>15973.1</v>
      </c>
      <c r="K152" s="1"/>
      <c r="L152" s="1"/>
      <c r="M152" s="1"/>
      <c r="N152" s="1"/>
      <c r="O152" s="1"/>
      <c r="P152" s="1"/>
      <c r="Q152" s="1"/>
      <c r="R152" s="1"/>
      <c r="S152" s="1"/>
      <c r="T152" s="1"/>
      <c r="U152" s="1"/>
      <c r="V152" s="1"/>
      <c r="W152" s="1"/>
      <c r="X152" s="1"/>
      <c r="Y152" s="1"/>
      <c r="Z152" s="1"/>
    </row>
    <row r="153" ht="10.5" customHeight="1">
      <c r="A153" s="1"/>
      <c r="B153" s="11">
        <v>1991.0</v>
      </c>
      <c r="C153" s="878">
        <v>3512.5</v>
      </c>
      <c r="D153" s="878">
        <v>5019.5</v>
      </c>
      <c r="E153" s="878">
        <v>4300.8</v>
      </c>
      <c r="F153" s="878">
        <v>1167.8</v>
      </c>
      <c r="G153" s="878">
        <v>1374.7</v>
      </c>
      <c r="H153" s="878">
        <v>800.0</v>
      </c>
      <c r="I153" s="878">
        <v>671.6</v>
      </c>
      <c r="J153" s="878">
        <f t="shared" si="18"/>
        <v>16846.9</v>
      </c>
      <c r="K153" s="1"/>
      <c r="L153" s="1"/>
      <c r="M153" s="1"/>
      <c r="N153" s="1"/>
      <c r="O153" s="1"/>
      <c r="P153" s="1"/>
      <c r="Q153" s="1"/>
      <c r="R153" s="1"/>
      <c r="S153" s="1"/>
      <c r="T153" s="1"/>
      <c r="U153" s="1"/>
      <c r="V153" s="1"/>
      <c r="W153" s="1"/>
      <c r="X153" s="1"/>
      <c r="Y153" s="1"/>
      <c r="Z153" s="1"/>
    </row>
    <row r="154" ht="10.5" customHeight="1">
      <c r="A154" s="1"/>
      <c r="B154" s="11">
        <v>1992.0</v>
      </c>
      <c r="C154" s="878">
        <v>3711.0</v>
      </c>
      <c r="D154" s="878">
        <v>5117.2</v>
      </c>
      <c r="E154" s="878">
        <v>3900.6</v>
      </c>
      <c r="F154" s="878">
        <v>1348.6</v>
      </c>
      <c r="G154" s="878">
        <v>1395.9</v>
      </c>
      <c r="H154" s="878">
        <v>878.6</v>
      </c>
      <c r="I154" s="878">
        <v>780.2</v>
      </c>
      <c r="J154" s="878">
        <f t="shared" si="18"/>
        <v>17132.1</v>
      </c>
      <c r="K154" s="1"/>
      <c r="L154" s="1"/>
      <c r="M154" s="1"/>
      <c r="N154" s="1"/>
      <c r="O154" s="1"/>
      <c r="P154" s="1"/>
      <c r="Q154" s="1"/>
      <c r="R154" s="1"/>
      <c r="S154" s="1"/>
      <c r="T154" s="1"/>
      <c r="U154" s="1"/>
      <c r="V154" s="1"/>
      <c r="W154" s="1"/>
      <c r="X154" s="1"/>
      <c r="Y154" s="1"/>
      <c r="Z154" s="1"/>
    </row>
    <row r="155" ht="10.5" customHeight="1">
      <c r="A155" s="1"/>
      <c r="B155" s="11">
        <v>1993.0</v>
      </c>
      <c r="C155" s="878">
        <v>3991.7</v>
      </c>
      <c r="D155" s="878">
        <v>5822.6</v>
      </c>
      <c r="E155" s="878">
        <v>4307.6</v>
      </c>
      <c r="F155" s="878">
        <v>1480.7</v>
      </c>
      <c r="G155" s="878">
        <v>1465.7</v>
      </c>
      <c r="H155" s="878">
        <v>399.4</v>
      </c>
      <c r="I155" s="878">
        <v>819.2</v>
      </c>
      <c r="J155" s="878">
        <f t="shared" si="18"/>
        <v>18286.9</v>
      </c>
      <c r="K155" s="1"/>
      <c r="L155" s="1"/>
      <c r="M155" s="1"/>
      <c r="N155" s="1"/>
      <c r="O155" s="1"/>
      <c r="P155" s="1"/>
      <c r="Q155" s="1"/>
      <c r="R155" s="1"/>
      <c r="S155" s="1"/>
      <c r="T155" s="1"/>
      <c r="U155" s="1"/>
      <c r="V155" s="1"/>
      <c r="W155" s="1"/>
      <c r="X155" s="1"/>
      <c r="Y155" s="1"/>
      <c r="Z155" s="1"/>
    </row>
    <row r="156" ht="10.5" customHeight="1">
      <c r="A156" s="1"/>
      <c r="B156" s="11">
        <v>1994.0</v>
      </c>
      <c r="C156" s="878">
        <v>4274.2</v>
      </c>
      <c r="D156" s="878">
        <v>5687.8</v>
      </c>
      <c r="E156" s="878">
        <v>3911.1</v>
      </c>
      <c r="F156" s="878">
        <v>1471.0</v>
      </c>
      <c r="G156" s="878">
        <v>1570.2</v>
      </c>
      <c r="H156" s="878">
        <v>413.3</v>
      </c>
      <c r="I156" s="878">
        <v>856.1</v>
      </c>
      <c r="J156" s="878">
        <f t="shared" si="18"/>
        <v>18183.7</v>
      </c>
      <c r="K156" s="1"/>
      <c r="L156" s="1"/>
      <c r="M156" s="1"/>
      <c r="N156" s="1"/>
      <c r="O156" s="1"/>
      <c r="P156" s="1"/>
      <c r="Q156" s="1"/>
      <c r="R156" s="1"/>
      <c r="S156" s="1"/>
      <c r="T156" s="1"/>
      <c r="U156" s="1"/>
      <c r="V156" s="1"/>
      <c r="W156" s="1"/>
      <c r="X156" s="1"/>
      <c r="Y156" s="1"/>
      <c r="Z156" s="1"/>
    </row>
    <row r="157" ht="10.5" customHeight="1">
      <c r="A157" s="1"/>
      <c r="B157" s="11"/>
      <c r="C157" s="878"/>
      <c r="D157" s="878"/>
      <c r="E157" s="878"/>
      <c r="F157" s="878"/>
      <c r="G157" s="878"/>
      <c r="H157" s="878"/>
      <c r="I157" s="878"/>
      <c r="J157" s="878"/>
      <c r="K157" s="1"/>
      <c r="L157" s="1"/>
      <c r="M157" s="1"/>
      <c r="N157" s="1"/>
      <c r="O157" s="1"/>
      <c r="P157" s="1"/>
      <c r="Q157" s="1"/>
      <c r="R157" s="1"/>
      <c r="S157" s="1"/>
      <c r="T157" s="1"/>
      <c r="U157" s="1"/>
      <c r="V157" s="1"/>
      <c r="W157" s="1"/>
      <c r="X157" s="1"/>
      <c r="Y157" s="1"/>
      <c r="Z157" s="1"/>
    </row>
    <row r="158" ht="10.5" customHeight="1">
      <c r="A158" s="1"/>
      <c r="B158" s="11">
        <v>1995.0</v>
      </c>
      <c r="C158" s="878">
        <v>4679.6</v>
      </c>
      <c r="D158" s="878">
        <v>6385.6</v>
      </c>
      <c r="E158" s="878">
        <v>3950.2</v>
      </c>
      <c r="F158" s="878">
        <v>1411.6</v>
      </c>
      <c r="G158" s="878">
        <v>1641.8</v>
      </c>
      <c r="H158" s="878">
        <v>432.1</v>
      </c>
      <c r="I158" s="878">
        <v>895.1</v>
      </c>
      <c r="J158" s="878">
        <f t="shared" ref="J158:J162" si="19">SUM(C158:I158)</f>
        <v>19396</v>
      </c>
      <c r="K158" s="1"/>
      <c r="L158" s="1"/>
      <c r="M158" s="1"/>
      <c r="N158" s="1"/>
      <c r="O158" s="1"/>
      <c r="P158" s="1"/>
      <c r="Q158" s="1"/>
      <c r="R158" s="1"/>
      <c r="S158" s="1"/>
      <c r="T158" s="1"/>
      <c r="U158" s="1"/>
      <c r="V158" s="1"/>
      <c r="W158" s="1"/>
      <c r="X158" s="1"/>
      <c r="Y158" s="1"/>
      <c r="Z158" s="1"/>
    </row>
    <row r="159" ht="10.5" customHeight="1">
      <c r="A159" s="1"/>
      <c r="B159" s="11">
        <v>1996.0</v>
      </c>
      <c r="C159" s="878">
        <v>5086.3</v>
      </c>
      <c r="D159" s="878">
        <v>6673.7</v>
      </c>
      <c r="E159" s="878">
        <v>3994.9</v>
      </c>
      <c r="F159" s="878">
        <v>1330.7</v>
      </c>
      <c r="G159" s="878">
        <v>1702.5</v>
      </c>
      <c r="H159" s="878">
        <v>533.2</v>
      </c>
      <c r="I159" s="878">
        <v>928.2</v>
      </c>
      <c r="J159" s="878">
        <f t="shared" si="19"/>
        <v>20249.5</v>
      </c>
      <c r="K159" s="1"/>
      <c r="L159" s="1"/>
      <c r="M159" s="1"/>
      <c r="N159" s="1"/>
      <c r="O159" s="1"/>
      <c r="P159" s="1"/>
      <c r="Q159" s="1"/>
      <c r="R159" s="1"/>
      <c r="S159" s="1"/>
      <c r="T159" s="1"/>
      <c r="U159" s="1"/>
      <c r="V159" s="1"/>
      <c r="W159" s="1"/>
      <c r="X159" s="1"/>
      <c r="Y159" s="1"/>
      <c r="Z159" s="1"/>
    </row>
    <row r="160" ht="10.5" customHeight="1">
      <c r="A160" s="1"/>
      <c r="B160" s="11">
        <v>1997.0</v>
      </c>
      <c r="C160" s="878">
        <v>5799.5</v>
      </c>
      <c r="D160" s="878">
        <v>7909.7</v>
      </c>
      <c r="E160" s="878">
        <v>4404.4</v>
      </c>
      <c r="F160" s="878">
        <v>1127.9</v>
      </c>
      <c r="G160" s="878">
        <v>1780.5</v>
      </c>
      <c r="H160" s="878">
        <v>557.6</v>
      </c>
      <c r="I160" s="878">
        <v>970.7</v>
      </c>
      <c r="J160" s="878">
        <f t="shared" si="19"/>
        <v>22550.3</v>
      </c>
      <c r="K160" s="1"/>
      <c r="L160" s="1"/>
      <c r="M160" s="1"/>
      <c r="N160" s="1"/>
      <c r="O160" s="1"/>
      <c r="P160" s="1"/>
      <c r="Q160" s="1"/>
      <c r="R160" s="1"/>
      <c r="S160" s="1"/>
      <c r="T160" s="1"/>
      <c r="U160" s="1"/>
      <c r="V160" s="1"/>
      <c r="W160" s="1"/>
      <c r="X160" s="1"/>
      <c r="Y160" s="1"/>
      <c r="Z160" s="1"/>
    </row>
    <row r="161" ht="10.5" customHeight="1">
      <c r="A161" s="1"/>
      <c r="B161" s="11">
        <v>1998.0</v>
      </c>
      <c r="C161" s="878">
        <v>7488.8</v>
      </c>
      <c r="D161" s="878">
        <v>8375.0</v>
      </c>
      <c r="E161" s="878">
        <v>4536.5</v>
      </c>
      <c r="F161" s="878">
        <v>1007.6</v>
      </c>
      <c r="G161" s="878">
        <v>1801.1</v>
      </c>
      <c r="H161" s="878">
        <v>546.1</v>
      </c>
      <c r="I161" s="878">
        <v>995.5</v>
      </c>
      <c r="J161" s="878">
        <f t="shared" si="19"/>
        <v>24750.6</v>
      </c>
      <c r="K161" s="1"/>
      <c r="L161" s="1"/>
      <c r="M161" s="1"/>
      <c r="N161" s="1"/>
      <c r="O161" s="1"/>
      <c r="P161" s="1"/>
      <c r="Q161" s="1"/>
      <c r="R161" s="1"/>
      <c r="S161" s="1"/>
      <c r="T161" s="1"/>
      <c r="U161" s="1"/>
      <c r="V161" s="1"/>
      <c r="W161" s="1"/>
      <c r="X161" s="1"/>
      <c r="Y161" s="1"/>
      <c r="Z161" s="1"/>
    </row>
    <row r="162" ht="10.5" customHeight="1">
      <c r="A162" s="1"/>
      <c r="B162" s="11">
        <v>1999.0</v>
      </c>
      <c r="C162" s="878">
        <v>8943.6</v>
      </c>
      <c r="D162" s="878">
        <v>9597.9</v>
      </c>
      <c r="E162" s="878">
        <v>4687.3</v>
      </c>
      <c r="F162" s="878">
        <v>929.1</v>
      </c>
      <c r="G162" s="878">
        <v>1923.8</v>
      </c>
      <c r="H162" s="878">
        <v>583.3</v>
      </c>
      <c r="I162" s="878">
        <v>1063.3</v>
      </c>
      <c r="J162" s="878">
        <f t="shared" si="19"/>
        <v>27728.3</v>
      </c>
      <c r="K162" s="1"/>
      <c r="L162" s="1"/>
      <c r="M162" s="1"/>
      <c r="N162" s="1"/>
      <c r="O162" s="1"/>
      <c r="P162" s="1"/>
      <c r="Q162" s="1"/>
      <c r="R162" s="1"/>
      <c r="S162" s="1"/>
      <c r="T162" s="1"/>
      <c r="U162" s="1"/>
      <c r="V162" s="1"/>
      <c r="W162" s="1"/>
      <c r="X162" s="1"/>
      <c r="Y162" s="1"/>
      <c r="Z162" s="1"/>
    </row>
    <row r="163" ht="10.5" customHeight="1">
      <c r="A163" s="1"/>
      <c r="B163" s="11"/>
      <c r="C163" s="878"/>
      <c r="D163" s="878"/>
      <c r="E163" s="878"/>
      <c r="F163" s="878"/>
      <c r="G163" s="878"/>
      <c r="H163" s="878"/>
      <c r="I163" s="878"/>
      <c r="J163" s="878"/>
      <c r="K163" s="1"/>
      <c r="L163" s="1"/>
      <c r="M163" s="1"/>
      <c r="N163" s="1"/>
      <c r="O163" s="1"/>
      <c r="P163" s="1"/>
      <c r="Q163" s="1"/>
      <c r="R163" s="1"/>
      <c r="S163" s="1"/>
      <c r="T163" s="1"/>
      <c r="U163" s="1"/>
      <c r="V163" s="1"/>
      <c r="W163" s="1"/>
      <c r="X163" s="1"/>
      <c r="Y163" s="1"/>
      <c r="Z163" s="1"/>
    </row>
    <row r="164" ht="10.5" customHeight="1">
      <c r="A164" s="1"/>
      <c r="B164" s="894" t="s">
        <v>1524</v>
      </c>
      <c r="C164" s="878">
        <v>9606.0</v>
      </c>
      <c r="D164" s="878">
        <v>11172.3</v>
      </c>
      <c r="E164" s="878">
        <v>4500.0</v>
      </c>
      <c r="F164" s="878">
        <v>860.4</v>
      </c>
      <c r="G164" s="878">
        <v>1986.7</v>
      </c>
      <c r="H164" s="878">
        <v>602.4</v>
      </c>
      <c r="I164" s="878">
        <v>1098.1</v>
      </c>
      <c r="J164" s="878">
        <f t="shared" ref="J164:J168" si="20">SUM(C164:I164)</f>
        <v>29825.9</v>
      </c>
      <c r="K164" s="1"/>
      <c r="L164" s="1"/>
      <c r="M164" s="1"/>
      <c r="N164" s="1"/>
      <c r="O164" s="1"/>
      <c r="P164" s="1"/>
      <c r="Q164" s="1"/>
      <c r="R164" s="1"/>
      <c r="S164" s="1"/>
      <c r="T164" s="1"/>
      <c r="U164" s="1"/>
      <c r="V164" s="1"/>
      <c r="W164" s="1"/>
      <c r="X164" s="1"/>
      <c r="Y164" s="1"/>
      <c r="Z164" s="1"/>
    </row>
    <row r="165" ht="10.5" customHeight="1">
      <c r="A165" s="1"/>
      <c r="B165" s="11">
        <v>2001.0</v>
      </c>
      <c r="C165" s="878">
        <v>9073.0</v>
      </c>
      <c r="D165" s="878">
        <v>13146.0</v>
      </c>
      <c r="E165" s="878">
        <v>3666.6</v>
      </c>
      <c r="F165" s="878">
        <v>800.6</v>
      </c>
      <c r="G165" s="878">
        <v>2230.8</v>
      </c>
      <c r="H165" s="878">
        <v>676.4</v>
      </c>
      <c r="I165" s="878">
        <v>1233.0</v>
      </c>
      <c r="J165" s="870">
        <f t="shared" si="20"/>
        <v>30826.4</v>
      </c>
      <c r="K165" s="1"/>
      <c r="L165" s="1"/>
      <c r="M165" s="1"/>
      <c r="N165" s="1"/>
      <c r="O165" s="1"/>
      <c r="P165" s="1"/>
      <c r="Q165" s="1"/>
      <c r="R165" s="1"/>
      <c r="S165" s="1"/>
      <c r="T165" s="1"/>
      <c r="U165" s="1"/>
      <c r="V165" s="1"/>
      <c r="W165" s="1"/>
      <c r="X165" s="1"/>
      <c r="Y165" s="1"/>
      <c r="Z165" s="1"/>
    </row>
    <row r="166" ht="10.5" customHeight="1">
      <c r="A166" s="1"/>
      <c r="B166" s="11">
        <v>2002.0</v>
      </c>
      <c r="C166" s="878">
        <v>7931.0</v>
      </c>
      <c r="D166" s="878">
        <v>11027.1</v>
      </c>
      <c r="E166" s="878">
        <v>3807.7</v>
      </c>
      <c r="F166" s="878">
        <v>495.9</v>
      </c>
      <c r="G166" s="878">
        <v>2677.8</v>
      </c>
      <c r="H166" s="878">
        <v>811.9</v>
      </c>
      <c r="I166" s="878">
        <v>1480.1</v>
      </c>
      <c r="J166" s="870">
        <f t="shared" si="20"/>
        <v>28231.5</v>
      </c>
      <c r="K166" s="1"/>
      <c r="L166" s="1"/>
      <c r="M166" s="1"/>
      <c r="N166" s="1"/>
      <c r="O166" s="1"/>
      <c r="P166" s="1"/>
      <c r="Q166" s="1"/>
      <c r="R166" s="1"/>
      <c r="S166" s="1"/>
      <c r="T166" s="1"/>
      <c r="U166" s="1"/>
      <c r="V166" s="1"/>
      <c r="W166" s="1"/>
      <c r="X166" s="1"/>
      <c r="Y166" s="1"/>
      <c r="Z166" s="1"/>
    </row>
    <row r="167" ht="10.5" customHeight="1">
      <c r="A167" s="1"/>
      <c r="B167" s="11">
        <v>2003.0</v>
      </c>
      <c r="C167" s="878">
        <v>7560.0</v>
      </c>
      <c r="D167" s="878">
        <v>13854.1</v>
      </c>
      <c r="E167" s="878">
        <v>3856.8</v>
      </c>
      <c r="F167" s="878">
        <v>451.5</v>
      </c>
      <c r="G167" s="878">
        <v>2785.0</v>
      </c>
      <c r="H167" s="878">
        <v>844.4</v>
      </c>
      <c r="I167" s="878">
        <v>1539.3</v>
      </c>
      <c r="J167" s="870">
        <f t="shared" si="20"/>
        <v>30891.1</v>
      </c>
      <c r="K167" s="1"/>
      <c r="L167" s="1"/>
      <c r="M167" s="1"/>
      <c r="N167" s="1"/>
      <c r="O167" s="1"/>
      <c r="P167" s="1"/>
      <c r="Q167" s="1"/>
      <c r="R167" s="1"/>
      <c r="S167" s="1"/>
      <c r="T167" s="1"/>
      <c r="U167" s="1"/>
      <c r="V167" s="1"/>
      <c r="W167" s="1"/>
      <c r="X167" s="1"/>
      <c r="Y167" s="1"/>
      <c r="Z167" s="1"/>
    </row>
    <row r="168" ht="10.5" customHeight="1">
      <c r="A168" s="1"/>
      <c r="B168" s="11">
        <v>2004.0</v>
      </c>
      <c r="C168" s="870">
        <v>6915.5</v>
      </c>
      <c r="D168" s="870">
        <v>16636.6</v>
      </c>
      <c r="E168" s="870">
        <v>4121.2</v>
      </c>
      <c r="F168" s="870">
        <v>398.2</v>
      </c>
      <c r="G168" s="870">
        <v>2809.8</v>
      </c>
      <c r="H168" s="870">
        <v>851.9</v>
      </c>
      <c r="I168" s="870">
        <v>1553.0</v>
      </c>
      <c r="J168" s="870">
        <f t="shared" si="20"/>
        <v>33286.2</v>
      </c>
      <c r="K168" s="1"/>
      <c r="L168" s="1"/>
      <c r="M168" s="1"/>
      <c r="N168" s="1"/>
      <c r="O168" s="1"/>
      <c r="P168" s="1"/>
      <c r="Q168" s="1"/>
      <c r="R168" s="1"/>
      <c r="S168" s="1"/>
      <c r="T168" s="1"/>
      <c r="U168" s="1"/>
      <c r="V168" s="1"/>
      <c r="W168" s="1"/>
      <c r="X168" s="1"/>
      <c r="Y168" s="1"/>
      <c r="Z168" s="1"/>
    </row>
    <row r="169" ht="10.5" customHeight="1">
      <c r="A169" s="1"/>
      <c r="B169" s="11"/>
      <c r="C169" s="870"/>
      <c r="D169" s="870"/>
      <c r="E169" s="870"/>
      <c r="F169" s="870"/>
      <c r="G169" s="870"/>
      <c r="H169" s="870"/>
      <c r="I169" s="870"/>
      <c r="J169" s="870"/>
      <c r="K169" s="1"/>
      <c r="L169" s="1"/>
      <c r="M169" s="1"/>
      <c r="N169" s="1"/>
      <c r="O169" s="1"/>
      <c r="P169" s="1"/>
      <c r="Q169" s="1"/>
      <c r="R169" s="1"/>
      <c r="S169" s="1"/>
      <c r="T169" s="1"/>
      <c r="U169" s="1"/>
      <c r="V169" s="1"/>
      <c r="W169" s="1"/>
      <c r="X169" s="1"/>
      <c r="Y169" s="1"/>
      <c r="Z169" s="1"/>
    </row>
    <row r="170" ht="10.5" customHeight="1">
      <c r="A170" s="1"/>
      <c r="B170" s="11">
        <v>2005.0</v>
      </c>
      <c r="C170" s="897">
        <v>6221.0</v>
      </c>
      <c r="D170" s="898">
        <v>19914.4</v>
      </c>
      <c r="E170" s="898">
        <v>4579.0</v>
      </c>
      <c r="F170" s="898">
        <v>398.2</v>
      </c>
      <c r="G170" s="898">
        <v>2872.6</v>
      </c>
      <c r="H170" s="899">
        <v>871.0</v>
      </c>
      <c r="I170" s="870">
        <v>1587.7</v>
      </c>
      <c r="J170" s="870">
        <f t="shared" ref="J170:J174" si="21">SUM(C170:I170)</f>
        <v>36443.9</v>
      </c>
      <c r="K170" s="1"/>
      <c r="L170" s="1"/>
      <c r="M170" s="1"/>
      <c r="N170" s="1"/>
      <c r="O170" s="1"/>
      <c r="P170" s="1"/>
      <c r="Q170" s="1"/>
      <c r="R170" s="1"/>
      <c r="S170" s="1"/>
      <c r="T170" s="1"/>
      <c r="U170" s="1"/>
      <c r="V170" s="1"/>
      <c r="W170" s="1"/>
      <c r="X170" s="1"/>
      <c r="Y170" s="1"/>
      <c r="Z170" s="1"/>
    </row>
    <row r="171" ht="10.5" customHeight="1">
      <c r="A171" s="1"/>
      <c r="B171" s="11">
        <v>2006.0</v>
      </c>
      <c r="C171" s="897">
        <v>5018.0</v>
      </c>
      <c r="D171" s="898">
        <v>22044.8</v>
      </c>
      <c r="E171" s="898">
        <v>5060.1</v>
      </c>
      <c r="F171" s="898">
        <v>270.9</v>
      </c>
      <c r="G171" s="898">
        <v>2898.7</v>
      </c>
      <c r="H171" s="897">
        <v>878.9</v>
      </c>
      <c r="I171" s="870">
        <v>1602.2</v>
      </c>
      <c r="J171" s="870">
        <f t="shared" si="21"/>
        <v>37773.6</v>
      </c>
      <c r="K171" s="1"/>
      <c r="L171" s="1"/>
      <c r="M171" s="1"/>
      <c r="N171" s="1"/>
      <c r="O171" s="1"/>
      <c r="P171" s="1"/>
      <c r="Q171" s="1"/>
      <c r="R171" s="1"/>
      <c r="S171" s="1"/>
      <c r="T171" s="1"/>
      <c r="U171" s="1"/>
      <c r="V171" s="1"/>
      <c r="W171" s="1"/>
      <c r="X171" s="1"/>
      <c r="Y171" s="1"/>
      <c r="Z171" s="1"/>
    </row>
    <row r="172" ht="10.5" customHeight="1">
      <c r="A172" s="1"/>
      <c r="B172" s="11">
        <v>2007.0</v>
      </c>
      <c r="C172" s="897">
        <v>4797.5</v>
      </c>
      <c r="D172" s="898">
        <v>25215.7</v>
      </c>
      <c r="E172" s="898">
        <v>5691.7</v>
      </c>
      <c r="F172" s="898">
        <v>246.3</v>
      </c>
      <c r="G172" s="898">
        <v>2925.1</v>
      </c>
      <c r="H172" s="898">
        <v>886.9</v>
      </c>
      <c r="I172" s="870">
        <v>1616.7</v>
      </c>
      <c r="J172" s="870">
        <f t="shared" si="21"/>
        <v>41379.9</v>
      </c>
      <c r="K172" s="1"/>
      <c r="L172" s="1"/>
      <c r="M172" s="1"/>
      <c r="N172" s="1"/>
      <c r="O172" s="1"/>
      <c r="P172" s="1"/>
      <c r="Q172" s="1"/>
      <c r="R172" s="1"/>
      <c r="S172" s="1"/>
      <c r="T172" s="1"/>
      <c r="U172" s="1"/>
      <c r="V172" s="1"/>
      <c r="W172" s="1"/>
      <c r="X172" s="1"/>
      <c r="Y172" s="1"/>
      <c r="Z172" s="1"/>
    </row>
    <row r="173" ht="10.5" customHeight="1">
      <c r="A173" s="1"/>
      <c r="B173" s="11">
        <v>2008.0</v>
      </c>
      <c r="C173" s="897">
        <v>13835.4</v>
      </c>
      <c r="D173" s="898">
        <v>31700.4</v>
      </c>
      <c r="E173" s="898">
        <v>6110.5</v>
      </c>
      <c r="F173" s="898">
        <v>287.9</v>
      </c>
      <c r="G173" s="898">
        <v>2951.7</v>
      </c>
      <c r="H173" s="898">
        <v>895.0</v>
      </c>
      <c r="I173" s="870">
        <v>1631.5</v>
      </c>
      <c r="J173" s="870">
        <f t="shared" si="21"/>
        <v>57412.4</v>
      </c>
      <c r="K173" s="1"/>
      <c r="L173" s="1"/>
      <c r="M173" s="1"/>
      <c r="N173" s="1"/>
      <c r="O173" s="1"/>
      <c r="P173" s="1"/>
      <c r="Q173" s="1"/>
      <c r="R173" s="1"/>
      <c r="S173" s="1"/>
      <c r="T173" s="1"/>
      <c r="U173" s="1"/>
      <c r="V173" s="1"/>
      <c r="W173" s="1"/>
      <c r="X173" s="1"/>
      <c r="Y173" s="1"/>
      <c r="Z173" s="1"/>
    </row>
    <row r="174" ht="10.5" customHeight="1">
      <c r="A174" s="1"/>
      <c r="B174" s="11">
        <v>2009.0</v>
      </c>
      <c r="C174" s="897">
        <v>13218.2</v>
      </c>
      <c r="D174" s="897">
        <v>37689.8</v>
      </c>
      <c r="E174" s="897">
        <v>7268.0</v>
      </c>
      <c r="F174" s="897">
        <v>242.1</v>
      </c>
      <c r="G174" s="897">
        <v>2978.5</v>
      </c>
      <c r="H174" s="898">
        <v>903.1</v>
      </c>
      <c r="I174" s="870">
        <v>1646.3</v>
      </c>
      <c r="J174" s="870">
        <f t="shared" si="21"/>
        <v>63946</v>
      </c>
      <c r="K174" s="1"/>
      <c r="L174" s="1"/>
      <c r="M174" s="1"/>
      <c r="N174" s="1"/>
      <c r="O174" s="1"/>
      <c r="P174" s="1"/>
      <c r="Q174" s="1"/>
      <c r="R174" s="1"/>
      <c r="S174" s="1"/>
      <c r="T174" s="1"/>
      <c r="U174" s="1"/>
      <c r="V174" s="1"/>
      <c r="W174" s="1"/>
      <c r="X174" s="1"/>
      <c r="Y174" s="1"/>
      <c r="Z174" s="1"/>
    </row>
    <row r="175" ht="10.5" customHeight="1">
      <c r="A175" s="1"/>
      <c r="B175" s="11"/>
      <c r="C175" s="897"/>
      <c r="D175" s="898"/>
      <c r="E175" s="898"/>
      <c r="F175" s="898"/>
      <c r="G175" s="898"/>
      <c r="H175" s="898"/>
      <c r="I175" s="870"/>
      <c r="J175" s="870"/>
      <c r="K175" s="1"/>
      <c r="L175" s="1"/>
      <c r="M175" s="1"/>
      <c r="N175" s="1"/>
      <c r="O175" s="1"/>
      <c r="P175" s="1"/>
      <c r="Q175" s="1"/>
      <c r="R175" s="1"/>
      <c r="S175" s="1"/>
      <c r="T175" s="1"/>
      <c r="U175" s="1"/>
      <c r="V175" s="1"/>
      <c r="W175" s="1"/>
      <c r="X175" s="1"/>
      <c r="Y175" s="1"/>
      <c r="Z175" s="1"/>
    </row>
    <row r="176" ht="10.5" customHeight="1">
      <c r="A176" s="1"/>
      <c r="B176" s="11">
        <v>2010.0</v>
      </c>
      <c r="C176" s="897">
        <v>14409.3</v>
      </c>
      <c r="D176" s="897">
        <v>42152.4</v>
      </c>
      <c r="E176" s="897">
        <v>7633.9</v>
      </c>
      <c r="F176" s="897">
        <v>198.6</v>
      </c>
      <c r="G176" s="897">
        <v>3005.6</v>
      </c>
      <c r="H176" s="897">
        <v>911.3</v>
      </c>
      <c r="I176" s="870">
        <v>1661.3</v>
      </c>
      <c r="J176" s="870">
        <f t="shared" ref="J176:J177" si="22">SUM(C176:I176)</f>
        <v>69972.4</v>
      </c>
      <c r="K176" s="1"/>
      <c r="L176" s="1"/>
      <c r="M176" s="1"/>
      <c r="N176" s="1"/>
      <c r="O176" s="1"/>
      <c r="P176" s="1"/>
      <c r="Q176" s="1"/>
      <c r="R176" s="1"/>
      <c r="S176" s="1"/>
      <c r="T176" s="1"/>
      <c r="U176" s="1"/>
      <c r="V176" s="1"/>
      <c r="W176" s="1"/>
      <c r="X176" s="1"/>
      <c r="Y176" s="1"/>
      <c r="Z176" s="1"/>
    </row>
    <row r="177" ht="10.5" customHeight="1">
      <c r="A177" s="1"/>
      <c r="B177" s="11">
        <v>2011.0</v>
      </c>
      <c r="C177" s="897">
        <v>19792.0</v>
      </c>
      <c r="D177" s="897">
        <v>45805.6</v>
      </c>
      <c r="E177" s="897">
        <v>7954.0</v>
      </c>
      <c r="F177" s="897">
        <v>183.4</v>
      </c>
      <c r="G177" s="897">
        <v>3033.0</v>
      </c>
      <c r="H177" s="898">
        <v>919.6</v>
      </c>
      <c r="I177" s="870">
        <v>1676.4</v>
      </c>
      <c r="J177" s="870">
        <f t="shared" si="22"/>
        <v>79364</v>
      </c>
      <c r="K177" s="1"/>
      <c r="L177" s="1"/>
      <c r="M177" s="1"/>
      <c r="N177" s="1"/>
      <c r="O177" s="1"/>
      <c r="P177" s="1"/>
      <c r="Q177" s="1"/>
      <c r="R177" s="1"/>
      <c r="S177" s="1"/>
      <c r="T177" s="1"/>
      <c r="U177" s="1"/>
      <c r="V177" s="1"/>
      <c r="W177" s="1"/>
      <c r="X177" s="1"/>
      <c r="Y177" s="1"/>
      <c r="Z177" s="1"/>
    </row>
    <row r="178" ht="10.5" customHeight="1">
      <c r="A178" s="1"/>
      <c r="B178" s="11" t="s">
        <v>489</v>
      </c>
      <c r="C178" s="870">
        <v>26202.2</v>
      </c>
      <c r="D178" s="870">
        <v>48352.8</v>
      </c>
      <c r="E178" s="870">
        <v>8410.4</v>
      </c>
      <c r="F178" s="870">
        <v>133.4</v>
      </c>
      <c r="G178" s="870">
        <v>3060.6</v>
      </c>
      <c r="H178" s="870">
        <v>928.0</v>
      </c>
      <c r="I178" s="870">
        <v>1691.6</v>
      </c>
      <c r="J178" s="870">
        <v>88778.9</v>
      </c>
      <c r="K178" s="1"/>
      <c r="L178" s="1"/>
      <c r="M178" s="1"/>
      <c r="N178" s="1"/>
      <c r="O178" s="1"/>
      <c r="P178" s="1"/>
      <c r="Q178" s="1"/>
      <c r="R178" s="1"/>
      <c r="S178" s="1"/>
      <c r="T178" s="1"/>
      <c r="U178" s="1"/>
      <c r="V178" s="1"/>
      <c r="W178" s="1"/>
      <c r="X178" s="1"/>
      <c r="Y178" s="1"/>
      <c r="Z178" s="1"/>
    </row>
    <row r="179" ht="10.5" customHeight="1">
      <c r="A179" s="1"/>
      <c r="B179" s="11" t="s">
        <v>55</v>
      </c>
      <c r="C179" s="870">
        <v>30905.9</v>
      </c>
      <c r="D179" s="870">
        <v>57053.0</v>
      </c>
      <c r="E179" s="870">
        <v>8710.1</v>
      </c>
      <c r="F179" s="870">
        <v>106.6</v>
      </c>
      <c r="G179" s="870">
        <v>3088.4</v>
      </c>
      <c r="H179" s="870">
        <v>936.4</v>
      </c>
      <c r="I179" s="878">
        <v>1707.0</v>
      </c>
      <c r="J179" s="870">
        <f t="shared" ref="J179:J180" si="23">SUM(C179:I179)</f>
        <v>102507.4</v>
      </c>
      <c r="K179" s="1"/>
      <c r="L179" s="1"/>
      <c r="M179" s="1"/>
      <c r="N179" s="1"/>
      <c r="O179" s="1"/>
      <c r="P179" s="1"/>
      <c r="Q179" s="1"/>
      <c r="R179" s="1"/>
      <c r="S179" s="1"/>
      <c r="T179" s="1"/>
      <c r="U179" s="1"/>
      <c r="V179" s="1"/>
      <c r="W179" s="1"/>
      <c r="X179" s="1"/>
      <c r="Y179" s="1"/>
      <c r="Z179" s="1"/>
    </row>
    <row r="180" ht="10.5" customHeight="1">
      <c r="A180" s="1"/>
      <c r="B180" s="11" t="s">
        <v>57</v>
      </c>
      <c r="C180" s="870">
        <v>35579.8</v>
      </c>
      <c r="D180" s="870">
        <v>66345.3</v>
      </c>
      <c r="E180" s="870">
        <v>8783.6</v>
      </c>
      <c r="F180" s="870">
        <v>82.9</v>
      </c>
      <c r="G180" s="870">
        <v>3116.5</v>
      </c>
      <c r="H180" s="870">
        <v>944.9</v>
      </c>
      <c r="I180" s="878">
        <v>1722.6</v>
      </c>
      <c r="J180" s="870">
        <f t="shared" si="23"/>
        <v>116575.6</v>
      </c>
      <c r="K180" s="1"/>
      <c r="L180" s="1"/>
      <c r="M180" s="1"/>
      <c r="N180" s="1"/>
      <c r="O180" s="1"/>
      <c r="P180" s="1"/>
      <c r="Q180" s="1"/>
      <c r="R180" s="1"/>
      <c r="S180" s="1"/>
      <c r="T180" s="1"/>
      <c r="U180" s="1"/>
      <c r="V180" s="1"/>
      <c r="W180" s="1"/>
      <c r="X180" s="1"/>
      <c r="Y180" s="1"/>
      <c r="Z180" s="1"/>
    </row>
    <row r="181" ht="10.5" customHeight="1">
      <c r="A181" s="1"/>
      <c r="B181" s="11"/>
      <c r="C181" s="870"/>
      <c r="D181" s="870"/>
      <c r="E181" s="870"/>
      <c r="F181" s="870"/>
      <c r="G181" s="870"/>
      <c r="H181" s="870"/>
      <c r="I181" s="878"/>
      <c r="J181" s="870"/>
      <c r="K181" s="1"/>
      <c r="L181" s="1"/>
      <c r="M181" s="1"/>
      <c r="N181" s="1"/>
      <c r="O181" s="1"/>
      <c r="P181" s="1"/>
      <c r="Q181" s="1"/>
      <c r="R181" s="1"/>
      <c r="S181" s="1"/>
      <c r="T181" s="1"/>
      <c r="U181" s="1"/>
      <c r="V181" s="1"/>
      <c r="W181" s="1"/>
      <c r="X181" s="1"/>
      <c r="Y181" s="1"/>
      <c r="Z181" s="1"/>
    </row>
    <row r="182" ht="10.5" customHeight="1">
      <c r="A182" s="1"/>
      <c r="B182" s="11" t="s">
        <v>58</v>
      </c>
      <c r="C182" s="870">
        <v>37804.1</v>
      </c>
      <c r="D182" s="870">
        <v>80040.4</v>
      </c>
      <c r="E182" s="870">
        <v>9337.8</v>
      </c>
      <c r="F182" s="870">
        <v>70.24</v>
      </c>
      <c r="G182" s="870">
        <v>3144.9</v>
      </c>
      <c r="H182" s="870">
        <v>953.5</v>
      </c>
      <c r="I182" s="878">
        <v>1738.2</v>
      </c>
      <c r="J182" s="870">
        <v>133089.14</v>
      </c>
      <c r="K182" s="1"/>
      <c r="L182" s="1"/>
      <c r="M182" s="1"/>
      <c r="N182" s="1"/>
      <c r="O182" s="1"/>
      <c r="P182" s="1"/>
      <c r="Q182" s="1"/>
      <c r="R182" s="1"/>
      <c r="S182" s="1"/>
      <c r="T182" s="1"/>
      <c r="U182" s="1"/>
      <c r="V182" s="1"/>
      <c r="W182" s="1"/>
      <c r="X182" s="1"/>
      <c r="Y182" s="1"/>
      <c r="Z182" s="1"/>
    </row>
    <row r="183" ht="10.5" customHeight="1">
      <c r="A183" s="1"/>
      <c r="B183" s="11" t="s">
        <v>59</v>
      </c>
      <c r="C183" s="870">
        <v>39628.9</v>
      </c>
      <c r="D183" s="870">
        <v>89382.5</v>
      </c>
      <c r="E183" s="870">
        <v>10013.3</v>
      </c>
      <c r="F183" s="870">
        <v>66.7</v>
      </c>
      <c r="G183" s="870">
        <v>3173.5</v>
      </c>
      <c r="H183" s="870">
        <v>962.2</v>
      </c>
      <c r="I183" s="878">
        <v>1754.0</v>
      </c>
      <c r="J183" s="870">
        <v>144981.1</v>
      </c>
      <c r="K183" s="1"/>
      <c r="L183" s="1"/>
      <c r="M183" s="1"/>
      <c r="N183" s="1"/>
      <c r="O183" s="1"/>
      <c r="P183" s="1"/>
      <c r="Q183" s="1"/>
      <c r="R183" s="1"/>
      <c r="S183" s="1"/>
      <c r="T183" s="1"/>
      <c r="U183" s="1"/>
      <c r="V183" s="1"/>
      <c r="W183" s="1"/>
      <c r="X183" s="1"/>
      <c r="Y183" s="1"/>
      <c r="Z183" s="1"/>
    </row>
    <row r="184" ht="10.5" customHeight="1">
      <c r="A184" s="1"/>
      <c r="B184" s="52" t="s">
        <v>60</v>
      </c>
      <c r="C184" s="888">
        <v>43987.6</v>
      </c>
      <c r="D184" s="888">
        <v>97099.9</v>
      </c>
      <c r="E184" s="888">
        <v>11260.4</v>
      </c>
      <c r="F184" s="888">
        <v>51.6</v>
      </c>
      <c r="G184" s="888">
        <v>3202.3</v>
      </c>
      <c r="H184" s="888">
        <v>971.0</v>
      </c>
      <c r="I184" s="886" t="s">
        <v>1536</v>
      </c>
      <c r="J184" s="888">
        <v>158342.8</v>
      </c>
      <c r="K184" s="1"/>
      <c r="L184" s="1"/>
      <c r="M184" s="1"/>
      <c r="N184" s="1"/>
      <c r="O184" s="1"/>
      <c r="P184" s="1"/>
      <c r="Q184" s="1"/>
      <c r="R184" s="1"/>
      <c r="S184" s="1"/>
      <c r="T184" s="1"/>
      <c r="U184" s="1"/>
      <c r="V184" s="1"/>
      <c r="W184" s="1"/>
      <c r="X184" s="1"/>
      <c r="Y184" s="1"/>
      <c r="Z184" s="1"/>
    </row>
    <row r="185" ht="10.5" customHeight="1">
      <c r="A185" s="1"/>
      <c r="B185" s="60" t="s">
        <v>1537</v>
      </c>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0.5" customHeight="1">
      <c r="A186" s="1"/>
      <c r="B186" s="60" t="s">
        <v>1538</v>
      </c>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0.5" customHeight="1">
      <c r="A187" s="1"/>
      <c r="B187" s="1"/>
      <c r="C187" s="421"/>
      <c r="D187" s="421"/>
      <c r="E187" s="421"/>
      <c r="F187" s="154"/>
      <c r="G187" s="421"/>
      <c r="H187" s="154"/>
      <c r="I187" s="862"/>
      <c r="J187" s="860"/>
      <c r="K187" s="1"/>
      <c r="L187" s="1"/>
      <c r="M187" s="1"/>
      <c r="N187" s="1"/>
      <c r="O187" s="1"/>
      <c r="P187" s="1"/>
      <c r="Q187" s="1"/>
      <c r="R187" s="1"/>
      <c r="S187" s="1"/>
      <c r="T187" s="1"/>
      <c r="U187" s="1"/>
      <c r="V187" s="1"/>
      <c r="W187" s="1"/>
      <c r="X187" s="1"/>
      <c r="Y187" s="1"/>
      <c r="Z187" s="1"/>
    </row>
    <row r="188" ht="10.5" customHeight="1">
      <c r="A188" s="1"/>
      <c r="B188" s="1"/>
      <c r="C188" s="612"/>
      <c r="D188" s="612"/>
      <c r="E188" s="612"/>
      <c r="F188" s="612"/>
      <c r="G188" s="612"/>
      <c r="H188" s="612"/>
      <c r="I188" s="612"/>
      <c r="J188" s="612"/>
      <c r="K188" s="1"/>
      <c r="L188" s="1"/>
      <c r="M188" s="1"/>
      <c r="N188" s="1"/>
      <c r="O188" s="1"/>
      <c r="P188" s="1"/>
      <c r="Q188" s="1"/>
      <c r="R188" s="1"/>
      <c r="S188" s="1"/>
      <c r="T188" s="1"/>
      <c r="U188" s="1"/>
      <c r="V188" s="1"/>
      <c r="W188" s="1"/>
      <c r="X188" s="1"/>
      <c r="Y188" s="1"/>
      <c r="Z188" s="1"/>
    </row>
    <row r="189" ht="10.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0.5" customHeight="1">
      <c r="A190" s="1"/>
      <c r="B190" s="1" t="s">
        <v>1541</v>
      </c>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0.5" customHeight="1">
      <c r="A191" s="1"/>
      <c r="B191" s="1" t="s">
        <v>11</v>
      </c>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0.5" customHeight="1">
      <c r="A192" s="1"/>
      <c r="B192" s="1" t="s">
        <v>11</v>
      </c>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0.5" customHeight="1">
      <c r="A193" s="1"/>
      <c r="B193" s="1" t="s">
        <v>11</v>
      </c>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0.5" customHeight="1">
      <c r="A194" s="1"/>
      <c r="B194" s="1" t="s">
        <v>11</v>
      </c>
      <c r="C194" s="1"/>
      <c r="D194" s="1"/>
      <c r="E194" s="1"/>
      <c r="F194" s="110">
        <v>83.0</v>
      </c>
      <c r="G194" s="110"/>
      <c r="H194" s="1"/>
      <c r="I194" s="1"/>
      <c r="J194" s="1"/>
      <c r="K194" s="1"/>
      <c r="L194" s="1"/>
      <c r="M194" s="1"/>
      <c r="N194" s="1"/>
      <c r="O194" s="1"/>
      <c r="P194" s="1"/>
      <c r="Q194" s="1"/>
      <c r="R194" s="1"/>
      <c r="S194" s="1"/>
      <c r="T194" s="1"/>
      <c r="U194" s="1"/>
      <c r="V194" s="1"/>
      <c r="W194" s="1"/>
      <c r="X194" s="1"/>
      <c r="Y194" s="1"/>
      <c r="Z194" s="1"/>
    </row>
    <row r="195" ht="10.5" customHeight="1">
      <c r="A195" s="1"/>
      <c r="B195" s="1" t="s">
        <v>11</v>
      </c>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1.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1.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1.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1.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1.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1.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1.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1.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1.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1.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1.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1.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1.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1.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1.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1.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1.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1.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1.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1.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1.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1.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1.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1.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1.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1.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1.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1.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1.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1.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1.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1.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1.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1.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1.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1.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1.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1.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1.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1.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1.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1.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1.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1.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1.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1.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1.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1.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1.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1.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1.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1.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1.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1.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1.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1.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1.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1.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1.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1.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1.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1.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1.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1.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1.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1.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1.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1.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1.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1.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1.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1.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1.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1.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1.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1.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1.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1.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1.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1.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1.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1.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1.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1.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1.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1.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1.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1.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1.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1.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1.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1.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1.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1.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1.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1.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1.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1.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1.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1.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1.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1.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1.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1.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1.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1.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1.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1.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1.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1.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1.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1.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1.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1.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1.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1.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1.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1.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1.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1.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1.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1.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1.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1.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1.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1.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1.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1.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1.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1.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1.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1.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1.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1.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1.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1.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1.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1.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1.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1.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1.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1.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1.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1.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1.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1.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1.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1.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1.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1.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1.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1.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1.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1.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1.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1.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1.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1.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1.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1.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1.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1.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1.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1.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1.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1.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1.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1.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1.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1.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1.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1.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1.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1.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1.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1.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1.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1.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1.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1.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1.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1.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C2:D2"/>
    <mergeCell ref="E2:F2"/>
    <mergeCell ref="C3:I3"/>
    <mergeCell ref="B138:B139"/>
    <mergeCell ref="C139:J139"/>
    <mergeCell ref="B118:C118"/>
    <mergeCell ref="B2:B3"/>
    <mergeCell ref="B70:B71"/>
    <mergeCell ref="E70:F70"/>
    <mergeCell ref="C71:H71"/>
    <mergeCell ref="G60:H60"/>
    <mergeCell ref="G2:H2"/>
    <mergeCell ref="C70:D70"/>
  </mergeCells>
  <printOptions/>
  <pageMargins bottom="1.0" footer="0.0" header="0.0" left="0.75" right="0.75" top="1.0"/>
  <pageSetup paperSize="9" orientation="portrait"/>
  <rowBreaks count="2" manualBreakCount="2">
    <brk id="68" man="1"/>
    <brk id="136"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9.29"/>
    <col customWidth="1" min="3" max="3" width="11.0"/>
    <col customWidth="1" min="4" max="5" width="9.71"/>
    <col customWidth="1" min="6" max="6" width="9.57"/>
    <col customWidth="1" min="7" max="7" width="9.71"/>
    <col customWidth="1" min="8" max="8" width="10.71"/>
    <col customWidth="1" min="9" max="9" width="8.71"/>
    <col customWidth="1" min="10" max="20" width="9.71"/>
    <col customWidth="1" min="21" max="22" width="9.57"/>
    <col customWidth="1" min="23" max="23" width="9.14"/>
    <col customWidth="1" min="24" max="24" width="9.57"/>
    <col customWidth="1" min="25" max="26" width="8.71"/>
  </cols>
  <sheetData>
    <row r="1" ht="11.25" customHeight="1">
      <c r="A1" s="1"/>
      <c r="B1" s="111" t="s">
        <v>1554</v>
      </c>
      <c r="C1" s="35"/>
      <c r="D1" s="35"/>
      <c r="E1" s="35"/>
      <c r="F1" s="35"/>
      <c r="G1" s="35"/>
      <c r="H1" s="35"/>
      <c r="I1" s="1"/>
      <c r="J1" s="1"/>
      <c r="K1" s="1"/>
      <c r="L1" s="1"/>
      <c r="M1" s="1"/>
      <c r="N1" s="1"/>
      <c r="O1" s="1"/>
      <c r="P1" s="1"/>
      <c r="Q1" s="1"/>
      <c r="R1" s="1"/>
      <c r="S1" s="1"/>
      <c r="T1" s="1"/>
      <c r="U1" s="1"/>
      <c r="V1" s="1"/>
      <c r="W1" s="1"/>
      <c r="X1" s="1"/>
      <c r="Y1" s="1"/>
      <c r="Z1" s="1"/>
    </row>
    <row r="2" ht="11.25" customHeight="1">
      <c r="A2" s="1"/>
      <c r="B2" s="189" t="s">
        <v>1</v>
      </c>
      <c r="C2" s="8" t="s">
        <v>1037</v>
      </c>
      <c r="D2" s="10"/>
      <c r="E2" s="8" t="s">
        <v>243</v>
      </c>
      <c r="F2" s="9"/>
      <c r="G2" s="9"/>
      <c r="H2" s="10"/>
      <c r="I2" s="1"/>
      <c r="J2" s="1"/>
      <c r="K2" s="1"/>
      <c r="L2" s="1"/>
      <c r="M2" s="1"/>
      <c r="N2" s="1"/>
      <c r="O2" s="1"/>
      <c r="P2" s="1"/>
      <c r="Q2" s="1"/>
      <c r="R2" s="1"/>
      <c r="S2" s="1"/>
      <c r="T2" s="1"/>
      <c r="U2" s="1"/>
      <c r="V2" s="1"/>
      <c r="W2" s="1"/>
      <c r="X2" s="1"/>
      <c r="Y2" s="1"/>
      <c r="Z2" s="1"/>
    </row>
    <row r="3" ht="11.25" customHeight="1">
      <c r="A3" s="1"/>
      <c r="B3" s="5"/>
      <c r="C3" s="31" t="s">
        <v>2</v>
      </c>
      <c r="D3" s="31" t="s">
        <v>1555</v>
      </c>
      <c r="E3" s="31" t="s">
        <v>1556</v>
      </c>
      <c r="F3" s="128" t="s">
        <v>1555</v>
      </c>
      <c r="G3" s="9"/>
      <c r="H3" s="10"/>
      <c r="I3" s="1"/>
      <c r="J3" s="1"/>
      <c r="K3" s="1"/>
      <c r="L3" s="1"/>
      <c r="M3" s="1"/>
      <c r="N3" s="1"/>
      <c r="O3" s="1"/>
      <c r="P3" s="1"/>
      <c r="Q3" s="1"/>
      <c r="R3" s="1"/>
      <c r="S3" s="1"/>
      <c r="T3" s="1"/>
      <c r="U3" s="1"/>
      <c r="V3" s="1"/>
      <c r="W3" s="1"/>
      <c r="X3" s="1"/>
      <c r="Y3" s="1"/>
      <c r="Z3" s="1"/>
    </row>
    <row r="4" ht="24.0" customHeight="1">
      <c r="A4" s="1"/>
      <c r="B4" s="5"/>
      <c r="C4" s="6"/>
      <c r="D4" s="6"/>
      <c r="E4" s="6"/>
      <c r="F4" s="7" t="s">
        <v>1557</v>
      </c>
      <c r="G4" s="7" t="s">
        <v>1558</v>
      </c>
      <c r="H4" s="7" t="s">
        <v>2</v>
      </c>
      <c r="I4" s="1"/>
      <c r="J4" s="1"/>
      <c r="K4" s="1"/>
      <c r="L4" s="1"/>
      <c r="M4" s="1"/>
      <c r="N4" s="1"/>
      <c r="O4" s="1"/>
      <c r="P4" s="1"/>
      <c r="Q4" s="1"/>
      <c r="R4" s="1"/>
      <c r="S4" s="1"/>
      <c r="T4" s="1"/>
      <c r="U4" s="1"/>
      <c r="V4" s="1"/>
      <c r="W4" s="1"/>
      <c r="X4" s="1"/>
      <c r="Y4" s="1"/>
      <c r="Z4" s="1"/>
    </row>
    <row r="5" ht="11.25" customHeight="1">
      <c r="A5" s="1"/>
      <c r="B5" s="6"/>
      <c r="C5" s="8" t="s">
        <v>1170</v>
      </c>
      <c r="D5" s="9"/>
      <c r="E5" s="9"/>
      <c r="F5" s="9"/>
      <c r="G5" s="9"/>
      <c r="H5" s="10"/>
      <c r="I5" s="1"/>
      <c r="J5" s="1"/>
      <c r="K5" s="1"/>
      <c r="L5" s="1"/>
      <c r="M5" s="1"/>
      <c r="N5" s="1"/>
      <c r="O5" s="1"/>
      <c r="P5" s="1"/>
      <c r="Q5" s="1"/>
      <c r="R5" s="1"/>
      <c r="S5" s="1"/>
      <c r="T5" s="1"/>
      <c r="U5" s="1"/>
      <c r="V5" s="1"/>
      <c r="W5" s="1"/>
      <c r="X5" s="1"/>
      <c r="Y5" s="1"/>
      <c r="Z5" s="1"/>
    </row>
    <row r="6" ht="10.5" customHeight="1">
      <c r="A6" s="1"/>
      <c r="B6" s="915">
        <v>1975.0</v>
      </c>
      <c r="C6" s="878">
        <v>5545.0</v>
      </c>
      <c r="D6" s="878">
        <v>255.0</v>
      </c>
      <c r="E6" s="916">
        <v>3983.2</v>
      </c>
      <c r="F6" s="878">
        <v>606.9</v>
      </c>
      <c r="G6" s="878">
        <v>642.1</v>
      </c>
      <c r="H6" s="878">
        <f t="shared" ref="H6:H10" si="1">+G6+F6</f>
        <v>1249</v>
      </c>
      <c r="I6" s="113"/>
      <c r="J6" s="113"/>
      <c r="K6" s="113"/>
      <c r="L6" s="113"/>
      <c r="M6" s="113"/>
      <c r="N6" s="113"/>
      <c r="O6" s="113"/>
      <c r="P6" s="113"/>
      <c r="Q6" s="113"/>
      <c r="R6" s="113"/>
      <c r="S6" s="113"/>
      <c r="T6" s="113"/>
      <c r="U6" s="113"/>
      <c r="V6" s="113"/>
      <c r="W6" s="1"/>
      <c r="X6" s="1"/>
      <c r="Y6" s="1"/>
      <c r="Z6" s="1"/>
    </row>
    <row r="7" ht="10.5" customHeight="1">
      <c r="A7" s="1"/>
      <c r="B7" s="915">
        <v>1976.0</v>
      </c>
      <c r="C7" s="878">
        <v>5859.4</v>
      </c>
      <c r="D7" s="878">
        <v>292.0</v>
      </c>
      <c r="E7" s="916">
        <v>4532.1</v>
      </c>
      <c r="F7" s="878">
        <v>650.8</v>
      </c>
      <c r="G7" s="878">
        <v>586.6</v>
      </c>
      <c r="H7" s="878">
        <f t="shared" si="1"/>
        <v>1237.4</v>
      </c>
      <c r="I7" s="113"/>
      <c r="J7" s="113"/>
      <c r="K7" s="113"/>
      <c r="L7" s="113"/>
      <c r="M7" s="113"/>
      <c r="N7" s="113"/>
      <c r="O7" s="113"/>
      <c r="P7" s="113"/>
      <c r="Q7" s="113"/>
      <c r="R7" s="113"/>
      <c r="S7" s="113"/>
      <c r="T7" s="113"/>
      <c r="U7" s="113"/>
      <c r="V7" s="113"/>
      <c r="W7" s="1"/>
      <c r="X7" s="1"/>
      <c r="Y7" s="1"/>
      <c r="Z7" s="1"/>
    </row>
    <row r="8" ht="10.5" customHeight="1">
      <c r="A8" s="1"/>
      <c r="B8" s="915">
        <v>1977.0</v>
      </c>
      <c r="C8" s="878">
        <v>5118.3</v>
      </c>
      <c r="D8" s="878">
        <v>314.8</v>
      </c>
      <c r="E8" s="916">
        <v>5863.2</v>
      </c>
      <c r="F8" s="878">
        <v>726.2</v>
      </c>
      <c r="G8" s="878">
        <v>611.3</v>
      </c>
      <c r="H8" s="878">
        <f t="shared" si="1"/>
        <v>1337.5</v>
      </c>
      <c r="I8" s="113"/>
      <c r="J8" s="113"/>
      <c r="K8" s="113"/>
      <c r="L8" s="113"/>
      <c r="M8" s="113"/>
      <c r="N8" s="113"/>
      <c r="O8" s="113"/>
      <c r="P8" s="113"/>
      <c r="Q8" s="113"/>
      <c r="R8" s="113"/>
      <c r="S8" s="113"/>
      <c r="T8" s="113"/>
      <c r="U8" s="113"/>
      <c r="V8" s="113"/>
      <c r="W8" s="1"/>
      <c r="X8" s="1"/>
      <c r="Y8" s="1"/>
      <c r="Z8" s="1"/>
    </row>
    <row r="9" ht="10.5" customHeight="1">
      <c r="A9" s="1"/>
      <c r="B9" s="915">
        <v>1978.0</v>
      </c>
      <c r="C9" s="878">
        <v>6253.4</v>
      </c>
      <c r="D9" s="878">
        <v>262.4</v>
      </c>
      <c r="E9" s="916">
        <v>7333.3</v>
      </c>
      <c r="F9" s="878">
        <v>767.6</v>
      </c>
      <c r="G9" s="878">
        <v>776.2</v>
      </c>
      <c r="H9" s="878">
        <f t="shared" si="1"/>
        <v>1543.8</v>
      </c>
      <c r="I9" s="113"/>
      <c r="J9" s="113"/>
      <c r="K9" s="113"/>
      <c r="L9" s="113"/>
      <c r="M9" s="113"/>
      <c r="N9" s="113"/>
      <c r="O9" s="113"/>
      <c r="P9" s="113"/>
      <c r="Q9" s="113"/>
      <c r="R9" s="113"/>
      <c r="S9" s="113"/>
      <c r="T9" s="113"/>
      <c r="U9" s="113"/>
      <c r="V9" s="113"/>
      <c r="W9" s="1"/>
      <c r="X9" s="1"/>
      <c r="Y9" s="1"/>
      <c r="Z9" s="1"/>
    </row>
    <row r="10" ht="10.5" customHeight="1">
      <c r="A10" s="1"/>
      <c r="B10" s="915">
        <v>1979.0</v>
      </c>
      <c r="C10" s="878">
        <v>9904.3</v>
      </c>
      <c r="D10" s="878">
        <v>324.0</v>
      </c>
      <c r="E10" s="916">
        <v>14811.1</v>
      </c>
      <c r="F10" s="878">
        <v>866.4</v>
      </c>
      <c r="G10" s="878">
        <v>825.9</v>
      </c>
      <c r="H10" s="878">
        <f t="shared" si="1"/>
        <v>1692.3</v>
      </c>
      <c r="I10" s="113"/>
      <c r="J10" s="113"/>
      <c r="K10" s="113"/>
      <c r="L10" s="113"/>
      <c r="M10" s="113"/>
      <c r="N10" s="113"/>
      <c r="O10" s="113"/>
      <c r="P10" s="113"/>
      <c r="Q10" s="113"/>
      <c r="R10" s="113"/>
      <c r="S10" s="113"/>
      <c r="T10" s="113"/>
      <c r="U10" s="113"/>
      <c r="V10" s="113"/>
      <c r="W10" s="1"/>
      <c r="X10" s="1"/>
      <c r="Y10" s="1"/>
      <c r="Z10" s="1"/>
    </row>
    <row r="11" ht="10.5" customHeight="1">
      <c r="A11" s="1"/>
      <c r="B11" s="915"/>
      <c r="C11" s="878"/>
      <c r="D11" s="878"/>
      <c r="E11" s="916"/>
      <c r="F11" s="878"/>
      <c r="G11" s="878"/>
      <c r="H11" s="878"/>
      <c r="I11" s="113"/>
      <c r="J11" s="113"/>
      <c r="K11" s="113"/>
      <c r="L11" s="113"/>
      <c r="M11" s="113"/>
      <c r="N11" s="113"/>
      <c r="O11" s="113"/>
      <c r="P11" s="113"/>
      <c r="Q11" s="113"/>
      <c r="R11" s="113"/>
      <c r="S11" s="113"/>
      <c r="T11" s="113"/>
      <c r="U11" s="113"/>
      <c r="V11" s="113"/>
      <c r="W11" s="1"/>
      <c r="X11" s="1"/>
      <c r="Y11" s="1"/>
      <c r="Z11" s="1"/>
    </row>
    <row r="12" ht="10.5" customHeight="1">
      <c r="A12" s="1"/>
      <c r="B12" s="915">
        <v>1980.0</v>
      </c>
      <c r="C12" s="878">
        <v>14381.3</v>
      </c>
      <c r="D12" s="878">
        <v>369.2</v>
      </c>
      <c r="E12" s="916">
        <v>19915.4</v>
      </c>
      <c r="F12" s="878">
        <v>1043.6</v>
      </c>
      <c r="G12" s="878">
        <v>1008.9</v>
      </c>
      <c r="H12" s="878">
        <f t="shared" ref="H12:H16" si="2">+G12+F12</f>
        <v>2052.5</v>
      </c>
      <c r="I12" s="113"/>
      <c r="J12" s="113"/>
      <c r="K12" s="113"/>
      <c r="L12" s="113"/>
      <c r="M12" s="113"/>
      <c r="N12" s="113"/>
      <c r="O12" s="113"/>
      <c r="P12" s="113"/>
      <c r="Q12" s="113"/>
      <c r="R12" s="113"/>
      <c r="S12" s="113"/>
      <c r="T12" s="113"/>
      <c r="U12" s="113"/>
      <c r="V12" s="113"/>
      <c r="W12" s="1"/>
      <c r="X12" s="1"/>
      <c r="Y12" s="1"/>
      <c r="Z12" s="1"/>
    </row>
    <row r="13" ht="10.5" customHeight="1">
      <c r="A13" s="1"/>
      <c r="B13" s="915">
        <v>1981.0</v>
      </c>
      <c r="C13" s="878">
        <v>18429.8</v>
      </c>
      <c r="D13" s="878">
        <v>540.0</v>
      </c>
      <c r="E13" s="916">
        <v>18206.5</v>
      </c>
      <c r="F13" s="878">
        <v>893.1</v>
      </c>
      <c r="G13" s="878">
        <v>1152.8</v>
      </c>
      <c r="H13" s="878">
        <f t="shared" si="2"/>
        <v>2045.9</v>
      </c>
      <c r="I13" s="113"/>
      <c r="J13" s="113"/>
      <c r="K13" s="113"/>
      <c r="L13" s="113"/>
      <c r="M13" s="113"/>
      <c r="N13" s="113"/>
      <c r="O13" s="113"/>
      <c r="P13" s="113"/>
      <c r="Q13" s="113"/>
      <c r="R13" s="113"/>
      <c r="S13" s="113"/>
      <c r="T13" s="113"/>
      <c r="U13" s="113"/>
      <c r="V13" s="113"/>
      <c r="W13" s="1"/>
      <c r="X13" s="1"/>
      <c r="Y13" s="1"/>
      <c r="Z13" s="1"/>
    </row>
    <row r="14" ht="10.5" customHeight="1">
      <c r="A14" s="1"/>
      <c r="B14" s="915">
        <v>1982.0</v>
      </c>
      <c r="C14" s="878">
        <v>18358.7</v>
      </c>
      <c r="D14" s="878">
        <v>685.0</v>
      </c>
      <c r="E14" s="916">
        <v>19293.8</v>
      </c>
      <c r="F14" s="878">
        <v>844.4</v>
      </c>
      <c r="G14" s="878">
        <v>1218.9</v>
      </c>
      <c r="H14" s="878">
        <f t="shared" si="2"/>
        <v>2063.3</v>
      </c>
      <c r="I14" s="113"/>
      <c r="J14" s="113"/>
      <c r="K14" s="113"/>
      <c r="L14" s="113"/>
      <c r="M14" s="113"/>
      <c r="N14" s="113"/>
      <c r="O14" s="113"/>
      <c r="P14" s="113"/>
      <c r="Q14" s="113"/>
      <c r="R14" s="113"/>
      <c r="S14" s="113"/>
      <c r="T14" s="113"/>
      <c r="U14" s="113"/>
      <c r="V14" s="113"/>
      <c r="W14" s="1"/>
      <c r="X14" s="1"/>
      <c r="Y14" s="1"/>
      <c r="Z14" s="1"/>
    </row>
    <row r="15" ht="10.5" customHeight="1">
      <c r="A15" s="1"/>
      <c r="B15" s="915">
        <v>1983.0</v>
      </c>
      <c r="C15" s="878">
        <v>16225.6</v>
      </c>
      <c r="D15" s="878">
        <v>1073.9</v>
      </c>
      <c r="E15" s="916">
        <v>20729.8</v>
      </c>
      <c r="F15" s="878">
        <v>876.9</v>
      </c>
      <c r="G15" s="878">
        <v>850.9</v>
      </c>
      <c r="H15" s="878">
        <f t="shared" si="2"/>
        <v>1727.8</v>
      </c>
      <c r="I15" s="113"/>
      <c r="J15" s="113"/>
      <c r="K15" s="113"/>
      <c r="L15" s="113"/>
      <c r="M15" s="113"/>
      <c r="N15" s="113"/>
      <c r="O15" s="113"/>
      <c r="P15" s="113"/>
      <c r="Q15" s="113"/>
      <c r="R15" s="113"/>
      <c r="S15" s="113"/>
      <c r="T15" s="113"/>
      <c r="U15" s="113"/>
      <c r="V15" s="113"/>
      <c r="W15" s="1"/>
      <c r="X15" s="1"/>
      <c r="Y15" s="1"/>
      <c r="Z15" s="1"/>
    </row>
    <row r="16" ht="10.5" customHeight="1">
      <c r="A16" s="1"/>
      <c r="B16" s="915">
        <v>1984.0</v>
      </c>
      <c r="C16" s="878">
        <v>21804.4</v>
      </c>
      <c r="D16" s="878">
        <v>1682.0</v>
      </c>
      <c r="E16" s="916">
        <v>25584.5</v>
      </c>
      <c r="F16" s="878">
        <v>1053.7</v>
      </c>
      <c r="G16" s="878">
        <v>788.6</v>
      </c>
      <c r="H16" s="878">
        <f t="shared" si="2"/>
        <v>1842.3</v>
      </c>
      <c r="I16" s="113"/>
      <c r="J16" s="113"/>
      <c r="K16" s="113"/>
      <c r="L16" s="113"/>
      <c r="M16" s="113"/>
      <c r="N16" s="113"/>
      <c r="O16" s="113"/>
      <c r="P16" s="113"/>
      <c r="Q16" s="113"/>
      <c r="R16" s="113"/>
      <c r="S16" s="113"/>
      <c r="T16" s="113"/>
      <c r="U16" s="113"/>
      <c r="V16" s="113"/>
      <c r="W16" s="1"/>
      <c r="X16" s="1"/>
      <c r="Y16" s="1"/>
      <c r="Z16" s="1"/>
    </row>
    <row r="17" ht="10.5" customHeight="1">
      <c r="A17" s="1"/>
      <c r="B17" s="915"/>
      <c r="C17" s="878"/>
      <c r="D17" s="878"/>
      <c r="E17" s="916"/>
      <c r="F17" s="878"/>
      <c r="G17" s="878"/>
      <c r="H17" s="878"/>
      <c r="I17" s="113"/>
      <c r="J17" s="113"/>
      <c r="K17" s="113"/>
      <c r="L17" s="113"/>
      <c r="M17" s="113"/>
      <c r="N17" s="113"/>
      <c r="O17" s="113"/>
      <c r="P17" s="113"/>
      <c r="Q17" s="113"/>
      <c r="R17" s="113"/>
      <c r="S17" s="113"/>
      <c r="T17" s="113"/>
      <c r="U17" s="113"/>
      <c r="V17" s="113"/>
      <c r="W17" s="1"/>
      <c r="X17" s="1"/>
      <c r="Y17" s="1"/>
      <c r="Z17" s="1"/>
    </row>
    <row r="18" ht="10.5" customHeight="1">
      <c r="A18" s="1"/>
      <c r="B18" s="915">
        <v>1985.0</v>
      </c>
      <c r="C18" s="878">
        <v>22731.9</v>
      </c>
      <c r="D18" s="878">
        <v>1298.3</v>
      </c>
      <c r="E18" s="916">
        <v>36410.4</v>
      </c>
      <c r="F18" s="878">
        <v>1334.0</v>
      </c>
      <c r="G18" s="878">
        <v>1048.3</v>
      </c>
      <c r="H18" s="878">
        <f t="shared" ref="H18:H22" si="3">+G18+F18</f>
        <v>2382.3</v>
      </c>
      <c r="I18" s="113"/>
      <c r="J18" s="113"/>
      <c r="K18" s="113"/>
      <c r="L18" s="113"/>
      <c r="M18" s="113"/>
      <c r="N18" s="113"/>
      <c r="O18" s="113"/>
      <c r="P18" s="113"/>
      <c r="Q18" s="113"/>
      <c r="R18" s="113"/>
      <c r="S18" s="113"/>
      <c r="T18" s="113"/>
      <c r="U18" s="113"/>
      <c r="V18" s="113"/>
      <c r="W18" s="1"/>
      <c r="X18" s="1"/>
      <c r="Y18" s="1"/>
      <c r="Z18" s="1"/>
    </row>
    <row r="19" ht="10.5" customHeight="1">
      <c r="A19" s="1"/>
      <c r="B19" s="915">
        <v>1986.0</v>
      </c>
      <c r="C19" s="878">
        <v>26863.6</v>
      </c>
      <c r="D19" s="878">
        <v>1473.4</v>
      </c>
      <c r="E19" s="916">
        <v>41327.8</v>
      </c>
      <c r="F19" s="878">
        <v>1792.3</v>
      </c>
      <c r="G19" s="878">
        <v>1232.3</v>
      </c>
      <c r="H19" s="878">
        <f t="shared" si="3"/>
        <v>3024.6</v>
      </c>
      <c r="I19" s="113"/>
      <c r="J19" s="113"/>
      <c r="K19" s="113"/>
      <c r="L19" s="113"/>
      <c r="M19" s="113"/>
      <c r="N19" s="113"/>
      <c r="O19" s="113"/>
      <c r="P19" s="113"/>
      <c r="Q19" s="113"/>
      <c r="R19" s="113"/>
      <c r="S19" s="113"/>
      <c r="T19" s="113"/>
      <c r="U19" s="113"/>
      <c r="V19" s="113"/>
      <c r="W19" s="1"/>
      <c r="X19" s="1"/>
      <c r="Y19" s="1"/>
      <c r="Z19" s="1"/>
    </row>
    <row r="20" ht="10.5" customHeight="1">
      <c r="A20" s="1"/>
      <c r="B20" s="915">
        <v>1987.0</v>
      </c>
      <c r="C20" s="878">
        <v>28672.6</v>
      </c>
      <c r="D20" s="878">
        <v>1511.1</v>
      </c>
      <c r="E20" s="916">
        <v>42762.5</v>
      </c>
      <c r="F20" s="878">
        <v>1724.3</v>
      </c>
      <c r="G20" s="878">
        <v>1468.3</v>
      </c>
      <c r="H20" s="878">
        <f t="shared" si="3"/>
        <v>3192.6</v>
      </c>
      <c r="I20" s="113"/>
      <c r="J20" s="113"/>
      <c r="K20" s="113"/>
      <c r="L20" s="113"/>
      <c r="M20" s="113"/>
      <c r="N20" s="113"/>
      <c r="O20" s="113"/>
      <c r="P20" s="113"/>
      <c r="Q20" s="113"/>
      <c r="R20" s="113"/>
      <c r="S20" s="113"/>
      <c r="T20" s="113"/>
      <c r="U20" s="113"/>
      <c r="V20" s="113"/>
      <c r="W20" s="1"/>
      <c r="X20" s="1"/>
      <c r="Y20" s="1"/>
      <c r="Z20" s="1"/>
    </row>
    <row r="21" ht="10.5" customHeight="1">
      <c r="A21" s="1"/>
      <c r="B21" s="915">
        <v>1988.0</v>
      </c>
      <c r="C21" s="878">
        <v>39483.9</v>
      </c>
      <c r="D21" s="878">
        <v>2081.4</v>
      </c>
      <c r="E21" s="916">
        <v>49360.0</v>
      </c>
      <c r="F21" s="878">
        <v>2285.1</v>
      </c>
      <c r="G21" s="878">
        <v>1474.8</v>
      </c>
      <c r="H21" s="878">
        <f t="shared" si="3"/>
        <v>3759.9</v>
      </c>
      <c r="I21" s="113"/>
      <c r="J21" s="113"/>
      <c r="K21" s="113"/>
      <c r="L21" s="113"/>
      <c r="M21" s="113"/>
      <c r="N21" s="113"/>
      <c r="O21" s="113"/>
      <c r="P21" s="113"/>
      <c r="Q21" s="113"/>
      <c r="R21" s="113"/>
      <c r="S21" s="113"/>
      <c r="T21" s="113"/>
      <c r="U21" s="113"/>
      <c r="V21" s="113"/>
      <c r="W21" s="1"/>
      <c r="X21" s="1"/>
      <c r="Y21" s="1"/>
      <c r="Z21" s="1"/>
    </row>
    <row r="22" ht="10.5" customHeight="1">
      <c r="A22" s="1"/>
      <c r="B22" s="915">
        <v>1989.0</v>
      </c>
      <c r="C22" s="878">
        <v>44741.8</v>
      </c>
      <c r="D22" s="878">
        <v>2079.0</v>
      </c>
      <c r="E22" s="916">
        <v>58728.4</v>
      </c>
      <c r="F22" s="878">
        <v>2913.6</v>
      </c>
      <c r="G22" s="878">
        <v>2793.8</v>
      </c>
      <c r="H22" s="878">
        <f t="shared" si="3"/>
        <v>5707.4</v>
      </c>
      <c r="I22" s="113"/>
      <c r="J22" s="113"/>
      <c r="K22" s="113"/>
      <c r="L22" s="113"/>
      <c r="M22" s="113"/>
      <c r="N22" s="113"/>
      <c r="O22" s="113"/>
      <c r="P22" s="113"/>
      <c r="Q22" s="113"/>
      <c r="R22" s="113"/>
      <c r="S22" s="113"/>
      <c r="T22" s="113"/>
      <c r="U22" s="113"/>
      <c r="V22" s="113"/>
      <c r="W22" s="1"/>
      <c r="X22" s="1"/>
      <c r="Y22" s="1"/>
      <c r="Z22" s="1"/>
    </row>
    <row r="23" ht="10.5" customHeight="1">
      <c r="A23" s="1"/>
      <c r="B23" s="915"/>
      <c r="C23" s="878"/>
      <c r="D23" s="878"/>
      <c r="E23" s="916"/>
      <c r="F23" s="878"/>
      <c r="G23" s="878"/>
      <c r="H23" s="878"/>
      <c r="I23" s="113"/>
      <c r="J23" s="113"/>
      <c r="K23" s="113"/>
      <c r="L23" s="113"/>
      <c r="M23" s="113"/>
      <c r="N23" s="113"/>
      <c r="O23" s="113"/>
      <c r="P23" s="113"/>
      <c r="Q23" s="113"/>
      <c r="R23" s="113"/>
      <c r="S23" s="113"/>
      <c r="T23" s="113"/>
      <c r="U23" s="113"/>
      <c r="V23" s="113"/>
      <c r="W23" s="1"/>
      <c r="X23" s="1"/>
      <c r="Y23" s="1"/>
      <c r="Z23" s="1"/>
    </row>
    <row r="24" ht="10.5" customHeight="1">
      <c r="A24" s="1"/>
      <c r="B24" s="915">
        <v>1990.0</v>
      </c>
      <c r="C24" s="878">
        <v>44141.5</v>
      </c>
      <c r="D24" s="878">
        <v>1936.2</v>
      </c>
      <c r="E24" s="916">
        <v>60770.0</v>
      </c>
      <c r="F24" s="878">
        <v>2246.4</v>
      </c>
      <c r="G24" s="878">
        <v>2378.7</v>
      </c>
      <c r="H24" s="878">
        <f t="shared" ref="H24:H28" si="4">+G24+F24</f>
        <v>4625.1</v>
      </c>
      <c r="I24" s="113"/>
      <c r="J24" s="113"/>
      <c r="K24" s="113"/>
      <c r="L24" s="113"/>
      <c r="M24" s="113"/>
      <c r="N24" s="113"/>
      <c r="O24" s="113"/>
      <c r="P24" s="113"/>
      <c r="Q24" s="113"/>
      <c r="R24" s="113"/>
      <c r="S24" s="113"/>
      <c r="T24" s="113"/>
      <c r="U24" s="113"/>
      <c r="V24" s="113"/>
      <c r="W24" s="1"/>
      <c r="X24" s="1"/>
      <c r="Y24" s="1"/>
      <c r="Z24" s="1"/>
    </row>
    <row r="25" ht="10.5" customHeight="1">
      <c r="A25" s="1"/>
      <c r="B25" s="915">
        <v>1991.0</v>
      </c>
      <c r="C25" s="878">
        <v>44195.2</v>
      </c>
      <c r="D25" s="878">
        <v>2257.8</v>
      </c>
      <c r="E25" s="916">
        <v>61146.5</v>
      </c>
      <c r="F25" s="878">
        <v>2700.3</v>
      </c>
      <c r="G25" s="878">
        <v>2069.1</v>
      </c>
      <c r="H25" s="878">
        <f t="shared" si="4"/>
        <v>4769.4</v>
      </c>
      <c r="I25" s="113"/>
      <c r="J25" s="113"/>
      <c r="K25" s="113"/>
      <c r="L25" s="113"/>
      <c r="M25" s="113"/>
      <c r="N25" s="113"/>
      <c r="O25" s="113"/>
      <c r="P25" s="113"/>
      <c r="Q25" s="113"/>
      <c r="R25" s="113"/>
      <c r="S25" s="113"/>
      <c r="T25" s="113"/>
      <c r="U25" s="113"/>
      <c r="V25" s="113"/>
      <c r="W25" s="1"/>
      <c r="X25" s="1"/>
      <c r="Y25" s="1"/>
      <c r="Z25" s="1"/>
    </row>
    <row r="26" ht="10.5" customHeight="1">
      <c r="A26" s="1"/>
      <c r="B26" s="915">
        <v>1992.0</v>
      </c>
      <c r="C26" s="878">
        <v>52594.4</v>
      </c>
      <c r="D26" s="878">
        <v>4477.9</v>
      </c>
      <c r="E26" s="916">
        <v>69354.7</v>
      </c>
      <c r="F26" s="878">
        <v>2567.0</v>
      </c>
      <c r="G26" s="878">
        <v>2293.2</v>
      </c>
      <c r="H26" s="878">
        <f t="shared" si="4"/>
        <v>4860.2</v>
      </c>
      <c r="I26" s="113"/>
      <c r="J26" s="113"/>
      <c r="K26" s="113"/>
      <c r="L26" s="113"/>
      <c r="M26" s="113"/>
      <c r="N26" s="113"/>
      <c r="O26" s="113"/>
      <c r="P26" s="113"/>
      <c r="Q26" s="113"/>
      <c r="R26" s="113"/>
      <c r="S26" s="113"/>
      <c r="T26" s="113"/>
      <c r="U26" s="113"/>
      <c r="V26" s="113"/>
      <c r="W26" s="1"/>
      <c r="X26" s="1"/>
      <c r="Y26" s="1"/>
      <c r="Z26" s="1"/>
    </row>
    <row r="27" ht="10.5" customHeight="1">
      <c r="A27" s="1"/>
      <c r="B27" s="915">
        <v>1993.0</v>
      </c>
      <c r="C27" s="878">
        <v>59078.7</v>
      </c>
      <c r="D27" s="878">
        <v>3813.1</v>
      </c>
      <c r="E27" s="916">
        <v>81376.2</v>
      </c>
      <c r="F27" s="878">
        <v>2916.3</v>
      </c>
      <c r="G27" s="878">
        <v>2370.8</v>
      </c>
      <c r="H27" s="878">
        <f t="shared" si="4"/>
        <v>5287.1</v>
      </c>
      <c r="I27" s="113"/>
      <c r="J27" s="113"/>
      <c r="K27" s="113"/>
      <c r="L27" s="113"/>
      <c r="M27" s="113"/>
      <c r="N27" s="113"/>
      <c r="O27" s="113"/>
      <c r="P27" s="113"/>
      <c r="Q27" s="113"/>
      <c r="R27" s="113"/>
      <c r="S27" s="113"/>
      <c r="T27" s="113"/>
      <c r="U27" s="113"/>
      <c r="V27" s="113"/>
      <c r="W27" s="1"/>
      <c r="X27" s="1"/>
      <c r="Y27" s="1"/>
      <c r="Z27" s="1"/>
    </row>
    <row r="28" ht="10.5" customHeight="1">
      <c r="A28" s="1"/>
      <c r="B28" s="915">
        <v>1994.0</v>
      </c>
      <c r="C28" s="878">
        <v>75601.5</v>
      </c>
      <c r="D28" s="878">
        <v>4894.9</v>
      </c>
      <c r="E28" s="916">
        <v>90021.5</v>
      </c>
      <c r="F28" s="878">
        <v>3896.4</v>
      </c>
      <c r="G28" s="878">
        <v>4159.4</v>
      </c>
      <c r="H28" s="878">
        <f t="shared" si="4"/>
        <v>8055.8</v>
      </c>
      <c r="I28" s="113"/>
      <c r="J28" s="113"/>
      <c r="K28" s="113"/>
      <c r="L28" s="113"/>
      <c r="M28" s="113"/>
      <c r="N28" s="113"/>
      <c r="O28" s="113"/>
      <c r="P28" s="113"/>
      <c r="Q28" s="113"/>
      <c r="R28" s="113"/>
      <c r="S28" s="113"/>
      <c r="T28" s="113"/>
      <c r="U28" s="113"/>
      <c r="V28" s="113"/>
      <c r="W28" s="1"/>
      <c r="X28" s="1"/>
      <c r="Y28" s="1"/>
      <c r="Z28" s="1"/>
    </row>
    <row r="29" ht="10.5" customHeight="1">
      <c r="A29" s="1"/>
      <c r="B29" s="915"/>
      <c r="C29" s="878"/>
      <c r="D29" s="878"/>
      <c r="E29" s="916"/>
      <c r="F29" s="878"/>
      <c r="G29" s="878"/>
      <c r="H29" s="878"/>
      <c r="I29" s="113"/>
      <c r="J29" s="113"/>
      <c r="K29" s="113"/>
      <c r="L29" s="113"/>
      <c r="M29" s="113"/>
      <c r="N29" s="113"/>
      <c r="O29" s="113"/>
      <c r="P29" s="113"/>
      <c r="Q29" s="113"/>
      <c r="R29" s="113"/>
      <c r="S29" s="113"/>
      <c r="T29" s="113"/>
      <c r="U29" s="113"/>
      <c r="V29" s="113"/>
      <c r="W29" s="1"/>
      <c r="X29" s="1"/>
      <c r="Y29" s="1"/>
      <c r="Z29" s="1"/>
    </row>
    <row r="30" ht="10.5" customHeight="1">
      <c r="A30" s="1"/>
      <c r="B30" s="915">
        <v>1995.0</v>
      </c>
      <c r="C30" s="878">
        <v>97285.0</v>
      </c>
      <c r="D30" s="878">
        <v>6834.3</v>
      </c>
      <c r="E30" s="916">
        <v>102545.1</v>
      </c>
      <c r="F30" s="878">
        <v>2714.0</v>
      </c>
      <c r="G30" s="878">
        <v>5428.6</v>
      </c>
      <c r="H30" s="878">
        <f t="shared" ref="H30:H34" si="5">+G30+F30</f>
        <v>8142.6</v>
      </c>
      <c r="I30" s="113"/>
      <c r="J30" s="113"/>
      <c r="K30" s="113"/>
      <c r="L30" s="113"/>
      <c r="M30" s="113"/>
      <c r="N30" s="113"/>
      <c r="O30" s="113"/>
      <c r="P30" s="113"/>
      <c r="Q30" s="113"/>
      <c r="R30" s="113"/>
      <c r="S30" s="113"/>
      <c r="T30" s="113"/>
      <c r="U30" s="113"/>
      <c r="V30" s="113"/>
      <c r="W30" s="1"/>
      <c r="X30" s="1"/>
      <c r="Y30" s="1"/>
      <c r="Z30" s="1"/>
    </row>
    <row r="31" ht="10.5" customHeight="1">
      <c r="A31" s="1"/>
      <c r="B31" s="915">
        <v>1996.0</v>
      </c>
      <c r="C31" s="878">
        <v>112940.0</v>
      </c>
      <c r="D31" s="878">
        <v>7745.2</v>
      </c>
      <c r="E31" s="916">
        <v>117860.5</v>
      </c>
      <c r="F31" s="878">
        <v>6860.9</v>
      </c>
      <c r="G31" s="878">
        <v>4958.1</v>
      </c>
      <c r="H31" s="878">
        <f t="shared" si="5"/>
        <v>11819</v>
      </c>
      <c r="I31" s="113"/>
      <c r="J31" s="113"/>
      <c r="K31" s="113"/>
      <c r="L31" s="113"/>
      <c r="M31" s="113"/>
      <c r="N31" s="113"/>
      <c r="O31" s="113"/>
      <c r="P31" s="113"/>
      <c r="Q31" s="113"/>
      <c r="R31" s="113"/>
      <c r="S31" s="113"/>
      <c r="T31" s="113"/>
      <c r="U31" s="113"/>
      <c r="V31" s="113"/>
      <c r="W31" s="1"/>
      <c r="X31" s="1"/>
      <c r="Y31" s="1"/>
      <c r="Z31" s="1"/>
    </row>
    <row r="32" ht="10.5" customHeight="1">
      <c r="A32" s="1"/>
      <c r="B32" s="923" t="s">
        <v>1572</v>
      </c>
      <c r="C32" s="878">
        <v>126912.1</v>
      </c>
      <c r="D32" s="878">
        <v>8641.5</v>
      </c>
      <c r="E32" s="916">
        <v>132347.4</v>
      </c>
      <c r="F32" s="878">
        <v>7537.6</v>
      </c>
      <c r="G32" s="878">
        <v>4971.3</v>
      </c>
      <c r="H32" s="878">
        <f t="shared" si="5"/>
        <v>12508.9</v>
      </c>
      <c r="I32" s="1"/>
      <c r="J32" s="1"/>
      <c r="K32" s="1"/>
      <c r="L32" s="1"/>
      <c r="M32" s="1"/>
      <c r="N32" s="113"/>
      <c r="O32" s="113"/>
      <c r="P32" s="113"/>
      <c r="Q32" s="113"/>
      <c r="R32" s="113"/>
      <c r="S32" s="113"/>
      <c r="T32" s="113"/>
      <c r="U32" s="113"/>
      <c r="V32" s="113"/>
      <c r="W32" s="1"/>
      <c r="X32" s="1"/>
      <c r="Y32" s="1"/>
      <c r="Z32" s="1"/>
    </row>
    <row r="33" ht="10.5" customHeight="1">
      <c r="A33" s="1"/>
      <c r="B33" s="923" t="s">
        <v>1575</v>
      </c>
      <c r="C33" s="878">
        <v>143353.7</v>
      </c>
      <c r="D33" s="878">
        <v>9401.6</v>
      </c>
      <c r="E33" s="916">
        <v>148690.0</v>
      </c>
      <c r="F33" s="878">
        <v>7924.0</v>
      </c>
      <c r="G33" s="878">
        <v>5717.5</v>
      </c>
      <c r="H33" s="878">
        <f t="shared" si="5"/>
        <v>13641.5</v>
      </c>
      <c r="I33" s="924"/>
      <c r="J33" s="113"/>
      <c r="K33" s="113"/>
      <c r="L33" s="113"/>
      <c r="M33" s="113"/>
      <c r="N33" s="113"/>
      <c r="O33" s="113"/>
      <c r="P33" s="113"/>
      <c r="Q33" s="113"/>
      <c r="R33" s="113"/>
      <c r="S33" s="113"/>
      <c r="T33" s="113"/>
      <c r="U33" s="113"/>
      <c r="V33" s="113"/>
      <c r="W33" s="1"/>
      <c r="X33" s="1"/>
      <c r="Y33" s="1"/>
      <c r="Z33" s="1"/>
    </row>
    <row r="34" ht="10.5" customHeight="1">
      <c r="A34" s="1"/>
      <c r="B34" s="923" t="s">
        <v>1579</v>
      </c>
      <c r="C34" s="878">
        <v>146328.3</v>
      </c>
      <c r="D34" s="878">
        <v>8963.8</v>
      </c>
      <c r="E34" s="916">
        <v>166673.5</v>
      </c>
      <c r="F34" s="878">
        <v>8214.8</v>
      </c>
      <c r="G34" s="878">
        <v>6335.1</v>
      </c>
      <c r="H34" s="878">
        <f t="shared" si="5"/>
        <v>14549.9</v>
      </c>
      <c r="I34" s="924"/>
      <c r="J34" s="910"/>
      <c r="K34" s="910"/>
      <c r="L34" s="910"/>
      <c r="M34" s="910"/>
      <c r="N34" s="113"/>
      <c r="O34" s="113"/>
      <c r="P34" s="113"/>
      <c r="Q34" s="113"/>
      <c r="R34" s="113"/>
      <c r="S34" s="113"/>
      <c r="T34" s="113"/>
      <c r="U34" s="113"/>
      <c r="V34" s="113"/>
      <c r="W34" s="1"/>
      <c r="X34" s="1"/>
      <c r="Y34" s="1"/>
      <c r="Z34" s="1"/>
    </row>
    <row r="35" ht="10.5" customHeight="1">
      <c r="A35" s="1"/>
      <c r="B35" s="915"/>
      <c r="C35" s="878"/>
      <c r="D35" s="878"/>
      <c r="E35" s="916"/>
      <c r="F35" s="878"/>
      <c r="G35" s="878"/>
      <c r="H35" s="878"/>
      <c r="I35" s="113"/>
      <c r="J35" s="113"/>
      <c r="K35" s="113"/>
      <c r="L35" s="113"/>
      <c r="M35" s="113"/>
      <c r="N35" s="113"/>
      <c r="O35" s="113"/>
      <c r="P35" s="113"/>
      <c r="Q35" s="113"/>
      <c r="R35" s="113"/>
      <c r="S35" s="113"/>
      <c r="T35" s="113"/>
      <c r="U35" s="113"/>
      <c r="V35" s="113"/>
      <c r="W35" s="1"/>
      <c r="X35" s="1"/>
      <c r="Y35" s="1"/>
      <c r="Z35" s="1"/>
    </row>
    <row r="36" ht="10.5" customHeight="1">
      <c r="A36" s="1"/>
      <c r="B36" s="915">
        <v>2000.0</v>
      </c>
      <c r="C36" s="878">
        <v>186476.5</v>
      </c>
      <c r="D36" s="878">
        <v>9644.1</v>
      </c>
      <c r="E36" s="916">
        <v>210512.7</v>
      </c>
      <c r="F36" s="878">
        <v>9785.0</v>
      </c>
      <c r="G36" s="878">
        <v>5967.2</v>
      </c>
      <c r="H36" s="878">
        <f t="shared" ref="H36:H40" si="6">+G36+F36</f>
        <v>15752.2</v>
      </c>
      <c r="I36" s="113"/>
      <c r="J36" s="113"/>
      <c r="K36" s="113"/>
      <c r="L36" s="113"/>
      <c r="M36" s="113"/>
      <c r="N36" s="113"/>
      <c r="O36" s="113"/>
      <c r="P36" s="113"/>
      <c r="Q36" s="113"/>
      <c r="R36" s="113"/>
      <c r="S36" s="113"/>
      <c r="T36" s="113"/>
      <c r="U36" s="113"/>
      <c r="V36" s="113"/>
      <c r="W36" s="1"/>
      <c r="X36" s="1"/>
      <c r="Y36" s="1"/>
      <c r="Z36" s="1"/>
    </row>
    <row r="37" ht="10.5" customHeight="1">
      <c r="A37" s="1"/>
      <c r="B37" s="915">
        <v>2001.0</v>
      </c>
      <c r="C37" s="878">
        <v>217252.5</v>
      </c>
      <c r="D37" s="878">
        <v>10704.4</v>
      </c>
      <c r="E37" s="916">
        <v>253579.5</v>
      </c>
      <c r="F37" s="878">
        <v>12793.1</v>
      </c>
      <c r="G37" s="878">
        <v>7274.0</v>
      </c>
      <c r="H37" s="878">
        <f t="shared" si="6"/>
        <v>20067.1</v>
      </c>
      <c r="I37" s="113"/>
      <c r="J37" s="113"/>
      <c r="K37" s="113"/>
      <c r="L37" s="113"/>
      <c r="M37" s="113"/>
      <c r="N37" s="113"/>
      <c r="O37" s="113"/>
      <c r="P37" s="113"/>
      <c r="Q37" s="113"/>
      <c r="R37" s="113"/>
      <c r="S37" s="113"/>
      <c r="T37" s="113"/>
      <c r="U37" s="113"/>
      <c r="V37" s="113"/>
      <c r="W37" s="1"/>
      <c r="X37" s="1"/>
      <c r="Y37" s="1"/>
      <c r="Z37" s="1"/>
    </row>
    <row r="38" ht="10.5" customHeight="1">
      <c r="A38" s="1"/>
      <c r="B38" s="915">
        <v>2002.0</v>
      </c>
      <c r="C38" s="878">
        <v>273464.6</v>
      </c>
      <c r="D38" s="878">
        <v>15162.6</v>
      </c>
      <c r="E38" s="916">
        <v>312917.8</v>
      </c>
      <c r="F38" s="878">
        <v>16031.0</v>
      </c>
      <c r="G38" s="878">
        <v>9856.9</v>
      </c>
      <c r="H38" s="878">
        <f t="shared" si="6"/>
        <v>25887.9</v>
      </c>
      <c r="I38" s="113"/>
      <c r="J38" s="113"/>
      <c r="K38" s="113"/>
      <c r="L38" s="113"/>
      <c r="M38" s="113"/>
      <c r="N38" s="113"/>
      <c r="O38" s="113"/>
      <c r="P38" s="113"/>
      <c r="Q38" s="113"/>
      <c r="R38" s="113"/>
      <c r="S38" s="113"/>
      <c r="T38" s="113"/>
      <c r="U38" s="113"/>
      <c r="V38" s="113"/>
      <c r="W38" s="1"/>
      <c r="X38" s="1"/>
      <c r="Y38" s="1"/>
      <c r="Z38" s="1"/>
    </row>
    <row r="39" ht="10.5" customHeight="1">
      <c r="A39" s="1"/>
      <c r="B39" s="915">
        <v>2003.0</v>
      </c>
      <c r="C39" s="870">
        <v>256977.7</v>
      </c>
      <c r="D39" s="870">
        <v>13910.5</v>
      </c>
      <c r="E39" s="928">
        <v>273126.8</v>
      </c>
      <c r="F39" s="870">
        <v>13731.6</v>
      </c>
      <c r="G39" s="870">
        <v>9521.1</v>
      </c>
      <c r="H39" s="878">
        <f t="shared" si="6"/>
        <v>23252.7</v>
      </c>
      <c r="I39" s="113"/>
      <c r="J39" s="113"/>
      <c r="K39" s="113"/>
      <c r="L39" s="113"/>
      <c r="M39" s="113"/>
      <c r="N39" s="113"/>
      <c r="O39" s="113"/>
      <c r="P39" s="113"/>
      <c r="Q39" s="113"/>
      <c r="R39" s="113"/>
      <c r="S39" s="113"/>
      <c r="T39" s="113"/>
      <c r="U39" s="113"/>
      <c r="V39" s="113"/>
      <c r="W39" s="1"/>
      <c r="X39" s="1"/>
      <c r="Y39" s="1"/>
      <c r="Z39" s="1"/>
    </row>
    <row r="40" ht="10.5" customHeight="1">
      <c r="A40" s="1"/>
      <c r="B40" s="915">
        <v>2004.0</v>
      </c>
      <c r="C40" s="870">
        <v>304754.8</v>
      </c>
      <c r="D40" s="870">
        <v>16415.5</v>
      </c>
      <c r="E40" s="928">
        <v>292078.7</v>
      </c>
      <c r="F40" s="870">
        <v>12896.2</v>
      </c>
      <c r="G40" s="870">
        <v>9760.5</v>
      </c>
      <c r="H40" s="878">
        <f t="shared" si="6"/>
        <v>22656.7</v>
      </c>
      <c r="I40" s="113"/>
      <c r="J40" s="113"/>
      <c r="K40" s="113"/>
      <c r="L40" s="113"/>
      <c r="M40" s="113"/>
      <c r="N40" s="113"/>
      <c r="O40" s="113"/>
      <c r="P40" s="113"/>
      <c r="Q40" s="113"/>
      <c r="R40" s="113"/>
      <c r="S40" s="113"/>
      <c r="T40" s="113"/>
      <c r="U40" s="113"/>
      <c r="V40" s="113"/>
      <c r="W40" s="1"/>
      <c r="X40" s="1"/>
      <c r="Y40" s="1"/>
      <c r="Z40" s="1"/>
    </row>
    <row r="41" ht="10.5" customHeight="1">
      <c r="A41" s="1"/>
      <c r="B41" s="915"/>
      <c r="C41" s="870"/>
      <c r="D41" s="870"/>
      <c r="E41" s="928"/>
      <c r="F41" s="870"/>
      <c r="G41" s="870"/>
      <c r="H41" s="870"/>
      <c r="I41" s="113"/>
      <c r="J41" s="113"/>
      <c r="K41" s="113"/>
      <c r="L41" s="113"/>
      <c r="M41" s="113"/>
      <c r="N41" s="113"/>
      <c r="O41" s="113"/>
      <c r="P41" s="113"/>
      <c r="Q41" s="113"/>
      <c r="R41" s="113"/>
      <c r="S41" s="113"/>
      <c r="T41" s="113"/>
      <c r="U41" s="113"/>
      <c r="V41" s="113"/>
      <c r="W41" s="1"/>
      <c r="X41" s="1"/>
      <c r="Y41" s="1"/>
      <c r="Z41" s="1"/>
    </row>
    <row r="42" ht="10.5" customHeight="1">
      <c r="A42" s="1"/>
      <c r="B42" s="915">
        <v>2005.0</v>
      </c>
      <c r="C42" s="870">
        <v>349163.7</v>
      </c>
      <c r="D42" s="870">
        <v>16286.4</v>
      </c>
      <c r="E42" s="928">
        <v>327125.4</v>
      </c>
      <c r="F42" s="870">
        <v>15067.9</v>
      </c>
      <c r="G42" s="870">
        <v>11073.3</v>
      </c>
      <c r="H42" s="878">
        <f t="shared" ref="H42:H46" si="7">+G42+F42</f>
        <v>26141.2</v>
      </c>
      <c r="I42" s="113"/>
      <c r="J42" s="113"/>
      <c r="K42" s="113"/>
      <c r="L42" s="113"/>
      <c r="M42" s="113"/>
      <c r="N42" s="113"/>
      <c r="O42" s="113"/>
      <c r="P42" s="113"/>
      <c r="Q42" s="113"/>
      <c r="R42" s="113"/>
      <c r="S42" s="113"/>
      <c r="T42" s="113"/>
      <c r="U42" s="113"/>
      <c r="V42" s="113"/>
      <c r="W42" s="1"/>
      <c r="X42" s="1"/>
      <c r="Y42" s="1"/>
      <c r="Z42" s="1"/>
    </row>
    <row r="43" ht="10.5" customHeight="1">
      <c r="A43" s="1"/>
      <c r="B43" s="915">
        <v>2006.0</v>
      </c>
      <c r="C43" s="870">
        <v>465215.7</v>
      </c>
      <c r="D43" s="870">
        <v>20588.5</v>
      </c>
      <c r="E43" s="928">
        <v>393046.7</v>
      </c>
      <c r="F43" s="870">
        <v>16517.1</v>
      </c>
      <c r="G43" s="870">
        <v>10460.4</v>
      </c>
      <c r="H43" s="878">
        <f t="shared" si="7"/>
        <v>26977.5</v>
      </c>
      <c r="I43" s="113"/>
      <c r="J43" s="113"/>
      <c r="K43" s="113"/>
      <c r="L43" s="113"/>
      <c r="M43" s="113"/>
      <c r="N43" s="113"/>
      <c r="O43" s="113"/>
      <c r="P43" s="113"/>
      <c r="Q43" s="113"/>
      <c r="R43" s="113"/>
      <c r="S43" s="113"/>
      <c r="T43" s="113"/>
      <c r="U43" s="113"/>
      <c r="V43" s="113"/>
      <c r="W43" s="1"/>
      <c r="X43" s="1"/>
      <c r="Y43" s="1"/>
      <c r="Z43" s="1"/>
    </row>
    <row r="44" ht="10.5" customHeight="1">
      <c r="A44" s="1"/>
      <c r="B44" s="915">
        <v>2007.0</v>
      </c>
      <c r="C44" s="870">
        <v>484837.5</v>
      </c>
      <c r="D44" s="870">
        <v>29304.5</v>
      </c>
      <c r="E44" s="928">
        <v>463237.9</v>
      </c>
      <c r="F44" s="870">
        <v>18136.7</v>
      </c>
      <c r="G44" s="870">
        <v>12530.1</v>
      </c>
      <c r="H44" s="878">
        <f t="shared" si="7"/>
        <v>30666.8</v>
      </c>
      <c r="I44" s="113"/>
      <c r="J44" s="113"/>
      <c r="K44" s="113"/>
      <c r="L44" s="113"/>
      <c r="M44" s="113"/>
      <c r="N44" s="113"/>
      <c r="O44" s="113"/>
      <c r="P44" s="113"/>
      <c r="Q44" s="113"/>
      <c r="R44" s="113"/>
      <c r="S44" s="113"/>
      <c r="T44" s="113"/>
      <c r="U44" s="113"/>
      <c r="V44" s="113"/>
      <c r="W44" s="1"/>
      <c r="X44" s="1"/>
      <c r="Y44" s="1"/>
      <c r="Z44" s="1"/>
    </row>
    <row r="45" ht="10.5" customHeight="1">
      <c r="A45" s="1"/>
      <c r="B45" s="915">
        <v>2008.0</v>
      </c>
      <c r="C45" s="870">
        <v>627450.3</v>
      </c>
      <c r="D45" s="870">
        <v>38427.5</v>
      </c>
      <c r="E45" s="928">
        <v>635315.0</v>
      </c>
      <c r="F45" s="870">
        <v>25951.1</v>
      </c>
      <c r="G45" s="870">
        <v>20992.6</v>
      </c>
      <c r="H45" s="878">
        <f t="shared" si="7"/>
        <v>46943.7</v>
      </c>
      <c r="I45" s="113"/>
      <c r="J45" s="113"/>
      <c r="K45" s="113"/>
      <c r="L45" s="113"/>
      <c r="M45" s="113"/>
      <c r="N45" s="113"/>
      <c r="O45" s="113"/>
      <c r="P45" s="113"/>
      <c r="Q45" s="113"/>
      <c r="R45" s="113"/>
      <c r="S45" s="113"/>
      <c r="T45" s="113"/>
      <c r="U45" s="113"/>
      <c r="V45" s="113"/>
      <c r="W45" s="1"/>
      <c r="X45" s="1"/>
      <c r="Y45" s="1"/>
      <c r="Z45" s="1"/>
    </row>
    <row r="46" ht="10.5" customHeight="1">
      <c r="A46" s="1"/>
      <c r="B46" s="915">
        <v>2009.0</v>
      </c>
      <c r="C46" s="870">
        <v>541173.4</v>
      </c>
      <c r="D46" s="870">
        <v>35039.2</v>
      </c>
      <c r="E46" s="928">
        <v>513864.1</v>
      </c>
      <c r="F46" s="870">
        <v>27170.7</v>
      </c>
      <c r="G46" s="870">
        <v>20288.7</v>
      </c>
      <c r="H46" s="878">
        <f t="shared" si="7"/>
        <v>47459.4</v>
      </c>
      <c r="I46" s="113"/>
      <c r="J46" s="113"/>
      <c r="K46" s="113"/>
      <c r="L46" s="113"/>
      <c r="M46" s="113"/>
      <c r="N46" s="113"/>
      <c r="O46" s="113"/>
      <c r="P46" s="113"/>
      <c r="Q46" s="113"/>
      <c r="R46" s="113"/>
      <c r="S46" s="113"/>
      <c r="T46" s="113"/>
      <c r="U46" s="113"/>
      <c r="V46" s="113"/>
      <c r="W46" s="1"/>
      <c r="X46" s="1"/>
      <c r="Y46" s="1"/>
      <c r="Z46" s="1"/>
    </row>
    <row r="47" ht="10.5" customHeight="1">
      <c r="A47" s="1"/>
      <c r="B47" s="915"/>
      <c r="C47" s="870"/>
      <c r="D47" s="870"/>
      <c r="E47" s="928"/>
      <c r="F47" s="870"/>
      <c r="G47" s="870"/>
      <c r="H47" s="870"/>
      <c r="I47" s="113"/>
      <c r="J47" s="113"/>
      <c r="K47" s="113"/>
      <c r="L47" s="113"/>
      <c r="M47" s="113"/>
      <c r="N47" s="113"/>
      <c r="O47" s="113"/>
      <c r="P47" s="113"/>
      <c r="Q47" s="113"/>
      <c r="R47" s="113"/>
      <c r="S47" s="113"/>
      <c r="T47" s="113"/>
      <c r="U47" s="113"/>
      <c r="V47" s="113"/>
      <c r="W47" s="1"/>
      <c r="X47" s="1"/>
      <c r="Y47" s="1"/>
      <c r="Z47" s="1"/>
    </row>
    <row r="48" ht="10.5" customHeight="1">
      <c r="A48" s="1"/>
      <c r="B48" s="915">
        <v>2010.0</v>
      </c>
      <c r="C48" s="870">
        <v>585299.5</v>
      </c>
      <c r="D48" s="870">
        <v>39531.6</v>
      </c>
      <c r="E48" s="928">
        <v>590035.5</v>
      </c>
      <c r="F48" s="870">
        <v>29378.6</v>
      </c>
      <c r="G48" s="870">
        <v>17021.6</v>
      </c>
      <c r="H48" s="878">
        <f t="shared" ref="H48:H50" si="8">+G48+F48</f>
        <v>46400.2</v>
      </c>
      <c r="I48" s="113"/>
      <c r="J48" s="113"/>
      <c r="K48" s="113"/>
      <c r="L48" s="113"/>
      <c r="M48" s="113"/>
      <c r="N48" s="113"/>
      <c r="O48" s="113"/>
      <c r="P48" s="113"/>
      <c r="Q48" s="113"/>
      <c r="R48" s="113"/>
      <c r="S48" s="113"/>
      <c r="T48" s="113"/>
      <c r="U48" s="113"/>
      <c r="V48" s="113"/>
      <c r="W48" s="1"/>
      <c r="X48" s="1"/>
      <c r="Y48" s="1"/>
      <c r="Z48" s="1"/>
    </row>
    <row r="49" ht="10.5" customHeight="1">
      <c r="A49" s="1"/>
      <c r="B49" s="11" t="s">
        <v>487</v>
      </c>
      <c r="C49" s="870">
        <v>729026.9</v>
      </c>
      <c r="D49" s="870">
        <v>50798.7</v>
      </c>
      <c r="E49" s="928">
        <v>712141.3</v>
      </c>
      <c r="F49" s="870">
        <v>38004.0</v>
      </c>
      <c r="G49" s="870">
        <v>12809.2</v>
      </c>
      <c r="H49" s="878">
        <f t="shared" si="8"/>
        <v>50813.2</v>
      </c>
      <c r="I49" s="113"/>
      <c r="J49" s="113"/>
      <c r="K49" s="113"/>
      <c r="L49" s="113"/>
      <c r="M49" s="113"/>
      <c r="N49" s="113"/>
      <c r="O49" s="113"/>
      <c r="P49" s="113"/>
      <c r="Q49" s="113"/>
      <c r="R49" s="113"/>
      <c r="S49" s="113"/>
      <c r="T49" s="113"/>
      <c r="U49" s="113"/>
      <c r="V49" s="113"/>
      <c r="W49" s="1"/>
      <c r="X49" s="1"/>
      <c r="Y49" s="1"/>
      <c r="Z49" s="1"/>
    </row>
    <row r="50" ht="10.5" customHeight="1">
      <c r="A50" s="1"/>
      <c r="B50" s="11" t="s">
        <v>489</v>
      </c>
      <c r="C50" s="870">
        <v>852401.6</v>
      </c>
      <c r="D50" s="870">
        <v>59563.5</v>
      </c>
      <c r="E50" s="928">
        <v>817723.7</v>
      </c>
      <c r="F50" s="870">
        <v>38846.2</v>
      </c>
      <c r="G50" s="870">
        <v>16341.8</v>
      </c>
      <c r="H50" s="878">
        <f t="shared" si="8"/>
        <v>55188</v>
      </c>
      <c r="I50" s="113"/>
      <c r="J50" s="113"/>
      <c r="K50" s="113"/>
      <c r="L50" s="113"/>
      <c r="M50" s="113"/>
      <c r="N50" s="113"/>
      <c r="O50" s="113"/>
      <c r="P50" s="113"/>
      <c r="Q50" s="113"/>
      <c r="R50" s="113"/>
      <c r="S50" s="113"/>
      <c r="T50" s="113"/>
      <c r="U50" s="113"/>
      <c r="V50" s="113"/>
      <c r="W50" s="1"/>
      <c r="X50" s="1"/>
      <c r="Y50" s="1"/>
      <c r="Z50" s="1"/>
    </row>
    <row r="51" ht="10.5" customHeight="1">
      <c r="A51" s="1"/>
      <c r="B51" s="11" t="s">
        <v>55</v>
      </c>
      <c r="C51" s="870">
        <v>998160.4</v>
      </c>
      <c r="D51" s="870">
        <v>64251.9</v>
      </c>
      <c r="E51" s="928">
        <v>926802.8</v>
      </c>
      <c r="F51" s="169" t="s">
        <v>10</v>
      </c>
      <c r="G51" s="169" t="s">
        <v>10</v>
      </c>
      <c r="H51" s="878">
        <v>72492.7</v>
      </c>
      <c r="I51" s="113"/>
      <c r="J51" s="113"/>
      <c r="K51" s="113"/>
      <c r="L51" s="113"/>
      <c r="M51" s="113"/>
      <c r="N51" s="113"/>
      <c r="O51" s="113"/>
      <c r="P51" s="113"/>
      <c r="Q51" s="113"/>
      <c r="R51" s="113"/>
      <c r="S51" s="113"/>
      <c r="T51" s="113"/>
      <c r="U51" s="113"/>
      <c r="V51" s="113"/>
      <c r="W51" s="1"/>
      <c r="X51" s="1"/>
      <c r="Y51" s="1"/>
      <c r="Z51" s="1"/>
    </row>
    <row r="52" ht="10.5" customHeight="1">
      <c r="A52" s="1"/>
      <c r="B52" s="11" t="s">
        <v>57</v>
      </c>
      <c r="C52" s="54">
        <v>1083582.5</v>
      </c>
      <c r="D52" s="870">
        <v>67243.2</v>
      </c>
      <c r="E52" s="932">
        <v>1001308.2</v>
      </c>
      <c r="F52" s="169" t="s">
        <v>10</v>
      </c>
      <c r="G52" s="169" t="s">
        <v>10</v>
      </c>
      <c r="H52" s="878">
        <v>81300.4</v>
      </c>
      <c r="I52" s="113"/>
      <c r="J52" s="113"/>
      <c r="K52" s="113"/>
      <c r="L52" s="113"/>
      <c r="M52" s="113"/>
      <c r="N52" s="113"/>
      <c r="O52" s="113"/>
      <c r="P52" s="113"/>
      <c r="Q52" s="113"/>
      <c r="R52" s="113"/>
      <c r="S52" s="113"/>
      <c r="T52" s="113"/>
      <c r="U52" s="113"/>
      <c r="V52" s="113"/>
      <c r="W52" s="1"/>
      <c r="X52" s="1"/>
      <c r="Y52" s="1"/>
      <c r="Z52" s="1"/>
    </row>
    <row r="53" ht="10.5" customHeight="1">
      <c r="A53" s="1"/>
      <c r="B53" s="11"/>
      <c r="C53" s="54"/>
      <c r="D53" s="870"/>
      <c r="E53" s="932"/>
      <c r="F53" s="169"/>
      <c r="G53" s="169"/>
      <c r="H53" s="878"/>
      <c r="I53" s="113"/>
      <c r="J53" s="113"/>
      <c r="K53" s="113"/>
      <c r="L53" s="113"/>
      <c r="M53" s="113"/>
      <c r="N53" s="113"/>
      <c r="O53" s="113"/>
      <c r="P53" s="113"/>
      <c r="Q53" s="113"/>
      <c r="R53" s="113"/>
      <c r="S53" s="113"/>
      <c r="T53" s="113"/>
      <c r="U53" s="113"/>
      <c r="V53" s="113"/>
      <c r="W53" s="1"/>
      <c r="X53" s="1"/>
      <c r="Y53" s="1"/>
      <c r="Z53" s="1"/>
    </row>
    <row r="54" ht="10.5" customHeight="1">
      <c r="A54" s="1"/>
      <c r="B54" s="11" t="s">
        <v>58</v>
      </c>
      <c r="C54" s="54">
        <v>1088126.9</v>
      </c>
      <c r="D54" s="870">
        <v>75017.3</v>
      </c>
      <c r="E54" s="932">
        <v>1035944.2</v>
      </c>
      <c r="F54" s="169" t="s">
        <v>10</v>
      </c>
      <c r="G54" s="169" t="s">
        <v>10</v>
      </c>
      <c r="H54" s="878">
        <v>108901.5</v>
      </c>
      <c r="I54" s="113"/>
      <c r="J54" s="113"/>
      <c r="K54" s="113"/>
      <c r="L54" s="113"/>
      <c r="M54" s="113"/>
      <c r="N54" s="113"/>
      <c r="O54" s="113"/>
      <c r="P54" s="113"/>
      <c r="Q54" s="113"/>
      <c r="R54" s="113"/>
      <c r="S54" s="113"/>
      <c r="T54" s="113"/>
      <c r="U54" s="113"/>
      <c r="V54" s="113"/>
      <c r="W54" s="1"/>
      <c r="X54" s="1"/>
      <c r="Y54" s="1"/>
      <c r="Z54" s="1"/>
    </row>
    <row r="55" ht="10.5" customHeight="1">
      <c r="A55" s="1"/>
      <c r="B55" s="11" t="s">
        <v>59</v>
      </c>
      <c r="C55" s="54">
        <v>1098856.3</v>
      </c>
      <c r="D55" s="870">
        <v>90438.1</v>
      </c>
      <c r="E55" s="932">
        <v>1095935.6</v>
      </c>
      <c r="F55" s="169" t="s">
        <v>10</v>
      </c>
      <c r="G55" s="169" t="s">
        <v>10</v>
      </c>
      <c r="H55" s="870">
        <v>123171.2</v>
      </c>
      <c r="I55" s="113"/>
      <c r="J55" s="113"/>
      <c r="K55" s="113"/>
      <c r="L55" s="113"/>
      <c r="M55" s="113"/>
      <c r="N55" s="113"/>
      <c r="O55" s="113"/>
      <c r="P55" s="113"/>
      <c r="Q55" s="113"/>
      <c r="R55" s="113"/>
      <c r="S55" s="113"/>
      <c r="T55" s="113"/>
      <c r="U55" s="113"/>
      <c r="V55" s="113"/>
      <c r="W55" s="1"/>
      <c r="X55" s="1"/>
      <c r="Y55" s="1"/>
      <c r="Z55" s="1"/>
    </row>
    <row r="56" ht="10.5" customHeight="1">
      <c r="A56" s="1"/>
      <c r="B56" s="52" t="s">
        <v>1597</v>
      </c>
      <c r="C56" s="107">
        <v>1107003.6</v>
      </c>
      <c r="D56" s="888">
        <v>85866.4</v>
      </c>
      <c r="E56" s="934">
        <v>1186923.5</v>
      </c>
      <c r="F56" s="260" t="s">
        <v>10</v>
      </c>
      <c r="G56" s="260" t="s">
        <v>10</v>
      </c>
      <c r="H56" s="107">
        <v>127959.6</v>
      </c>
      <c r="I56" s="113"/>
      <c r="J56" s="113"/>
      <c r="K56" s="113"/>
      <c r="L56" s="113"/>
      <c r="M56" s="113"/>
      <c r="N56" s="113"/>
      <c r="O56" s="113"/>
      <c r="P56" s="113"/>
      <c r="Q56" s="113"/>
      <c r="R56" s="113"/>
      <c r="S56" s="113"/>
      <c r="T56" s="113"/>
      <c r="U56" s="113"/>
      <c r="V56" s="113"/>
      <c r="W56" s="1"/>
      <c r="X56" s="1"/>
      <c r="Y56" s="1"/>
      <c r="Z56" s="1"/>
    </row>
    <row r="57" ht="12.0" customHeight="1">
      <c r="A57" s="1"/>
      <c r="B57" s="936" t="s">
        <v>1599</v>
      </c>
      <c r="C57" s="936"/>
      <c r="D57" s="936"/>
      <c r="E57" s="503"/>
      <c r="F57" s="937"/>
      <c r="G57" s="937"/>
      <c r="H57" s="503"/>
      <c r="I57" s="113"/>
      <c r="J57" s="113"/>
      <c r="K57" s="113"/>
      <c r="L57" s="113"/>
      <c r="M57" s="113"/>
      <c r="N57" s="113"/>
      <c r="O57" s="113"/>
      <c r="P57" s="113"/>
      <c r="Q57" s="113"/>
      <c r="R57" s="113"/>
      <c r="S57" s="113"/>
      <c r="T57" s="113"/>
      <c r="U57" s="113"/>
      <c r="V57" s="113"/>
      <c r="W57" s="1"/>
      <c r="X57" s="1"/>
      <c r="Y57" s="1"/>
      <c r="Z57" s="1"/>
    </row>
    <row r="58" ht="6.0" customHeight="1">
      <c r="A58" s="1"/>
      <c r="B58" s="936"/>
      <c r="C58" s="936"/>
      <c r="D58" s="936"/>
      <c r="E58" s="503"/>
      <c r="F58" s="937"/>
      <c r="G58" s="937"/>
      <c r="H58" s="503"/>
      <c r="I58" s="113"/>
      <c r="J58" s="113"/>
      <c r="K58" s="113"/>
      <c r="L58" s="113"/>
      <c r="M58" s="113"/>
      <c r="N58" s="113"/>
      <c r="O58" s="113"/>
      <c r="P58" s="113"/>
      <c r="Q58" s="113"/>
      <c r="R58" s="113"/>
      <c r="S58" s="113"/>
      <c r="T58" s="113"/>
      <c r="U58" s="113"/>
      <c r="V58" s="113"/>
      <c r="W58" s="1"/>
      <c r="X58" s="1"/>
      <c r="Y58" s="1"/>
      <c r="Z58" s="1"/>
    </row>
    <row r="59" ht="10.5" customHeight="1">
      <c r="A59" s="1"/>
      <c r="B59" s="939" t="s">
        <v>1600</v>
      </c>
      <c r="C59" s="939"/>
      <c r="D59" s="939"/>
      <c r="E59" s="113"/>
      <c r="F59" s="113"/>
      <c r="G59" s="113"/>
      <c r="H59" s="113"/>
      <c r="I59" s="113"/>
      <c r="J59" s="113"/>
      <c r="K59" s="113"/>
      <c r="L59" s="113"/>
      <c r="M59" s="113"/>
      <c r="N59" s="113"/>
      <c r="O59" s="113"/>
      <c r="P59" s="113"/>
      <c r="Q59" s="113"/>
      <c r="R59" s="113"/>
      <c r="S59" s="113"/>
      <c r="T59" s="113"/>
      <c r="U59" s="113"/>
      <c r="V59" s="113"/>
      <c r="W59" s="1"/>
      <c r="X59" s="1"/>
      <c r="Y59" s="1"/>
      <c r="Z59" s="1"/>
    </row>
    <row r="60" ht="10.5" customHeight="1">
      <c r="A60" s="1"/>
      <c r="B60" s="185" t="s">
        <v>1604</v>
      </c>
      <c r="E60" s="113"/>
      <c r="F60" s="113"/>
      <c r="G60" s="113"/>
      <c r="H60" s="113"/>
      <c r="I60" s="113"/>
      <c r="J60" s="113"/>
      <c r="K60" s="113"/>
      <c r="L60" s="113"/>
      <c r="M60" s="113"/>
      <c r="N60" s="113"/>
      <c r="O60" s="113"/>
      <c r="P60" s="113"/>
      <c r="Q60" s="113"/>
      <c r="R60" s="113"/>
      <c r="S60" s="113"/>
      <c r="T60" s="113"/>
      <c r="U60" s="113"/>
      <c r="V60" s="113"/>
      <c r="W60" s="1"/>
      <c r="X60" s="1"/>
      <c r="Y60" s="1"/>
      <c r="Z60" s="1"/>
    </row>
    <row r="61" ht="10.5" customHeight="1">
      <c r="A61" s="1"/>
      <c r="B61" s="113"/>
      <c r="C61" s="113"/>
      <c r="D61" s="113"/>
      <c r="E61" s="113"/>
      <c r="F61" s="113"/>
      <c r="G61" s="113"/>
      <c r="H61" s="113"/>
      <c r="I61" s="113"/>
      <c r="J61" s="113"/>
      <c r="K61" s="113"/>
      <c r="L61" s="113"/>
      <c r="M61" s="113"/>
      <c r="N61" s="113"/>
      <c r="O61" s="113"/>
      <c r="P61" s="113"/>
      <c r="Q61" s="113"/>
      <c r="R61" s="113"/>
      <c r="S61" s="113"/>
      <c r="T61" s="113"/>
      <c r="U61" s="113"/>
      <c r="V61" s="940"/>
      <c r="W61" s="1"/>
      <c r="X61" s="1"/>
      <c r="Y61" s="1"/>
      <c r="Z61" s="1"/>
    </row>
    <row r="62" ht="10.5" customHeight="1">
      <c r="A62" s="1"/>
      <c r="B62" s="113"/>
      <c r="C62" s="113"/>
      <c r="D62" s="113"/>
      <c r="E62" s="113"/>
      <c r="F62" s="113"/>
      <c r="G62" s="113"/>
      <c r="H62" s="113"/>
      <c r="I62" s="113"/>
      <c r="J62" s="113"/>
      <c r="K62" s="113"/>
      <c r="L62" s="113"/>
      <c r="M62" s="113"/>
      <c r="N62" s="113"/>
      <c r="O62" s="113"/>
      <c r="P62" s="113"/>
      <c r="Q62" s="113"/>
      <c r="R62" s="113"/>
      <c r="S62" s="113"/>
      <c r="T62" s="113"/>
      <c r="U62" s="113"/>
      <c r="V62" s="113"/>
      <c r="W62" s="1"/>
      <c r="X62" s="1"/>
      <c r="Y62" s="1"/>
      <c r="Z62" s="1"/>
    </row>
    <row r="63" ht="10.5" customHeight="1">
      <c r="A63" s="1"/>
      <c r="B63" s="941"/>
      <c r="C63" s="113"/>
      <c r="D63" s="113"/>
      <c r="E63" s="113"/>
      <c r="F63" s="113"/>
      <c r="G63" s="778">
        <v>84.0</v>
      </c>
      <c r="H63" s="113"/>
      <c r="I63" s="113"/>
      <c r="J63" s="113"/>
      <c r="K63" s="113"/>
      <c r="L63" s="113"/>
      <c r="M63" s="113"/>
      <c r="N63" s="113"/>
      <c r="O63" s="113"/>
      <c r="P63" s="113"/>
      <c r="Q63" s="113"/>
      <c r="R63" s="113"/>
      <c r="S63" s="113"/>
      <c r="T63" s="113"/>
      <c r="U63" s="113"/>
      <c r="V63" s="113"/>
      <c r="W63" s="1"/>
      <c r="X63" s="1"/>
      <c r="Y63" s="1"/>
      <c r="Z63" s="1"/>
    </row>
    <row r="64" ht="10.5" customHeight="1">
      <c r="A64" s="1"/>
      <c r="B64" s="113"/>
      <c r="C64" s="113"/>
      <c r="D64" s="113"/>
      <c r="E64" s="113"/>
      <c r="F64" s="113"/>
      <c r="G64" s="113"/>
      <c r="H64" s="113"/>
      <c r="I64" s="113"/>
      <c r="J64" s="113"/>
      <c r="K64" s="113"/>
      <c r="L64" s="113"/>
      <c r="M64" s="113"/>
      <c r="N64" s="113"/>
      <c r="O64" s="113"/>
      <c r="P64" s="113"/>
      <c r="Q64" s="113"/>
      <c r="R64" s="113"/>
      <c r="S64" s="113"/>
      <c r="T64" s="113"/>
      <c r="U64" s="113"/>
      <c r="V64" s="113"/>
      <c r="W64" s="1"/>
      <c r="X64" s="1"/>
      <c r="Y64" s="1"/>
      <c r="Z64" s="1"/>
    </row>
    <row r="65" ht="11.25" customHeight="1">
      <c r="A65" s="1"/>
      <c r="B65" s="942" t="s">
        <v>1610</v>
      </c>
      <c r="C65" s="113"/>
      <c r="D65" s="113"/>
      <c r="E65" s="113"/>
      <c r="F65" s="113"/>
      <c r="G65" s="113"/>
      <c r="H65" s="113"/>
      <c r="I65" s="113"/>
      <c r="J65" s="113"/>
      <c r="K65" s="113"/>
      <c r="L65" s="113"/>
      <c r="M65" s="113"/>
      <c r="N65" s="113"/>
      <c r="O65" s="113"/>
      <c r="P65" s="113"/>
      <c r="Q65" s="113"/>
      <c r="R65" s="113"/>
      <c r="S65" s="113"/>
      <c r="T65" s="113"/>
      <c r="U65" s="113"/>
      <c r="V65" s="113"/>
      <c r="W65" s="1"/>
      <c r="X65" s="1"/>
      <c r="Y65" s="1"/>
      <c r="Z65" s="1"/>
    </row>
    <row r="66" ht="11.25" customHeight="1">
      <c r="A66" s="1"/>
      <c r="B66" s="943" t="s">
        <v>1327</v>
      </c>
      <c r="C66" s="68"/>
      <c r="D66" s="68"/>
      <c r="E66" s="68"/>
      <c r="F66" s="70"/>
      <c r="G66" s="944">
        <v>2000.0</v>
      </c>
      <c r="H66" s="944">
        <v>2001.0</v>
      </c>
      <c r="I66" s="945">
        <v>2002.0</v>
      </c>
      <c r="J66" s="946">
        <v>2003.0</v>
      </c>
      <c r="K66" s="947">
        <v>2004.0</v>
      </c>
      <c r="L66" s="947">
        <v>2005.0</v>
      </c>
      <c r="M66" s="949">
        <v>2006.0</v>
      </c>
      <c r="N66" s="949">
        <v>2007.0</v>
      </c>
      <c r="O66" s="949">
        <v>2008.0</v>
      </c>
      <c r="P66" s="949">
        <v>2009.0</v>
      </c>
      <c r="Q66" s="765">
        <v>2010.0</v>
      </c>
      <c r="R66" s="766" t="s">
        <v>487</v>
      </c>
      <c r="S66" s="766" t="s">
        <v>489</v>
      </c>
      <c r="T66" s="950" t="s">
        <v>55</v>
      </c>
      <c r="U66" s="950" t="s">
        <v>57</v>
      </c>
      <c r="V66" s="951" t="s">
        <v>58</v>
      </c>
      <c r="W66" s="951" t="s">
        <v>59</v>
      </c>
      <c r="X66" s="951" t="s">
        <v>1616</v>
      </c>
      <c r="Y66" s="1"/>
      <c r="Z66" s="1"/>
    </row>
    <row r="67" ht="12.75" customHeight="1">
      <c r="A67" s="1"/>
      <c r="B67" s="118"/>
      <c r="C67" s="35"/>
      <c r="D67" s="35"/>
      <c r="E67" s="35"/>
      <c r="F67" s="94"/>
      <c r="G67" s="955" t="s">
        <v>50</v>
      </c>
      <c r="H67" s="9"/>
      <c r="I67" s="9"/>
      <c r="J67" s="9"/>
      <c r="K67" s="9"/>
      <c r="L67" s="9"/>
      <c r="M67" s="9"/>
      <c r="N67" s="9"/>
      <c r="O67" s="9"/>
      <c r="P67" s="9"/>
      <c r="Q67" s="9"/>
      <c r="R67" s="9"/>
      <c r="S67" s="9"/>
      <c r="T67" s="9"/>
      <c r="U67" s="9"/>
      <c r="V67" s="9"/>
      <c r="W67" s="9"/>
      <c r="X67" s="10"/>
      <c r="Y67" s="1"/>
      <c r="Z67" s="1"/>
    </row>
    <row r="68" ht="10.5" customHeight="1">
      <c r="A68" s="1"/>
      <c r="B68" s="956" t="s">
        <v>1621</v>
      </c>
      <c r="C68" s="68"/>
      <c r="D68" s="68"/>
      <c r="E68" s="68"/>
      <c r="F68" s="958"/>
      <c r="G68" s="959">
        <v>1856444.0</v>
      </c>
      <c r="H68" s="959">
        <v>2702794.0</v>
      </c>
      <c r="I68" s="959">
        <v>2280446.0</v>
      </c>
      <c r="J68" s="959">
        <v>1786877.0</v>
      </c>
      <c r="K68" s="192">
        <v>1590669.0</v>
      </c>
      <c r="L68" s="33">
        <v>1991755.0</v>
      </c>
      <c r="M68" s="428">
        <v>3385045.0</v>
      </c>
      <c r="N68" s="428">
        <v>2703676.0</v>
      </c>
      <c r="O68" s="428">
        <v>3229572.0</v>
      </c>
      <c r="P68" s="961">
        <v>3872753.0</v>
      </c>
      <c r="Q68" s="192">
        <v>2161738.0</v>
      </c>
      <c r="R68" s="192">
        <v>1427151.0</v>
      </c>
      <c r="S68" s="962">
        <v>2726189.0</v>
      </c>
      <c r="T68" s="964">
        <v>4303140.0</v>
      </c>
      <c r="U68" s="113">
        <v>4603309.0</v>
      </c>
      <c r="V68" s="961">
        <v>2009007.0</v>
      </c>
      <c r="W68" s="961">
        <v>2051006.0</v>
      </c>
      <c r="X68" s="961">
        <v>3657770.0</v>
      </c>
      <c r="Y68" s="1"/>
      <c r="Z68" s="1"/>
    </row>
    <row r="69" ht="10.5" customHeight="1">
      <c r="A69" s="1"/>
      <c r="B69" s="966" t="s">
        <v>1622</v>
      </c>
      <c r="F69" s="967"/>
      <c r="G69" s="30">
        <v>1690896.0</v>
      </c>
      <c r="H69" s="30">
        <v>1963036.0</v>
      </c>
      <c r="I69" s="30">
        <v>3000144.0</v>
      </c>
      <c r="J69" s="30">
        <v>3148295.0</v>
      </c>
      <c r="K69" s="33">
        <v>3435106.0</v>
      </c>
      <c r="L69" s="33">
        <v>3791734.0</v>
      </c>
      <c r="M69" s="428">
        <v>3549958.0</v>
      </c>
      <c r="N69" s="428">
        <v>4725837.0</v>
      </c>
      <c r="O69" s="428">
        <v>6192014.0</v>
      </c>
      <c r="P69" s="961">
        <v>5990423.0</v>
      </c>
      <c r="Q69" s="33">
        <v>5713042.0</v>
      </c>
      <c r="R69" s="33">
        <v>5459601.0</v>
      </c>
      <c r="S69" s="191">
        <v>6336282.0</v>
      </c>
      <c r="T69" s="969">
        <v>8389491.0</v>
      </c>
      <c r="U69" s="113">
        <v>8534161.0</v>
      </c>
      <c r="V69" s="961">
        <v>8942785.0</v>
      </c>
      <c r="W69" s="961">
        <v>9728476.0</v>
      </c>
      <c r="X69" s="961">
        <v>9555441.0</v>
      </c>
      <c r="Y69" s="1"/>
      <c r="Z69" s="1"/>
    </row>
    <row r="70" ht="10.5" customHeight="1">
      <c r="A70" s="1"/>
      <c r="B70" s="972" t="s">
        <v>1624</v>
      </c>
      <c r="F70" s="973"/>
      <c r="G70" s="30">
        <v>1491780.0</v>
      </c>
      <c r="H70" s="30">
        <v>1791213.0</v>
      </c>
      <c r="I70" s="30">
        <v>2274276.0</v>
      </c>
      <c r="J70" s="30">
        <v>2595675.0</v>
      </c>
      <c r="K70" s="33">
        <v>2963593.0</v>
      </c>
      <c r="L70" s="33">
        <v>3181479.0</v>
      </c>
      <c r="M70" s="428">
        <v>3415311.0</v>
      </c>
      <c r="N70" s="428">
        <v>4332230.0</v>
      </c>
      <c r="O70" s="428">
        <v>5502336.0</v>
      </c>
      <c r="P70" s="961">
        <v>5375368.0</v>
      </c>
      <c r="Q70" s="33">
        <v>6616408.0</v>
      </c>
      <c r="R70" s="33">
        <v>6935879.0</v>
      </c>
      <c r="S70" s="191">
        <v>7413984.0</v>
      </c>
      <c r="T70" s="969">
        <v>9397105.0</v>
      </c>
      <c r="U70" s="113">
        <v>1.179898E7</v>
      </c>
      <c r="V70" s="961">
        <v>1.3922161E7</v>
      </c>
      <c r="W70" s="961">
        <v>1.7123E7</v>
      </c>
      <c r="X70" s="961">
        <v>1.8670513E7</v>
      </c>
      <c r="Y70" s="1"/>
      <c r="Z70" s="1"/>
    </row>
    <row r="71" ht="10.5" customHeight="1">
      <c r="A71" s="1"/>
      <c r="B71" s="966" t="s">
        <v>1625</v>
      </c>
      <c r="E71" s="113"/>
      <c r="F71" s="977"/>
      <c r="G71" s="30">
        <v>1266120.0</v>
      </c>
      <c r="H71" s="30">
        <v>1327216.0</v>
      </c>
      <c r="I71" s="30">
        <v>1616337.0</v>
      </c>
      <c r="J71" s="30">
        <v>1657416.0</v>
      </c>
      <c r="K71" s="33">
        <v>2049947.0</v>
      </c>
      <c r="L71" s="33">
        <v>2103861.0</v>
      </c>
      <c r="M71" s="428">
        <v>2016151.0</v>
      </c>
      <c r="N71" s="428">
        <v>2609364.0</v>
      </c>
      <c r="O71" s="428">
        <v>3080286.0</v>
      </c>
      <c r="P71" s="961">
        <v>3438269.0</v>
      </c>
      <c r="Q71" s="33">
        <v>3692355.0</v>
      </c>
      <c r="R71" s="33">
        <v>3437990.0</v>
      </c>
      <c r="S71" s="191">
        <v>4107374.0</v>
      </c>
      <c r="T71" s="969">
        <v>5015766.0</v>
      </c>
      <c r="U71" s="113">
        <v>6288710.0</v>
      </c>
      <c r="V71" s="961">
        <v>7537557.0</v>
      </c>
      <c r="W71" s="961">
        <v>7869662.0</v>
      </c>
      <c r="X71" s="961">
        <v>8535890.0</v>
      </c>
      <c r="Y71" s="1"/>
      <c r="Z71" s="1"/>
    </row>
    <row r="72" ht="10.5" customHeight="1">
      <c r="A72" s="1"/>
      <c r="B72" s="966" t="s">
        <v>1626</v>
      </c>
      <c r="F72" s="967"/>
      <c r="G72" s="30">
        <v>860416.0</v>
      </c>
      <c r="H72" s="30">
        <v>989688.0</v>
      </c>
      <c r="I72" s="30">
        <v>1352210.0</v>
      </c>
      <c r="J72" s="30">
        <v>1426175.0</v>
      </c>
      <c r="K72" s="33">
        <v>1336603.0</v>
      </c>
      <c r="L72" s="33">
        <v>1152544.0</v>
      </c>
      <c r="M72" s="428">
        <v>1219024.0</v>
      </c>
      <c r="N72" s="428">
        <v>1283738.0</v>
      </c>
      <c r="O72" s="428">
        <v>1490649.0</v>
      </c>
      <c r="P72" s="961">
        <v>1596712.0</v>
      </c>
      <c r="Q72" s="33">
        <v>1531745.0</v>
      </c>
      <c r="R72" s="33">
        <v>1364733.0</v>
      </c>
      <c r="S72" s="191">
        <v>1609956.0</v>
      </c>
      <c r="T72" s="969">
        <v>1859868.0</v>
      </c>
      <c r="U72" s="113">
        <v>2037797.0</v>
      </c>
      <c r="V72" s="961">
        <v>2436805.0</v>
      </c>
      <c r="W72" s="961">
        <v>2803441.0</v>
      </c>
      <c r="X72" s="961">
        <v>2573963.0</v>
      </c>
      <c r="Y72" s="1"/>
      <c r="Z72" s="1"/>
    </row>
    <row r="73" ht="10.5" customHeight="1">
      <c r="A73" s="1"/>
      <c r="B73" s="966" t="s">
        <v>1627</v>
      </c>
      <c r="F73" s="967"/>
      <c r="G73" s="30">
        <v>703256.0</v>
      </c>
      <c r="H73" s="30">
        <v>834168.0</v>
      </c>
      <c r="I73" s="30">
        <v>1248177.0</v>
      </c>
      <c r="J73" s="30">
        <v>1438248.0</v>
      </c>
      <c r="K73" s="33">
        <v>1678925.0</v>
      </c>
      <c r="L73" s="33">
        <v>1541996.0</v>
      </c>
      <c r="M73" s="428">
        <v>1537801.0</v>
      </c>
      <c r="N73" s="428">
        <v>2326592.0</v>
      </c>
      <c r="O73" s="428">
        <v>2893406.0</v>
      </c>
      <c r="P73" s="961">
        <v>3114790.0</v>
      </c>
      <c r="Q73" s="33">
        <v>2986251.0</v>
      </c>
      <c r="R73" s="33">
        <v>3321724.0</v>
      </c>
      <c r="S73" s="191">
        <v>4067281.0</v>
      </c>
      <c r="T73" s="969">
        <v>6136547.0</v>
      </c>
      <c r="U73" s="113">
        <v>5906820.0</v>
      </c>
      <c r="V73" s="961">
        <v>6924761.0</v>
      </c>
      <c r="W73" s="961">
        <v>8068529.0</v>
      </c>
      <c r="X73" s="961">
        <v>7644995.0</v>
      </c>
      <c r="Y73" s="1"/>
      <c r="Z73" s="1"/>
    </row>
    <row r="74" ht="10.5" customHeight="1">
      <c r="A74" s="1"/>
      <c r="B74" s="966" t="s">
        <v>1628</v>
      </c>
      <c r="F74" s="967"/>
      <c r="G74" s="30">
        <v>646731.0</v>
      </c>
      <c r="H74" s="30">
        <v>650320.0</v>
      </c>
      <c r="I74" s="30">
        <v>964741.0</v>
      </c>
      <c r="J74" s="30">
        <v>793924.0</v>
      </c>
      <c r="K74" s="33">
        <v>616782.0</v>
      </c>
      <c r="L74" s="33">
        <v>818016.0</v>
      </c>
      <c r="M74" s="428">
        <v>1005567.0</v>
      </c>
      <c r="N74" s="428">
        <v>960637.0</v>
      </c>
      <c r="O74" s="428">
        <v>1431691.0</v>
      </c>
      <c r="P74" s="961">
        <v>1431917.0</v>
      </c>
      <c r="Q74" s="33">
        <v>1510124.0</v>
      </c>
      <c r="R74" s="33">
        <v>1668193.0</v>
      </c>
      <c r="S74" s="191">
        <v>2544665.0</v>
      </c>
      <c r="T74" s="969">
        <v>3025251.0</v>
      </c>
      <c r="U74" s="113">
        <v>3555772.0</v>
      </c>
      <c r="V74" s="961">
        <v>3763832.0</v>
      </c>
      <c r="W74" s="961">
        <v>3751947.0</v>
      </c>
      <c r="X74" s="961">
        <v>3362776.0</v>
      </c>
      <c r="Y74" s="1"/>
      <c r="Z74" s="1"/>
    </row>
    <row r="75" ht="10.5" customHeight="1">
      <c r="A75" s="1"/>
      <c r="B75" s="966" t="s">
        <v>1629</v>
      </c>
      <c r="F75" s="967"/>
      <c r="G75" s="30">
        <v>547178.0</v>
      </c>
      <c r="H75" s="30">
        <v>642162.0</v>
      </c>
      <c r="I75" s="30">
        <v>522440.0</v>
      </c>
      <c r="J75" s="30">
        <v>270013.0</v>
      </c>
      <c r="K75" s="33">
        <v>274455.0</v>
      </c>
      <c r="L75" s="33">
        <v>412301.0</v>
      </c>
      <c r="M75" s="428">
        <v>535736.0</v>
      </c>
      <c r="N75" s="428">
        <v>507145.0</v>
      </c>
      <c r="O75" s="428">
        <v>521623.0</v>
      </c>
      <c r="P75" s="961">
        <v>677967.0</v>
      </c>
      <c r="Q75" s="33">
        <v>737506.0</v>
      </c>
      <c r="R75" s="33">
        <v>703333.0</v>
      </c>
      <c r="S75" s="191">
        <v>1917150.0</v>
      </c>
      <c r="T75" s="969">
        <v>1878866.0</v>
      </c>
      <c r="U75" s="113">
        <v>1736094.0</v>
      </c>
      <c r="V75" s="961">
        <v>1925918.0</v>
      </c>
      <c r="W75" s="961">
        <v>1932612.0</v>
      </c>
      <c r="X75" s="961">
        <v>1940838.0</v>
      </c>
      <c r="Y75" s="1"/>
      <c r="Z75" s="1"/>
    </row>
    <row r="76" ht="10.5" customHeight="1">
      <c r="A76" s="1"/>
      <c r="B76" s="966" t="s">
        <v>1563</v>
      </c>
      <c r="C76" s="113"/>
      <c r="D76" s="113"/>
      <c r="E76" s="113"/>
      <c r="F76" s="977"/>
      <c r="G76" s="30">
        <v>502575.0</v>
      </c>
      <c r="H76" s="30">
        <v>692061.0</v>
      </c>
      <c r="I76" s="30">
        <v>1417841.0</v>
      </c>
      <c r="J76" s="30">
        <v>1070242.0</v>
      </c>
      <c r="K76" s="33">
        <v>725700.0</v>
      </c>
      <c r="L76" s="33">
        <v>1645154.0</v>
      </c>
      <c r="M76" s="428">
        <v>965083.0</v>
      </c>
      <c r="N76" s="428">
        <v>229713.0</v>
      </c>
      <c r="O76" s="428">
        <v>4333233.0</v>
      </c>
      <c r="P76" s="961">
        <v>3788324.0</v>
      </c>
      <c r="Q76" s="33">
        <v>2228620.0</v>
      </c>
      <c r="R76" s="33">
        <v>5879136.0</v>
      </c>
      <c r="S76" s="191">
        <v>4472952.0</v>
      </c>
      <c r="T76" s="969">
        <v>7387486.0</v>
      </c>
      <c r="U76" s="113">
        <v>6539195.0</v>
      </c>
      <c r="V76" s="961">
        <v>2704921.0</v>
      </c>
      <c r="W76" s="961">
        <v>4912913.0</v>
      </c>
      <c r="X76" s="961">
        <v>6304352.0</v>
      </c>
      <c r="Y76" s="1"/>
      <c r="Z76" s="1"/>
    </row>
    <row r="77" ht="10.5" customHeight="1">
      <c r="A77" s="1"/>
      <c r="B77" s="966" t="s">
        <v>1630</v>
      </c>
      <c r="F77" s="967"/>
      <c r="G77" s="30">
        <v>378033.0</v>
      </c>
      <c r="H77" s="30">
        <v>537813.0</v>
      </c>
      <c r="I77" s="30">
        <v>674749.0</v>
      </c>
      <c r="J77" s="30">
        <v>472111.0</v>
      </c>
      <c r="K77" s="33">
        <v>483186.0</v>
      </c>
      <c r="L77" s="33">
        <v>1131955.0</v>
      </c>
      <c r="M77" s="428">
        <v>806080.0</v>
      </c>
      <c r="N77" s="428">
        <v>833793.0</v>
      </c>
      <c r="O77" s="428">
        <v>967024.0</v>
      </c>
      <c r="P77" s="961">
        <v>920844.0</v>
      </c>
      <c r="Q77" s="33">
        <v>927372.0</v>
      </c>
      <c r="R77" s="33">
        <v>914873.0</v>
      </c>
      <c r="S77" s="191">
        <v>1269470.0</v>
      </c>
      <c r="T77" s="969">
        <v>1861961.0</v>
      </c>
      <c r="U77" s="113">
        <v>1850711.0</v>
      </c>
      <c r="V77" s="961">
        <v>2004405.0</v>
      </c>
      <c r="W77" s="961">
        <v>1835197.0</v>
      </c>
      <c r="X77" s="961">
        <v>1881008.0</v>
      </c>
      <c r="Y77" s="1"/>
      <c r="Z77" s="1"/>
    </row>
    <row r="78" ht="10.5" customHeight="1">
      <c r="A78" s="1"/>
      <c r="B78" s="966" t="s">
        <v>1601</v>
      </c>
      <c r="C78" s="113"/>
      <c r="D78" s="113"/>
      <c r="E78" s="113"/>
      <c r="F78" s="977"/>
      <c r="G78" s="30">
        <v>351613.0</v>
      </c>
      <c r="H78" s="30">
        <v>414590.0</v>
      </c>
      <c r="I78" s="30">
        <v>767355.0</v>
      </c>
      <c r="J78" s="30">
        <v>641328.0</v>
      </c>
      <c r="K78" s="33">
        <v>576766.0</v>
      </c>
      <c r="L78" s="33">
        <v>578940.0</v>
      </c>
      <c r="M78" s="428">
        <v>756725.0</v>
      </c>
      <c r="N78" s="428">
        <v>1128670.0</v>
      </c>
      <c r="O78" s="428">
        <v>1235264.0</v>
      </c>
      <c r="P78" s="961">
        <v>1290036.0</v>
      </c>
      <c r="Q78" s="33">
        <v>1317861.0</v>
      </c>
      <c r="R78" s="33">
        <v>2162956.0</v>
      </c>
      <c r="S78" s="191">
        <v>2393617.0</v>
      </c>
      <c r="T78" s="969">
        <v>2937507.0</v>
      </c>
      <c r="U78" s="113">
        <v>2841138.0</v>
      </c>
      <c r="V78" s="961">
        <v>3285783.0</v>
      </c>
      <c r="W78" s="961">
        <v>3998610.0</v>
      </c>
      <c r="X78" s="961">
        <v>4714515.0</v>
      </c>
      <c r="Y78" s="1"/>
      <c r="Z78" s="1"/>
    </row>
    <row r="79" ht="10.5" customHeight="1">
      <c r="A79" s="1"/>
      <c r="B79" s="966" t="s">
        <v>1632</v>
      </c>
      <c r="F79" s="967"/>
      <c r="G79" s="30">
        <v>238268.0</v>
      </c>
      <c r="H79" s="30">
        <v>284648.0</v>
      </c>
      <c r="I79" s="30">
        <v>363131.0</v>
      </c>
      <c r="J79" s="30">
        <v>274373.0</v>
      </c>
      <c r="K79" s="33">
        <v>234077.0</v>
      </c>
      <c r="L79" s="33">
        <v>266797.0</v>
      </c>
      <c r="M79" s="428">
        <v>371298.0</v>
      </c>
      <c r="N79" s="428">
        <v>525001.0</v>
      </c>
      <c r="O79" s="428">
        <v>682053.0</v>
      </c>
      <c r="P79" s="961">
        <v>780339.0</v>
      </c>
      <c r="Q79" s="33">
        <v>878316.0</v>
      </c>
      <c r="R79" s="33">
        <v>1173467.0</v>
      </c>
      <c r="S79" s="191">
        <v>1565844.0</v>
      </c>
      <c r="T79" s="969">
        <v>1763157.0</v>
      </c>
      <c r="U79" s="113">
        <v>2282352.0</v>
      </c>
      <c r="V79" s="961">
        <v>2568134.0</v>
      </c>
      <c r="W79" s="961">
        <v>2631361.0</v>
      </c>
      <c r="X79" s="961">
        <v>2637302.0</v>
      </c>
      <c r="Y79" s="1"/>
      <c r="Z79" s="1"/>
    </row>
    <row r="80" ht="10.5" customHeight="1">
      <c r="A80" s="1"/>
      <c r="B80" s="966" t="s">
        <v>1633</v>
      </c>
      <c r="F80" s="87"/>
      <c r="G80" s="30">
        <v>209379.0</v>
      </c>
      <c r="H80" s="30">
        <v>252319.0</v>
      </c>
      <c r="I80" s="30">
        <v>304760.0</v>
      </c>
      <c r="J80" s="30">
        <v>318057.0</v>
      </c>
      <c r="K80" s="33">
        <v>339371.0</v>
      </c>
      <c r="L80" s="33">
        <v>314562.0</v>
      </c>
      <c r="M80" s="428">
        <v>250054.0</v>
      </c>
      <c r="N80" s="428">
        <v>353611.0</v>
      </c>
      <c r="O80" s="428">
        <v>480433.0</v>
      </c>
      <c r="P80" s="961">
        <v>643512.0</v>
      </c>
      <c r="Q80" s="983">
        <v>639772.0</v>
      </c>
      <c r="R80" s="983">
        <v>785998.0</v>
      </c>
      <c r="S80" s="984">
        <v>805653.0</v>
      </c>
      <c r="T80" s="969">
        <v>1096967.0</v>
      </c>
      <c r="U80" s="113">
        <v>1502162.0</v>
      </c>
      <c r="V80" s="961">
        <v>1518497.0</v>
      </c>
      <c r="W80" s="961">
        <v>1765191.0</v>
      </c>
      <c r="X80" s="961">
        <v>1653318.0</v>
      </c>
      <c r="Y80" s="1"/>
      <c r="Z80" s="1"/>
    </row>
    <row r="81" ht="10.5" customHeight="1">
      <c r="A81" s="986"/>
      <c r="B81" s="966" t="s">
        <v>1576</v>
      </c>
      <c r="C81" s="113"/>
      <c r="D81" s="113"/>
      <c r="E81" s="113"/>
      <c r="F81" s="977"/>
      <c r="G81" s="30">
        <v>204879.0</v>
      </c>
      <c r="H81" s="30">
        <v>528149.0</v>
      </c>
      <c r="I81" s="30">
        <v>334769.0</v>
      </c>
      <c r="J81" s="30">
        <v>300168.0</v>
      </c>
      <c r="K81" s="33">
        <v>269006.0</v>
      </c>
      <c r="L81" s="33">
        <v>229824.0</v>
      </c>
      <c r="M81" s="428">
        <v>225750.0</v>
      </c>
      <c r="N81" s="428">
        <v>292124.0</v>
      </c>
      <c r="O81" s="428">
        <v>280376.0</v>
      </c>
      <c r="P81" s="961">
        <v>337475.0</v>
      </c>
      <c r="Q81" s="983">
        <v>411547.0</v>
      </c>
      <c r="R81" s="983">
        <v>162502.0</v>
      </c>
      <c r="S81" s="984">
        <v>120574.0</v>
      </c>
      <c r="T81" s="969">
        <v>74905.0</v>
      </c>
      <c r="U81" s="113">
        <v>77126.0</v>
      </c>
      <c r="V81" s="961">
        <v>102477.0</v>
      </c>
      <c r="W81" s="961">
        <v>108859.0</v>
      </c>
      <c r="X81" s="961">
        <v>123814.0</v>
      </c>
      <c r="Y81" s="1"/>
      <c r="Z81" s="1"/>
    </row>
    <row r="82" ht="10.5" customHeight="1">
      <c r="B82" s="966" t="s">
        <v>1634</v>
      </c>
      <c r="F82" s="87"/>
      <c r="G82" s="30">
        <v>180861.0</v>
      </c>
      <c r="H82" s="30">
        <v>169155.0</v>
      </c>
      <c r="I82" s="30">
        <v>280599.0</v>
      </c>
      <c r="J82" s="30">
        <v>290335.0</v>
      </c>
      <c r="K82" s="33">
        <v>222198.0</v>
      </c>
      <c r="L82" s="33">
        <v>317002.0</v>
      </c>
      <c r="M82" s="428">
        <v>218288.0</v>
      </c>
      <c r="N82" s="428">
        <v>313555.0</v>
      </c>
      <c r="O82" s="428">
        <v>400101.0</v>
      </c>
      <c r="P82" s="961">
        <v>320714.0</v>
      </c>
      <c r="Q82" s="983">
        <v>443967.0</v>
      </c>
      <c r="R82" s="983">
        <v>325607.0</v>
      </c>
      <c r="S82" s="984">
        <v>704038.0</v>
      </c>
      <c r="T82" s="969">
        <v>907639.0</v>
      </c>
      <c r="U82" s="113">
        <v>1192240.0</v>
      </c>
      <c r="V82" s="961">
        <v>1316027.0</v>
      </c>
      <c r="W82" s="961">
        <v>1389896.0</v>
      </c>
      <c r="X82" s="961">
        <v>1283635.0</v>
      </c>
      <c r="Y82" s="1"/>
      <c r="Z82" s="1"/>
    </row>
    <row r="83" ht="10.5" customHeight="1">
      <c r="A83" s="986">
        <v>85.0</v>
      </c>
      <c r="B83" s="966" t="s">
        <v>1635</v>
      </c>
      <c r="F83" s="967"/>
      <c r="G83" s="30">
        <v>180289.0</v>
      </c>
      <c r="H83" s="30">
        <v>293737.0</v>
      </c>
      <c r="I83" s="30">
        <v>498248.0</v>
      </c>
      <c r="J83" s="30">
        <v>408988.0</v>
      </c>
      <c r="K83" s="33">
        <v>374433.0</v>
      </c>
      <c r="L83" s="33">
        <v>307861.0</v>
      </c>
      <c r="M83" s="428">
        <v>304747.0</v>
      </c>
      <c r="N83" s="428">
        <v>395390.0</v>
      </c>
      <c r="O83" s="428">
        <v>405197.0</v>
      </c>
      <c r="P83" s="961">
        <v>315542.0</v>
      </c>
      <c r="Q83" s="33">
        <v>402803.0</v>
      </c>
      <c r="R83" s="33">
        <v>580332.0</v>
      </c>
      <c r="S83" s="191">
        <v>549669.0</v>
      </c>
      <c r="T83" s="969">
        <v>1664768.0</v>
      </c>
      <c r="U83" s="113">
        <v>826398.0</v>
      </c>
      <c r="V83" s="961">
        <v>816154.0</v>
      </c>
      <c r="W83" s="961">
        <v>813179.0</v>
      </c>
      <c r="X83" s="961">
        <v>733960.0</v>
      </c>
      <c r="Y83" s="1"/>
      <c r="Z83" s="1"/>
    </row>
    <row r="84" ht="10.5" customHeight="1">
      <c r="B84" s="966" t="s">
        <v>1636</v>
      </c>
      <c r="F84" s="967"/>
      <c r="G84" s="30">
        <v>167785.0</v>
      </c>
      <c r="H84" s="30">
        <v>319788.0</v>
      </c>
      <c r="I84" s="30">
        <v>283395.0</v>
      </c>
      <c r="J84" s="30">
        <v>221422.0</v>
      </c>
      <c r="K84" s="33">
        <v>205538.0</v>
      </c>
      <c r="L84" s="33">
        <v>275437.0</v>
      </c>
      <c r="M84" s="428">
        <v>329776.0</v>
      </c>
      <c r="N84" s="428">
        <v>425699.0</v>
      </c>
      <c r="O84" s="428">
        <v>570431.0</v>
      </c>
      <c r="P84" s="961">
        <v>625464.0</v>
      </c>
      <c r="Q84" s="33">
        <v>663265.0</v>
      </c>
      <c r="R84" s="33">
        <v>812779.0</v>
      </c>
      <c r="S84" s="191">
        <v>849172.0</v>
      </c>
      <c r="T84" s="969">
        <v>1145300.0</v>
      </c>
      <c r="U84" s="113">
        <v>1473685.0</v>
      </c>
      <c r="V84" s="961">
        <v>1548097.0</v>
      </c>
      <c r="W84" s="961">
        <v>1880087.0</v>
      </c>
      <c r="X84" s="961">
        <v>2285338.0</v>
      </c>
      <c r="Y84" s="1"/>
      <c r="Z84" s="1"/>
    </row>
    <row r="85" ht="10.5" customHeight="1">
      <c r="A85" s="1"/>
      <c r="B85" s="966" t="s">
        <v>1638</v>
      </c>
      <c r="F85" s="967"/>
      <c r="G85" s="30">
        <v>164481.0</v>
      </c>
      <c r="H85" s="30">
        <v>187703.0</v>
      </c>
      <c r="I85" s="30">
        <v>182001.0</v>
      </c>
      <c r="J85" s="30">
        <v>111691.0</v>
      </c>
      <c r="K85" s="33">
        <v>74144.0</v>
      </c>
      <c r="L85" s="33">
        <v>87167.0</v>
      </c>
      <c r="M85" s="428">
        <v>92997.0</v>
      </c>
      <c r="N85" s="428">
        <v>96377.0</v>
      </c>
      <c r="O85" s="428">
        <v>128036.0</v>
      </c>
      <c r="P85" s="961">
        <v>173694.0</v>
      </c>
      <c r="Q85" s="33">
        <v>171722.0</v>
      </c>
      <c r="R85" s="33">
        <v>230128.0</v>
      </c>
      <c r="S85" s="191">
        <v>680358.0</v>
      </c>
      <c r="T85" s="969">
        <v>750877.0</v>
      </c>
      <c r="U85" s="113">
        <v>864655.0</v>
      </c>
      <c r="V85" s="961">
        <v>996661.0</v>
      </c>
      <c r="W85" s="961">
        <v>1152456.0</v>
      </c>
      <c r="X85" s="961">
        <v>1150545.0</v>
      </c>
      <c r="Y85" s="1"/>
      <c r="Z85" s="1"/>
    </row>
    <row r="86" ht="10.5" customHeight="1">
      <c r="A86" s="1"/>
      <c r="B86" s="966" t="s">
        <v>1639</v>
      </c>
      <c r="F86" s="967"/>
      <c r="G86" s="30">
        <v>158460.0</v>
      </c>
      <c r="H86" s="30">
        <v>333776.0</v>
      </c>
      <c r="I86" s="30">
        <v>341762.0</v>
      </c>
      <c r="J86" s="30">
        <v>261088.0</v>
      </c>
      <c r="K86" s="33">
        <v>178747.0</v>
      </c>
      <c r="L86" s="33">
        <v>82064.0</v>
      </c>
      <c r="M86" s="428">
        <v>266696.0</v>
      </c>
      <c r="N86" s="428">
        <v>388912.0</v>
      </c>
      <c r="O86" s="428">
        <v>486223.0</v>
      </c>
      <c r="P86" s="961">
        <v>436574.0</v>
      </c>
      <c r="Q86" s="33">
        <v>445433.0</v>
      </c>
      <c r="R86" s="33">
        <v>132327.0</v>
      </c>
      <c r="S86" s="191">
        <v>37953.0</v>
      </c>
      <c r="T86" s="969">
        <v>56461.0</v>
      </c>
      <c r="U86" s="113">
        <v>88432.0</v>
      </c>
      <c r="V86" s="961">
        <v>225511.0</v>
      </c>
      <c r="W86" s="961">
        <v>1283905.0</v>
      </c>
      <c r="X86" s="961">
        <v>159545.0</v>
      </c>
      <c r="Y86" s="1"/>
      <c r="Z86" s="1"/>
    </row>
    <row r="87" ht="10.5" customHeight="1">
      <c r="A87" s="1"/>
      <c r="B87" s="966" t="s">
        <v>1640</v>
      </c>
      <c r="F87" s="967"/>
      <c r="G87" s="30">
        <v>175202.0</v>
      </c>
      <c r="H87" s="30">
        <v>201906.0</v>
      </c>
      <c r="I87" s="30">
        <v>174268.0</v>
      </c>
      <c r="J87" s="30">
        <v>179289.0</v>
      </c>
      <c r="K87" s="33">
        <v>178961.0</v>
      </c>
      <c r="L87" s="33">
        <v>140051.0</v>
      </c>
      <c r="M87" s="428">
        <v>97993.0</v>
      </c>
      <c r="N87" s="428">
        <v>137789.0</v>
      </c>
      <c r="O87" s="428">
        <v>129228.0</v>
      </c>
      <c r="P87" s="961">
        <v>142255.0</v>
      </c>
      <c r="Q87" s="33">
        <v>193464.0</v>
      </c>
      <c r="R87" s="33">
        <v>188454.0</v>
      </c>
      <c r="S87" s="191">
        <v>288860.0</v>
      </c>
      <c r="T87" s="969">
        <v>535765.0</v>
      </c>
      <c r="U87" s="113">
        <v>577964.0</v>
      </c>
      <c r="V87" s="961">
        <v>613033.0</v>
      </c>
      <c r="W87" s="961">
        <v>381353.0</v>
      </c>
      <c r="X87" s="961">
        <v>266774.0</v>
      </c>
      <c r="Y87" s="1"/>
      <c r="Z87" s="1"/>
    </row>
    <row r="88" ht="10.5" customHeight="1">
      <c r="A88" s="1"/>
      <c r="B88" s="993" t="s">
        <v>8</v>
      </c>
      <c r="C88" s="994"/>
      <c r="D88" s="994"/>
      <c r="E88" s="994"/>
      <c r="F88" s="977"/>
      <c r="G88" s="30">
        <v>3777621.0</v>
      </c>
      <c r="H88" s="30">
        <v>4950810.0</v>
      </c>
      <c r="I88" s="30">
        <v>7006245.0</v>
      </c>
      <c r="J88" s="30">
        <v>5586963.0</v>
      </c>
      <c r="K88" s="33">
        <v>4848542.0</v>
      </c>
      <c r="L88" s="57">
        <v>5770749.0</v>
      </c>
      <c r="M88" s="927">
        <v>5627465.0</v>
      </c>
      <c r="N88" s="927">
        <v>6096984.0</v>
      </c>
      <c r="O88" s="927">
        <v>1.2504601E7</v>
      </c>
      <c r="P88" s="995">
        <v>1.2186472E7</v>
      </c>
      <c r="Q88" s="57">
        <v>1.2726863E7</v>
      </c>
      <c r="R88" s="57">
        <v>1.3146059E7</v>
      </c>
      <c r="S88" s="996">
        <v>2.7593419E7</v>
      </c>
      <c r="T88" s="997">
        <v>3.1736806E7</v>
      </c>
      <c r="U88" s="994">
        <v>3.8044371E7</v>
      </c>
      <c r="V88" s="995">
        <v>4.3733303E7</v>
      </c>
      <c r="W88" s="995">
        <v>4.768953E7</v>
      </c>
      <c r="X88" s="995">
        <v>4.8823322E7</v>
      </c>
      <c r="Y88" s="1"/>
      <c r="Z88" s="1"/>
    </row>
    <row r="89" ht="10.5" customHeight="1">
      <c r="A89" s="1"/>
      <c r="B89" s="998" t="s">
        <v>2</v>
      </c>
      <c r="C89" s="9"/>
      <c r="D89" s="9"/>
      <c r="E89" s="9"/>
      <c r="F89" s="999"/>
      <c r="G89" s="1000">
        <f t="shared" ref="G89:R89" si="9">SUM(G68:G88)</f>
        <v>15752267</v>
      </c>
      <c r="H89" s="1000">
        <f t="shared" si="9"/>
        <v>20067052</v>
      </c>
      <c r="I89" s="1000">
        <f t="shared" si="9"/>
        <v>25887894</v>
      </c>
      <c r="J89" s="1000">
        <f t="shared" si="9"/>
        <v>23252678</v>
      </c>
      <c r="K89" s="1000">
        <f t="shared" si="9"/>
        <v>22656749</v>
      </c>
      <c r="L89" s="1000">
        <f t="shared" si="9"/>
        <v>26141249</v>
      </c>
      <c r="M89" s="1000">
        <f t="shared" si="9"/>
        <v>26977545</v>
      </c>
      <c r="N89" s="1001">
        <f t="shared" si="9"/>
        <v>30666837</v>
      </c>
      <c r="O89" s="1001">
        <f t="shared" si="9"/>
        <v>46943777</v>
      </c>
      <c r="P89" s="1001">
        <f t="shared" si="9"/>
        <v>47459444</v>
      </c>
      <c r="Q89" s="927">
        <f t="shared" si="9"/>
        <v>46400174</v>
      </c>
      <c r="R89" s="927">
        <f t="shared" si="9"/>
        <v>50813222</v>
      </c>
      <c r="S89" s="995">
        <v>7.2054459E7</v>
      </c>
      <c r="T89" s="995">
        <v>9.1925634E7</v>
      </c>
      <c r="U89" s="995">
        <v>1.02622073E8</v>
      </c>
      <c r="V89" s="995">
        <v>1.08895829E8</v>
      </c>
      <c r="W89" s="995">
        <v>1.23171211E8</v>
      </c>
      <c r="X89" s="995">
        <v>1.27959614E8</v>
      </c>
      <c r="Y89" s="1"/>
      <c r="Z89" s="1"/>
    </row>
    <row r="90" ht="12.0" customHeight="1">
      <c r="A90" s="1"/>
      <c r="B90" s="1002" t="s">
        <v>1599</v>
      </c>
      <c r="C90" s="942"/>
      <c r="D90" s="113"/>
      <c r="E90" s="113"/>
      <c r="F90" s="698"/>
      <c r="G90" s="698"/>
      <c r="H90" s="698"/>
      <c r="I90" s="698"/>
      <c r="J90" s="698"/>
      <c r="K90" s="113" t="s">
        <v>11</v>
      </c>
      <c r="L90" s="698"/>
      <c r="M90" s="113"/>
      <c r="N90" s="113"/>
      <c r="O90" s="113"/>
      <c r="P90" s="113"/>
      <c r="Q90" s="113"/>
      <c r="R90" s="113"/>
      <c r="S90" s="1"/>
      <c r="T90" s="1"/>
      <c r="U90" s="1"/>
      <c r="V90" s="58"/>
      <c r="W90" s="1"/>
      <c r="X90" s="1"/>
      <c r="Y90" s="1"/>
      <c r="Z90" s="1"/>
    </row>
    <row r="91" ht="5.25" customHeight="1">
      <c r="A91" s="1"/>
      <c r="B91" s="1002"/>
      <c r="C91" s="942"/>
      <c r="D91" s="113"/>
      <c r="E91" s="113"/>
      <c r="F91" s="698"/>
      <c r="G91" s="698"/>
      <c r="H91" s="698"/>
      <c r="I91" s="698"/>
      <c r="J91" s="698"/>
      <c r="K91" s="113"/>
      <c r="L91" s="698"/>
      <c r="M91" s="113"/>
      <c r="N91" s="113"/>
      <c r="O91" s="113"/>
      <c r="P91" s="113"/>
      <c r="Q91" s="113"/>
      <c r="R91" s="113"/>
      <c r="S91" s="1"/>
      <c r="T91" s="1"/>
      <c r="U91" s="1"/>
      <c r="V91" s="1"/>
      <c r="W91" s="1"/>
      <c r="X91" s="1"/>
      <c r="Y91" s="1"/>
      <c r="Z91" s="1"/>
    </row>
    <row r="92" ht="10.5" customHeight="1">
      <c r="A92" s="1"/>
      <c r="B92" s="1002" t="s">
        <v>1641</v>
      </c>
      <c r="C92" s="942"/>
      <c r="D92" s="113"/>
      <c r="E92" s="113"/>
      <c r="F92" s="698"/>
      <c r="G92" s="698"/>
      <c r="H92" s="698"/>
      <c r="I92" s="698"/>
      <c r="J92" s="698"/>
      <c r="K92" s="698"/>
      <c r="L92" s="698"/>
      <c r="M92" s="698"/>
      <c r="N92" s="698"/>
      <c r="O92" s="698"/>
      <c r="P92" s="698"/>
      <c r="Q92" s="113"/>
      <c r="R92" s="113"/>
      <c r="S92" s="1"/>
      <c r="T92" s="1"/>
      <c r="U92" s="1"/>
      <c r="V92" s="1"/>
      <c r="W92" s="1"/>
      <c r="X92" s="1"/>
      <c r="Y92" s="1"/>
      <c r="Z92" s="1"/>
    </row>
    <row r="93" ht="10.5" customHeight="1">
      <c r="A93" s="1"/>
      <c r="B93" s="942"/>
      <c r="C93" s="942"/>
      <c r="D93" s="113"/>
      <c r="E93" s="113"/>
      <c r="F93" s="698"/>
      <c r="G93" s="698"/>
      <c r="H93" s="698"/>
      <c r="I93" s="698"/>
      <c r="J93" s="698"/>
      <c r="K93" s="698"/>
      <c r="L93" s="698"/>
      <c r="M93" s="698"/>
      <c r="N93" s="698"/>
      <c r="O93" s="698"/>
      <c r="P93" s="698"/>
      <c r="Q93" s="113"/>
      <c r="R93" s="113"/>
      <c r="S93" s="1"/>
      <c r="T93" s="1"/>
      <c r="U93" s="1"/>
      <c r="V93" s="1"/>
      <c r="W93" s="1"/>
      <c r="X93" s="1"/>
      <c r="Y93" s="1"/>
      <c r="Z93" s="1"/>
    </row>
    <row r="94" ht="10.5" customHeight="1">
      <c r="A94" s="1"/>
      <c r="B94" s="942"/>
      <c r="C94" s="942"/>
      <c r="D94" s="113"/>
      <c r="E94" s="113"/>
      <c r="F94" s="698"/>
      <c r="G94" s="698"/>
      <c r="H94" s="698"/>
      <c r="I94" s="698"/>
      <c r="J94" s="698"/>
      <c r="K94" s="698"/>
      <c r="L94" s="698"/>
      <c r="M94" s="698"/>
      <c r="N94" s="698"/>
      <c r="O94" s="698"/>
      <c r="P94" s="698"/>
      <c r="Q94" s="113"/>
      <c r="R94" s="113"/>
      <c r="S94" s="1"/>
      <c r="T94" s="1"/>
      <c r="U94" s="1"/>
      <c r="V94" s="1"/>
      <c r="W94" s="1"/>
      <c r="X94" s="1"/>
      <c r="Y94" s="1"/>
      <c r="Z94" s="1"/>
    </row>
    <row r="95" ht="10.5" customHeight="1">
      <c r="A95" s="1"/>
      <c r="B95" s="942"/>
      <c r="C95" s="942"/>
      <c r="D95" s="113"/>
      <c r="E95" s="113"/>
      <c r="F95" s="698"/>
      <c r="G95" s="698"/>
      <c r="H95" s="698"/>
      <c r="I95" s="698"/>
      <c r="J95" s="698"/>
      <c r="K95" s="698"/>
      <c r="L95" s="698"/>
      <c r="M95" s="698"/>
      <c r="N95" s="698"/>
      <c r="O95" s="698"/>
      <c r="P95" s="698"/>
      <c r="Q95" s="113"/>
      <c r="R95" s="113"/>
      <c r="S95" s="1"/>
      <c r="T95" s="1"/>
      <c r="U95" s="1"/>
      <c r="V95" s="1"/>
      <c r="W95" s="1"/>
      <c r="X95" s="1"/>
      <c r="Y95" s="1"/>
      <c r="Z95" s="1"/>
    </row>
    <row r="96" ht="10.5" customHeight="1">
      <c r="A96" s="1"/>
      <c r="B96" s="942"/>
      <c r="C96" s="942"/>
      <c r="D96" s="113"/>
      <c r="E96" s="113"/>
      <c r="F96" s="698"/>
      <c r="G96" s="698"/>
      <c r="H96" s="698"/>
      <c r="I96" s="698"/>
      <c r="J96" s="698"/>
      <c r="K96" s="698"/>
      <c r="L96" s="698"/>
      <c r="M96" s="698"/>
      <c r="N96" s="698"/>
      <c r="O96" s="698"/>
      <c r="P96" s="698"/>
      <c r="Q96" s="113"/>
      <c r="R96" s="113"/>
      <c r="S96" s="1"/>
      <c r="T96" s="1"/>
      <c r="U96" s="1"/>
      <c r="V96" s="1"/>
      <c r="W96" s="1"/>
      <c r="X96" s="1"/>
      <c r="Y96" s="1"/>
      <c r="Z96" s="1"/>
    </row>
    <row r="97" ht="10.5" customHeight="1">
      <c r="A97" s="1"/>
      <c r="B97" s="942"/>
      <c r="C97" s="942"/>
      <c r="D97" s="113"/>
      <c r="E97" s="113"/>
      <c r="F97" s="698"/>
      <c r="G97" s="698"/>
      <c r="H97" s="698"/>
      <c r="I97" s="698"/>
      <c r="J97" s="698"/>
      <c r="K97" s="698"/>
      <c r="L97" s="698"/>
      <c r="M97" s="698"/>
      <c r="N97" s="698"/>
      <c r="O97" s="698"/>
      <c r="P97" s="698"/>
      <c r="Q97" s="698"/>
      <c r="R97" s="698"/>
      <c r="S97" s="698"/>
      <c r="T97" s="113"/>
      <c r="U97" s="113"/>
      <c r="V97" s="113"/>
      <c r="W97" s="1"/>
      <c r="X97" s="1"/>
      <c r="Y97" s="1"/>
      <c r="Z97" s="1"/>
    </row>
    <row r="98" ht="10.5" customHeight="1">
      <c r="A98" s="1"/>
      <c r="B98" s="113"/>
      <c r="C98" s="113"/>
      <c r="D98" s="113"/>
      <c r="E98" s="113"/>
      <c r="F98" s="698"/>
      <c r="G98" s="698"/>
      <c r="H98" s="698"/>
      <c r="I98" s="698"/>
      <c r="J98" s="698"/>
      <c r="K98" s="698"/>
      <c r="L98" s="698"/>
      <c r="M98" s="698"/>
      <c r="N98" s="698"/>
      <c r="O98" s="698"/>
      <c r="P98" s="698"/>
      <c r="Q98" s="113"/>
      <c r="R98" s="113"/>
      <c r="S98" s="113"/>
      <c r="T98" s="113"/>
      <c r="U98" s="113"/>
      <c r="V98" s="113"/>
      <c r="W98" s="1"/>
      <c r="X98" s="1"/>
      <c r="Y98" s="1"/>
      <c r="Z98" s="1"/>
    </row>
    <row r="99" ht="11.25" customHeight="1">
      <c r="A99" s="1"/>
      <c r="B99" s="942" t="s">
        <v>1642</v>
      </c>
      <c r="C99" s="113"/>
      <c r="D99" s="113"/>
      <c r="E99" s="977"/>
      <c r="F99" s="1003"/>
      <c r="G99" s="764"/>
      <c r="H99" s="764"/>
      <c r="I99" s="698"/>
      <c r="J99" s="698"/>
      <c r="K99" s="698"/>
      <c r="L99" s="698"/>
      <c r="M99" s="698"/>
      <c r="N99" s="698"/>
      <c r="O99" s="698"/>
      <c r="P99" s="698"/>
      <c r="Q99" s="113"/>
      <c r="R99" s="113"/>
      <c r="S99" s="113"/>
      <c r="T99" s="113"/>
      <c r="U99" s="113"/>
      <c r="V99" s="113"/>
      <c r="W99" s="1"/>
      <c r="X99" s="1"/>
      <c r="Y99" s="1"/>
      <c r="Z99" s="1"/>
    </row>
    <row r="100" ht="12.75" customHeight="1">
      <c r="A100" s="1"/>
      <c r="B100" s="943" t="s">
        <v>1643</v>
      </c>
      <c r="C100" s="70"/>
      <c r="D100" s="944">
        <v>2000.0</v>
      </c>
      <c r="E100" s="944">
        <v>2001.0</v>
      </c>
      <c r="F100" s="944">
        <v>2002.0</v>
      </c>
      <c r="G100" s="1004">
        <v>2003.0</v>
      </c>
      <c r="H100" s="587">
        <v>2004.0</v>
      </c>
      <c r="I100" s="765">
        <v>2005.0</v>
      </c>
      <c r="J100" s="765">
        <v>2006.0</v>
      </c>
      <c r="K100" s="765">
        <v>2007.0</v>
      </c>
      <c r="L100" s="765">
        <v>2008.0</v>
      </c>
      <c r="M100" s="949">
        <v>2009.0</v>
      </c>
      <c r="N100" s="765">
        <v>2010.0</v>
      </c>
      <c r="O100" s="766" t="s">
        <v>487</v>
      </c>
      <c r="P100" s="766" t="s">
        <v>489</v>
      </c>
      <c r="Q100" s="766" t="s">
        <v>55</v>
      </c>
      <c r="R100" s="766" t="s">
        <v>57</v>
      </c>
      <c r="S100" s="766" t="s">
        <v>58</v>
      </c>
      <c r="T100" s="766" t="s">
        <v>59</v>
      </c>
      <c r="U100" s="766" t="s">
        <v>1644</v>
      </c>
      <c r="V100" s="1"/>
      <c r="W100" s="1"/>
      <c r="X100" s="1"/>
      <c r="Y100" s="1"/>
      <c r="Z100" s="1"/>
    </row>
    <row r="101" ht="12.75" customHeight="1">
      <c r="A101" s="1"/>
      <c r="B101" s="118"/>
      <c r="C101" s="94"/>
      <c r="D101" s="955" t="s">
        <v>50</v>
      </c>
      <c r="E101" s="9"/>
      <c r="F101" s="9"/>
      <c r="G101" s="9"/>
      <c r="H101" s="9"/>
      <c r="I101" s="9"/>
      <c r="J101" s="9"/>
      <c r="K101" s="9"/>
      <c r="L101" s="9"/>
      <c r="M101" s="9"/>
      <c r="N101" s="9"/>
      <c r="O101" s="9"/>
      <c r="P101" s="9"/>
      <c r="Q101" s="9"/>
      <c r="R101" s="9"/>
      <c r="S101" s="9"/>
      <c r="T101" s="9"/>
      <c r="U101" s="10"/>
      <c r="V101" s="1"/>
      <c r="W101" s="1"/>
      <c r="X101" s="1"/>
      <c r="Y101" s="1"/>
      <c r="Z101" s="1"/>
    </row>
    <row r="102" ht="10.5" customHeight="1">
      <c r="A102" s="1"/>
      <c r="B102" s="972" t="s">
        <v>1645</v>
      </c>
      <c r="C102" s="1005"/>
      <c r="D102" s="959">
        <v>1968615.0</v>
      </c>
      <c r="E102" s="959">
        <v>2205189.04</v>
      </c>
      <c r="F102" s="959">
        <v>3294377.0</v>
      </c>
      <c r="G102" s="959">
        <v>3296073.0</v>
      </c>
      <c r="H102" s="959">
        <v>3582986.0</v>
      </c>
      <c r="I102" s="959">
        <v>3525708.0</v>
      </c>
      <c r="J102" s="428">
        <v>3548158.0</v>
      </c>
      <c r="K102" s="428">
        <v>4555594.0</v>
      </c>
      <c r="L102" s="428">
        <v>5536323.0</v>
      </c>
      <c r="M102" s="961">
        <v>5139231.0</v>
      </c>
      <c r="N102" s="1006">
        <v>4878356.0</v>
      </c>
      <c r="O102" s="1006">
        <v>4441393.0</v>
      </c>
      <c r="P102" s="1006">
        <v>4849511.0</v>
      </c>
      <c r="Q102" s="1007">
        <v>6238528.0</v>
      </c>
      <c r="R102" s="1008">
        <v>7075530.0</v>
      </c>
      <c r="S102" s="1009">
        <v>8515912.0</v>
      </c>
      <c r="T102" s="428">
        <v>9458865.0</v>
      </c>
      <c r="U102" s="428">
        <v>9707511.0</v>
      </c>
      <c r="V102" s="1"/>
      <c r="W102" s="1"/>
      <c r="X102" s="1"/>
      <c r="Y102" s="1"/>
      <c r="Z102" s="1"/>
    </row>
    <row r="103" ht="10.5" customHeight="1">
      <c r="A103" s="1"/>
      <c r="B103" s="972" t="s">
        <v>1646</v>
      </c>
      <c r="C103" s="1010"/>
      <c r="D103" s="30">
        <v>1513704.0</v>
      </c>
      <c r="E103" s="30">
        <v>2012235.0</v>
      </c>
      <c r="F103" s="30">
        <v>2360093.0</v>
      </c>
      <c r="G103" s="30">
        <v>2467633.0</v>
      </c>
      <c r="H103" s="30">
        <v>2808063.0</v>
      </c>
      <c r="I103" s="30">
        <v>2886200.0</v>
      </c>
      <c r="J103" s="428">
        <v>2789351.0</v>
      </c>
      <c r="K103" s="428">
        <v>3542857.0</v>
      </c>
      <c r="L103" s="33">
        <v>6007310.0</v>
      </c>
      <c r="M103" s="191">
        <v>4672630.0</v>
      </c>
      <c r="N103" s="1011">
        <v>5120253.0</v>
      </c>
      <c r="O103" s="1011">
        <v>5219470.0</v>
      </c>
      <c r="P103" s="1011">
        <v>5660960.0</v>
      </c>
      <c r="Q103" s="1012">
        <v>7584600.0</v>
      </c>
      <c r="R103" s="1013">
        <v>8596054.0</v>
      </c>
      <c r="S103" s="428">
        <v>9264146.0</v>
      </c>
      <c r="T103" s="428">
        <v>1.1007955E7</v>
      </c>
      <c r="U103" s="428">
        <v>1.1569554E7</v>
      </c>
      <c r="V103" s="1"/>
      <c r="W103" s="1"/>
      <c r="X103" s="1"/>
      <c r="Y103" s="1"/>
      <c r="Z103" s="1"/>
    </row>
    <row r="104" ht="10.5" customHeight="1">
      <c r="A104" s="1"/>
      <c r="B104" s="972" t="s">
        <v>1647</v>
      </c>
      <c r="C104" s="1014"/>
      <c r="D104" s="30">
        <v>879381.0</v>
      </c>
      <c r="E104" s="30">
        <v>708904.0</v>
      </c>
      <c r="F104" s="30">
        <v>856719.0</v>
      </c>
      <c r="G104" s="30">
        <v>860585.0</v>
      </c>
      <c r="H104" s="30">
        <v>858417.0</v>
      </c>
      <c r="I104" s="30">
        <v>931745.0</v>
      </c>
      <c r="J104" s="428">
        <v>804106.0</v>
      </c>
      <c r="K104" s="428">
        <v>952184.0</v>
      </c>
      <c r="L104" s="428">
        <v>935563.0</v>
      </c>
      <c r="M104" s="961">
        <v>1106024.0</v>
      </c>
      <c r="N104" s="1011">
        <v>674420.0</v>
      </c>
      <c r="O104" s="1011">
        <v>354060.0</v>
      </c>
      <c r="P104" s="1011">
        <v>304309.0</v>
      </c>
      <c r="Q104" s="1012">
        <v>363249.0</v>
      </c>
      <c r="R104" s="1013">
        <v>367575.0</v>
      </c>
      <c r="S104" s="428">
        <v>566230.0</v>
      </c>
      <c r="T104" s="428">
        <v>622704.0</v>
      </c>
      <c r="U104" s="428">
        <v>535747.0</v>
      </c>
      <c r="V104" s="1"/>
      <c r="W104" s="1"/>
      <c r="X104" s="1"/>
      <c r="Y104" s="1"/>
      <c r="Z104" s="1"/>
    </row>
    <row r="105" ht="10.5" customHeight="1">
      <c r="A105" s="1"/>
      <c r="B105" s="972" t="s">
        <v>1648</v>
      </c>
      <c r="C105" s="1014"/>
      <c r="D105" s="30">
        <v>911825.0</v>
      </c>
      <c r="E105" s="30">
        <v>1577564.0</v>
      </c>
      <c r="F105" s="30">
        <v>1117520.0</v>
      </c>
      <c r="G105" s="30">
        <v>932336.0</v>
      </c>
      <c r="H105" s="30">
        <v>963522.0</v>
      </c>
      <c r="I105" s="30">
        <v>1386139.0</v>
      </c>
      <c r="J105" s="428">
        <v>1015118.0</v>
      </c>
      <c r="K105" s="428">
        <v>1033236.0</v>
      </c>
      <c r="L105" s="428">
        <v>1210973.0</v>
      </c>
      <c r="M105" s="961">
        <v>1231336.0</v>
      </c>
      <c r="N105" s="1011">
        <v>1347953.0</v>
      </c>
      <c r="O105" s="1011">
        <v>1223295.0</v>
      </c>
      <c r="P105" s="1011">
        <v>1281375.0</v>
      </c>
      <c r="Q105" s="1012">
        <v>3295760.0</v>
      </c>
      <c r="R105" s="1013">
        <v>2105246.0</v>
      </c>
      <c r="S105" s="428">
        <v>1385302.0</v>
      </c>
      <c r="T105" s="428">
        <v>1705459.0</v>
      </c>
      <c r="U105" s="428">
        <v>3549725.0</v>
      </c>
      <c r="V105" s="1"/>
      <c r="W105" s="1"/>
      <c r="X105" s="1"/>
      <c r="Y105" s="1"/>
      <c r="Z105" s="1"/>
    </row>
    <row r="106" ht="10.5" customHeight="1">
      <c r="A106" s="1"/>
      <c r="B106" s="972" t="s">
        <v>1649</v>
      </c>
      <c r="C106" s="1010"/>
      <c r="D106" s="30">
        <v>887945.0</v>
      </c>
      <c r="E106" s="30">
        <v>1104615.0</v>
      </c>
      <c r="F106" s="30">
        <v>1362811.0</v>
      </c>
      <c r="G106" s="30">
        <v>1257634.0</v>
      </c>
      <c r="H106" s="30">
        <v>963432.0</v>
      </c>
      <c r="I106" s="30">
        <v>604691.0</v>
      </c>
      <c r="J106" s="428">
        <v>1213165.0</v>
      </c>
      <c r="K106" s="428">
        <v>1404895.0</v>
      </c>
      <c r="L106" s="428">
        <v>2113718.0</v>
      </c>
      <c r="M106" s="961">
        <v>2056152.0</v>
      </c>
      <c r="N106" s="1011">
        <v>2365900.0</v>
      </c>
      <c r="O106" s="1011">
        <v>2429505.0</v>
      </c>
      <c r="P106" s="1011">
        <v>2790425.0</v>
      </c>
      <c r="Q106" s="1012">
        <v>4327870.0</v>
      </c>
      <c r="R106" s="1013">
        <v>5525268.0</v>
      </c>
      <c r="S106" s="428">
        <v>6013277.0</v>
      </c>
      <c r="T106" s="428">
        <v>6355416.0</v>
      </c>
      <c r="U106" s="428">
        <v>6511444.0</v>
      </c>
      <c r="V106" s="1"/>
      <c r="W106" s="1"/>
      <c r="X106" s="1"/>
      <c r="Y106" s="1"/>
      <c r="Z106" s="1"/>
    </row>
    <row r="107" ht="10.5" customHeight="1">
      <c r="A107" s="1"/>
      <c r="B107" s="972" t="s">
        <v>1650</v>
      </c>
      <c r="C107" s="1010"/>
      <c r="D107" s="30">
        <v>813969.0</v>
      </c>
      <c r="E107" s="30">
        <v>1043787.0</v>
      </c>
      <c r="F107" s="30">
        <v>1443402.0</v>
      </c>
      <c r="G107" s="30">
        <v>1019885.0</v>
      </c>
      <c r="H107" s="30">
        <v>996943.0</v>
      </c>
      <c r="I107" s="30">
        <v>1230199.0</v>
      </c>
      <c r="J107" s="428">
        <v>1442278.0</v>
      </c>
      <c r="K107" s="428">
        <v>1354243.0</v>
      </c>
      <c r="L107" s="428">
        <v>1441187.0</v>
      </c>
      <c r="M107" s="961">
        <v>1604132.0</v>
      </c>
      <c r="N107" s="1011">
        <v>1599672.0</v>
      </c>
      <c r="O107" s="1011">
        <v>1542793.0</v>
      </c>
      <c r="P107" s="1011">
        <v>1844122.0</v>
      </c>
      <c r="Q107" s="1012">
        <v>2129638.0</v>
      </c>
      <c r="R107" s="1013">
        <v>2676011.0</v>
      </c>
      <c r="S107" s="428">
        <v>3333215.0</v>
      </c>
      <c r="T107" s="428">
        <v>3665275.0</v>
      </c>
      <c r="U107" s="428">
        <v>4110105.0</v>
      </c>
      <c r="V107" s="1"/>
      <c r="W107" s="1"/>
      <c r="X107" s="1"/>
      <c r="Y107" s="1"/>
      <c r="Z107" s="1"/>
    </row>
    <row r="108" ht="10.5" customHeight="1">
      <c r="A108" s="1"/>
      <c r="B108" s="972" t="s">
        <v>1651</v>
      </c>
      <c r="C108" s="1014"/>
      <c r="D108" s="30">
        <v>615012.0</v>
      </c>
      <c r="E108" s="30">
        <v>781078.0</v>
      </c>
      <c r="F108" s="30">
        <v>1131395.0</v>
      </c>
      <c r="G108" s="30">
        <v>1245149.0</v>
      </c>
      <c r="H108" s="30">
        <v>1229111.0</v>
      </c>
      <c r="I108" s="30">
        <v>1281870.0</v>
      </c>
      <c r="J108" s="428">
        <v>1199926.0</v>
      </c>
      <c r="K108" s="428">
        <v>1725741.0</v>
      </c>
      <c r="L108" s="428">
        <v>2010380.0</v>
      </c>
      <c r="M108" s="961">
        <v>2120620.0</v>
      </c>
      <c r="N108" s="1011">
        <v>1997355.0</v>
      </c>
      <c r="O108" s="1011">
        <v>1836291.0</v>
      </c>
      <c r="P108" s="1011">
        <v>1815724.0</v>
      </c>
      <c r="Q108" s="1012">
        <v>2479230.0</v>
      </c>
      <c r="R108" s="1013">
        <v>2590854.0</v>
      </c>
      <c r="S108" s="428">
        <v>3209233.0</v>
      </c>
      <c r="T108" s="428">
        <v>3810638.0</v>
      </c>
      <c r="U108" s="428">
        <v>3397895.0</v>
      </c>
      <c r="V108" s="1"/>
      <c r="W108" s="1"/>
      <c r="X108" s="1"/>
      <c r="Y108" s="1"/>
      <c r="Z108" s="1"/>
    </row>
    <row r="109" ht="10.5" customHeight="1">
      <c r="A109" s="1"/>
      <c r="B109" s="972" t="s">
        <v>1652</v>
      </c>
      <c r="C109" s="1010"/>
      <c r="D109" s="30">
        <v>569733.0</v>
      </c>
      <c r="E109" s="30">
        <v>418566.0</v>
      </c>
      <c r="F109" s="30">
        <v>487657.0</v>
      </c>
      <c r="G109" s="30">
        <v>447781.0</v>
      </c>
      <c r="H109" s="30">
        <v>444421.0</v>
      </c>
      <c r="I109" s="30">
        <v>387007.0</v>
      </c>
      <c r="J109" s="428">
        <v>502803.0</v>
      </c>
      <c r="K109" s="428">
        <v>449443.0</v>
      </c>
      <c r="L109" s="428">
        <v>518688.0</v>
      </c>
      <c r="M109" s="961">
        <v>804616.0</v>
      </c>
      <c r="N109" s="1011">
        <v>1177365.0</v>
      </c>
      <c r="O109" s="1011">
        <v>881050.0</v>
      </c>
      <c r="P109" s="1011">
        <v>766180.0</v>
      </c>
      <c r="Q109" s="1012">
        <v>870753.0</v>
      </c>
      <c r="R109" s="1013">
        <v>1234267.0</v>
      </c>
      <c r="S109" s="428">
        <v>1583366.0</v>
      </c>
      <c r="T109" s="428">
        <v>1894322.0</v>
      </c>
      <c r="U109" s="428">
        <v>1764737.0</v>
      </c>
      <c r="V109" s="1"/>
      <c r="W109" s="1"/>
      <c r="X109" s="1"/>
      <c r="Y109" s="1"/>
      <c r="Z109" s="1"/>
    </row>
    <row r="110" ht="10.5" customHeight="1">
      <c r="A110" s="1"/>
      <c r="B110" s="972" t="s">
        <v>1653</v>
      </c>
      <c r="C110" s="1014"/>
      <c r="D110" s="30">
        <v>493474.0</v>
      </c>
      <c r="E110" s="30">
        <v>613835.0</v>
      </c>
      <c r="F110" s="30">
        <v>804308.0</v>
      </c>
      <c r="G110" s="30">
        <v>678140.0</v>
      </c>
      <c r="H110" s="30">
        <v>676852.0</v>
      </c>
      <c r="I110" s="30">
        <v>576400.0</v>
      </c>
      <c r="J110" s="428">
        <v>582887.0</v>
      </c>
      <c r="K110" s="428">
        <v>801041.0</v>
      </c>
      <c r="L110" s="428">
        <v>786818.0</v>
      </c>
      <c r="M110" s="961">
        <v>701301.0</v>
      </c>
      <c r="N110" s="1011">
        <v>878604.0</v>
      </c>
      <c r="O110" s="1011">
        <v>1288972.0</v>
      </c>
      <c r="P110" s="1011">
        <v>802091.0</v>
      </c>
      <c r="Q110" s="1012">
        <v>1645170.0</v>
      </c>
      <c r="R110" s="1013">
        <v>1442585.0</v>
      </c>
      <c r="S110" s="428">
        <v>1492756.0</v>
      </c>
      <c r="T110" s="428">
        <v>1454603.0</v>
      </c>
      <c r="U110" s="428">
        <v>1846162.0</v>
      </c>
      <c r="V110" s="1"/>
      <c r="W110" s="1"/>
      <c r="X110" s="1"/>
      <c r="Y110" s="1"/>
      <c r="Z110" s="1"/>
    </row>
    <row r="111" ht="10.5" customHeight="1">
      <c r="A111" s="1"/>
      <c r="B111" s="972" t="s">
        <v>1654</v>
      </c>
      <c r="C111" s="1014"/>
      <c r="D111" s="30">
        <v>405668.0</v>
      </c>
      <c r="E111" s="30">
        <v>304774.0</v>
      </c>
      <c r="F111" s="30">
        <v>263475.0</v>
      </c>
      <c r="G111" s="30">
        <v>281708.0</v>
      </c>
      <c r="H111" s="30">
        <v>458099.0</v>
      </c>
      <c r="I111" s="30">
        <v>358240.0</v>
      </c>
      <c r="J111" s="428">
        <v>401594.0</v>
      </c>
      <c r="K111" s="428">
        <v>364577.0</v>
      </c>
      <c r="L111" s="428">
        <v>1094745.0</v>
      </c>
      <c r="M111" s="961">
        <v>2960191.0</v>
      </c>
      <c r="N111" s="1011">
        <v>847023.0</v>
      </c>
      <c r="O111" s="1011">
        <v>546910.0</v>
      </c>
      <c r="P111" s="1011">
        <v>437964.0</v>
      </c>
      <c r="Q111" s="1012">
        <v>579147.0</v>
      </c>
      <c r="R111" s="1013">
        <v>718406.0</v>
      </c>
      <c r="S111" s="428">
        <v>755211.0</v>
      </c>
      <c r="T111" s="428">
        <v>864090.0</v>
      </c>
      <c r="U111" s="428">
        <v>1769891.0</v>
      </c>
      <c r="V111" s="1"/>
      <c r="W111" s="1"/>
      <c r="X111" s="1"/>
      <c r="Y111" s="1"/>
      <c r="Z111" s="1"/>
    </row>
    <row r="112" ht="10.5" customHeight="1">
      <c r="A112" s="1"/>
      <c r="B112" s="972" t="s">
        <v>1655</v>
      </c>
      <c r="C112" s="1014"/>
      <c r="D112" s="30">
        <v>425787.0</v>
      </c>
      <c r="E112" s="30">
        <v>804852.0</v>
      </c>
      <c r="F112" s="30">
        <v>90994.0</v>
      </c>
      <c r="G112" s="30">
        <v>877977.0</v>
      </c>
      <c r="H112" s="30">
        <v>672813.0</v>
      </c>
      <c r="I112" s="30">
        <v>588551.0</v>
      </c>
      <c r="J112" s="428">
        <v>739412.0</v>
      </c>
      <c r="K112" s="428">
        <v>722327.0</v>
      </c>
      <c r="L112" s="428">
        <v>1159272.0</v>
      </c>
      <c r="M112" s="961">
        <v>1155757.0</v>
      </c>
      <c r="N112" s="1011">
        <v>1240599.0</v>
      </c>
      <c r="O112" s="1011">
        <v>1753089.0</v>
      </c>
      <c r="P112" s="1011">
        <v>2279714.0</v>
      </c>
      <c r="Q112" s="1012">
        <v>2912921.0</v>
      </c>
      <c r="R112" s="1013">
        <v>3280600.0</v>
      </c>
      <c r="S112" s="428">
        <v>2844166.0</v>
      </c>
      <c r="T112" s="428">
        <v>2389237.0</v>
      </c>
      <c r="U112" s="428">
        <v>2503472.0</v>
      </c>
      <c r="V112" s="1"/>
      <c r="W112" s="1"/>
      <c r="X112" s="1"/>
      <c r="Y112" s="1"/>
      <c r="Z112" s="1"/>
    </row>
    <row r="113" ht="10.5" customHeight="1">
      <c r="A113" s="1"/>
      <c r="B113" s="972" t="s">
        <v>1656</v>
      </c>
      <c r="C113" s="1014"/>
      <c r="D113" s="30">
        <v>431788.0</v>
      </c>
      <c r="E113" s="30">
        <v>542618.0</v>
      </c>
      <c r="F113" s="30">
        <v>800857.0</v>
      </c>
      <c r="G113" s="30">
        <v>647434.0</v>
      </c>
      <c r="H113" s="30">
        <v>544821.0</v>
      </c>
      <c r="I113" s="30">
        <v>477870.0</v>
      </c>
      <c r="J113" s="428">
        <v>465570.0</v>
      </c>
      <c r="K113" s="428">
        <v>489946.0</v>
      </c>
      <c r="L113" s="428">
        <v>800666.0</v>
      </c>
      <c r="M113" s="961">
        <v>531995.0</v>
      </c>
      <c r="N113" s="1011">
        <v>681560.0</v>
      </c>
      <c r="O113" s="1011">
        <v>474793.0</v>
      </c>
      <c r="P113" s="1011">
        <v>641930.0</v>
      </c>
      <c r="Q113" s="1012">
        <v>1292723.0</v>
      </c>
      <c r="R113" s="1013">
        <v>1033756.0</v>
      </c>
      <c r="S113" s="428">
        <v>1029508.0</v>
      </c>
      <c r="T113" s="428">
        <v>1191212.0</v>
      </c>
      <c r="U113" s="428">
        <v>1190836.0</v>
      </c>
      <c r="V113" s="1"/>
      <c r="W113" s="1"/>
      <c r="X113" s="1"/>
      <c r="Y113" s="1"/>
      <c r="Z113" s="1"/>
    </row>
    <row r="114" ht="10.5" customHeight="1">
      <c r="A114" s="1"/>
      <c r="B114" s="972" t="s">
        <v>1657</v>
      </c>
      <c r="C114" s="1014"/>
      <c r="D114" s="30">
        <v>361131.0</v>
      </c>
      <c r="E114" s="30">
        <v>355704.0</v>
      </c>
      <c r="F114" s="30">
        <v>503992.0</v>
      </c>
      <c r="G114" s="30">
        <v>520221.0</v>
      </c>
      <c r="H114" s="30">
        <v>485367.0</v>
      </c>
      <c r="I114" s="30">
        <v>596391.0</v>
      </c>
      <c r="J114" s="428">
        <v>643529.0</v>
      </c>
      <c r="K114" s="428">
        <v>649571.0</v>
      </c>
      <c r="L114" s="428">
        <v>879758.0</v>
      </c>
      <c r="M114" s="961">
        <v>795594.0</v>
      </c>
      <c r="N114" s="1011">
        <v>923947.0</v>
      </c>
      <c r="O114" s="1011">
        <v>874896.0</v>
      </c>
      <c r="P114" s="1011">
        <v>1052557.0</v>
      </c>
      <c r="Q114" s="1012">
        <v>1335977.0</v>
      </c>
      <c r="R114" s="1013">
        <v>1528467.0</v>
      </c>
      <c r="S114" s="428">
        <v>1719819.0</v>
      </c>
      <c r="T114" s="428">
        <v>2173673.0</v>
      </c>
      <c r="U114" s="428">
        <v>2066638.0</v>
      </c>
      <c r="V114" s="1"/>
      <c r="W114" s="1"/>
      <c r="X114" s="1"/>
      <c r="Y114" s="1"/>
      <c r="Z114" s="1"/>
    </row>
    <row r="115" ht="10.5" customHeight="1">
      <c r="A115" s="1"/>
      <c r="B115" s="972" t="s">
        <v>1658</v>
      </c>
      <c r="C115" s="1014"/>
      <c r="D115" s="30">
        <v>377105.0</v>
      </c>
      <c r="E115" s="30">
        <v>282567.0</v>
      </c>
      <c r="F115" s="30">
        <v>33403.0</v>
      </c>
      <c r="G115" s="30">
        <v>4075.0</v>
      </c>
      <c r="H115" s="30">
        <v>67044.0</v>
      </c>
      <c r="I115" s="30">
        <v>306146.0</v>
      </c>
      <c r="J115" s="428">
        <v>818894.0</v>
      </c>
      <c r="K115" s="428">
        <v>102494.0</v>
      </c>
      <c r="L115" s="428">
        <v>371133.0</v>
      </c>
      <c r="M115" s="961">
        <v>387507.0</v>
      </c>
      <c r="N115" s="1011">
        <v>192348.0</v>
      </c>
      <c r="O115" s="1011">
        <v>213930.0</v>
      </c>
      <c r="P115" s="1011">
        <v>94487.0</v>
      </c>
      <c r="Q115" s="1012">
        <v>3275.0</v>
      </c>
      <c r="R115" s="1013">
        <v>8593.0</v>
      </c>
      <c r="S115" s="428">
        <v>4099.0</v>
      </c>
      <c r="T115" s="428">
        <v>11764.0</v>
      </c>
      <c r="U115" s="428">
        <v>7726.0</v>
      </c>
      <c r="V115" s="1"/>
      <c r="W115" s="1"/>
      <c r="X115" s="1"/>
      <c r="Y115" s="1"/>
      <c r="Z115" s="1"/>
    </row>
    <row r="116" ht="10.5" customHeight="1">
      <c r="A116" s="1"/>
      <c r="B116" s="972" t="s">
        <v>1659</v>
      </c>
      <c r="C116" s="1014"/>
      <c r="D116" s="30">
        <v>311728.0</v>
      </c>
      <c r="E116" s="30">
        <v>470465.0</v>
      </c>
      <c r="F116" s="30">
        <v>839690.0</v>
      </c>
      <c r="G116" s="30">
        <v>452639.0</v>
      </c>
      <c r="H116" s="30">
        <v>320610.0</v>
      </c>
      <c r="I116" s="30">
        <v>374727.0</v>
      </c>
      <c r="J116" s="428">
        <v>571979.0</v>
      </c>
      <c r="K116" s="428">
        <v>406662.0</v>
      </c>
      <c r="L116" s="428">
        <v>1770823.0</v>
      </c>
      <c r="M116" s="961">
        <v>1126592.0</v>
      </c>
      <c r="N116" s="1011">
        <v>897704.0</v>
      </c>
      <c r="O116" s="1011">
        <v>1086607.0</v>
      </c>
      <c r="P116" s="1011">
        <v>1456111.0</v>
      </c>
      <c r="Q116" s="1012">
        <v>2006064.0</v>
      </c>
      <c r="R116" s="1013">
        <v>2705970.0</v>
      </c>
      <c r="S116" s="428">
        <v>3332908.0</v>
      </c>
      <c r="T116" s="428">
        <v>3615774.0</v>
      </c>
      <c r="U116" s="428">
        <v>3619394.0</v>
      </c>
      <c r="V116" s="1"/>
      <c r="W116" s="1"/>
      <c r="X116" s="1"/>
      <c r="Y116" s="1"/>
      <c r="Z116" s="1"/>
    </row>
    <row r="117" ht="10.5" customHeight="1">
      <c r="A117" s="986">
        <v>86.0</v>
      </c>
      <c r="B117" s="972" t="s">
        <v>1660</v>
      </c>
      <c r="C117" s="1014"/>
      <c r="D117" s="30">
        <v>301491.0</v>
      </c>
      <c r="E117" s="30">
        <v>423638.0</v>
      </c>
      <c r="F117" s="30">
        <v>415570.0</v>
      </c>
      <c r="G117" s="30">
        <v>241764.0</v>
      </c>
      <c r="H117" s="30">
        <v>230829.0</v>
      </c>
      <c r="I117" s="30">
        <v>296323.0</v>
      </c>
      <c r="J117" s="428">
        <v>345329.0</v>
      </c>
      <c r="K117" s="428">
        <v>392392.0</v>
      </c>
      <c r="L117" s="428">
        <v>281183.0</v>
      </c>
      <c r="M117" s="961">
        <v>174686.0</v>
      </c>
      <c r="N117" s="1011">
        <v>671014.0</v>
      </c>
      <c r="O117" s="1011">
        <v>1590183.0</v>
      </c>
      <c r="P117" s="1011">
        <v>154943.0</v>
      </c>
      <c r="Q117" s="1012">
        <v>476456.0</v>
      </c>
      <c r="R117" s="1013">
        <v>741886.0</v>
      </c>
      <c r="S117" s="428">
        <v>399414.0</v>
      </c>
      <c r="T117" s="428">
        <v>422784.0</v>
      </c>
      <c r="U117" s="428">
        <v>573247.0</v>
      </c>
      <c r="V117" s="1"/>
      <c r="W117" s="1"/>
      <c r="X117" s="1"/>
      <c r="Y117" s="1"/>
      <c r="Z117" s="1"/>
    </row>
    <row r="118" ht="10.5" customHeight="1">
      <c r="B118" s="972" t="s">
        <v>1661</v>
      </c>
      <c r="C118" s="1014"/>
      <c r="D118" s="30">
        <v>298704.0</v>
      </c>
      <c r="E118" s="30">
        <v>385814.0</v>
      </c>
      <c r="F118" s="30">
        <v>1329965.0</v>
      </c>
      <c r="G118" s="30">
        <v>1120212.0</v>
      </c>
      <c r="H118" s="30">
        <v>717527.0</v>
      </c>
      <c r="I118" s="30">
        <v>1900827.0</v>
      </c>
      <c r="J118" s="428">
        <v>802379.0</v>
      </c>
      <c r="K118" s="428">
        <v>411540.0</v>
      </c>
      <c r="L118" s="428">
        <v>3654220.0</v>
      </c>
      <c r="M118" s="961">
        <v>3478852.0</v>
      </c>
      <c r="N118" s="1011">
        <v>3509481.0</v>
      </c>
      <c r="O118" s="1011">
        <v>3976976.0</v>
      </c>
      <c r="P118" s="1011">
        <v>4767719.0</v>
      </c>
      <c r="Q118" s="1012">
        <v>5649029.0</v>
      </c>
      <c r="R118" s="1013">
        <v>5926897.0</v>
      </c>
      <c r="S118" s="428">
        <v>5121698.0</v>
      </c>
      <c r="T118" s="428">
        <v>9458865.0</v>
      </c>
      <c r="U118" s="428">
        <v>4458457.0</v>
      </c>
      <c r="V118" s="1"/>
      <c r="W118" s="1"/>
      <c r="X118" s="1"/>
      <c r="Y118" s="1"/>
      <c r="Z118" s="1"/>
    </row>
    <row r="119" ht="10.5" customHeight="1">
      <c r="A119" s="1"/>
      <c r="B119" s="972" t="s">
        <v>1662</v>
      </c>
      <c r="C119" s="1014"/>
      <c r="D119" s="30">
        <v>270199.0</v>
      </c>
      <c r="E119" s="30">
        <v>332172.0</v>
      </c>
      <c r="F119" s="30">
        <v>478524.0</v>
      </c>
      <c r="G119" s="30">
        <v>365752.0</v>
      </c>
      <c r="H119" s="30">
        <v>386061.0</v>
      </c>
      <c r="I119" s="30">
        <v>358455.0</v>
      </c>
      <c r="J119" s="428">
        <v>406579.0</v>
      </c>
      <c r="K119" s="428">
        <v>420734.0</v>
      </c>
      <c r="L119" s="428">
        <v>557428.0</v>
      </c>
      <c r="M119" s="961">
        <v>662506.0</v>
      </c>
      <c r="N119" s="1011">
        <v>989273.0</v>
      </c>
      <c r="O119" s="1011">
        <v>1528244.0</v>
      </c>
      <c r="P119" s="1011">
        <v>1612528.0</v>
      </c>
      <c r="Q119" s="1012">
        <v>1742209.0</v>
      </c>
      <c r="R119" s="1013">
        <v>2993819.0</v>
      </c>
      <c r="S119" s="428">
        <v>2882311.0</v>
      </c>
      <c r="T119" s="428">
        <v>3558706.0</v>
      </c>
      <c r="U119" s="428">
        <v>4242869.0</v>
      </c>
      <c r="V119" s="1"/>
      <c r="W119" s="1"/>
      <c r="X119" s="1"/>
      <c r="Y119" s="1"/>
      <c r="Z119" s="1"/>
    </row>
    <row r="120" ht="10.5" customHeight="1">
      <c r="A120" s="1"/>
      <c r="B120" s="972" t="s">
        <v>1663</v>
      </c>
      <c r="C120" s="1014"/>
      <c r="D120" s="30">
        <v>288323.0</v>
      </c>
      <c r="E120" s="30">
        <v>381463.0</v>
      </c>
      <c r="F120" s="30">
        <v>546299.0</v>
      </c>
      <c r="G120" s="30">
        <v>164720.0</v>
      </c>
      <c r="H120" s="30">
        <v>110291.0</v>
      </c>
      <c r="I120" s="30">
        <v>203100.0</v>
      </c>
      <c r="J120" s="428">
        <v>204081.0</v>
      </c>
      <c r="K120" s="428">
        <v>161310.0</v>
      </c>
      <c r="L120" s="428">
        <v>300140.0</v>
      </c>
      <c r="M120" s="961">
        <v>334320.0</v>
      </c>
      <c r="N120" s="1011">
        <v>274289.0</v>
      </c>
      <c r="O120" s="1011">
        <v>292952.0</v>
      </c>
      <c r="P120" s="1011">
        <v>375533.0</v>
      </c>
      <c r="Q120" s="1012">
        <v>410345.0</v>
      </c>
      <c r="R120" s="1013">
        <v>539859.0</v>
      </c>
      <c r="S120" s="428">
        <v>666878.0</v>
      </c>
      <c r="T120" s="428">
        <v>876517.0</v>
      </c>
      <c r="U120" s="428">
        <v>826062.0</v>
      </c>
      <c r="V120" s="1"/>
      <c r="W120" s="1"/>
      <c r="X120" s="1"/>
      <c r="Y120" s="1"/>
      <c r="Z120" s="1"/>
    </row>
    <row r="121" ht="10.5" customHeight="1">
      <c r="A121" s="1"/>
      <c r="B121" s="972" t="s">
        <v>1664</v>
      </c>
      <c r="C121" s="1014"/>
      <c r="D121" s="30">
        <v>278722.0</v>
      </c>
      <c r="E121" s="30">
        <v>264447.0</v>
      </c>
      <c r="F121" s="30">
        <v>431927.0</v>
      </c>
      <c r="G121" s="30">
        <v>371084.0</v>
      </c>
      <c r="H121" s="30">
        <v>299703.0</v>
      </c>
      <c r="I121" s="30">
        <v>428168.0</v>
      </c>
      <c r="J121" s="428">
        <v>340799.0</v>
      </c>
      <c r="K121" s="428">
        <v>371180.0</v>
      </c>
      <c r="L121" s="428">
        <v>432309.0</v>
      </c>
      <c r="M121" s="961">
        <v>451435.0</v>
      </c>
      <c r="N121" s="1011">
        <v>528166.0</v>
      </c>
      <c r="O121" s="1011">
        <v>490172.0</v>
      </c>
      <c r="P121" s="1011">
        <v>511506.0</v>
      </c>
      <c r="Q121" s="1012">
        <v>598505.0</v>
      </c>
      <c r="R121" s="1013">
        <v>734231.0</v>
      </c>
      <c r="S121" s="428">
        <v>932456.0</v>
      </c>
      <c r="T121" s="428">
        <v>1135087.0</v>
      </c>
      <c r="U121" s="428">
        <v>1076161.0</v>
      </c>
      <c r="V121" s="1"/>
      <c r="W121" s="1"/>
      <c r="X121" s="1"/>
      <c r="Y121" s="1"/>
      <c r="Z121" s="1"/>
    </row>
    <row r="122" ht="10.5" customHeight="1">
      <c r="A122" s="1"/>
      <c r="B122" s="1015" t="s">
        <v>8</v>
      </c>
      <c r="C122" s="1016"/>
      <c r="D122" s="401">
        <v>3347963.0</v>
      </c>
      <c r="E122" s="401">
        <v>5052765.0</v>
      </c>
      <c r="F122" s="401">
        <v>7294916.0</v>
      </c>
      <c r="G122" s="401">
        <v>5999876.0</v>
      </c>
      <c r="H122" s="401">
        <v>5839837.0</v>
      </c>
      <c r="I122" s="401">
        <v>7442492.0</v>
      </c>
      <c r="J122" s="927">
        <v>8139608.0</v>
      </c>
      <c r="K122" s="927">
        <v>1.035487E7</v>
      </c>
      <c r="L122" s="927">
        <v>1.508114E7</v>
      </c>
      <c r="M122" s="995">
        <v>1.5963967E7</v>
      </c>
      <c r="N122" s="1017">
        <v>1.5604892E7</v>
      </c>
      <c r="O122" s="1017">
        <v>1.8767641E7</v>
      </c>
      <c r="P122" s="1017">
        <v>3.8554766E7</v>
      </c>
      <c r="Q122" s="1018">
        <v>4.5984187E7</v>
      </c>
      <c r="R122" s="1019">
        <v>5.0796197E7</v>
      </c>
      <c r="S122" s="927">
        <v>5.3843924E7</v>
      </c>
      <c r="T122" s="927">
        <v>5.7498264E7</v>
      </c>
      <c r="U122" s="927">
        <v>6.2631981E7</v>
      </c>
      <c r="V122" s="1"/>
      <c r="W122" s="1"/>
      <c r="X122" s="1"/>
      <c r="Y122" s="1"/>
      <c r="Z122" s="1"/>
    </row>
    <row r="123" ht="10.5" customHeight="1">
      <c r="A123" s="1"/>
      <c r="B123" s="1020" t="s">
        <v>2</v>
      </c>
      <c r="C123" s="1021"/>
      <c r="D123" s="401">
        <f t="shared" ref="D123:O123" si="10">SUM(D102:D122)</f>
        <v>15752267</v>
      </c>
      <c r="E123" s="401">
        <f t="shared" si="10"/>
        <v>20067052.04</v>
      </c>
      <c r="F123" s="401">
        <f t="shared" si="10"/>
        <v>25887894</v>
      </c>
      <c r="G123" s="401">
        <f t="shared" si="10"/>
        <v>23252678</v>
      </c>
      <c r="H123" s="401">
        <f t="shared" si="10"/>
        <v>22656749</v>
      </c>
      <c r="I123" s="401">
        <f t="shared" si="10"/>
        <v>26141249</v>
      </c>
      <c r="J123" s="401">
        <f t="shared" si="10"/>
        <v>26977545</v>
      </c>
      <c r="K123" s="1001">
        <f t="shared" si="10"/>
        <v>30666837</v>
      </c>
      <c r="L123" s="1001">
        <f t="shared" si="10"/>
        <v>46943777</v>
      </c>
      <c r="M123" s="1001">
        <f t="shared" si="10"/>
        <v>47459444</v>
      </c>
      <c r="N123" s="1001">
        <f t="shared" si="10"/>
        <v>46400174</v>
      </c>
      <c r="O123" s="1001">
        <f t="shared" si="10"/>
        <v>50813222</v>
      </c>
      <c r="P123" s="1001">
        <v>7.2054459E7</v>
      </c>
      <c r="Q123" s="1001">
        <v>9.1925634E7</v>
      </c>
      <c r="R123" s="1001">
        <v>1.02622073E8</v>
      </c>
      <c r="S123" s="1001">
        <v>1.08895829E8</v>
      </c>
      <c r="T123" s="927">
        <v>1.23171211E8</v>
      </c>
      <c r="U123" s="927">
        <v>1.27959614E8</v>
      </c>
      <c r="V123" s="1"/>
      <c r="W123" s="1"/>
      <c r="X123" s="1"/>
      <c r="Y123" s="1"/>
      <c r="Z123" s="1"/>
    </row>
    <row r="124" ht="12.0" customHeight="1">
      <c r="A124" s="1"/>
      <c r="B124" s="936" t="s">
        <v>1599</v>
      </c>
      <c r="C124" s="942"/>
      <c r="D124" s="113"/>
      <c r="E124" s="113"/>
      <c r="F124" s="113"/>
      <c r="G124" s="113"/>
      <c r="H124" s="113"/>
      <c r="I124" s="113"/>
      <c r="J124" s="113"/>
      <c r="K124" s="113"/>
      <c r="L124" s="113"/>
      <c r="M124" s="113"/>
      <c r="N124" s="113"/>
      <c r="O124" s="113"/>
      <c r="P124" s="113"/>
      <c r="Q124" s="113"/>
      <c r="R124" s="113"/>
      <c r="S124" s="1"/>
      <c r="T124" s="1"/>
      <c r="U124" s="1"/>
      <c r="V124" s="1"/>
      <c r="W124" s="1"/>
      <c r="X124" s="1"/>
      <c r="Y124" s="1"/>
      <c r="Z124" s="1"/>
    </row>
    <row r="125" ht="6.0" customHeight="1">
      <c r="A125" s="1"/>
      <c r="B125" s="936"/>
      <c r="C125" s="942"/>
      <c r="D125" s="113"/>
      <c r="E125" s="113"/>
      <c r="F125" s="113"/>
      <c r="G125" s="113"/>
      <c r="H125" s="113"/>
      <c r="I125" s="113"/>
      <c r="J125" s="113"/>
      <c r="K125" s="113"/>
      <c r="L125" s="113"/>
      <c r="M125" s="113"/>
      <c r="N125" s="113"/>
      <c r="O125" s="113"/>
      <c r="P125" s="113"/>
      <c r="Q125" s="113"/>
      <c r="R125" s="113"/>
      <c r="S125" s="1"/>
      <c r="T125" s="1"/>
      <c r="U125" s="1"/>
      <c r="V125" s="1"/>
      <c r="W125" s="1"/>
      <c r="X125" s="1"/>
      <c r="Y125" s="1"/>
      <c r="Z125" s="1"/>
    </row>
    <row r="126" ht="10.5" customHeight="1">
      <c r="A126" s="1"/>
      <c r="B126" s="1002" t="s">
        <v>1665</v>
      </c>
      <c r="C126" s="113"/>
      <c r="D126" s="113"/>
      <c r="E126" s="113"/>
      <c r="F126" s="113"/>
      <c r="G126" s="113"/>
      <c r="H126" s="113"/>
      <c r="I126" s="113"/>
      <c r="J126" s="113"/>
      <c r="K126" s="113"/>
      <c r="L126" s="113"/>
      <c r="M126" s="113"/>
      <c r="N126" s="113"/>
      <c r="O126" s="113"/>
      <c r="P126" s="113"/>
      <c r="Q126" s="113"/>
      <c r="R126" s="113"/>
      <c r="S126" s="1"/>
      <c r="T126" s="1"/>
      <c r="U126" s="1"/>
      <c r="V126" s="58"/>
      <c r="W126" s="1"/>
      <c r="X126" s="1"/>
      <c r="Y126" s="1"/>
      <c r="Z126" s="1"/>
    </row>
    <row r="127" ht="10.5" customHeight="1">
      <c r="A127" s="1"/>
      <c r="B127" s="1002"/>
      <c r="C127" s="113"/>
      <c r="D127" s="113"/>
      <c r="E127" s="113"/>
      <c r="F127" s="113"/>
      <c r="G127" s="113"/>
      <c r="H127" s="113"/>
      <c r="I127" s="113"/>
      <c r="J127" s="113"/>
      <c r="K127" s="113"/>
      <c r="L127" s="113"/>
      <c r="M127" s="113"/>
      <c r="N127" s="113"/>
      <c r="O127" s="113"/>
      <c r="P127" s="113"/>
      <c r="Q127" s="113"/>
      <c r="R127" s="113"/>
      <c r="S127" s="1"/>
      <c r="T127" s="1"/>
      <c r="U127" s="1"/>
      <c r="V127" s="1"/>
      <c r="W127" s="1"/>
      <c r="X127" s="1"/>
      <c r="Y127" s="1"/>
      <c r="Z127" s="1"/>
    </row>
    <row r="128" ht="10.5" customHeight="1">
      <c r="A128" s="1"/>
      <c r="B128" s="113"/>
      <c r="C128" s="113"/>
      <c r="D128" s="15"/>
      <c r="E128" s="15"/>
      <c r="F128" s="15"/>
      <c r="G128" s="15"/>
      <c r="H128" s="15"/>
      <c r="I128" s="15"/>
      <c r="J128" s="15"/>
      <c r="K128" s="15"/>
      <c r="L128" s="15"/>
      <c r="M128" s="15"/>
      <c r="N128" s="15"/>
      <c r="O128" s="15"/>
      <c r="P128" s="15"/>
      <c r="Q128" s="15"/>
      <c r="R128" s="113"/>
      <c r="S128" s="113"/>
      <c r="T128" s="113"/>
      <c r="U128" s="113"/>
      <c r="V128" s="113"/>
      <c r="W128" s="1"/>
      <c r="X128" s="1"/>
      <c r="Y128" s="1"/>
      <c r="Z128" s="1"/>
    </row>
    <row r="129" ht="11.25" customHeight="1">
      <c r="A129" s="1"/>
      <c r="B129" s="1022" t="s">
        <v>1666</v>
      </c>
      <c r="C129" s="35"/>
      <c r="D129" s="35"/>
      <c r="E129" s="35"/>
      <c r="F129" s="35"/>
      <c r="G129" s="35"/>
      <c r="H129" s="35"/>
      <c r="I129" s="35"/>
      <c r="J129" s="113"/>
      <c r="K129" s="113"/>
      <c r="L129" s="113"/>
      <c r="M129" s="113"/>
      <c r="N129" s="113"/>
      <c r="O129" s="113"/>
      <c r="P129" s="113"/>
      <c r="Q129" s="994"/>
      <c r="R129" s="879"/>
      <c r="S129" s="113"/>
      <c r="T129" s="940"/>
      <c r="U129" s="113"/>
      <c r="V129" s="113"/>
      <c r="W129" s="1"/>
      <c r="X129" s="1"/>
      <c r="Y129" s="1"/>
      <c r="Z129" s="1"/>
    </row>
    <row r="130" ht="11.25" customHeight="1">
      <c r="A130" s="1"/>
      <c r="B130" s="943" t="s">
        <v>1327</v>
      </c>
      <c r="C130" s="68"/>
      <c r="D130" s="68"/>
      <c r="E130" s="70"/>
      <c r="F130" s="968">
        <v>2000.0</v>
      </c>
      <c r="G130" s="968">
        <v>2001.0</v>
      </c>
      <c r="H130" s="968">
        <v>2002.0</v>
      </c>
      <c r="I130" s="766">
        <v>2003.0</v>
      </c>
      <c r="J130" s="766">
        <v>2004.0</v>
      </c>
      <c r="K130" s="766">
        <v>2005.0</v>
      </c>
      <c r="L130" s="766">
        <v>2006.0</v>
      </c>
      <c r="M130" s="766">
        <v>2007.0</v>
      </c>
      <c r="N130" s="950">
        <v>2008.0</v>
      </c>
      <c r="O130" s="950">
        <v>2009.0</v>
      </c>
      <c r="P130" s="766">
        <v>2010.0</v>
      </c>
      <c r="Q130" s="766" t="s">
        <v>487</v>
      </c>
      <c r="R130" s="766" t="s">
        <v>489</v>
      </c>
      <c r="S130" s="766" t="s">
        <v>55</v>
      </c>
      <c r="T130" s="766" t="s">
        <v>57</v>
      </c>
      <c r="U130" s="766" t="s">
        <v>58</v>
      </c>
      <c r="V130" s="766" t="s">
        <v>59</v>
      </c>
      <c r="W130" s="766" t="s">
        <v>1667</v>
      </c>
      <c r="X130" s="1"/>
      <c r="Y130" s="1"/>
      <c r="Z130" s="1"/>
    </row>
    <row r="131" ht="11.25" customHeight="1">
      <c r="A131" s="1"/>
      <c r="B131" s="118"/>
      <c r="C131" s="35"/>
      <c r="D131" s="35"/>
      <c r="E131" s="94"/>
      <c r="F131" s="1023" t="s">
        <v>1668</v>
      </c>
      <c r="G131" s="9"/>
      <c r="H131" s="9"/>
      <c r="I131" s="9"/>
      <c r="J131" s="9"/>
      <c r="K131" s="9"/>
      <c r="L131" s="9"/>
      <c r="M131" s="9"/>
      <c r="N131" s="9"/>
      <c r="O131" s="9"/>
      <c r="P131" s="9"/>
      <c r="Q131" s="9"/>
      <c r="R131" s="9"/>
      <c r="S131" s="9"/>
      <c r="T131" s="9"/>
      <c r="U131" s="9"/>
      <c r="V131" s="9"/>
      <c r="W131" s="10"/>
      <c r="X131" s="1"/>
      <c r="Y131" s="1"/>
      <c r="Z131" s="1"/>
    </row>
    <row r="132" ht="10.5" customHeight="1">
      <c r="A132" s="1"/>
      <c r="B132" s="972" t="s">
        <v>1669</v>
      </c>
      <c r="C132" s="1024"/>
      <c r="D132" s="1024"/>
      <c r="E132" s="1025"/>
      <c r="F132" s="959">
        <v>939029.0</v>
      </c>
      <c r="G132" s="959">
        <v>953620.0</v>
      </c>
      <c r="H132" s="959">
        <v>1253927.0</v>
      </c>
      <c r="I132" s="959">
        <v>1184326.0</v>
      </c>
      <c r="J132" s="1009">
        <v>1333534.0</v>
      </c>
      <c r="K132" s="127">
        <v>1459573.0</v>
      </c>
      <c r="L132" s="1009">
        <v>1678847.0</v>
      </c>
      <c r="M132" s="1026">
        <v>2122850.0</v>
      </c>
      <c r="N132" s="1009">
        <v>3869869.0</v>
      </c>
      <c r="O132" s="1027">
        <v>3782804.0</v>
      </c>
      <c r="P132" s="1006">
        <v>3028831.0</v>
      </c>
      <c r="Q132" s="1006">
        <v>3687164.0</v>
      </c>
      <c r="R132" s="1028">
        <v>5634212.0</v>
      </c>
      <c r="S132" s="1029">
        <v>6442566.0</v>
      </c>
      <c r="T132" s="1008">
        <v>4564585.0</v>
      </c>
      <c r="U132" s="428">
        <v>5566322.0</v>
      </c>
      <c r="V132" s="428">
        <v>6166512.0</v>
      </c>
      <c r="W132" s="428">
        <v>6951898.0</v>
      </c>
      <c r="X132" s="1"/>
      <c r="Y132" s="1"/>
      <c r="Z132" s="1"/>
    </row>
    <row r="133" ht="10.5" customHeight="1">
      <c r="A133" s="1"/>
      <c r="B133" s="972" t="s">
        <v>1564</v>
      </c>
      <c r="C133" s="1024"/>
      <c r="D133" s="1024"/>
      <c r="E133" s="1025"/>
      <c r="F133" s="30">
        <v>633850.0</v>
      </c>
      <c r="G133" s="30">
        <v>382263.0</v>
      </c>
      <c r="H133" s="30">
        <v>971090.0</v>
      </c>
      <c r="I133" s="30">
        <v>855017.0</v>
      </c>
      <c r="J133" s="428">
        <v>1271734.0</v>
      </c>
      <c r="K133" s="12">
        <v>1154712.0</v>
      </c>
      <c r="L133" s="428">
        <v>1013414.0</v>
      </c>
      <c r="M133" s="426">
        <v>1835003.0</v>
      </c>
      <c r="N133" s="428">
        <v>3612129.0</v>
      </c>
      <c r="O133" s="961">
        <v>2337997.0</v>
      </c>
      <c r="P133" s="1011">
        <v>2018071.0</v>
      </c>
      <c r="Q133" s="1011">
        <v>4332231.0</v>
      </c>
      <c r="R133" s="1030">
        <v>3956173.0</v>
      </c>
      <c r="S133" s="1031">
        <v>4023992.0</v>
      </c>
      <c r="T133" s="1013">
        <v>5385459.0</v>
      </c>
      <c r="U133" s="428">
        <v>6017739.0</v>
      </c>
      <c r="V133" s="428">
        <v>4487466.0</v>
      </c>
      <c r="W133" s="428">
        <v>4371838.0</v>
      </c>
      <c r="X133" s="1"/>
      <c r="Y133" s="1"/>
      <c r="Z133" s="1"/>
    </row>
    <row r="134" ht="10.5" customHeight="1">
      <c r="A134" s="1"/>
      <c r="B134" s="972" t="s">
        <v>1670</v>
      </c>
      <c r="E134" s="87"/>
      <c r="F134" s="30">
        <v>214.0</v>
      </c>
      <c r="G134" s="30">
        <v>7571.0</v>
      </c>
      <c r="H134" s="30">
        <v>28257.0</v>
      </c>
      <c r="I134" s="30">
        <v>59823.0</v>
      </c>
      <c r="J134" s="428">
        <v>47404.0</v>
      </c>
      <c r="K134" s="12">
        <v>31230.0</v>
      </c>
      <c r="L134" s="428">
        <v>14263.0</v>
      </c>
      <c r="M134" s="426">
        <v>12394.0</v>
      </c>
      <c r="N134" s="428">
        <v>62112.0</v>
      </c>
      <c r="O134" s="961">
        <v>60426.0</v>
      </c>
      <c r="P134" s="1011">
        <v>122766.0</v>
      </c>
      <c r="Q134" s="1011">
        <v>155265.0</v>
      </c>
      <c r="R134" s="1030">
        <v>2850160.0</v>
      </c>
      <c r="S134" s="1031">
        <v>3750986.0</v>
      </c>
      <c r="T134" s="1013">
        <v>3743277.0</v>
      </c>
      <c r="U134" s="428">
        <v>3782969.0</v>
      </c>
      <c r="V134" s="428">
        <v>3710391.0</v>
      </c>
      <c r="W134" s="428">
        <v>3699763.0</v>
      </c>
      <c r="X134" s="1"/>
      <c r="Y134" s="1"/>
      <c r="Z134" s="1"/>
    </row>
    <row r="135" ht="10.5" customHeight="1">
      <c r="A135" s="1"/>
      <c r="B135" s="972" t="s">
        <v>1671</v>
      </c>
      <c r="C135" s="1032"/>
      <c r="D135" s="1032"/>
      <c r="E135" s="967"/>
      <c r="F135" s="30">
        <v>52186.0</v>
      </c>
      <c r="G135" s="30">
        <v>223951.0</v>
      </c>
      <c r="H135" s="30">
        <v>437177.0</v>
      </c>
      <c r="I135" s="30">
        <v>491266.0</v>
      </c>
      <c r="J135" s="428">
        <v>644539.0</v>
      </c>
      <c r="K135" s="12">
        <v>695776.0</v>
      </c>
      <c r="L135" s="428">
        <v>875005.0</v>
      </c>
      <c r="M135" s="426">
        <v>1472592.0</v>
      </c>
      <c r="N135" s="428">
        <v>2358367.0</v>
      </c>
      <c r="O135" s="961">
        <v>937503.0</v>
      </c>
      <c r="P135" s="1011">
        <v>2013107.0</v>
      </c>
      <c r="Q135" s="1011">
        <v>2712686.0</v>
      </c>
      <c r="R135" s="1030">
        <v>2164906.0</v>
      </c>
      <c r="S135" s="1031">
        <v>2076120.0</v>
      </c>
      <c r="T135" s="1013">
        <v>1721774.0</v>
      </c>
      <c r="U135" s="428">
        <v>1767316.0</v>
      </c>
      <c r="V135" s="428">
        <v>2285627.0</v>
      </c>
      <c r="W135" s="428">
        <v>2058261.0</v>
      </c>
      <c r="X135" s="1"/>
      <c r="Y135" s="1"/>
      <c r="Z135" s="1"/>
    </row>
    <row r="136" ht="10.5" customHeight="1">
      <c r="A136" s="1"/>
      <c r="B136" s="972" t="s">
        <v>1672</v>
      </c>
      <c r="C136" s="942"/>
      <c r="D136" s="942"/>
      <c r="E136" s="973"/>
      <c r="F136" s="30"/>
      <c r="G136" s="30"/>
      <c r="H136" s="30"/>
      <c r="I136" s="30"/>
      <c r="J136" s="428"/>
      <c r="K136" s="12"/>
      <c r="L136" s="428"/>
      <c r="M136" s="426"/>
      <c r="N136" s="428"/>
      <c r="O136" s="961"/>
      <c r="P136" s="428"/>
      <c r="Q136" s="428"/>
      <c r="R136" s="426"/>
      <c r="S136" s="59"/>
      <c r="T136" s="627"/>
      <c r="U136" s="428"/>
      <c r="V136" s="428"/>
      <c r="W136" s="428"/>
      <c r="X136" s="1"/>
      <c r="Y136" s="1"/>
      <c r="Z136" s="1"/>
    </row>
    <row r="137" ht="10.5" customHeight="1">
      <c r="A137" s="1"/>
      <c r="B137" s="972" t="s">
        <v>1673</v>
      </c>
      <c r="C137" s="1032"/>
      <c r="D137" s="1032"/>
      <c r="E137" s="967"/>
      <c r="F137" s="30">
        <v>344811.0</v>
      </c>
      <c r="G137" s="30">
        <v>455823.0</v>
      </c>
      <c r="H137" s="30">
        <v>475482.0</v>
      </c>
      <c r="I137" s="30">
        <v>442081.0</v>
      </c>
      <c r="J137" s="428">
        <v>486057.0</v>
      </c>
      <c r="K137" s="12">
        <v>620900.0</v>
      </c>
      <c r="L137" s="428">
        <v>791899.0</v>
      </c>
      <c r="M137" s="426">
        <v>1023231.0</v>
      </c>
      <c r="N137" s="428">
        <v>1238027.0</v>
      </c>
      <c r="O137" s="961">
        <v>1027955.0</v>
      </c>
      <c r="P137" s="1011">
        <v>1015697.0</v>
      </c>
      <c r="Q137" s="1011">
        <v>1207462.0</v>
      </c>
      <c r="R137" s="1030">
        <v>1404789.0</v>
      </c>
      <c r="S137" s="1031">
        <v>1850096.0</v>
      </c>
      <c r="T137" s="1013">
        <v>2050934.0</v>
      </c>
      <c r="U137" s="428">
        <v>2248544.0</v>
      </c>
      <c r="V137" s="428">
        <v>2521059.0</v>
      </c>
      <c r="W137" s="428">
        <v>2418024.0</v>
      </c>
      <c r="X137" s="1"/>
      <c r="Y137" s="1"/>
      <c r="Z137" s="1"/>
    </row>
    <row r="138" ht="10.5" customHeight="1">
      <c r="A138" s="1"/>
      <c r="B138" s="972" t="s">
        <v>1674</v>
      </c>
      <c r="C138" s="1024"/>
      <c r="D138" s="1024"/>
      <c r="E138" s="1025"/>
      <c r="F138" s="30">
        <v>323366.0</v>
      </c>
      <c r="G138" s="30">
        <v>427086.0</v>
      </c>
      <c r="H138" s="30">
        <v>758428.0</v>
      </c>
      <c r="I138" s="30">
        <v>733303.0</v>
      </c>
      <c r="J138" s="428">
        <v>788989.0</v>
      </c>
      <c r="K138" s="12">
        <v>664422.0</v>
      </c>
      <c r="L138" s="428">
        <v>791947.0</v>
      </c>
      <c r="M138" s="426">
        <v>1380369.0</v>
      </c>
      <c r="N138" s="428">
        <v>2428259.0</v>
      </c>
      <c r="O138" s="961">
        <v>1933467.0</v>
      </c>
      <c r="P138" s="1011">
        <v>2183947.0</v>
      </c>
      <c r="Q138" s="1011">
        <v>2975781.0</v>
      </c>
      <c r="R138" s="1030">
        <v>3303855.0</v>
      </c>
      <c r="S138" s="1031">
        <v>2974699.0</v>
      </c>
      <c r="T138" s="1013">
        <v>3794608.0</v>
      </c>
      <c r="U138" s="428">
        <v>3181272.0</v>
      </c>
      <c r="V138" s="428">
        <v>4213289.0</v>
      </c>
      <c r="W138" s="428">
        <v>4371838.0</v>
      </c>
      <c r="X138" s="1"/>
      <c r="Y138" s="1"/>
      <c r="Z138" s="1"/>
    </row>
    <row r="139" ht="10.5" customHeight="1">
      <c r="A139" s="1"/>
      <c r="B139" s="972" t="s">
        <v>1675</v>
      </c>
      <c r="E139" s="87"/>
      <c r="F139" s="30">
        <v>313833.0</v>
      </c>
      <c r="G139" s="30">
        <v>398102.0</v>
      </c>
      <c r="H139" s="30">
        <v>214449.0</v>
      </c>
      <c r="I139" s="30">
        <v>203807.0</v>
      </c>
      <c r="J139" s="428">
        <v>395576.0</v>
      </c>
      <c r="K139" s="12">
        <v>160382.0</v>
      </c>
      <c r="L139" s="428">
        <v>487924.0</v>
      </c>
      <c r="M139" s="426">
        <v>908871.0</v>
      </c>
      <c r="N139" s="428">
        <v>464875.0</v>
      </c>
      <c r="O139" s="961">
        <v>754504.0</v>
      </c>
      <c r="P139" s="1011">
        <v>786406.0</v>
      </c>
      <c r="Q139" s="1011">
        <v>892187.0</v>
      </c>
      <c r="R139" s="1030">
        <v>2046212.0</v>
      </c>
      <c r="S139" s="1031">
        <v>1518602.0</v>
      </c>
      <c r="T139" s="1013">
        <v>1441150.0</v>
      </c>
      <c r="U139" s="428">
        <v>1158581.0</v>
      </c>
      <c r="V139" s="428">
        <v>1610605.0</v>
      </c>
      <c r="W139" s="428">
        <v>1962249.0</v>
      </c>
      <c r="X139" s="1"/>
      <c r="Y139" s="1"/>
      <c r="Z139" s="1"/>
    </row>
    <row r="140" ht="10.5" customHeight="1">
      <c r="A140" s="1"/>
      <c r="B140" s="972" t="s">
        <v>1676</v>
      </c>
      <c r="C140" s="1032"/>
      <c r="D140" s="1032"/>
      <c r="E140" s="967"/>
      <c r="F140" s="30">
        <v>304072.0</v>
      </c>
      <c r="G140" s="30">
        <v>319257.0</v>
      </c>
      <c r="H140" s="30">
        <v>371301.0</v>
      </c>
      <c r="I140" s="30">
        <v>551105.0</v>
      </c>
      <c r="J140" s="428">
        <v>727095.0</v>
      </c>
      <c r="K140" s="12">
        <v>938308.0</v>
      </c>
      <c r="L140" s="428">
        <v>1240730.0</v>
      </c>
      <c r="M140" s="426">
        <v>1602251.0</v>
      </c>
      <c r="N140" s="428">
        <v>1578876.0</v>
      </c>
      <c r="O140" s="961">
        <v>1558083.0</v>
      </c>
      <c r="P140" s="1011">
        <v>1754233.0</v>
      </c>
      <c r="Q140" s="1011">
        <v>2734000.0</v>
      </c>
      <c r="R140" s="1030">
        <v>3522883.0</v>
      </c>
      <c r="S140" s="1031">
        <v>3894737.0</v>
      </c>
      <c r="T140" s="1013">
        <v>4062084.0</v>
      </c>
      <c r="U140" s="428">
        <v>4653292.0</v>
      </c>
      <c r="V140" s="428">
        <v>5463399.0</v>
      </c>
      <c r="W140" s="428">
        <v>6409972.0</v>
      </c>
      <c r="X140" s="1"/>
      <c r="Y140" s="1"/>
      <c r="Z140" s="1"/>
    </row>
    <row r="141" ht="10.5" customHeight="1">
      <c r="A141" s="1"/>
      <c r="B141" s="972" t="s">
        <v>1576</v>
      </c>
      <c r="C141" s="1024"/>
      <c r="D141" s="1024"/>
      <c r="E141" s="1025"/>
      <c r="F141" s="30">
        <v>396739.0</v>
      </c>
      <c r="G141" s="30">
        <v>454629.0</v>
      </c>
      <c r="H141" s="30">
        <v>657105.0</v>
      </c>
      <c r="I141" s="30">
        <v>581484.0</v>
      </c>
      <c r="J141" s="428">
        <v>738871.0</v>
      </c>
      <c r="K141" s="12">
        <v>492800.0</v>
      </c>
      <c r="L141" s="428">
        <v>556621.0</v>
      </c>
      <c r="M141" s="426">
        <v>572638.0</v>
      </c>
      <c r="N141" s="428">
        <v>861995.0</v>
      </c>
      <c r="O141" s="961">
        <v>1599440.0</v>
      </c>
      <c r="P141" s="1011">
        <v>1249330.0</v>
      </c>
      <c r="Q141" s="1011">
        <v>1235032.0</v>
      </c>
      <c r="R141" s="1030">
        <v>1161038.0</v>
      </c>
      <c r="S141" s="1031">
        <v>928357.0</v>
      </c>
      <c r="T141" s="1013">
        <v>1592779.0</v>
      </c>
      <c r="U141" s="428">
        <v>1684277.0</v>
      </c>
      <c r="V141" s="428">
        <v>2008560.0</v>
      </c>
      <c r="W141" s="428">
        <v>1714558.0</v>
      </c>
      <c r="X141" s="1"/>
      <c r="Y141" s="1"/>
      <c r="Z141" s="1"/>
    </row>
    <row r="142" ht="10.5" customHeight="1">
      <c r="A142" s="1"/>
      <c r="B142" s="972" t="s">
        <v>1577</v>
      </c>
      <c r="C142" s="1024"/>
      <c r="D142" s="1024"/>
      <c r="E142" s="1025"/>
      <c r="F142" s="30">
        <v>230247.0</v>
      </c>
      <c r="G142" s="30">
        <v>407781.0</v>
      </c>
      <c r="H142" s="30">
        <v>633177.0</v>
      </c>
      <c r="I142" s="30">
        <v>576879.0</v>
      </c>
      <c r="J142" s="428">
        <v>757627.0</v>
      </c>
      <c r="K142" s="12">
        <v>423671.0</v>
      </c>
      <c r="L142" s="428">
        <v>354808.0</v>
      </c>
      <c r="M142" s="426">
        <v>381503.0</v>
      </c>
      <c r="N142" s="428">
        <v>430407.0</v>
      </c>
      <c r="O142" s="961">
        <v>397369.0</v>
      </c>
      <c r="P142" s="1011">
        <v>363274.0</v>
      </c>
      <c r="Q142" s="1011">
        <v>738099.0</v>
      </c>
      <c r="R142" s="1030">
        <v>569482.0</v>
      </c>
      <c r="S142" s="1031">
        <v>683612.0</v>
      </c>
      <c r="T142" s="1013">
        <v>526278.0</v>
      </c>
      <c r="U142" s="428">
        <v>358840.0</v>
      </c>
      <c r="V142" s="428">
        <v>342236.0</v>
      </c>
      <c r="W142" s="428">
        <v>447986.0</v>
      </c>
      <c r="X142" s="1"/>
      <c r="Y142" s="1"/>
      <c r="Z142" s="1"/>
    </row>
    <row r="143" ht="10.5" customHeight="1">
      <c r="A143" s="1"/>
      <c r="B143" s="972" t="s">
        <v>1563</v>
      </c>
      <c r="C143" s="1024"/>
      <c r="D143" s="1024"/>
      <c r="E143" s="1025"/>
      <c r="F143" s="30">
        <v>215883.0</v>
      </c>
      <c r="G143" s="30">
        <v>139679.0</v>
      </c>
      <c r="H143" s="30">
        <v>1117243.0</v>
      </c>
      <c r="I143" s="30">
        <v>494560.0</v>
      </c>
      <c r="J143" s="428">
        <v>476396.0</v>
      </c>
      <c r="K143" s="12">
        <v>49790.0</v>
      </c>
      <c r="L143" s="428">
        <v>762343.0</v>
      </c>
      <c r="M143" s="426">
        <v>1465018.0</v>
      </c>
      <c r="N143" s="428">
        <v>226953.0</v>
      </c>
      <c r="O143" s="961">
        <v>184117.0</v>
      </c>
      <c r="P143" s="1011">
        <v>90920.0</v>
      </c>
      <c r="Q143" s="1011">
        <v>235609.0</v>
      </c>
      <c r="R143" s="1030">
        <v>733646.0</v>
      </c>
      <c r="S143" s="1031">
        <v>114550.0</v>
      </c>
      <c r="T143" s="1013">
        <v>399515.0</v>
      </c>
      <c r="U143" s="428">
        <v>1970018.0</v>
      </c>
      <c r="V143" s="428">
        <v>9260638.0</v>
      </c>
      <c r="W143" s="428">
        <v>1791885.0</v>
      </c>
      <c r="X143" s="1"/>
      <c r="Y143" s="1"/>
      <c r="Z143" s="1"/>
    </row>
    <row r="144" ht="10.5" customHeight="1">
      <c r="A144" s="1"/>
      <c r="B144" s="972" t="s">
        <v>1677</v>
      </c>
      <c r="C144" s="1032"/>
      <c r="D144" s="1032"/>
      <c r="E144" s="967"/>
      <c r="F144" s="30">
        <v>208583.0</v>
      </c>
      <c r="G144" s="30">
        <v>220614.0</v>
      </c>
      <c r="H144" s="30">
        <v>227757.0</v>
      </c>
      <c r="I144" s="30">
        <v>244004.0</v>
      </c>
      <c r="J144" s="428">
        <v>277458.0</v>
      </c>
      <c r="K144" s="12">
        <v>301001.0</v>
      </c>
      <c r="L144" s="428">
        <v>356585.0</v>
      </c>
      <c r="M144" s="426">
        <v>440868.0</v>
      </c>
      <c r="N144" s="428">
        <v>592122.0</v>
      </c>
      <c r="O144" s="961">
        <v>567224.0</v>
      </c>
      <c r="P144" s="1011">
        <v>595648.0</v>
      </c>
      <c r="Q144" s="1011">
        <v>805914.0</v>
      </c>
      <c r="R144" s="1030">
        <v>1113324.0</v>
      </c>
      <c r="S144" s="1031">
        <v>1166395.0</v>
      </c>
      <c r="T144" s="1013">
        <v>1441868.0</v>
      </c>
      <c r="U144" s="428">
        <v>1730741.0</v>
      </c>
      <c r="V144" s="428">
        <v>1763816.0</v>
      </c>
      <c r="W144" s="428">
        <v>1906867.0</v>
      </c>
      <c r="X144" s="1"/>
      <c r="Y144" s="1"/>
      <c r="Z144" s="1"/>
    </row>
    <row r="145" ht="10.5" customHeight="1">
      <c r="A145" s="1"/>
      <c r="B145" s="972" t="s">
        <v>1678</v>
      </c>
      <c r="C145" s="1024"/>
      <c r="D145" s="1024"/>
      <c r="E145" s="1025"/>
      <c r="F145" s="30">
        <v>184843.0</v>
      </c>
      <c r="G145" s="30">
        <v>141822.0</v>
      </c>
      <c r="H145" s="30">
        <v>192133.0</v>
      </c>
      <c r="I145" s="30">
        <v>174990.0</v>
      </c>
      <c r="J145" s="428">
        <v>170401.0</v>
      </c>
      <c r="K145" s="12">
        <v>241310.0</v>
      </c>
      <c r="L145" s="428">
        <v>314945.0</v>
      </c>
      <c r="M145" s="426">
        <v>341388.0</v>
      </c>
      <c r="N145" s="428">
        <v>588507.0</v>
      </c>
      <c r="O145" s="961">
        <v>418027.0</v>
      </c>
      <c r="P145" s="1011">
        <v>476619.0</v>
      </c>
      <c r="Q145" s="1011">
        <v>675675.0</v>
      </c>
      <c r="R145" s="1030">
        <v>715461.0</v>
      </c>
      <c r="S145" s="1031">
        <v>737539.0</v>
      </c>
      <c r="T145" s="1013">
        <v>912740.0</v>
      </c>
      <c r="U145" s="428">
        <v>1179187.0</v>
      </c>
      <c r="V145" s="428">
        <v>1224307.0</v>
      </c>
      <c r="W145" s="428">
        <v>1225317.0</v>
      </c>
      <c r="X145" s="1"/>
      <c r="Y145" s="1"/>
      <c r="Z145" s="1"/>
    </row>
    <row r="146" ht="10.5" customHeight="1">
      <c r="A146" s="1"/>
      <c r="B146" s="972" t="s">
        <v>1679</v>
      </c>
      <c r="C146" s="1032"/>
      <c r="D146" s="1032"/>
      <c r="E146" s="967"/>
      <c r="F146" s="30">
        <v>173693.0</v>
      </c>
      <c r="G146" s="30">
        <v>213958.0</v>
      </c>
      <c r="H146" s="30">
        <v>144102.0</v>
      </c>
      <c r="I146" s="30">
        <v>194796.0</v>
      </c>
      <c r="J146" s="428">
        <v>149487.0</v>
      </c>
      <c r="K146" s="12">
        <v>54232.0</v>
      </c>
      <c r="L146" s="428">
        <v>12542.0</v>
      </c>
      <c r="M146" s="426">
        <v>7233.0</v>
      </c>
      <c r="N146" s="428">
        <v>9403.0</v>
      </c>
      <c r="O146" s="961">
        <v>4055.0</v>
      </c>
      <c r="P146" s="1011">
        <v>8443.0</v>
      </c>
      <c r="Q146" s="1011">
        <v>17153.0</v>
      </c>
      <c r="R146" s="1030">
        <v>48777.0</v>
      </c>
      <c r="S146" s="1031">
        <v>103423.0</v>
      </c>
      <c r="T146" s="1013">
        <v>148221.0</v>
      </c>
      <c r="U146" s="428">
        <v>138299.0</v>
      </c>
      <c r="V146" s="428">
        <v>101358.0</v>
      </c>
      <c r="W146" s="428">
        <v>74192.0</v>
      </c>
      <c r="X146" s="1"/>
      <c r="Y146" s="1"/>
      <c r="Z146" s="1"/>
    </row>
    <row r="147" ht="10.5" customHeight="1">
      <c r="A147" s="1"/>
      <c r="B147" s="972" t="s">
        <v>1566</v>
      </c>
      <c r="C147" s="1024"/>
      <c r="D147" s="1024"/>
      <c r="E147" s="1025"/>
      <c r="F147" s="30">
        <v>153876.0</v>
      </c>
      <c r="G147" s="30">
        <v>187579.0</v>
      </c>
      <c r="H147" s="30">
        <v>317380.0</v>
      </c>
      <c r="I147" s="30">
        <v>132563.0</v>
      </c>
      <c r="J147" s="428">
        <v>67013.0</v>
      </c>
      <c r="K147" s="12">
        <v>118842.0</v>
      </c>
      <c r="L147" s="428">
        <v>59281.0</v>
      </c>
      <c r="M147" s="426">
        <v>47259.0</v>
      </c>
      <c r="N147" s="428">
        <v>165002.0</v>
      </c>
      <c r="O147" s="961">
        <v>52458.0</v>
      </c>
      <c r="P147" s="1011">
        <v>109150.0</v>
      </c>
      <c r="Q147" s="1011">
        <v>231385.0</v>
      </c>
      <c r="R147" s="1030">
        <v>45021.0</v>
      </c>
      <c r="S147" s="1031">
        <v>94711.0</v>
      </c>
      <c r="T147" s="1013">
        <v>230753.0</v>
      </c>
      <c r="U147" s="428">
        <v>276255.0</v>
      </c>
      <c r="V147" s="478">
        <v>279.0</v>
      </c>
      <c r="W147" s="478">
        <v>154281.0</v>
      </c>
      <c r="X147" s="1"/>
      <c r="Y147" s="1"/>
      <c r="Z147" s="1"/>
    </row>
    <row r="148" ht="10.5" customHeight="1">
      <c r="A148" s="986">
        <v>87.0</v>
      </c>
      <c r="B148" s="972" t="s">
        <v>1680</v>
      </c>
      <c r="C148" s="1024"/>
      <c r="D148" s="1024"/>
      <c r="E148" s="1025"/>
      <c r="F148" s="30">
        <v>29802.0</v>
      </c>
      <c r="G148" s="30">
        <v>93606.0</v>
      </c>
      <c r="H148" s="30">
        <v>97264.0</v>
      </c>
      <c r="I148" s="30">
        <v>99834.0</v>
      </c>
      <c r="J148" s="428">
        <v>94529.0</v>
      </c>
      <c r="K148" s="12">
        <v>76712.0</v>
      </c>
      <c r="L148" s="428">
        <v>125212.0</v>
      </c>
      <c r="M148" s="426">
        <v>306494.0</v>
      </c>
      <c r="N148" s="428">
        <v>390444.0</v>
      </c>
      <c r="O148" s="961">
        <v>460472.0</v>
      </c>
      <c r="P148" s="1011">
        <v>255623.0</v>
      </c>
      <c r="Q148" s="1011">
        <v>265350.0</v>
      </c>
      <c r="R148" s="1030">
        <v>372375.0</v>
      </c>
      <c r="S148" s="1031">
        <v>360751.0</v>
      </c>
      <c r="T148" s="1013">
        <v>338641.0</v>
      </c>
      <c r="U148" s="428">
        <v>472865.0</v>
      </c>
      <c r="V148" s="428">
        <v>932334.0</v>
      </c>
      <c r="W148" s="428">
        <v>305378.0</v>
      </c>
      <c r="X148" s="1"/>
      <c r="Y148" s="1"/>
      <c r="Z148" s="1"/>
    </row>
    <row r="149" ht="10.5" customHeight="1">
      <c r="B149" s="972" t="s">
        <v>1681</v>
      </c>
      <c r="C149" s="1032"/>
      <c r="D149" s="1032"/>
      <c r="E149" s="967"/>
      <c r="F149" s="30">
        <v>142582.0</v>
      </c>
      <c r="G149" s="30">
        <v>117847.0</v>
      </c>
      <c r="H149" s="30">
        <v>159847.0</v>
      </c>
      <c r="I149" s="30">
        <v>92859.0</v>
      </c>
      <c r="J149" s="428">
        <v>40207.0</v>
      </c>
      <c r="K149" s="12">
        <v>178345.0</v>
      </c>
      <c r="L149" s="428">
        <v>132441.0</v>
      </c>
      <c r="M149" s="426">
        <v>362910.0</v>
      </c>
      <c r="N149" s="428">
        <v>193813.0</v>
      </c>
      <c r="O149" s="961">
        <v>111617.0</v>
      </c>
      <c r="P149" s="1011">
        <v>167510.0</v>
      </c>
      <c r="Q149" s="1011">
        <v>214085.0</v>
      </c>
      <c r="R149" s="1030">
        <v>362919.0</v>
      </c>
      <c r="S149" s="1031">
        <v>266234.0</v>
      </c>
      <c r="T149" s="1013">
        <v>429494.0</v>
      </c>
      <c r="U149" s="428">
        <v>390109.0</v>
      </c>
      <c r="V149" s="428">
        <v>347041.0</v>
      </c>
      <c r="W149" s="428">
        <v>521713.0</v>
      </c>
      <c r="X149" s="1"/>
      <c r="Y149" s="1"/>
      <c r="Z149" s="1"/>
    </row>
    <row r="150" ht="10.5" customHeight="1">
      <c r="A150" s="1"/>
      <c r="B150" s="972" t="s">
        <v>1682</v>
      </c>
      <c r="C150" s="1032"/>
      <c r="D150" s="1032"/>
      <c r="E150" s="967"/>
      <c r="F150" s="30">
        <v>139408.0</v>
      </c>
      <c r="G150" s="30">
        <v>102743.0</v>
      </c>
      <c r="H150" s="30">
        <v>64980.0</v>
      </c>
      <c r="I150" s="30">
        <v>65086.0</v>
      </c>
      <c r="J150" s="428">
        <v>87421.0</v>
      </c>
      <c r="K150" s="12">
        <v>131739.0</v>
      </c>
      <c r="L150" s="428">
        <v>232410.0</v>
      </c>
      <c r="M150" s="426">
        <v>232455.0</v>
      </c>
      <c r="N150" s="428">
        <v>258183.0</v>
      </c>
      <c r="O150" s="961">
        <v>120546.0</v>
      </c>
      <c r="P150" s="1011">
        <v>113380.0</v>
      </c>
      <c r="Q150" s="1011">
        <v>133346.0</v>
      </c>
      <c r="R150" s="1030">
        <v>471601.0</v>
      </c>
      <c r="S150" s="1031">
        <v>405685.0</v>
      </c>
      <c r="T150" s="1013">
        <v>313481.0</v>
      </c>
      <c r="U150" s="428">
        <v>321294.0</v>
      </c>
      <c r="V150" s="428">
        <v>284987.0</v>
      </c>
      <c r="W150" s="428">
        <v>265378.0</v>
      </c>
      <c r="X150" s="1"/>
      <c r="Y150" s="1"/>
      <c r="Z150" s="1"/>
    </row>
    <row r="151" ht="10.5" customHeight="1">
      <c r="A151" s="1"/>
      <c r="B151" s="972" t="s">
        <v>1683</v>
      </c>
      <c r="C151" s="1032"/>
      <c r="D151" s="1032"/>
      <c r="E151" s="967"/>
      <c r="F151" s="30">
        <v>136306.0</v>
      </c>
      <c r="G151" s="30">
        <v>160891.0</v>
      </c>
      <c r="H151" s="30">
        <v>173817.0</v>
      </c>
      <c r="I151" s="30">
        <v>113442.0</v>
      </c>
      <c r="J151" s="428">
        <v>138465.0</v>
      </c>
      <c r="K151" s="12">
        <v>152754.0</v>
      </c>
      <c r="L151" s="428">
        <v>165641.0</v>
      </c>
      <c r="M151" s="426">
        <v>199007.0</v>
      </c>
      <c r="N151" s="428">
        <v>298245.0</v>
      </c>
      <c r="O151" s="961">
        <v>200209.0</v>
      </c>
      <c r="P151" s="1011">
        <v>226672.0</v>
      </c>
      <c r="Q151" s="1011">
        <v>235984.0</v>
      </c>
      <c r="R151" s="1030">
        <v>286280.0</v>
      </c>
      <c r="S151" s="1031">
        <v>398960.0</v>
      </c>
      <c r="T151" s="1013">
        <v>454366.0</v>
      </c>
      <c r="U151" s="428">
        <v>538284.0</v>
      </c>
      <c r="V151" s="428">
        <v>519236.0</v>
      </c>
      <c r="W151" s="428">
        <v>402871.0</v>
      </c>
      <c r="X151" s="1"/>
      <c r="Y151" s="1"/>
      <c r="Z151" s="1"/>
    </row>
    <row r="152" ht="10.5" customHeight="1">
      <c r="A152" s="1"/>
      <c r="B152" s="972" t="s">
        <v>1684</v>
      </c>
      <c r="C152" s="1032"/>
      <c r="D152" s="1032"/>
      <c r="E152" s="967"/>
      <c r="F152" s="30">
        <v>129290.0</v>
      </c>
      <c r="G152" s="30">
        <v>98022.0</v>
      </c>
      <c r="H152" s="30">
        <v>239913.0</v>
      </c>
      <c r="I152" s="30">
        <v>326424.0</v>
      </c>
      <c r="J152" s="428">
        <v>182556.0</v>
      </c>
      <c r="K152" s="12">
        <v>173626.0</v>
      </c>
      <c r="L152" s="428">
        <v>282408.0</v>
      </c>
      <c r="M152" s="426">
        <v>486478.0</v>
      </c>
      <c r="N152" s="428">
        <v>535141.0</v>
      </c>
      <c r="O152" s="961">
        <v>569616.0</v>
      </c>
      <c r="P152" s="1011">
        <v>574711.0</v>
      </c>
      <c r="Q152" s="1011">
        <v>592166.0</v>
      </c>
      <c r="R152" s="1030">
        <v>893966.0</v>
      </c>
      <c r="S152" s="1031">
        <v>649792.0</v>
      </c>
      <c r="T152" s="1013">
        <v>737709.0</v>
      </c>
      <c r="U152" s="428">
        <v>605812.0</v>
      </c>
      <c r="V152" s="428">
        <v>813622.0</v>
      </c>
      <c r="W152" s="428">
        <v>594949.0</v>
      </c>
      <c r="X152" s="1"/>
      <c r="Y152" s="1"/>
      <c r="Z152" s="1"/>
    </row>
    <row r="153" ht="10.5" customHeight="1">
      <c r="A153" s="1"/>
      <c r="B153" s="1015" t="s">
        <v>8</v>
      </c>
      <c r="C153" s="1033"/>
      <c r="D153" s="1033"/>
      <c r="E153" s="1034"/>
      <c r="F153" s="401">
        <v>4591505.0</v>
      </c>
      <c r="G153" s="401">
        <v>5197508.0</v>
      </c>
      <c r="H153" s="401">
        <v>6627786.0</v>
      </c>
      <c r="I153" s="401">
        <v>6292818.0</v>
      </c>
      <c r="J153" s="927">
        <v>7540138.0</v>
      </c>
      <c r="K153" s="145">
        <v>8166293.0</v>
      </c>
      <c r="L153" s="927">
        <v>1.0339202E7</v>
      </c>
      <c r="M153" s="927">
        <v>1.4103661E7</v>
      </c>
      <c r="N153" s="927">
        <v>1.8264731E7</v>
      </c>
      <c r="O153" s="995">
        <v>1.7961318E7</v>
      </c>
      <c r="P153" s="1017">
        <v>1.7472444E7</v>
      </c>
      <c r="Q153" s="1017">
        <v>2.0849823E7</v>
      </c>
      <c r="R153" s="1035">
        <v>2.7906421E7</v>
      </c>
      <c r="S153" s="1036">
        <v>3.1810119E7</v>
      </c>
      <c r="T153" s="1019">
        <v>3.2953528E7</v>
      </c>
      <c r="U153" s="927">
        <v>3.6975244E7</v>
      </c>
      <c r="V153" s="927">
        <v>4.238138E7</v>
      </c>
      <c r="W153" s="927">
        <v>4.4217204E7</v>
      </c>
      <c r="X153" s="1"/>
      <c r="Y153" s="1"/>
      <c r="Z153" s="1"/>
    </row>
    <row r="154" ht="10.5" customHeight="1">
      <c r="A154" s="1"/>
      <c r="B154" s="993" t="s">
        <v>2</v>
      </c>
      <c r="C154" s="994"/>
      <c r="D154" s="994"/>
      <c r="E154" s="1037"/>
      <c r="F154" s="401">
        <f t="shared" ref="F154:Q154" si="11">SUM(F132:F153)</f>
        <v>9644118</v>
      </c>
      <c r="G154" s="401">
        <f t="shared" si="11"/>
        <v>10704352</v>
      </c>
      <c r="H154" s="401">
        <f t="shared" si="11"/>
        <v>15162615</v>
      </c>
      <c r="I154" s="401">
        <f t="shared" si="11"/>
        <v>13910467</v>
      </c>
      <c r="J154" s="401">
        <f t="shared" si="11"/>
        <v>16415497</v>
      </c>
      <c r="K154" s="401">
        <f t="shared" si="11"/>
        <v>16286418</v>
      </c>
      <c r="L154" s="401">
        <f t="shared" si="11"/>
        <v>20588468</v>
      </c>
      <c r="M154" s="401">
        <f t="shared" si="11"/>
        <v>29304473</v>
      </c>
      <c r="N154" s="401">
        <f t="shared" si="11"/>
        <v>38427460</v>
      </c>
      <c r="O154" s="401">
        <f t="shared" si="11"/>
        <v>35039207</v>
      </c>
      <c r="P154" s="401">
        <f t="shared" si="11"/>
        <v>34626782</v>
      </c>
      <c r="Q154" s="401">
        <f t="shared" si="11"/>
        <v>44926397</v>
      </c>
      <c r="R154" s="401">
        <v>5.956351E7</v>
      </c>
      <c r="S154" s="401">
        <v>6.4251927E7</v>
      </c>
      <c r="T154" s="401">
        <v>6.7243245E7</v>
      </c>
      <c r="U154" s="401">
        <v>7.5017258E7</v>
      </c>
      <c r="V154" s="927">
        <v>9.0438143E7</v>
      </c>
      <c r="W154" s="927">
        <v>8.5866422E7</v>
      </c>
      <c r="X154" s="1"/>
      <c r="Y154" s="1"/>
      <c r="Z154" s="1"/>
    </row>
    <row r="155" ht="12.75" customHeight="1">
      <c r="A155" s="1"/>
      <c r="B155" s="936" t="s">
        <v>1599</v>
      </c>
      <c r="C155" s="942"/>
      <c r="D155" s="113"/>
      <c r="E155" s="113"/>
      <c r="F155" s="113"/>
      <c r="G155" s="113"/>
      <c r="H155" s="113"/>
      <c r="I155" s="113"/>
      <c r="J155" s="113"/>
      <c r="K155" s="113"/>
      <c r="L155" s="113"/>
      <c r="M155" s="113"/>
      <c r="N155" s="113"/>
      <c r="O155" s="113"/>
      <c r="P155" s="113"/>
      <c r="Q155" s="113"/>
      <c r="R155" s="113"/>
      <c r="S155" s="1"/>
      <c r="T155" s="1"/>
      <c r="U155" s="1"/>
      <c r="V155" s="1"/>
      <c r="W155" s="1"/>
      <c r="X155" s="1"/>
      <c r="Y155" s="1"/>
      <c r="Z155" s="1"/>
    </row>
    <row r="156" ht="6.0" customHeight="1">
      <c r="A156" s="1"/>
      <c r="B156" s="936"/>
      <c r="C156" s="113"/>
      <c r="D156" s="113"/>
      <c r="E156" s="113"/>
      <c r="F156" s="113"/>
      <c r="G156" s="113"/>
      <c r="H156" s="113"/>
      <c r="I156" s="113"/>
      <c r="J156" s="113"/>
      <c r="K156" s="113"/>
      <c r="L156" s="113"/>
      <c r="M156" s="113"/>
      <c r="N156" s="113"/>
      <c r="O156" s="113"/>
      <c r="P156" s="113"/>
      <c r="Q156" s="113"/>
      <c r="R156" s="113"/>
      <c r="S156" s="1"/>
      <c r="T156" s="1"/>
      <c r="U156" s="1"/>
      <c r="V156" s="1"/>
      <c r="W156" s="1"/>
      <c r="X156" s="1"/>
      <c r="Y156" s="1"/>
      <c r="Z156" s="1"/>
    </row>
    <row r="157" ht="10.5" customHeight="1">
      <c r="A157" s="1"/>
      <c r="B157" s="1002" t="s">
        <v>1685</v>
      </c>
      <c r="C157" s="113"/>
      <c r="D157" s="113"/>
      <c r="E157" s="113"/>
      <c r="F157" s="15"/>
      <c r="G157" s="15"/>
      <c r="H157" s="15"/>
      <c r="I157" s="15"/>
      <c r="J157" s="15"/>
      <c r="K157" s="15"/>
      <c r="L157" s="15"/>
      <c r="M157" s="15"/>
      <c r="N157" s="15"/>
      <c r="O157" s="15"/>
      <c r="P157" s="15"/>
      <c r="Q157" s="15"/>
      <c r="R157" s="113"/>
      <c r="S157" s="113"/>
      <c r="T157" s="113"/>
      <c r="U157" s="113"/>
      <c r="V157" s="113"/>
      <c r="W157" s="1"/>
      <c r="X157" s="1"/>
      <c r="Y157" s="1"/>
      <c r="Z157" s="1"/>
    </row>
    <row r="158" ht="10.5" customHeight="1">
      <c r="A158" s="1"/>
      <c r="B158" s="1038"/>
      <c r="C158" s="113"/>
      <c r="D158" s="113"/>
      <c r="E158" s="113"/>
      <c r="F158" s="15"/>
      <c r="G158" s="15"/>
      <c r="H158" s="15"/>
      <c r="I158" s="15"/>
      <c r="J158" s="15"/>
      <c r="K158" s="15"/>
      <c r="L158" s="15"/>
      <c r="M158" s="15"/>
      <c r="N158" s="15"/>
      <c r="O158" s="15"/>
      <c r="P158" s="15"/>
      <c r="Q158" s="15"/>
      <c r="R158" s="113"/>
      <c r="S158" s="113"/>
      <c r="T158" s="113"/>
      <c r="U158" s="113"/>
      <c r="V158" s="113"/>
      <c r="W158" s="1"/>
      <c r="X158" s="1"/>
      <c r="Y158" s="1"/>
      <c r="Z158" s="1"/>
    </row>
    <row r="159" ht="10.5" customHeight="1">
      <c r="A159" s="1"/>
      <c r="B159" s="1038"/>
      <c r="C159" s="113"/>
      <c r="D159" s="113"/>
      <c r="E159" s="113"/>
      <c r="F159" s="15"/>
      <c r="G159" s="15"/>
      <c r="H159" s="15"/>
      <c r="I159" s="15"/>
      <c r="J159" s="15"/>
      <c r="K159" s="15"/>
      <c r="L159" s="15"/>
      <c r="M159" s="15"/>
      <c r="N159" s="15"/>
      <c r="O159" s="15"/>
      <c r="P159" s="15"/>
      <c r="Q159" s="15"/>
      <c r="R159" s="113"/>
      <c r="S159" s="113"/>
      <c r="T159" s="113"/>
      <c r="U159" s="113"/>
      <c r="V159" s="113"/>
      <c r="W159" s="1"/>
      <c r="X159" s="1"/>
      <c r="Y159" s="1"/>
      <c r="Z159" s="1"/>
    </row>
    <row r="160" ht="11.25" customHeight="1">
      <c r="A160" s="1"/>
      <c r="B160" s="942" t="s">
        <v>1686</v>
      </c>
      <c r="C160" s="113"/>
      <c r="D160" s="113"/>
      <c r="E160" s="113"/>
      <c r="F160" s="113"/>
      <c r="G160" s="113"/>
      <c r="H160" s="113"/>
      <c r="I160" s="113"/>
      <c r="J160" s="113"/>
      <c r="K160" s="113"/>
      <c r="L160" s="113"/>
      <c r="M160" s="113"/>
      <c r="N160" s="113"/>
      <c r="O160" s="113"/>
      <c r="P160" s="113"/>
      <c r="Q160" s="113"/>
      <c r="R160" s="113"/>
      <c r="S160" s="113"/>
      <c r="T160" s="113"/>
      <c r="U160" s="113"/>
      <c r="V160" s="113"/>
      <c r="W160" s="1"/>
      <c r="X160" s="1"/>
      <c r="Y160" s="1"/>
      <c r="Z160" s="1"/>
    </row>
    <row r="161" ht="11.25" customHeight="1">
      <c r="A161" s="1"/>
      <c r="B161" s="943" t="s">
        <v>1687</v>
      </c>
      <c r="C161" s="70"/>
      <c r="D161" s="968">
        <v>2000.0</v>
      </c>
      <c r="E161" s="968">
        <v>2001.0</v>
      </c>
      <c r="F161" s="1039">
        <v>2002.0</v>
      </c>
      <c r="G161" s="968">
        <v>2003.0</v>
      </c>
      <c r="H161" s="968">
        <v>2004.0</v>
      </c>
      <c r="I161" s="1039">
        <v>2005.0</v>
      </c>
      <c r="J161" s="968">
        <v>2006.0</v>
      </c>
      <c r="K161" s="968">
        <v>2007.0</v>
      </c>
      <c r="L161" s="766">
        <v>2008.0</v>
      </c>
      <c r="M161" s="766">
        <v>2009.0</v>
      </c>
      <c r="N161" s="766">
        <v>2010.0</v>
      </c>
      <c r="O161" s="766" t="s">
        <v>487</v>
      </c>
      <c r="P161" s="766" t="s">
        <v>489</v>
      </c>
      <c r="Q161" s="766" t="s">
        <v>55</v>
      </c>
      <c r="R161" s="766" t="s">
        <v>57</v>
      </c>
      <c r="S161" s="766" t="s">
        <v>58</v>
      </c>
      <c r="T161" s="766" t="s">
        <v>59</v>
      </c>
      <c r="U161" s="766" t="s">
        <v>1688</v>
      </c>
      <c r="V161" s="1"/>
      <c r="W161" s="1"/>
      <c r="X161" s="1"/>
      <c r="Y161" s="1"/>
      <c r="Z161" s="1"/>
    </row>
    <row r="162" ht="11.25" customHeight="1">
      <c r="A162" s="1"/>
      <c r="B162" s="118"/>
      <c r="C162" s="94"/>
      <c r="D162" s="1040" t="s">
        <v>50</v>
      </c>
      <c r="E162" s="9"/>
      <c r="F162" s="9"/>
      <c r="G162" s="9"/>
      <c r="H162" s="9"/>
      <c r="I162" s="9"/>
      <c r="J162" s="9"/>
      <c r="K162" s="9"/>
      <c r="L162" s="9"/>
      <c r="M162" s="9"/>
      <c r="N162" s="9"/>
      <c r="O162" s="9"/>
      <c r="P162" s="9"/>
      <c r="Q162" s="9"/>
      <c r="R162" s="9"/>
      <c r="S162" s="9"/>
      <c r="T162" s="9"/>
      <c r="U162" s="10"/>
      <c r="V162" s="1"/>
      <c r="W162" s="1"/>
      <c r="X162" s="1"/>
      <c r="Y162" s="1"/>
      <c r="Z162" s="1"/>
    </row>
    <row r="163" ht="10.5" customHeight="1">
      <c r="A163" s="1"/>
      <c r="B163" s="1041" t="s">
        <v>1689</v>
      </c>
      <c r="C163" s="1042"/>
      <c r="D163" s="30">
        <v>1122196.0</v>
      </c>
      <c r="E163" s="30">
        <v>1657613.0</v>
      </c>
      <c r="F163" s="30">
        <v>1937141.0</v>
      </c>
      <c r="G163" s="30">
        <v>1636934.0</v>
      </c>
      <c r="H163" s="33">
        <v>2877749.0</v>
      </c>
      <c r="I163" s="33">
        <v>1998062.0</v>
      </c>
      <c r="J163" s="33">
        <v>3908141.0</v>
      </c>
      <c r="K163" s="428">
        <v>6057196.0</v>
      </c>
      <c r="L163" s="428">
        <v>6954856.0</v>
      </c>
      <c r="M163" s="1027">
        <v>5047436.0</v>
      </c>
      <c r="N163" s="1006">
        <v>4266289.0</v>
      </c>
      <c r="O163" s="1006">
        <v>5576440.0</v>
      </c>
      <c r="P163" s="1006">
        <v>532878.0</v>
      </c>
      <c r="Q163" s="1007">
        <v>5533260.0</v>
      </c>
      <c r="R163" s="1008">
        <v>4115027.0</v>
      </c>
      <c r="S163" s="428">
        <v>5956465.0</v>
      </c>
      <c r="T163" s="428">
        <v>1.0502401E7</v>
      </c>
      <c r="U163" s="428">
        <v>4975908.0</v>
      </c>
      <c r="V163" s="1"/>
      <c r="W163" s="1"/>
      <c r="X163" s="1"/>
      <c r="Y163" s="1"/>
      <c r="Z163" s="1"/>
    </row>
    <row r="164" ht="10.5" customHeight="1">
      <c r="A164" s="1"/>
      <c r="B164" s="972" t="s">
        <v>1650</v>
      </c>
      <c r="C164" s="1043"/>
      <c r="D164" s="30">
        <v>1127791.0</v>
      </c>
      <c r="E164" s="30">
        <v>802678.0</v>
      </c>
      <c r="F164" s="30">
        <v>1435854.0</v>
      </c>
      <c r="G164" s="30">
        <v>1124807.0</v>
      </c>
      <c r="H164" s="33">
        <v>1402916.0</v>
      </c>
      <c r="I164" s="33">
        <v>1344584.0</v>
      </c>
      <c r="J164" s="33">
        <v>1069863.0</v>
      </c>
      <c r="K164" s="428">
        <v>2210377.0</v>
      </c>
      <c r="L164" s="428">
        <v>2602815.0</v>
      </c>
      <c r="M164" s="961">
        <v>1394569.0</v>
      </c>
      <c r="N164" s="1011">
        <v>1920889.0</v>
      </c>
      <c r="O164" s="1011">
        <v>3025308.0</v>
      </c>
      <c r="P164" s="1011">
        <v>190150.0</v>
      </c>
      <c r="Q164" s="1012">
        <v>2739300.0</v>
      </c>
      <c r="R164" s="1013">
        <v>2806382.0</v>
      </c>
      <c r="S164" s="428">
        <v>2547326.0</v>
      </c>
      <c r="T164" s="428">
        <v>4091523.0</v>
      </c>
      <c r="U164" s="428">
        <v>4497573.0</v>
      </c>
      <c r="V164" s="1"/>
      <c r="W164" s="1"/>
      <c r="X164" s="1"/>
      <c r="Y164" s="1"/>
      <c r="Z164" s="1"/>
    </row>
    <row r="165" ht="10.5" customHeight="1">
      <c r="A165" s="1"/>
      <c r="B165" s="972" t="s">
        <v>1690</v>
      </c>
      <c r="C165" s="1043"/>
      <c r="D165" s="30">
        <v>945517.0</v>
      </c>
      <c r="E165" s="30">
        <v>782264.0</v>
      </c>
      <c r="F165" s="30">
        <v>966834.0</v>
      </c>
      <c r="G165" s="30">
        <v>867071.0</v>
      </c>
      <c r="H165" s="33">
        <v>976636.0</v>
      </c>
      <c r="I165" s="33">
        <v>1062705.0</v>
      </c>
      <c r="J165" s="33">
        <v>1462778.0</v>
      </c>
      <c r="K165" s="428">
        <v>1803775.0</v>
      </c>
      <c r="L165" s="428">
        <v>2051796.0</v>
      </c>
      <c r="M165" s="961">
        <v>1817070.0</v>
      </c>
      <c r="N165" s="1011">
        <v>2121857.0</v>
      </c>
      <c r="O165" s="1011">
        <v>2559341.0</v>
      </c>
      <c r="P165" s="1011">
        <v>294269.0</v>
      </c>
      <c r="Q165" s="1012">
        <v>3832226.0</v>
      </c>
      <c r="R165" s="1013">
        <v>4233547.0</v>
      </c>
      <c r="S165" s="428">
        <v>3895742.0</v>
      </c>
      <c r="T165" s="428">
        <v>4175013.0</v>
      </c>
      <c r="U165" s="428">
        <v>3592212.0</v>
      </c>
      <c r="V165" s="1"/>
      <c r="W165" s="1"/>
      <c r="X165" s="1"/>
      <c r="Y165" s="1"/>
      <c r="Z165" s="1"/>
    </row>
    <row r="166" ht="10.5" customHeight="1">
      <c r="A166" s="1"/>
      <c r="B166" s="972" t="s">
        <v>1691</v>
      </c>
      <c r="C166" s="977"/>
      <c r="D166" s="30">
        <v>807700.0</v>
      </c>
      <c r="E166" s="30">
        <v>727006.0</v>
      </c>
      <c r="F166" s="30">
        <v>917259.0</v>
      </c>
      <c r="G166" s="30">
        <v>611611.0</v>
      </c>
      <c r="H166" s="33">
        <v>860499.0</v>
      </c>
      <c r="I166" s="33">
        <v>694654.0</v>
      </c>
      <c r="J166" s="33">
        <v>711020.0</v>
      </c>
      <c r="K166" s="428">
        <v>705139.0</v>
      </c>
      <c r="L166" s="428">
        <v>927824.0</v>
      </c>
      <c r="M166" s="961">
        <v>946263.0</v>
      </c>
      <c r="N166" s="1011">
        <v>814494.0</v>
      </c>
      <c r="O166" s="1011">
        <v>1541005.0</v>
      </c>
      <c r="P166" s="1011">
        <v>80561.0</v>
      </c>
      <c r="Q166" s="1012">
        <v>1609583.0</v>
      </c>
      <c r="R166" s="1013">
        <v>1596286.0</v>
      </c>
      <c r="S166" s="428">
        <v>1791112.0</v>
      </c>
      <c r="T166" s="428">
        <v>1146140.0</v>
      </c>
      <c r="U166" s="428">
        <v>1200961.0</v>
      </c>
      <c r="V166" s="1"/>
      <c r="W166" s="1"/>
      <c r="X166" s="1"/>
      <c r="Y166" s="1"/>
      <c r="Z166" s="1"/>
    </row>
    <row r="167" ht="10.5" customHeight="1">
      <c r="A167" s="1"/>
      <c r="B167" s="972" t="s">
        <v>1661</v>
      </c>
      <c r="C167" s="977"/>
      <c r="D167" s="30">
        <v>696885.0</v>
      </c>
      <c r="E167" s="30">
        <v>868196.0</v>
      </c>
      <c r="F167" s="30">
        <v>751466.0</v>
      </c>
      <c r="G167" s="30">
        <v>595910.0</v>
      </c>
      <c r="H167" s="33">
        <v>663527.0</v>
      </c>
      <c r="I167" s="33">
        <v>441496.0</v>
      </c>
      <c r="J167" s="33">
        <v>430627.0</v>
      </c>
      <c r="K167" s="428">
        <v>432206.0</v>
      </c>
      <c r="L167" s="428">
        <v>653107.0</v>
      </c>
      <c r="M167" s="961">
        <v>666232.0</v>
      </c>
      <c r="N167" s="1011">
        <v>665321.0</v>
      </c>
      <c r="O167" s="1011">
        <v>1054155.0</v>
      </c>
      <c r="P167" s="1011">
        <v>83586.0</v>
      </c>
      <c r="Q167" s="1012">
        <v>1039598.0</v>
      </c>
      <c r="R167" s="1013">
        <v>985072.0</v>
      </c>
      <c r="S167" s="428">
        <v>943853.0</v>
      </c>
      <c r="T167" s="428">
        <v>1187510.0</v>
      </c>
      <c r="U167" s="428">
        <v>1200934.0</v>
      </c>
      <c r="V167" s="1"/>
      <c r="W167" s="1"/>
      <c r="X167" s="1"/>
      <c r="Y167" s="1"/>
      <c r="Z167" s="1"/>
    </row>
    <row r="168" ht="10.5" customHeight="1">
      <c r="A168" s="1"/>
      <c r="B168" s="972" t="s">
        <v>1692</v>
      </c>
      <c r="C168" s="977"/>
      <c r="D168" s="30">
        <v>407700.0</v>
      </c>
      <c r="E168" s="30">
        <v>464204.0</v>
      </c>
      <c r="F168" s="30">
        <v>725641.0</v>
      </c>
      <c r="G168" s="30">
        <v>616855.0</v>
      </c>
      <c r="H168" s="33">
        <v>735698.0</v>
      </c>
      <c r="I168" s="33">
        <v>730236.0</v>
      </c>
      <c r="J168" s="33">
        <v>818683.0</v>
      </c>
      <c r="K168" s="428">
        <v>1368492.0</v>
      </c>
      <c r="L168" s="428">
        <v>2074041.0</v>
      </c>
      <c r="M168" s="961">
        <v>1516180.0</v>
      </c>
      <c r="N168" s="1011">
        <v>1776752.0</v>
      </c>
      <c r="O168" s="1011">
        <v>2175334.0</v>
      </c>
      <c r="P168" s="1011">
        <v>80892.0</v>
      </c>
      <c r="Q168" s="1012">
        <v>1398932.0</v>
      </c>
      <c r="R168" s="1013">
        <v>1265141.0</v>
      </c>
      <c r="S168" s="428">
        <v>1764087.0</v>
      </c>
      <c r="T168" s="428">
        <v>2610332.0</v>
      </c>
      <c r="U168" s="428">
        <v>2530947.0</v>
      </c>
      <c r="V168" s="1"/>
      <c r="W168" s="1"/>
      <c r="X168" s="1"/>
      <c r="Y168" s="1"/>
      <c r="Z168" s="1"/>
    </row>
    <row r="169" ht="10.5" customHeight="1">
      <c r="A169" s="1"/>
      <c r="B169" s="972" t="s">
        <v>1693</v>
      </c>
      <c r="C169" s="977"/>
      <c r="D169" s="30">
        <v>389295.0</v>
      </c>
      <c r="E169" s="30">
        <v>628318.0</v>
      </c>
      <c r="F169" s="30">
        <v>657343.0</v>
      </c>
      <c r="G169" s="30">
        <v>728048.0</v>
      </c>
      <c r="H169" s="33">
        <v>1212176.0</v>
      </c>
      <c r="I169" s="33">
        <v>1095685.0</v>
      </c>
      <c r="J169" s="33">
        <v>1197641.0</v>
      </c>
      <c r="K169" s="428">
        <v>1628470.0</v>
      </c>
      <c r="L169" s="428">
        <v>3475752.0</v>
      </c>
      <c r="M169" s="961">
        <v>3005933.0</v>
      </c>
      <c r="N169" s="1011">
        <v>2657380.0</v>
      </c>
      <c r="O169" s="1011">
        <v>2899056.0</v>
      </c>
      <c r="P169" s="1011">
        <v>183385.0</v>
      </c>
      <c r="Q169" s="1012">
        <v>2688175.0</v>
      </c>
      <c r="R169" s="1013">
        <v>2938954.0</v>
      </c>
      <c r="S169" s="428">
        <v>3534738.0</v>
      </c>
      <c r="T169" s="428">
        <v>3921544.0</v>
      </c>
      <c r="U169" s="428">
        <v>5286070.0</v>
      </c>
      <c r="V169" s="1"/>
      <c r="W169" s="1"/>
      <c r="X169" s="1"/>
      <c r="Y169" s="1"/>
      <c r="Z169" s="1"/>
    </row>
    <row r="170" ht="10.5" customHeight="1">
      <c r="A170" s="1"/>
      <c r="B170" s="972" t="s">
        <v>1657</v>
      </c>
      <c r="C170" s="977"/>
      <c r="D170" s="30">
        <v>370090.0</v>
      </c>
      <c r="E170" s="30">
        <v>236108.0</v>
      </c>
      <c r="F170" s="30">
        <v>545378.0</v>
      </c>
      <c r="G170" s="30">
        <v>334244.0</v>
      </c>
      <c r="H170" s="33">
        <v>265228.0</v>
      </c>
      <c r="I170" s="33">
        <v>372692.0</v>
      </c>
      <c r="J170" s="33">
        <v>641863.0</v>
      </c>
      <c r="K170" s="428">
        <v>1015212.0</v>
      </c>
      <c r="L170" s="428">
        <v>1113597.0</v>
      </c>
      <c r="M170" s="961">
        <v>1098782.0</v>
      </c>
      <c r="N170" s="1011">
        <v>848466.0</v>
      </c>
      <c r="O170" s="1011">
        <v>1106055.0</v>
      </c>
      <c r="P170" s="1011">
        <v>90669.0</v>
      </c>
      <c r="Q170" s="1012">
        <v>830394.0</v>
      </c>
      <c r="R170" s="1013">
        <v>688581.0</v>
      </c>
      <c r="S170" s="428">
        <v>1112414.0</v>
      </c>
      <c r="T170" s="428">
        <v>729023.0</v>
      </c>
      <c r="U170" s="428">
        <v>667131.0</v>
      </c>
      <c r="V170" s="1"/>
      <c r="W170" s="1"/>
      <c r="X170" s="1"/>
      <c r="Y170" s="1"/>
      <c r="Z170" s="1"/>
    </row>
    <row r="171" ht="10.5" customHeight="1">
      <c r="A171" s="1"/>
      <c r="B171" s="972" t="s">
        <v>1656</v>
      </c>
      <c r="C171" s="977"/>
      <c r="D171" s="30">
        <v>324272.0</v>
      </c>
      <c r="E171" s="30">
        <v>338592.0</v>
      </c>
      <c r="F171" s="30">
        <v>392233.0</v>
      </c>
      <c r="G171" s="30">
        <v>333712.0</v>
      </c>
      <c r="H171" s="33">
        <v>455318.0</v>
      </c>
      <c r="I171" s="33">
        <v>439877.0</v>
      </c>
      <c r="J171" s="33">
        <v>586445.0</v>
      </c>
      <c r="K171" s="428">
        <v>934818.0</v>
      </c>
      <c r="L171" s="428">
        <v>1229031.0</v>
      </c>
      <c r="M171" s="961">
        <v>1161745.0</v>
      </c>
      <c r="N171" s="1011">
        <v>943296.0</v>
      </c>
      <c r="O171" s="1011">
        <v>1186852.0</v>
      </c>
      <c r="P171" s="1011">
        <v>198797.0</v>
      </c>
      <c r="Q171" s="1012">
        <v>1751671.0</v>
      </c>
      <c r="R171" s="1013">
        <v>2231943.0</v>
      </c>
      <c r="S171" s="428">
        <v>2803463.0</v>
      </c>
      <c r="T171" s="428">
        <v>2977377.0</v>
      </c>
      <c r="U171" s="428">
        <v>2444139.0</v>
      </c>
      <c r="V171" s="1"/>
      <c r="W171" s="1"/>
      <c r="X171" s="1"/>
      <c r="Y171" s="1"/>
      <c r="Z171" s="1"/>
    </row>
    <row r="172" ht="10.5" customHeight="1">
      <c r="A172" s="1"/>
      <c r="B172" s="972" t="s">
        <v>1646</v>
      </c>
      <c r="C172" s="1043"/>
      <c r="D172" s="30">
        <v>277744.0</v>
      </c>
      <c r="E172" s="30">
        <v>326654.0</v>
      </c>
      <c r="F172" s="30">
        <v>400937.0</v>
      </c>
      <c r="G172" s="30">
        <v>386044.0</v>
      </c>
      <c r="H172" s="33">
        <v>372339.0</v>
      </c>
      <c r="I172" s="33">
        <v>408207.0</v>
      </c>
      <c r="J172" s="33">
        <v>544453.0</v>
      </c>
      <c r="K172" s="428">
        <v>1109096.0</v>
      </c>
      <c r="L172" s="428">
        <v>1455860.0</v>
      </c>
      <c r="M172" s="961">
        <v>1722546.0</v>
      </c>
      <c r="N172" s="1011">
        <v>1424150.0</v>
      </c>
      <c r="O172" s="1011">
        <v>1855126.0</v>
      </c>
      <c r="P172" s="1011">
        <v>321199.0</v>
      </c>
      <c r="Q172" s="1012">
        <v>3127951.0</v>
      </c>
      <c r="R172" s="1013">
        <v>3158593.0</v>
      </c>
      <c r="S172" s="428">
        <v>3342461.0</v>
      </c>
      <c r="T172" s="428">
        <v>4380588.0</v>
      </c>
      <c r="U172" s="428">
        <v>2850588.0</v>
      </c>
      <c r="V172" s="1"/>
      <c r="W172" s="1"/>
      <c r="X172" s="1"/>
      <c r="Y172" s="1"/>
      <c r="Z172" s="1"/>
    </row>
    <row r="173" ht="10.5" customHeight="1">
      <c r="A173" s="1"/>
      <c r="B173" s="972" t="s">
        <v>1651</v>
      </c>
      <c r="C173" s="977"/>
      <c r="D173" s="30">
        <v>255671.0</v>
      </c>
      <c r="E173" s="30">
        <v>277530.0</v>
      </c>
      <c r="F173" s="30">
        <v>478777.0</v>
      </c>
      <c r="G173" s="30">
        <v>528937.0</v>
      </c>
      <c r="H173" s="33">
        <v>274352.0</v>
      </c>
      <c r="I173" s="33">
        <v>523425.0</v>
      </c>
      <c r="J173" s="33">
        <v>759039.0</v>
      </c>
      <c r="K173" s="428">
        <v>649488.0</v>
      </c>
      <c r="L173" s="428">
        <v>1397670.0</v>
      </c>
      <c r="M173" s="961">
        <v>2092895.0</v>
      </c>
      <c r="N173" s="1011">
        <v>2472023.0</v>
      </c>
      <c r="O173" s="1011">
        <v>2644036.0</v>
      </c>
      <c r="P173" s="1011">
        <v>183024.0</v>
      </c>
      <c r="Q173" s="1012">
        <v>2171889.0</v>
      </c>
      <c r="R173" s="1013">
        <v>2960868.0</v>
      </c>
      <c r="S173" s="428">
        <v>3258669.0</v>
      </c>
      <c r="T173" s="428">
        <v>2741051.0</v>
      </c>
      <c r="U173" s="428">
        <v>3230388.0</v>
      </c>
      <c r="V173" s="1"/>
      <c r="W173" s="1"/>
      <c r="X173" s="1"/>
      <c r="Y173" s="1"/>
      <c r="Z173" s="1"/>
    </row>
    <row r="174" ht="10.5" customHeight="1">
      <c r="A174" s="1"/>
      <c r="B174" s="972" t="s">
        <v>1694</v>
      </c>
      <c r="C174" s="977"/>
      <c r="D174" s="30">
        <v>254588.0</v>
      </c>
      <c r="E174" s="30">
        <v>258588.0</v>
      </c>
      <c r="F174" s="30">
        <v>650085.0</v>
      </c>
      <c r="G174" s="30">
        <v>577347.0</v>
      </c>
      <c r="H174" s="33">
        <v>430794.0</v>
      </c>
      <c r="I174" s="33">
        <v>692975.0</v>
      </c>
      <c r="J174" s="33">
        <v>968731.0</v>
      </c>
      <c r="K174" s="428">
        <v>1191296.0</v>
      </c>
      <c r="L174" s="428">
        <v>1129750.0</v>
      </c>
      <c r="M174" s="961">
        <v>869212.0</v>
      </c>
      <c r="N174" s="1011">
        <v>1086009.0</v>
      </c>
      <c r="O174" s="1011">
        <v>1545061.0</v>
      </c>
      <c r="P174" s="1011">
        <v>162749.0</v>
      </c>
      <c r="Q174" s="1012">
        <v>3098514.0</v>
      </c>
      <c r="R174" s="1013">
        <v>2939578.0</v>
      </c>
      <c r="S174" s="428">
        <v>3283735.0</v>
      </c>
      <c r="T174" s="428">
        <v>3249044.0</v>
      </c>
      <c r="U174" s="428">
        <v>3279295.0</v>
      </c>
      <c r="V174" s="1"/>
      <c r="W174" s="1"/>
      <c r="X174" s="1"/>
      <c r="Y174" s="1"/>
      <c r="Z174" s="1"/>
    </row>
    <row r="175" ht="10.5" customHeight="1">
      <c r="A175" s="1"/>
      <c r="B175" s="972" t="s">
        <v>1695</v>
      </c>
      <c r="C175" s="977"/>
      <c r="D175" s="30">
        <v>253051.0</v>
      </c>
      <c r="E175" s="30">
        <v>259158.0</v>
      </c>
      <c r="F175" s="30">
        <v>427809.0</v>
      </c>
      <c r="G175" s="30">
        <v>493051.0</v>
      </c>
      <c r="H175" s="33">
        <v>423906.0</v>
      </c>
      <c r="I175" s="33">
        <v>371597.0</v>
      </c>
      <c r="J175" s="33">
        <v>466612.0</v>
      </c>
      <c r="K175" s="428">
        <v>699775.0</v>
      </c>
      <c r="L175" s="428">
        <v>1560671.0</v>
      </c>
      <c r="M175" s="961">
        <v>1267461.0</v>
      </c>
      <c r="N175" s="1011">
        <v>1370251.0</v>
      </c>
      <c r="O175" s="1011">
        <v>1796239.0</v>
      </c>
      <c r="P175" s="1011">
        <v>308998.0</v>
      </c>
      <c r="Q175" s="1012">
        <v>2663690.0</v>
      </c>
      <c r="R175" s="1013">
        <v>3927042.0</v>
      </c>
      <c r="S175" s="428">
        <v>3040567.0</v>
      </c>
      <c r="T175" s="428">
        <v>3550798.0</v>
      </c>
      <c r="U175" s="428">
        <v>3633122.0</v>
      </c>
      <c r="V175" s="1"/>
      <c r="W175" s="1"/>
      <c r="X175" s="1"/>
      <c r="Y175" s="1"/>
      <c r="Z175" s="1"/>
    </row>
    <row r="176" ht="10.5" customHeight="1">
      <c r="A176" s="1"/>
      <c r="B176" s="972" t="s">
        <v>1696</v>
      </c>
      <c r="C176" s="977"/>
      <c r="D176" s="30">
        <v>246032.0</v>
      </c>
      <c r="E176" s="30">
        <v>267716.0</v>
      </c>
      <c r="F176" s="30">
        <v>557453.0</v>
      </c>
      <c r="G176" s="30">
        <v>860539.0</v>
      </c>
      <c r="H176" s="33">
        <v>521359.0</v>
      </c>
      <c r="I176" s="33">
        <v>592881.0</v>
      </c>
      <c r="J176" s="33">
        <v>856450.0</v>
      </c>
      <c r="K176" s="428">
        <v>1294140.0</v>
      </c>
      <c r="L176" s="428">
        <v>1735106.0</v>
      </c>
      <c r="M176" s="961">
        <v>2118689.0</v>
      </c>
      <c r="N176" s="1011">
        <v>1995545.0</v>
      </c>
      <c r="O176" s="1011">
        <v>2192279.0</v>
      </c>
      <c r="P176" s="1011">
        <v>228341.0</v>
      </c>
      <c r="Q176" s="1012">
        <v>4526801.0</v>
      </c>
      <c r="R176" s="1013">
        <v>3098859.0</v>
      </c>
      <c r="S176" s="428">
        <v>3298576.0</v>
      </c>
      <c r="T176" s="428">
        <v>3679193.0</v>
      </c>
      <c r="U176" s="428">
        <v>3723789.0</v>
      </c>
      <c r="V176" s="1"/>
      <c r="W176" s="1"/>
      <c r="X176" s="1"/>
      <c r="Y176" s="1"/>
      <c r="Z176" s="1"/>
    </row>
    <row r="177" ht="10.5" customHeight="1">
      <c r="A177" s="1"/>
      <c r="B177" s="972" t="s">
        <v>1697</v>
      </c>
      <c r="C177" s="977"/>
      <c r="D177" s="30">
        <v>223488.0</v>
      </c>
      <c r="E177" s="30">
        <v>575970.0</v>
      </c>
      <c r="F177" s="30">
        <v>1044149.0</v>
      </c>
      <c r="G177" s="30">
        <v>1041844.0</v>
      </c>
      <c r="H177" s="33">
        <v>1657151.0</v>
      </c>
      <c r="I177" s="33">
        <v>2066986.0</v>
      </c>
      <c r="J177" s="33">
        <v>1873776.0</v>
      </c>
      <c r="K177" s="428">
        <v>2750742.0</v>
      </c>
      <c r="L177" s="428">
        <v>3614939.0</v>
      </c>
      <c r="M177" s="961">
        <v>3455581.0</v>
      </c>
      <c r="N177" s="1011">
        <v>2640840.0</v>
      </c>
      <c r="O177" s="1011">
        <v>3593734.0</v>
      </c>
      <c r="P177" s="1011">
        <v>573375.0</v>
      </c>
      <c r="Q177" s="1012">
        <v>4721862.0</v>
      </c>
      <c r="R177" s="1013">
        <v>3210059.0</v>
      </c>
      <c r="S177" s="428">
        <v>4610725.0</v>
      </c>
      <c r="T177" s="428">
        <v>4747564.0</v>
      </c>
      <c r="U177" s="428">
        <v>6294269.0</v>
      </c>
      <c r="V177" s="1"/>
      <c r="W177" s="1"/>
      <c r="X177" s="1"/>
      <c r="Y177" s="1"/>
      <c r="Z177" s="1"/>
    </row>
    <row r="178" ht="10.5" customHeight="1">
      <c r="A178" s="1"/>
      <c r="B178" s="972" t="s">
        <v>1653</v>
      </c>
      <c r="C178" s="977"/>
      <c r="D178" s="30">
        <v>183572.0</v>
      </c>
      <c r="E178" s="30">
        <v>189970.0</v>
      </c>
      <c r="F178" s="30">
        <v>310687.0</v>
      </c>
      <c r="G178" s="30">
        <v>294566.0</v>
      </c>
      <c r="H178" s="33">
        <v>335496.0</v>
      </c>
      <c r="I178" s="33">
        <v>413823.0</v>
      </c>
      <c r="J178" s="33">
        <v>486899.0</v>
      </c>
      <c r="K178" s="428">
        <v>663835.0</v>
      </c>
      <c r="L178" s="428">
        <v>722147.0</v>
      </c>
      <c r="M178" s="961">
        <v>705258.0</v>
      </c>
      <c r="N178" s="1011">
        <v>676051.0</v>
      </c>
      <c r="O178" s="1011">
        <v>912713.0</v>
      </c>
      <c r="P178" s="1011">
        <v>182514.0</v>
      </c>
      <c r="Q178" s="1012">
        <v>1640803.0</v>
      </c>
      <c r="R178" s="1013">
        <v>1473526.0</v>
      </c>
      <c r="S178" s="428">
        <v>1569350.0</v>
      </c>
      <c r="T178" s="428">
        <v>1634651.0</v>
      </c>
      <c r="U178" s="428">
        <v>1772640.0</v>
      </c>
      <c r="V178" s="1"/>
      <c r="W178" s="1"/>
      <c r="X178" s="1"/>
      <c r="Y178" s="1"/>
      <c r="Z178" s="1"/>
    </row>
    <row r="179" ht="10.5" customHeight="1">
      <c r="A179" s="986">
        <v>88.0</v>
      </c>
      <c r="B179" s="972" t="s">
        <v>1698</v>
      </c>
      <c r="C179" s="977"/>
      <c r="D179" s="30">
        <v>180170.0</v>
      </c>
      <c r="E179" s="30">
        <v>189128.0</v>
      </c>
      <c r="F179" s="30">
        <v>230350.0</v>
      </c>
      <c r="G179" s="30">
        <v>197763.0</v>
      </c>
      <c r="H179" s="33">
        <v>218871.0</v>
      </c>
      <c r="I179" s="33">
        <v>273065.0</v>
      </c>
      <c r="J179" s="33">
        <v>328505.0</v>
      </c>
      <c r="K179" s="428">
        <v>367914.0</v>
      </c>
      <c r="L179" s="428">
        <v>426849.0</v>
      </c>
      <c r="M179" s="961">
        <v>315421.0</v>
      </c>
      <c r="N179" s="1011">
        <v>409840.0</v>
      </c>
      <c r="O179" s="1011">
        <v>485671.0</v>
      </c>
      <c r="P179" s="1011">
        <v>36151.0</v>
      </c>
      <c r="Q179" s="1012">
        <v>572796.0</v>
      </c>
      <c r="R179" s="1044">
        <v>565468.0</v>
      </c>
      <c r="S179" s="428">
        <v>711003.0</v>
      </c>
      <c r="T179" s="428">
        <v>713088.0</v>
      </c>
      <c r="U179" s="428">
        <v>826438.0</v>
      </c>
      <c r="V179" s="1"/>
      <c r="W179" s="1"/>
      <c r="X179" s="1"/>
      <c r="Y179" s="1"/>
      <c r="Z179" s="1"/>
    </row>
    <row r="180" ht="10.5" customHeight="1">
      <c r="B180" s="972" t="s">
        <v>1647</v>
      </c>
      <c r="C180" s="977"/>
      <c r="D180" s="30">
        <v>144229.0</v>
      </c>
      <c r="E180" s="30">
        <v>112768.0</v>
      </c>
      <c r="F180" s="30">
        <v>139271.0</v>
      </c>
      <c r="G180" s="30">
        <v>151210.0</v>
      </c>
      <c r="H180" s="33">
        <v>189240.0</v>
      </c>
      <c r="I180" s="33">
        <v>181177.0</v>
      </c>
      <c r="J180" s="33">
        <v>310224.0</v>
      </c>
      <c r="K180" s="428">
        <v>281183.0</v>
      </c>
      <c r="L180" s="428">
        <v>373714.0</v>
      </c>
      <c r="M180" s="961">
        <v>372865.0</v>
      </c>
      <c r="N180" s="1011">
        <v>536355.0</v>
      </c>
      <c r="O180" s="1011">
        <v>621473.0</v>
      </c>
      <c r="P180" s="1011">
        <v>36038.0</v>
      </c>
      <c r="Q180" s="1012">
        <v>687441.0</v>
      </c>
      <c r="R180" s="1044">
        <v>1121833.0</v>
      </c>
      <c r="S180" s="428">
        <v>1418804.0</v>
      </c>
      <c r="T180" s="428">
        <v>1346254.0</v>
      </c>
      <c r="U180" s="428">
        <v>1533220.0</v>
      </c>
      <c r="V180" s="1"/>
      <c r="W180" s="1"/>
      <c r="X180" s="1"/>
      <c r="Y180" s="1"/>
      <c r="Z180" s="1"/>
    </row>
    <row r="181" ht="10.5" customHeight="1">
      <c r="A181" s="1"/>
      <c r="B181" s="972" t="s">
        <v>1663</v>
      </c>
      <c r="C181" s="977"/>
      <c r="D181" s="30">
        <v>112138.0</v>
      </c>
      <c r="E181" s="30">
        <v>117091.0</v>
      </c>
      <c r="F181" s="30">
        <v>193720.0</v>
      </c>
      <c r="G181" s="30">
        <v>208360.0</v>
      </c>
      <c r="H181" s="33">
        <v>267035.0</v>
      </c>
      <c r="I181" s="33">
        <v>230306.0</v>
      </c>
      <c r="J181" s="33">
        <v>315015.0</v>
      </c>
      <c r="K181" s="428">
        <v>359104.0</v>
      </c>
      <c r="L181" s="428">
        <v>360552.0</v>
      </c>
      <c r="M181" s="961">
        <v>347802.0</v>
      </c>
      <c r="N181" s="1011">
        <v>279139.0</v>
      </c>
      <c r="O181" s="1011">
        <v>352677.0</v>
      </c>
      <c r="P181" s="1011">
        <v>27897.0</v>
      </c>
      <c r="Q181" s="1012">
        <v>514791.0</v>
      </c>
      <c r="R181" s="1044">
        <v>611598.0</v>
      </c>
      <c r="S181" s="428">
        <v>593052.0</v>
      </c>
      <c r="T181" s="428">
        <v>678027.0</v>
      </c>
      <c r="U181" s="428">
        <v>576252.0</v>
      </c>
      <c r="V181" s="1"/>
      <c r="W181" s="1"/>
      <c r="X181" s="1"/>
      <c r="Y181" s="1"/>
      <c r="Z181" s="1"/>
    </row>
    <row r="182" ht="10.5" customHeight="1">
      <c r="A182" s="1"/>
      <c r="B182" s="972" t="s">
        <v>1699</v>
      </c>
      <c r="C182" s="977"/>
      <c r="D182" s="30">
        <v>89188.0</v>
      </c>
      <c r="E182" s="30">
        <v>95016.0</v>
      </c>
      <c r="F182" s="30">
        <v>94049.0</v>
      </c>
      <c r="G182" s="30">
        <v>98789.0</v>
      </c>
      <c r="H182" s="33">
        <v>145133.0</v>
      </c>
      <c r="I182" s="33">
        <v>178505.0</v>
      </c>
      <c r="J182" s="33">
        <v>238836.0</v>
      </c>
      <c r="K182" s="428">
        <v>244180.0</v>
      </c>
      <c r="L182" s="428">
        <v>317245.0</v>
      </c>
      <c r="M182" s="961">
        <v>291844.0</v>
      </c>
      <c r="N182" s="1011">
        <v>589996.0</v>
      </c>
      <c r="O182" s="1011">
        <v>1426144.0</v>
      </c>
      <c r="P182" s="1011">
        <v>63575.0</v>
      </c>
      <c r="Q182" s="1012">
        <v>1647693.0</v>
      </c>
      <c r="R182" s="1013">
        <v>1962902.0</v>
      </c>
      <c r="S182" s="428">
        <v>1958411.0</v>
      </c>
      <c r="T182" s="428">
        <v>3144032.0</v>
      </c>
      <c r="U182" s="428">
        <v>2422520.0</v>
      </c>
      <c r="V182" s="1"/>
      <c r="W182" s="1"/>
      <c r="X182" s="1"/>
      <c r="Y182" s="1"/>
      <c r="Z182" s="1"/>
    </row>
    <row r="183" ht="10.5" customHeight="1">
      <c r="A183" s="1"/>
      <c r="B183" s="1015" t="s">
        <v>8</v>
      </c>
      <c r="C183" s="1037"/>
      <c r="D183" s="401">
        <v>1232801.0</v>
      </c>
      <c r="E183" s="401">
        <v>1529784.0</v>
      </c>
      <c r="F183" s="401">
        <v>2306179.0</v>
      </c>
      <c r="G183" s="401">
        <v>2222825.0</v>
      </c>
      <c r="H183" s="57">
        <v>2130074.0</v>
      </c>
      <c r="I183" s="57">
        <v>2173480.0</v>
      </c>
      <c r="J183" s="57">
        <v>2612867.0</v>
      </c>
      <c r="K183" s="927">
        <v>3538035.0</v>
      </c>
      <c r="L183" s="927">
        <v>4250138.0</v>
      </c>
      <c r="M183" s="995">
        <v>4825424.0</v>
      </c>
      <c r="N183" s="1017">
        <v>5131839.0</v>
      </c>
      <c r="O183" s="1017">
        <v>6377698.0</v>
      </c>
      <c r="P183" s="1017">
        <v>5.5704461E7</v>
      </c>
      <c r="Q183" s="1018">
        <v>1.7454558E7</v>
      </c>
      <c r="R183" s="1019">
        <v>2.1353985E7</v>
      </c>
      <c r="S183" s="927">
        <v>2.3582705E7</v>
      </c>
      <c r="T183" s="927">
        <v>2.9232992E7</v>
      </c>
      <c r="U183" s="927">
        <v>2.9328026E7</v>
      </c>
      <c r="V183" s="1"/>
      <c r="W183" s="1"/>
      <c r="X183" s="1"/>
      <c r="Y183" s="1"/>
      <c r="Z183" s="1"/>
    </row>
    <row r="184" ht="10.5" customHeight="1">
      <c r="A184" s="1"/>
      <c r="B184" s="993" t="s">
        <v>2</v>
      </c>
      <c r="C184" s="1037"/>
      <c r="D184" s="401">
        <f t="shared" ref="D184:O184" si="12">SUM(D163:D183)</f>
        <v>9644118</v>
      </c>
      <c r="E184" s="401">
        <f t="shared" si="12"/>
        <v>10704352</v>
      </c>
      <c r="F184" s="401">
        <f t="shared" si="12"/>
        <v>15162615</v>
      </c>
      <c r="G184" s="401">
        <f t="shared" si="12"/>
        <v>13910467</v>
      </c>
      <c r="H184" s="401">
        <f t="shared" si="12"/>
        <v>16415497</v>
      </c>
      <c r="I184" s="401">
        <f t="shared" si="12"/>
        <v>16286418</v>
      </c>
      <c r="J184" s="401">
        <f t="shared" si="12"/>
        <v>20588468</v>
      </c>
      <c r="K184" s="1001">
        <f t="shared" si="12"/>
        <v>29304473</v>
      </c>
      <c r="L184" s="1001">
        <f t="shared" si="12"/>
        <v>38427460</v>
      </c>
      <c r="M184" s="1001">
        <f t="shared" si="12"/>
        <v>35039208</v>
      </c>
      <c r="N184" s="1001">
        <f t="shared" si="12"/>
        <v>34626782</v>
      </c>
      <c r="O184" s="1001">
        <f t="shared" si="12"/>
        <v>44926397</v>
      </c>
      <c r="P184" s="1001">
        <v>5.956351E7</v>
      </c>
      <c r="Q184" s="1001">
        <v>6.4251927E7</v>
      </c>
      <c r="R184" s="1001">
        <v>6.7243245E7</v>
      </c>
      <c r="S184" s="1001">
        <v>7.5017258E7</v>
      </c>
      <c r="T184" s="927">
        <v>9.0438143E7</v>
      </c>
      <c r="U184" s="927">
        <v>8.5866422E7</v>
      </c>
      <c r="V184" s="1"/>
      <c r="W184" s="1"/>
      <c r="X184" s="1"/>
      <c r="Y184" s="1"/>
      <c r="Z184" s="1"/>
    </row>
    <row r="185" ht="12.0" customHeight="1">
      <c r="A185" s="1"/>
      <c r="B185" s="936" t="s">
        <v>1599</v>
      </c>
      <c r="C185" s="113"/>
      <c r="D185" s="113"/>
      <c r="E185" s="113"/>
      <c r="F185" s="113"/>
      <c r="G185" s="113"/>
      <c r="H185" s="113"/>
      <c r="I185" s="113"/>
      <c r="J185" s="113"/>
      <c r="K185" s="113"/>
      <c r="L185" s="113"/>
      <c r="M185" s="113"/>
      <c r="N185" s="113"/>
      <c r="O185" s="113"/>
      <c r="P185" s="113"/>
      <c r="Q185" s="113"/>
      <c r="R185" s="1"/>
      <c r="S185" s="1"/>
      <c r="T185" s="1"/>
      <c r="U185" s="1"/>
      <c r="V185" s="1"/>
      <c r="W185" s="1"/>
      <c r="X185" s="1"/>
      <c r="Y185" s="1"/>
      <c r="Z185" s="1"/>
    </row>
    <row r="186" ht="5.25" customHeight="1">
      <c r="A186" s="1"/>
      <c r="B186" s="936"/>
      <c r="C186" s="113"/>
      <c r="D186" s="113"/>
      <c r="E186" s="113"/>
      <c r="F186" s="113"/>
      <c r="G186" s="113"/>
      <c r="H186" s="113"/>
      <c r="I186" s="113"/>
      <c r="J186" s="113"/>
      <c r="K186" s="113"/>
      <c r="L186" s="113"/>
      <c r="M186" s="113"/>
      <c r="N186" s="113"/>
      <c r="O186" s="113"/>
      <c r="P186" s="113"/>
      <c r="Q186" s="113"/>
      <c r="R186" s="1"/>
      <c r="S186" s="1"/>
      <c r="T186" s="1"/>
      <c r="U186" s="1"/>
      <c r="V186" s="1"/>
      <c r="W186" s="1"/>
      <c r="X186" s="1"/>
      <c r="Y186" s="1"/>
      <c r="Z186" s="1"/>
    </row>
    <row r="187" ht="10.5" customHeight="1">
      <c r="A187" s="1"/>
      <c r="B187" s="1002" t="s">
        <v>1700</v>
      </c>
      <c r="C187" s="113"/>
      <c r="D187" s="15"/>
      <c r="E187" s="15"/>
      <c r="F187" s="15"/>
      <c r="G187" s="15"/>
      <c r="H187" s="15"/>
      <c r="I187" s="15"/>
      <c r="J187" s="15"/>
      <c r="K187" s="15"/>
      <c r="L187" s="15"/>
      <c r="M187" s="15"/>
      <c r="N187" s="15"/>
      <c r="O187" s="15"/>
      <c r="P187" s="113"/>
      <c r="Q187" s="113"/>
      <c r="R187" s="113"/>
      <c r="S187" s="113"/>
      <c r="T187" s="113"/>
      <c r="U187" s="113"/>
      <c r="V187" s="113"/>
      <c r="W187" s="1"/>
      <c r="X187" s="1"/>
      <c r="Y187" s="1"/>
      <c r="Z187" s="1"/>
    </row>
    <row r="188" ht="15.75" customHeight="1">
      <c r="A188" s="1"/>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
      <c r="X188" s="1"/>
      <c r="Y188" s="1"/>
      <c r="Z188" s="1"/>
    </row>
    <row r="189" ht="11.25" customHeight="1">
      <c r="A189" s="1"/>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
      <c r="X189" s="1"/>
      <c r="Y189" s="1"/>
      <c r="Z189" s="1"/>
    </row>
    <row r="190" ht="11.25" customHeight="1">
      <c r="A190" s="1"/>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
      <c r="X190" s="1"/>
      <c r="Y190" s="1"/>
      <c r="Z190" s="1"/>
    </row>
    <row r="191" ht="11.25" customHeight="1">
      <c r="A191" s="1"/>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
      <c r="X191" s="1"/>
      <c r="Y191" s="1"/>
      <c r="Z191" s="1"/>
    </row>
    <row r="192" ht="11.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1.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1.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1.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1.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1.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1.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1.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1.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1.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1.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1.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1.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1.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1.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1.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1.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1.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1.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1.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1.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1.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1.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1.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1.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1.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1.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1.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1.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1.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1.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1.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1.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1.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1.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1.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1.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1.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1.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1.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1.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1.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1.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1.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1.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1.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1.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1.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1.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1.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1.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1.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1.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1.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1.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1.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1.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1.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1.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1.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1.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1.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1.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1.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1.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1.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1.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1.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1.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1.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1.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1.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1.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1.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1.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1.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1.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1.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1.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1.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1.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1.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1.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1.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1.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1.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1.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1.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1.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1.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1.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1.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1.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1.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1.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1.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1.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1.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1.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1.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1.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1.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1.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1.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1.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1.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1.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1.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1.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1.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1.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1.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1.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1.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1.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1.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1.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1.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1.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1.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1.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1.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1.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1.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1.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1.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1.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1.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1.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1.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1.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1.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1.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1.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1.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1.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1.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1.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1.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1.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1.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1.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1.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1.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1.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1.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1.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1.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1.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1.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1.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1.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1.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1.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1.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1.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1.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1.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1.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1.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1.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1.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1.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1.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1.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1.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1.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1.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1.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1.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1.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1.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1.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1.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1.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1.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1.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1.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1.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1.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1.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1.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1.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1.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1.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1.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D162:U162"/>
    <mergeCell ref="B161:C162"/>
    <mergeCell ref="A148:A149"/>
    <mergeCell ref="A117:A118"/>
    <mergeCell ref="A81:A82"/>
    <mergeCell ref="A83:A84"/>
    <mergeCell ref="B134:E134"/>
    <mergeCell ref="B139:E139"/>
    <mergeCell ref="B85:E85"/>
    <mergeCell ref="B86:E86"/>
    <mergeCell ref="D101:U101"/>
    <mergeCell ref="F131:W131"/>
    <mergeCell ref="B129:I129"/>
    <mergeCell ref="B130:E131"/>
    <mergeCell ref="A179:A180"/>
    <mergeCell ref="D3:D4"/>
    <mergeCell ref="C3:C4"/>
    <mergeCell ref="B72:E72"/>
    <mergeCell ref="B69:E69"/>
    <mergeCell ref="B70:E70"/>
    <mergeCell ref="G67:X67"/>
    <mergeCell ref="B68:E68"/>
    <mergeCell ref="B71:D71"/>
    <mergeCell ref="E3:E4"/>
    <mergeCell ref="B1:H1"/>
    <mergeCell ref="C5:H5"/>
    <mergeCell ref="B2:B5"/>
    <mergeCell ref="E2:H2"/>
    <mergeCell ref="C2:D2"/>
    <mergeCell ref="F3:H3"/>
    <mergeCell ref="B80:F80"/>
    <mergeCell ref="B79:E79"/>
    <mergeCell ref="B77:E77"/>
    <mergeCell ref="B74:E74"/>
    <mergeCell ref="B75:E75"/>
    <mergeCell ref="B66:F67"/>
    <mergeCell ref="B73:E73"/>
    <mergeCell ref="B89:E89"/>
    <mergeCell ref="B83:E83"/>
    <mergeCell ref="B84:E84"/>
    <mergeCell ref="B82:F82"/>
    <mergeCell ref="B87:E87"/>
    <mergeCell ref="B100:C101"/>
    <mergeCell ref="B60:D60"/>
  </mergeCells>
  <printOptions/>
  <pageMargins bottom="1.0" footer="0.0" header="0.0" left="0.24" right="0.34" top="1.0"/>
  <pageSetup paperSize="9" orientation="landscape"/>
  <rowBreaks count="4" manualBreakCount="4">
    <brk id="128" man="1"/>
    <brk id="64" man="1"/>
    <brk id="98" man="1"/>
    <brk id="159"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8.0"/>
    <col customWidth="1" min="3" max="26" width="8.71"/>
  </cols>
  <sheetData>
    <row r="1" ht="11.25" customHeight="1">
      <c r="A1" s="1"/>
      <c r="B1" s="1" t="s">
        <v>1701</v>
      </c>
      <c r="C1" s="1"/>
      <c r="D1" s="1"/>
      <c r="E1" s="1"/>
      <c r="F1" s="1"/>
      <c r="G1" s="1045"/>
      <c r="H1" s="1045"/>
      <c r="I1" s="1"/>
      <c r="J1" s="1"/>
      <c r="K1" s="1"/>
      <c r="L1" s="1"/>
      <c r="M1" s="1"/>
      <c r="N1" s="1"/>
      <c r="O1" s="1"/>
      <c r="P1" s="1"/>
      <c r="Q1" s="1"/>
      <c r="R1" s="1"/>
      <c r="S1" s="1"/>
      <c r="T1" s="1"/>
      <c r="U1" s="1"/>
      <c r="V1" s="1"/>
      <c r="W1" s="1"/>
      <c r="X1" s="1"/>
      <c r="Y1" s="1"/>
      <c r="Z1" s="1"/>
    </row>
    <row r="2" ht="23.25" customHeight="1">
      <c r="A2" s="1"/>
      <c r="B2" s="29" t="s">
        <v>938</v>
      </c>
      <c r="C2" s="273" t="s">
        <v>295</v>
      </c>
      <c r="D2" s="273" t="s">
        <v>363</v>
      </c>
      <c r="E2" s="273" t="s">
        <v>728</v>
      </c>
      <c r="F2" s="273" t="s">
        <v>2</v>
      </c>
      <c r="G2" s="273" t="s">
        <v>1702</v>
      </c>
      <c r="H2" s="273" t="s">
        <v>1703</v>
      </c>
      <c r="I2" s="1"/>
      <c r="J2" s="1"/>
      <c r="K2" s="1"/>
      <c r="L2" s="1"/>
      <c r="M2" s="1"/>
      <c r="N2" s="1"/>
      <c r="O2" s="1"/>
      <c r="P2" s="1"/>
      <c r="Q2" s="1"/>
      <c r="R2" s="1"/>
      <c r="S2" s="1"/>
      <c r="T2" s="1"/>
      <c r="U2" s="1"/>
      <c r="V2" s="1"/>
      <c r="W2" s="1"/>
      <c r="X2" s="1"/>
      <c r="Y2" s="1"/>
      <c r="Z2" s="1"/>
    </row>
    <row r="3" ht="11.25" customHeight="1">
      <c r="A3" s="1"/>
      <c r="B3" s="6"/>
      <c r="C3" s="114" t="s">
        <v>54</v>
      </c>
      <c r="D3" s="9"/>
      <c r="E3" s="9"/>
      <c r="F3" s="9"/>
      <c r="G3" s="9"/>
      <c r="H3" s="10"/>
      <c r="I3" s="1"/>
      <c r="J3" s="1"/>
      <c r="K3" s="1"/>
      <c r="L3" s="1"/>
      <c r="M3" s="1"/>
      <c r="N3" s="1"/>
      <c r="O3" s="1"/>
      <c r="P3" s="1"/>
      <c r="Q3" s="1"/>
      <c r="R3" s="1"/>
      <c r="S3" s="1"/>
      <c r="T3" s="1"/>
      <c r="U3" s="1"/>
      <c r="V3" s="1"/>
      <c r="W3" s="1"/>
      <c r="X3" s="1"/>
      <c r="Y3" s="1"/>
      <c r="Z3" s="1"/>
    </row>
    <row r="4" ht="11.25" customHeight="1">
      <c r="A4" s="1"/>
      <c r="B4" s="1046" t="s">
        <v>1704</v>
      </c>
      <c r="C4" s="1047">
        <v>23.5</v>
      </c>
      <c r="D4" s="1047">
        <v>26.9</v>
      </c>
      <c r="E4" s="1047">
        <v>49.6</v>
      </c>
      <c r="F4" s="1047">
        <f>SUM(C4:E4)</f>
        <v>100</v>
      </c>
      <c r="G4" s="1047">
        <v>95.6</v>
      </c>
      <c r="H4" s="1047">
        <v>4.4</v>
      </c>
      <c r="I4" s="1"/>
      <c r="J4" s="1"/>
      <c r="K4" s="1"/>
      <c r="L4" s="1"/>
      <c r="M4" s="1"/>
      <c r="N4" s="1"/>
      <c r="O4" s="1"/>
      <c r="P4" s="1"/>
      <c r="Q4" s="1"/>
      <c r="R4" s="1"/>
      <c r="S4" s="1"/>
      <c r="T4" s="1"/>
      <c r="U4" s="1"/>
      <c r="V4" s="1"/>
      <c r="W4" s="1"/>
      <c r="X4" s="1"/>
      <c r="Y4" s="1"/>
      <c r="Z4" s="1"/>
    </row>
    <row r="5" ht="10.5" customHeight="1">
      <c r="A5" s="1"/>
      <c r="B5" s="238" t="s">
        <v>271</v>
      </c>
      <c r="C5" s="1048">
        <v>77.5</v>
      </c>
      <c r="D5" s="1048">
        <v>36.1</v>
      </c>
      <c r="E5" s="1048">
        <v>53.0</v>
      </c>
      <c r="F5" s="1048">
        <v>50.8</v>
      </c>
      <c r="G5" s="1048">
        <v>50.5</v>
      </c>
      <c r="H5" s="1048">
        <v>172.5</v>
      </c>
      <c r="I5" s="1"/>
      <c r="J5" s="1"/>
      <c r="K5" s="1"/>
      <c r="L5" s="1"/>
      <c r="M5" s="1"/>
      <c r="N5" s="1"/>
      <c r="O5" s="1"/>
      <c r="P5" s="1"/>
      <c r="Q5" s="1"/>
      <c r="R5" s="1"/>
      <c r="S5" s="1"/>
      <c r="T5" s="1"/>
      <c r="U5" s="1"/>
      <c r="V5" s="1"/>
      <c r="W5" s="1"/>
      <c r="X5" s="1"/>
      <c r="Y5" s="1"/>
      <c r="Z5" s="1"/>
    </row>
    <row r="6" ht="10.5" customHeight="1">
      <c r="A6" s="1"/>
      <c r="B6" s="238" t="s">
        <v>272</v>
      </c>
      <c r="C6" s="1048">
        <v>90.9</v>
      </c>
      <c r="D6" s="1048">
        <v>35.7</v>
      </c>
      <c r="E6" s="1048">
        <v>55.3</v>
      </c>
      <c r="F6" s="1048">
        <v>55.5</v>
      </c>
      <c r="G6" s="1048">
        <v>57.4</v>
      </c>
      <c r="H6" s="1048">
        <v>202.7</v>
      </c>
      <c r="I6" s="1"/>
      <c r="J6" s="1"/>
      <c r="K6" s="1"/>
      <c r="L6" s="1"/>
      <c r="M6" s="1"/>
      <c r="N6" s="1"/>
      <c r="O6" s="1"/>
      <c r="P6" s="1"/>
      <c r="Q6" s="1"/>
      <c r="R6" s="1"/>
      <c r="S6" s="1"/>
      <c r="T6" s="1"/>
      <c r="U6" s="1"/>
      <c r="V6" s="1"/>
      <c r="W6" s="1"/>
      <c r="X6" s="1"/>
      <c r="Y6" s="1"/>
      <c r="Z6" s="1"/>
    </row>
    <row r="7" ht="10.5" customHeight="1">
      <c r="A7" s="1"/>
      <c r="B7" s="238" t="s">
        <v>274</v>
      </c>
      <c r="C7" s="1048">
        <v>95.4</v>
      </c>
      <c r="D7" s="1048">
        <v>36.8</v>
      </c>
      <c r="E7" s="1048">
        <v>58.4</v>
      </c>
      <c r="F7" s="1048">
        <v>58.3</v>
      </c>
      <c r="G7" s="1048">
        <v>58.8</v>
      </c>
      <c r="H7" s="1048">
        <v>230.2</v>
      </c>
      <c r="I7" s="1"/>
      <c r="J7" s="1"/>
      <c r="K7" s="1"/>
      <c r="L7" s="1"/>
      <c r="M7" s="1"/>
      <c r="N7" s="1"/>
      <c r="O7" s="1"/>
      <c r="P7" s="1"/>
      <c r="Q7" s="1"/>
      <c r="R7" s="1"/>
      <c r="S7" s="1"/>
      <c r="T7" s="1"/>
      <c r="U7" s="1"/>
      <c r="V7" s="1"/>
      <c r="W7" s="1"/>
      <c r="X7" s="1"/>
      <c r="Y7" s="1"/>
      <c r="Z7" s="1"/>
    </row>
    <row r="8" ht="10.5" customHeight="1">
      <c r="A8" s="1"/>
      <c r="B8" s="238" t="s">
        <v>275</v>
      </c>
      <c r="C8" s="1048">
        <v>88.2</v>
      </c>
      <c r="D8" s="1048">
        <v>39.0</v>
      </c>
      <c r="E8" s="1048">
        <v>59.9</v>
      </c>
      <c r="F8" s="1048">
        <v>57.6</v>
      </c>
      <c r="G8" s="1048">
        <v>56.8</v>
      </c>
      <c r="H8" s="1048">
        <v>248.6</v>
      </c>
      <c r="I8" s="1"/>
      <c r="J8" s="1"/>
      <c r="K8" s="1"/>
      <c r="L8" s="1"/>
      <c r="M8" s="1"/>
      <c r="N8" s="1"/>
      <c r="O8" s="1"/>
      <c r="P8" s="1"/>
      <c r="Q8" s="1"/>
      <c r="R8" s="1"/>
      <c r="S8" s="1"/>
      <c r="T8" s="1"/>
      <c r="U8" s="1"/>
      <c r="V8" s="1"/>
      <c r="W8" s="1"/>
      <c r="X8" s="1"/>
      <c r="Y8" s="1"/>
      <c r="Z8" s="1"/>
    </row>
    <row r="9" ht="10.5" customHeight="1">
      <c r="A9" s="1"/>
      <c r="B9" s="238" t="s">
        <v>276</v>
      </c>
      <c r="C9" s="1048">
        <v>96.3</v>
      </c>
      <c r="D9" s="1048">
        <v>41.3</v>
      </c>
      <c r="E9" s="1048">
        <v>63.8</v>
      </c>
      <c r="F9" s="1048">
        <v>61.6</v>
      </c>
      <c r="G9" s="1048">
        <v>63.8</v>
      </c>
      <c r="H9" s="1048">
        <v>253.2</v>
      </c>
      <c r="I9" s="1"/>
      <c r="J9" s="1"/>
      <c r="K9" s="1"/>
      <c r="L9" s="1"/>
      <c r="M9" s="1"/>
      <c r="N9" s="1"/>
      <c r="O9" s="1"/>
      <c r="P9" s="1"/>
      <c r="Q9" s="1"/>
      <c r="R9" s="1"/>
      <c r="S9" s="1"/>
      <c r="T9" s="1"/>
      <c r="U9" s="1"/>
      <c r="V9" s="1"/>
      <c r="W9" s="1"/>
      <c r="X9" s="1"/>
      <c r="Y9" s="1"/>
      <c r="Z9" s="1"/>
    </row>
    <row r="10" ht="10.5" customHeight="1">
      <c r="A10" s="1"/>
      <c r="B10" s="238"/>
      <c r="C10" s="1049"/>
      <c r="D10" s="1049"/>
      <c r="E10" s="1049"/>
      <c r="F10" s="1049"/>
      <c r="G10" s="1049"/>
      <c r="H10" s="1049"/>
      <c r="I10" s="1"/>
      <c r="J10" s="1"/>
      <c r="K10" s="1"/>
      <c r="L10" s="1"/>
      <c r="M10" s="1"/>
      <c r="N10" s="1"/>
      <c r="O10" s="1"/>
      <c r="P10" s="1"/>
      <c r="Q10" s="1"/>
      <c r="R10" s="1"/>
      <c r="S10" s="1"/>
      <c r="T10" s="1"/>
      <c r="U10" s="1"/>
      <c r="V10" s="1"/>
      <c r="W10" s="1"/>
      <c r="X10" s="1"/>
      <c r="Y10" s="1"/>
      <c r="Z10" s="1"/>
    </row>
    <row r="11" ht="10.5" customHeight="1">
      <c r="A11" s="1"/>
      <c r="B11" s="238" t="s">
        <v>56</v>
      </c>
      <c r="C11" s="1048">
        <v>117.6</v>
      </c>
      <c r="D11" s="1048">
        <v>42.4</v>
      </c>
      <c r="E11" s="1048">
        <v>59.1</v>
      </c>
      <c r="F11" s="1048">
        <v>66.4</v>
      </c>
      <c r="G11" s="1048">
        <v>66.4</v>
      </c>
      <c r="H11" s="1048">
        <v>241.7</v>
      </c>
      <c r="I11" s="1"/>
      <c r="J11" s="1"/>
      <c r="K11" s="1"/>
      <c r="L11" s="1"/>
      <c r="M11" s="1"/>
      <c r="N11" s="1"/>
      <c r="O11" s="1"/>
      <c r="P11" s="1"/>
      <c r="Q11" s="1"/>
      <c r="R11" s="1"/>
      <c r="S11" s="1"/>
      <c r="T11" s="1"/>
      <c r="U11" s="1"/>
      <c r="V11" s="1"/>
      <c r="W11" s="1"/>
      <c r="X11" s="1"/>
      <c r="Y11" s="1"/>
      <c r="Z11" s="1"/>
    </row>
    <row r="12" ht="10.5" customHeight="1">
      <c r="A12" s="1"/>
      <c r="B12" s="238" t="s">
        <v>81</v>
      </c>
      <c r="C12" s="1048">
        <v>93.6</v>
      </c>
      <c r="D12" s="1048">
        <v>48.2</v>
      </c>
      <c r="E12" s="1048">
        <v>63.8</v>
      </c>
      <c r="F12" s="1048">
        <v>62.4</v>
      </c>
      <c r="G12" s="1048">
        <v>61.6</v>
      </c>
      <c r="H12" s="1048">
        <v>241.7</v>
      </c>
      <c r="I12" s="1"/>
      <c r="J12" s="1"/>
      <c r="K12" s="1"/>
      <c r="L12" s="1"/>
      <c r="M12" s="1"/>
      <c r="N12" s="1"/>
      <c r="O12" s="1"/>
      <c r="P12" s="1"/>
      <c r="Q12" s="1"/>
      <c r="R12" s="1"/>
      <c r="S12" s="1"/>
      <c r="T12" s="1"/>
      <c r="U12" s="1"/>
      <c r="V12" s="1"/>
      <c r="W12" s="1"/>
      <c r="X12" s="1"/>
      <c r="Y12" s="1"/>
      <c r="Z12" s="1"/>
    </row>
    <row r="13" ht="10.5" customHeight="1">
      <c r="A13" s="1"/>
      <c r="B13" s="238" t="s">
        <v>86</v>
      </c>
      <c r="C13" s="1048">
        <v>65.1</v>
      </c>
      <c r="D13" s="1048">
        <v>46.4</v>
      </c>
      <c r="E13" s="1048">
        <v>69.9</v>
      </c>
      <c r="F13" s="1048">
        <v>56.2</v>
      </c>
      <c r="G13" s="1048">
        <v>55.4</v>
      </c>
      <c r="H13" s="1048">
        <v>244.0</v>
      </c>
      <c r="I13" s="1"/>
      <c r="J13" s="1"/>
      <c r="K13" s="1"/>
      <c r="L13" s="1"/>
      <c r="M13" s="1"/>
      <c r="N13" s="1"/>
      <c r="O13" s="1"/>
      <c r="P13" s="1"/>
      <c r="Q13" s="1"/>
      <c r="R13" s="1"/>
      <c r="S13" s="1"/>
      <c r="T13" s="1"/>
      <c r="U13" s="1"/>
      <c r="V13" s="1"/>
      <c r="W13" s="1"/>
      <c r="X13" s="1"/>
      <c r="Y13" s="1"/>
      <c r="Z13" s="1"/>
    </row>
    <row r="14" ht="10.5" customHeight="1">
      <c r="A14" s="1"/>
      <c r="B14" s="238" t="s">
        <v>87</v>
      </c>
      <c r="C14" s="1048">
        <v>68.6</v>
      </c>
      <c r="D14" s="1048">
        <v>46.4</v>
      </c>
      <c r="E14" s="1048">
        <v>71.4</v>
      </c>
      <c r="F14" s="1048">
        <v>57.6</v>
      </c>
      <c r="G14" s="1048">
        <v>54.7</v>
      </c>
      <c r="H14" s="1048">
        <v>241.7</v>
      </c>
      <c r="I14" s="1"/>
      <c r="J14" s="1"/>
      <c r="K14" s="1"/>
      <c r="L14" s="1"/>
      <c r="M14" s="1"/>
      <c r="N14" s="1"/>
      <c r="O14" s="1"/>
      <c r="P14" s="1"/>
      <c r="Q14" s="1"/>
      <c r="R14" s="1"/>
      <c r="S14" s="1"/>
      <c r="T14" s="1"/>
      <c r="U14" s="1"/>
      <c r="V14" s="1"/>
      <c r="W14" s="1"/>
      <c r="X14" s="1"/>
      <c r="Y14" s="1"/>
      <c r="Z14" s="1"/>
    </row>
    <row r="15" ht="10.5" customHeight="1">
      <c r="A15" s="1"/>
      <c r="B15" s="238" t="s">
        <v>90</v>
      </c>
      <c r="C15" s="1048">
        <v>87.4</v>
      </c>
      <c r="D15" s="1048">
        <v>47.0</v>
      </c>
      <c r="E15" s="1048">
        <v>71.4</v>
      </c>
      <c r="F15" s="1048">
        <v>63.0</v>
      </c>
      <c r="G15" s="1048">
        <v>64.4</v>
      </c>
      <c r="H15" s="1048">
        <v>241.7</v>
      </c>
      <c r="I15" s="1"/>
      <c r="J15" s="1"/>
      <c r="K15" s="1"/>
      <c r="L15" s="1"/>
      <c r="M15" s="1"/>
      <c r="N15" s="1"/>
      <c r="O15" s="1"/>
      <c r="P15" s="1"/>
      <c r="Q15" s="1"/>
      <c r="R15" s="1"/>
      <c r="S15" s="1"/>
      <c r="T15" s="1"/>
      <c r="U15" s="1"/>
      <c r="V15" s="1"/>
      <c r="W15" s="1"/>
      <c r="X15" s="1"/>
      <c r="Y15" s="1"/>
      <c r="Z15" s="1"/>
    </row>
    <row r="16" ht="10.5" customHeight="1">
      <c r="A16" s="1"/>
      <c r="B16" s="238"/>
      <c r="C16" s="1049"/>
      <c r="D16" s="1049"/>
      <c r="E16" s="1049"/>
      <c r="F16" s="1049"/>
      <c r="G16" s="1049"/>
      <c r="H16" s="1049"/>
      <c r="I16" s="1"/>
      <c r="J16" s="1"/>
      <c r="K16" s="1"/>
      <c r="L16" s="1"/>
      <c r="M16" s="1"/>
      <c r="N16" s="1"/>
      <c r="O16" s="1"/>
      <c r="P16" s="1"/>
      <c r="Q16" s="1"/>
      <c r="R16" s="1"/>
      <c r="S16" s="1"/>
      <c r="T16" s="1"/>
      <c r="U16" s="1"/>
      <c r="V16" s="1"/>
      <c r="W16" s="1"/>
      <c r="X16" s="1"/>
      <c r="Y16" s="1"/>
      <c r="Z16" s="1"/>
    </row>
    <row r="17" ht="10.5" customHeight="1">
      <c r="A17" s="1"/>
      <c r="B17" s="238" t="s">
        <v>93</v>
      </c>
      <c r="C17" s="1050">
        <v>90.9</v>
      </c>
      <c r="D17" s="1050">
        <v>46.4</v>
      </c>
      <c r="E17" s="1051">
        <v>67.6</v>
      </c>
      <c r="F17" s="1050">
        <v>63.0</v>
      </c>
      <c r="G17" s="1050">
        <v>61.6</v>
      </c>
      <c r="H17" s="1050">
        <v>237.1</v>
      </c>
      <c r="I17" s="1"/>
      <c r="J17" s="1"/>
      <c r="K17" s="1"/>
      <c r="L17" s="1"/>
      <c r="M17" s="1"/>
      <c r="N17" s="1"/>
      <c r="O17" s="1"/>
      <c r="P17" s="1"/>
      <c r="Q17" s="1"/>
      <c r="R17" s="1"/>
      <c r="S17" s="1"/>
      <c r="T17" s="1"/>
      <c r="U17" s="1"/>
      <c r="V17" s="1"/>
      <c r="W17" s="1"/>
      <c r="X17" s="1"/>
      <c r="Y17" s="1"/>
      <c r="Z17" s="1"/>
    </row>
    <row r="18" ht="10.5" customHeight="1">
      <c r="A18" s="1"/>
      <c r="B18" s="238" t="s">
        <v>97</v>
      </c>
      <c r="C18" s="1050">
        <v>92.7</v>
      </c>
      <c r="D18" s="1050">
        <v>48.7</v>
      </c>
      <c r="E18" s="1051">
        <v>66.8</v>
      </c>
      <c r="F18" s="1050">
        <v>63.6</v>
      </c>
      <c r="G18" s="1050">
        <v>64.4</v>
      </c>
      <c r="H18" s="1050">
        <v>227.9</v>
      </c>
      <c r="I18" s="1"/>
      <c r="J18" s="1"/>
      <c r="K18" s="1"/>
      <c r="L18" s="1"/>
      <c r="M18" s="1"/>
      <c r="N18" s="1"/>
      <c r="O18" s="1"/>
      <c r="P18" s="1"/>
      <c r="Q18" s="1"/>
      <c r="R18" s="1"/>
      <c r="S18" s="1"/>
      <c r="T18" s="1"/>
      <c r="U18" s="1"/>
      <c r="V18" s="1"/>
      <c r="W18" s="1"/>
      <c r="X18" s="1"/>
      <c r="Y18" s="1"/>
      <c r="Z18" s="1"/>
    </row>
    <row r="19" ht="10.5" customHeight="1">
      <c r="A19" s="1"/>
      <c r="B19" s="238" t="s">
        <v>101</v>
      </c>
      <c r="C19" s="1050">
        <v>98.1</v>
      </c>
      <c r="D19" s="1050">
        <v>52.1</v>
      </c>
      <c r="E19" s="1051">
        <v>69.1</v>
      </c>
      <c r="F19" s="1050">
        <v>66.4</v>
      </c>
      <c r="G19" s="1050">
        <v>67.9</v>
      </c>
      <c r="H19" s="1050">
        <v>234.8</v>
      </c>
      <c r="I19" s="1"/>
      <c r="J19" s="1"/>
      <c r="K19" s="1"/>
      <c r="L19" s="1"/>
      <c r="M19" s="1"/>
      <c r="N19" s="1"/>
      <c r="O19" s="1"/>
      <c r="P19" s="1"/>
      <c r="Q19" s="1"/>
      <c r="R19" s="1"/>
      <c r="S19" s="1"/>
      <c r="T19" s="1"/>
      <c r="U19" s="1"/>
      <c r="V19" s="1"/>
      <c r="W19" s="1"/>
      <c r="X19" s="1"/>
      <c r="Y19" s="1"/>
      <c r="Z19" s="1"/>
    </row>
    <row r="20" ht="10.5" customHeight="1">
      <c r="A20" s="1"/>
      <c r="B20" s="238" t="s">
        <v>103</v>
      </c>
      <c r="C20" s="1050">
        <v>107.0</v>
      </c>
      <c r="D20" s="1050">
        <v>57.7</v>
      </c>
      <c r="E20" s="1051">
        <v>71.4</v>
      </c>
      <c r="F20" s="1050">
        <v>71.1</v>
      </c>
      <c r="G20" s="1050">
        <v>73.4</v>
      </c>
      <c r="H20" s="1050">
        <v>237.1</v>
      </c>
      <c r="I20" s="1"/>
      <c r="J20" s="1"/>
      <c r="K20" s="1"/>
      <c r="L20" s="1"/>
      <c r="M20" s="1"/>
      <c r="N20" s="1"/>
      <c r="O20" s="1"/>
      <c r="P20" s="1"/>
      <c r="Q20" s="1"/>
      <c r="R20" s="1"/>
      <c r="S20" s="1"/>
      <c r="T20" s="1"/>
      <c r="U20" s="1"/>
      <c r="V20" s="1"/>
      <c r="W20" s="1"/>
      <c r="X20" s="1"/>
      <c r="Y20" s="1"/>
      <c r="Z20" s="1"/>
    </row>
    <row r="21" ht="10.5" customHeight="1">
      <c r="A21" s="1"/>
      <c r="B21" s="238" t="s">
        <v>104</v>
      </c>
      <c r="C21" s="1050">
        <v>89.3</v>
      </c>
      <c r="D21" s="1050">
        <v>56.6</v>
      </c>
      <c r="E21" s="1051">
        <v>76.0</v>
      </c>
      <c r="F21" s="1050">
        <v>67.0</v>
      </c>
      <c r="G21" s="1050">
        <v>68.5</v>
      </c>
      <c r="H21" s="1050">
        <v>232.5</v>
      </c>
      <c r="I21" s="1"/>
      <c r="J21" s="1"/>
      <c r="K21" s="1"/>
      <c r="L21" s="1"/>
      <c r="M21" s="1"/>
      <c r="N21" s="1"/>
      <c r="O21" s="1"/>
      <c r="P21" s="1"/>
      <c r="Q21" s="1"/>
      <c r="R21" s="1"/>
      <c r="S21" s="1"/>
      <c r="T21" s="1"/>
      <c r="U21" s="1"/>
      <c r="V21" s="1"/>
      <c r="W21" s="1"/>
      <c r="X21" s="1"/>
      <c r="Y21" s="1"/>
      <c r="Z21" s="1"/>
    </row>
    <row r="22" ht="10.5" customHeight="1">
      <c r="A22" s="1"/>
      <c r="B22" s="238"/>
      <c r="C22" s="1052"/>
      <c r="D22" s="1052"/>
      <c r="E22" s="498"/>
      <c r="F22" s="1052"/>
      <c r="G22" s="1052"/>
      <c r="H22" s="1052"/>
      <c r="I22" s="1"/>
      <c r="J22" s="1"/>
      <c r="K22" s="1"/>
      <c r="L22" s="1"/>
      <c r="M22" s="1"/>
      <c r="N22" s="1"/>
      <c r="O22" s="1"/>
      <c r="P22" s="1"/>
      <c r="Q22" s="1"/>
      <c r="R22" s="1"/>
      <c r="S22" s="1"/>
      <c r="T22" s="1"/>
      <c r="U22" s="1"/>
      <c r="V22" s="1"/>
      <c r="W22" s="1"/>
      <c r="X22" s="1"/>
      <c r="Y22" s="1"/>
      <c r="Z22" s="1"/>
    </row>
    <row r="23" ht="10.5" customHeight="1">
      <c r="A23" s="1"/>
      <c r="B23" s="238" t="s">
        <v>108</v>
      </c>
      <c r="C23" s="1050">
        <v>89.3</v>
      </c>
      <c r="D23" s="1050">
        <v>59.4</v>
      </c>
      <c r="E23" s="1051">
        <v>79.4</v>
      </c>
      <c r="F23" s="1050">
        <v>69.5</v>
      </c>
      <c r="G23" s="1050">
        <v>75.0</v>
      </c>
      <c r="H23" s="1050">
        <v>226.5</v>
      </c>
      <c r="I23" s="1"/>
      <c r="J23" s="1"/>
      <c r="K23" s="1"/>
      <c r="L23" s="1"/>
      <c r="M23" s="1"/>
      <c r="N23" s="1"/>
      <c r="O23" s="1"/>
      <c r="P23" s="1"/>
      <c r="Q23" s="1"/>
      <c r="R23" s="1"/>
      <c r="S23" s="1"/>
      <c r="T23" s="1"/>
      <c r="U23" s="1"/>
      <c r="V23" s="1"/>
      <c r="W23" s="1"/>
      <c r="X23" s="1"/>
      <c r="Y23" s="1"/>
      <c r="Z23" s="1"/>
    </row>
    <row r="24" ht="10.5" customHeight="1">
      <c r="A24" s="1"/>
      <c r="B24" s="238" t="s">
        <v>111</v>
      </c>
      <c r="C24" s="1050">
        <v>70.7</v>
      </c>
      <c r="D24" s="1050">
        <v>58.7</v>
      </c>
      <c r="E24" s="1051">
        <v>81.5</v>
      </c>
      <c r="F24" s="1050">
        <v>65.5</v>
      </c>
      <c r="G24" s="1050">
        <v>68.5</v>
      </c>
      <c r="H24" s="1050">
        <v>209.2</v>
      </c>
      <c r="I24" s="1"/>
      <c r="J24" s="1"/>
      <c r="K24" s="1"/>
      <c r="L24" s="1"/>
      <c r="M24" s="1"/>
      <c r="N24" s="1"/>
      <c r="O24" s="1"/>
      <c r="P24" s="1"/>
      <c r="Q24" s="1"/>
      <c r="R24" s="1"/>
      <c r="S24" s="1"/>
      <c r="T24" s="1"/>
      <c r="U24" s="1"/>
      <c r="V24" s="1"/>
      <c r="W24" s="1"/>
      <c r="X24" s="1"/>
      <c r="Y24" s="1"/>
      <c r="Z24" s="1"/>
    </row>
    <row r="25" ht="10.5" customHeight="1">
      <c r="A25" s="1"/>
      <c r="B25" s="238" t="s">
        <v>112</v>
      </c>
      <c r="C25" s="1050">
        <v>83.7</v>
      </c>
      <c r="D25" s="1050">
        <v>57.0</v>
      </c>
      <c r="E25" s="1051">
        <v>78.2</v>
      </c>
      <c r="F25" s="1050">
        <v>67.0</v>
      </c>
      <c r="G25" s="1050">
        <v>73.6</v>
      </c>
      <c r="H25" s="1050">
        <v>192.7</v>
      </c>
      <c r="I25" s="1"/>
      <c r="J25" s="1"/>
      <c r="K25" s="1"/>
      <c r="L25" s="1"/>
      <c r="M25" s="1"/>
      <c r="N25" s="1"/>
      <c r="O25" s="1"/>
      <c r="P25" s="1"/>
      <c r="Q25" s="1"/>
      <c r="R25" s="1"/>
      <c r="S25" s="1"/>
      <c r="T25" s="1"/>
      <c r="U25" s="1"/>
      <c r="V25" s="1"/>
      <c r="W25" s="1"/>
      <c r="X25" s="1"/>
      <c r="Y25" s="1"/>
      <c r="Z25" s="1"/>
    </row>
    <row r="26" ht="10.5" customHeight="1">
      <c r="A26" s="1"/>
      <c r="B26" s="238" t="s">
        <v>113</v>
      </c>
      <c r="C26" s="1050">
        <v>99.6</v>
      </c>
      <c r="D26" s="1050">
        <v>70.4</v>
      </c>
      <c r="E26" s="1051">
        <v>74.3</v>
      </c>
      <c r="F26" s="1050">
        <v>69.6</v>
      </c>
      <c r="G26" s="1050">
        <v>77.5</v>
      </c>
      <c r="H26" s="1050">
        <v>181.6</v>
      </c>
      <c r="I26" s="1"/>
      <c r="J26" s="1"/>
      <c r="K26" s="1"/>
      <c r="L26" s="1"/>
      <c r="M26" s="1"/>
      <c r="N26" s="1"/>
      <c r="O26" s="1"/>
      <c r="P26" s="1"/>
      <c r="Q26" s="1"/>
      <c r="R26" s="1"/>
      <c r="S26" s="1"/>
      <c r="T26" s="1"/>
      <c r="U26" s="1"/>
      <c r="V26" s="1"/>
      <c r="W26" s="1"/>
      <c r="X26" s="1"/>
      <c r="Y26" s="1"/>
      <c r="Z26" s="1"/>
    </row>
    <row r="27" ht="10.5" customHeight="1">
      <c r="A27" s="1"/>
      <c r="B27" s="238" t="s">
        <v>114</v>
      </c>
      <c r="C27" s="1050">
        <v>66.6</v>
      </c>
      <c r="D27" s="1050">
        <v>59.3</v>
      </c>
      <c r="E27" s="1051">
        <v>68.6</v>
      </c>
      <c r="F27" s="1050">
        <v>62.3</v>
      </c>
      <c r="G27" s="1050">
        <v>63.3</v>
      </c>
      <c r="H27" s="1050">
        <v>156.0</v>
      </c>
      <c r="I27" s="1"/>
      <c r="J27" s="1"/>
      <c r="K27" s="1"/>
      <c r="L27" s="1"/>
      <c r="M27" s="1"/>
      <c r="N27" s="1"/>
      <c r="O27" s="1"/>
      <c r="P27" s="1"/>
      <c r="Q27" s="1"/>
      <c r="R27" s="1"/>
      <c r="S27" s="1"/>
      <c r="T27" s="1"/>
      <c r="U27" s="1"/>
      <c r="V27" s="1"/>
      <c r="W27" s="1"/>
      <c r="X27" s="1"/>
      <c r="Y27" s="1"/>
      <c r="Z27" s="1"/>
    </row>
    <row r="28" ht="10.5" customHeight="1">
      <c r="A28" s="1"/>
      <c r="B28" s="238"/>
      <c r="C28" s="1052"/>
      <c r="D28" s="1052"/>
      <c r="E28" s="498"/>
      <c r="F28" s="1052"/>
      <c r="G28" s="1052"/>
      <c r="H28" s="1052"/>
      <c r="I28" s="1"/>
      <c r="J28" s="1"/>
      <c r="K28" s="1"/>
      <c r="L28" s="1"/>
      <c r="M28" s="1"/>
      <c r="N28" s="1"/>
      <c r="O28" s="1"/>
      <c r="P28" s="1"/>
      <c r="Q28" s="1"/>
      <c r="R28" s="1"/>
      <c r="S28" s="1"/>
      <c r="T28" s="1"/>
      <c r="U28" s="1"/>
      <c r="V28" s="1"/>
      <c r="W28" s="1"/>
      <c r="X28" s="1"/>
      <c r="Y28" s="1"/>
      <c r="Z28" s="1"/>
    </row>
    <row r="29" ht="10.5" customHeight="1">
      <c r="A29" s="1"/>
      <c r="B29" s="238" t="s">
        <v>115</v>
      </c>
      <c r="C29" s="1050">
        <v>92.2</v>
      </c>
      <c r="D29" s="1050">
        <v>73.2</v>
      </c>
      <c r="E29" s="1051">
        <v>63.4</v>
      </c>
      <c r="F29" s="1050">
        <v>72.5</v>
      </c>
      <c r="G29" s="1050">
        <v>71.0</v>
      </c>
      <c r="H29" s="1050">
        <v>101.8</v>
      </c>
      <c r="I29" s="1"/>
      <c r="J29" s="1"/>
      <c r="K29" s="1"/>
      <c r="L29" s="1"/>
      <c r="M29" s="1"/>
      <c r="N29" s="1"/>
      <c r="O29" s="1"/>
      <c r="P29" s="1"/>
      <c r="Q29" s="1"/>
      <c r="R29" s="1"/>
      <c r="S29" s="1"/>
      <c r="T29" s="1"/>
      <c r="U29" s="1"/>
      <c r="V29" s="1"/>
      <c r="W29" s="1"/>
      <c r="X29" s="1"/>
      <c r="Y29" s="1"/>
      <c r="Z29" s="1"/>
    </row>
    <row r="30" ht="10.5" customHeight="1">
      <c r="A30" s="1"/>
      <c r="B30" s="238" t="s">
        <v>117</v>
      </c>
      <c r="C30" s="1050">
        <v>97.6</v>
      </c>
      <c r="D30" s="1050">
        <v>75.5</v>
      </c>
      <c r="E30" s="1051">
        <v>63.5</v>
      </c>
      <c r="F30" s="1050">
        <v>74.5</v>
      </c>
      <c r="G30" s="1050">
        <v>72.3</v>
      </c>
      <c r="H30" s="1050">
        <v>108.2</v>
      </c>
      <c r="I30" s="1"/>
      <c r="J30" s="1"/>
      <c r="K30" s="1"/>
      <c r="L30" s="1"/>
      <c r="M30" s="1"/>
      <c r="N30" s="1"/>
      <c r="O30" s="1"/>
      <c r="P30" s="1"/>
      <c r="Q30" s="1"/>
      <c r="R30" s="1"/>
      <c r="S30" s="1"/>
      <c r="T30" s="1"/>
      <c r="U30" s="1"/>
      <c r="V30" s="1"/>
      <c r="W30" s="1"/>
      <c r="X30" s="1"/>
      <c r="Y30" s="1"/>
      <c r="Z30" s="1"/>
    </row>
    <row r="31" ht="10.5" customHeight="1">
      <c r="A31" s="1"/>
      <c r="B31" s="238" t="s">
        <v>121</v>
      </c>
      <c r="C31" s="1050">
        <v>86.4</v>
      </c>
      <c r="D31" s="1050">
        <v>77.7</v>
      </c>
      <c r="E31" s="1051">
        <v>64.2</v>
      </c>
      <c r="F31" s="1050">
        <v>72.1</v>
      </c>
      <c r="G31" s="1050">
        <v>69.4</v>
      </c>
      <c r="H31" s="1050">
        <v>102.5</v>
      </c>
      <c r="I31" s="1"/>
      <c r="J31" s="1"/>
      <c r="K31" s="1"/>
      <c r="L31" s="1"/>
      <c r="M31" s="1"/>
      <c r="N31" s="1"/>
      <c r="O31" s="1"/>
      <c r="P31" s="1"/>
      <c r="Q31" s="1"/>
      <c r="R31" s="1"/>
      <c r="S31" s="1"/>
      <c r="T31" s="1"/>
      <c r="U31" s="1"/>
      <c r="V31" s="1"/>
      <c r="W31" s="1"/>
      <c r="X31" s="1"/>
      <c r="Y31" s="1"/>
      <c r="Z31" s="1"/>
    </row>
    <row r="32" ht="10.5" customHeight="1">
      <c r="A32" s="1"/>
      <c r="B32" s="238" t="s">
        <v>122</v>
      </c>
      <c r="C32" s="1050">
        <v>93.7</v>
      </c>
      <c r="D32" s="1050">
        <v>79.2</v>
      </c>
      <c r="E32" s="1051">
        <v>66.2</v>
      </c>
      <c r="F32" s="1050">
        <v>75.5</v>
      </c>
      <c r="G32" s="1050">
        <v>71.6</v>
      </c>
      <c r="H32" s="1050">
        <v>109.0</v>
      </c>
      <c r="I32" s="1"/>
      <c r="J32" s="1"/>
      <c r="K32" s="1"/>
      <c r="L32" s="1"/>
      <c r="M32" s="1"/>
      <c r="N32" s="1"/>
      <c r="O32" s="1"/>
      <c r="P32" s="1"/>
      <c r="Q32" s="1"/>
      <c r="R32" s="1"/>
      <c r="S32" s="1"/>
      <c r="T32" s="1"/>
      <c r="U32" s="1"/>
      <c r="V32" s="1"/>
      <c r="W32" s="1"/>
      <c r="X32" s="1"/>
      <c r="Y32" s="1"/>
      <c r="Z32" s="1"/>
    </row>
    <row r="33" ht="10.5" customHeight="1">
      <c r="A33" s="1"/>
      <c r="B33" s="238" t="s">
        <v>123</v>
      </c>
      <c r="C33" s="1050">
        <v>108.2</v>
      </c>
      <c r="D33" s="1050">
        <v>81.9</v>
      </c>
      <c r="E33" s="1051">
        <v>67.7</v>
      </c>
      <c r="F33" s="1050">
        <v>80.8</v>
      </c>
      <c r="G33" s="1050">
        <v>69.1</v>
      </c>
      <c r="H33" s="1050">
        <v>103.7</v>
      </c>
      <c r="I33" s="1"/>
      <c r="J33" s="1"/>
      <c r="K33" s="1"/>
      <c r="L33" s="1"/>
      <c r="M33" s="1"/>
      <c r="N33" s="1"/>
      <c r="O33" s="1"/>
      <c r="P33" s="1"/>
      <c r="Q33" s="1"/>
      <c r="R33" s="1"/>
      <c r="S33" s="1"/>
      <c r="T33" s="1"/>
      <c r="U33" s="1"/>
      <c r="V33" s="1"/>
      <c r="W33" s="1"/>
      <c r="X33" s="1"/>
      <c r="Y33" s="1"/>
      <c r="Z33" s="1"/>
    </row>
    <row r="34" ht="10.5" customHeight="1">
      <c r="A34" s="1"/>
      <c r="B34" s="238"/>
      <c r="C34" s="1052"/>
      <c r="D34" s="1052"/>
      <c r="E34" s="498"/>
      <c r="F34" s="1052"/>
      <c r="G34" s="1052"/>
      <c r="H34" s="1052"/>
      <c r="I34" s="1"/>
      <c r="J34" s="1"/>
      <c r="K34" s="1"/>
      <c r="L34" s="1"/>
      <c r="M34" s="1"/>
      <c r="N34" s="1"/>
      <c r="O34" s="1"/>
      <c r="P34" s="1"/>
      <c r="Q34" s="1"/>
      <c r="R34" s="1"/>
      <c r="S34" s="1"/>
      <c r="T34" s="1"/>
      <c r="U34" s="1"/>
      <c r="V34" s="1"/>
      <c r="W34" s="1"/>
      <c r="X34" s="1"/>
      <c r="Y34" s="1"/>
      <c r="Z34" s="1"/>
    </row>
    <row r="35" ht="10.5" customHeight="1">
      <c r="A35" s="1"/>
      <c r="B35" s="721" t="s">
        <v>125</v>
      </c>
      <c r="C35" s="1050">
        <v>106.2</v>
      </c>
      <c r="D35" s="1050">
        <v>80.8</v>
      </c>
      <c r="E35" s="1051">
        <v>63.3</v>
      </c>
      <c r="F35" s="1050">
        <v>77.9</v>
      </c>
      <c r="G35" s="1050">
        <v>75.3</v>
      </c>
      <c r="H35" s="1050">
        <v>127.0</v>
      </c>
      <c r="I35" s="1"/>
      <c r="J35" s="1"/>
      <c r="K35" s="1"/>
      <c r="L35" s="1"/>
      <c r="M35" s="1"/>
      <c r="N35" s="1"/>
      <c r="O35" s="1"/>
      <c r="P35" s="1"/>
      <c r="Q35" s="1"/>
      <c r="R35" s="1"/>
      <c r="S35" s="1"/>
      <c r="T35" s="1"/>
      <c r="U35" s="1"/>
      <c r="V35" s="1"/>
      <c r="W35" s="1"/>
      <c r="X35" s="1"/>
      <c r="Y35" s="1"/>
      <c r="Z35" s="1"/>
    </row>
    <row r="36" ht="10.5" customHeight="1">
      <c r="A36" s="1"/>
      <c r="B36" s="721" t="s">
        <v>127</v>
      </c>
      <c r="C36" s="1050">
        <v>113.1</v>
      </c>
      <c r="D36" s="1050">
        <v>83.2</v>
      </c>
      <c r="E36" s="1051">
        <v>66.9</v>
      </c>
      <c r="F36" s="1050">
        <v>82.1</v>
      </c>
      <c r="G36" s="1050">
        <v>80.3</v>
      </c>
      <c r="H36" s="1050">
        <v>115.9</v>
      </c>
      <c r="I36" s="1"/>
      <c r="J36" s="1"/>
      <c r="K36" s="1"/>
      <c r="L36" s="1"/>
      <c r="M36" s="1"/>
      <c r="N36" s="1"/>
      <c r="O36" s="1"/>
      <c r="P36" s="1"/>
      <c r="Q36" s="1"/>
      <c r="R36" s="1"/>
      <c r="S36" s="1"/>
      <c r="T36" s="1"/>
      <c r="U36" s="1"/>
      <c r="V36" s="1"/>
      <c r="W36" s="1"/>
      <c r="X36" s="1"/>
      <c r="Y36" s="1"/>
      <c r="Z36" s="1"/>
    </row>
    <row r="37" ht="10.5" customHeight="1">
      <c r="A37" s="1"/>
      <c r="B37" s="721" t="s">
        <v>128</v>
      </c>
      <c r="C37" s="1050">
        <v>105.0</v>
      </c>
      <c r="D37" s="1050">
        <v>89.4</v>
      </c>
      <c r="E37" s="1051">
        <v>69.1</v>
      </c>
      <c r="F37" s="1050">
        <v>82.5</v>
      </c>
      <c r="G37" s="1050">
        <v>81.1</v>
      </c>
      <c r="H37" s="1050">
        <v>109.7</v>
      </c>
      <c r="I37" s="1"/>
      <c r="J37" s="1"/>
      <c r="K37" s="1"/>
      <c r="L37" s="1"/>
      <c r="M37" s="1"/>
      <c r="N37" s="1"/>
      <c r="O37" s="1"/>
      <c r="P37" s="1"/>
      <c r="Q37" s="1"/>
      <c r="R37" s="1"/>
      <c r="S37" s="1"/>
      <c r="T37" s="1"/>
      <c r="U37" s="1"/>
      <c r="V37" s="1"/>
      <c r="W37" s="1"/>
      <c r="X37" s="1"/>
      <c r="Y37" s="1"/>
      <c r="Z37" s="1"/>
    </row>
    <row r="38" ht="10.5" customHeight="1">
      <c r="A38" s="1"/>
      <c r="B38" s="437" t="s">
        <v>129</v>
      </c>
      <c r="C38" s="1050">
        <v>98.7</v>
      </c>
      <c r="D38" s="1050">
        <v>92.9</v>
      </c>
      <c r="E38" s="1051">
        <v>74.3</v>
      </c>
      <c r="F38" s="1050">
        <v>84.5</v>
      </c>
      <c r="G38" s="1050">
        <v>82.7</v>
      </c>
      <c r="H38" s="1050">
        <v>118.8</v>
      </c>
      <c r="I38" s="1"/>
      <c r="J38" s="1"/>
      <c r="K38" s="1"/>
      <c r="L38" s="1"/>
      <c r="M38" s="1"/>
      <c r="N38" s="1"/>
      <c r="O38" s="1"/>
      <c r="P38" s="1"/>
      <c r="Q38" s="1"/>
      <c r="R38" s="1"/>
      <c r="S38" s="1"/>
      <c r="T38" s="1"/>
      <c r="U38" s="1"/>
      <c r="V38" s="1"/>
      <c r="W38" s="1"/>
      <c r="X38" s="1"/>
      <c r="Y38" s="1"/>
      <c r="Z38" s="1"/>
    </row>
    <row r="39" ht="10.5" customHeight="1">
      <c r="A39" s="1"/>
      <c r="B39" s="238" t="s">
        <v>130</v>
      </c>
      <c r="C39" s="1050">
        <v>109.5</v>
      </c>
      <c r="D39" s="1050">
        <v>91.1</v>
      </c>
      <c r="E39" s="1051">
        <v>78.9</v>
      </c>
      <c r="F39" s="1050">
        <v>89.2</v>
      </c>
      <c r="G39" s="1050">
        <v>87.3</v>
      </c>
      <c r="H39" s="1050">
        <v>126.1</v>
      </c>
      <c r="I39" s="1"/>
      <c r="J39" s="1"/>
      <c r="K39" s="1"/>
      <c r="L39" s="1"/>
      <c r="M39" s="1"/>
      <c r="N39" s="1"/>
      <c r="O39" s="1"/>
      <c r="P39" s="1"/>
      <c r="Q39" s="1"/>
      <c r="R39" s="1"/>
      <c r="S39" s="1"/>
      <c r="T39" s="1"/>
      <c r="U39" s="1"/>
      <c r="V39" s="1"/>
      <c r="W39" s="1"/>
      <c r="X39" s="1"/>
      <c r="Y39" s="1"/>
      <c r="Z39" s="1"/>
    </row>
    <row r="40" ht="10.5" customHeight="1">
      <c r="A40" s="1"/>
      <c r="B40" s="238"/>
      <c r="C40" s="1050"/>
      <c r="D40" s="1050"/>
      <c r="E40" s="1051"/>
      <c r="F40" s="1050"/>
      <c r="G40" s="1050"/>
      <c r="H40" s="1050"/>
      <c r="I40" s="1"/>
      <c r="J40" s="1"/>
      <c r="K40" s="1"/>
      <c r="L40" s="1"/>
      <c r="M40" s="1"/>
      <c r="N40" s="1"/>
      <c r="O40" s="1"/>
      <c r="P40" s="1"/>
      <c r="Q40" s="1"/>
      <c r="R40" s="1"/>
      <c r="S40" s="1"/>
      <c r="T40" s="1"/>
      <c r="U40" s="1"/>
      <c r="V40" s="1"/>
      <c r="W40" s="1"/>
      <c r="X40" s="1"/>
      <c r="Y40" s="1"/>
      <c r="Z40" s="1"/>
    </row>
    <row r="41" ht="10.5" customHeight="1">
      <c r="A41" s="1"/>
      <c r="B41" s="238" t="s">
        <v>131</v>
      </c>
      <c r="C41" s="1050">
        <v>85.6</v>
      </c>
      <c r="D41" s="1050">
        <v>95.2</v>
      </c>
      <c r="E41" s="1051">
        <v>94.0</v>
      </c>
      <c r="F41" s="1050">
        <v>92.5</v>
      </c>
      <c r="G41" s="1050">
        <v>91.5</v>
      </c>
      <c r="H41" s="1050">
        <v>111.0</v>
      </c>
      <c r="I41" s="1"/>
      <c r="J41" s="1"/>
      <c r="K41" s="1"/>
      <c r="L41" s="1"/>
      <c r="M41" s="1"/>
      <c r="N41" s="1"/>
      <c r="O41" s="1"/>
      <c r="P41" s="1"/>
      <c r="Q41" s="1"/>
      <c r="R41" s="1"/>
      <c r="S41" s="1"/>
      <c r="T41" s="1"/>
      <c r="U41" s="1"/>
      <c r="V41" s="1"/>
      <c r="W41" s="1"/>
      <c r="X41" s="1"/>
      <c r="Y41" s="1"/>
      <c r="Z41" s="1"/>
    </row>
    <row r="42" ht="10.5" customHeight="1">
      <c r="A42" s="1"/>
      <c r="B42" s="238" t="s">
        <v>133</v>
      </c>
      <c r="C42" s="1050">
        <v>81.9</v>
      </c>
      <c r="D42" s="1050">
        <v>99.3</v>
      </c>
      <c r="E42" s="1051">
        <v>98.4</v>
      </c>
      <c r="F42" s="1050">
        <v>94.9</v>
      </c>
      <c r="G42" s="1050">
        <v>94.5</v>
      </c>
      <c r="H42" s="1050">
        <v>102.0</v>
      </c>
      <c r="I42" s="1"/>
      <c r="J42" s="1"/>
      <c r="K42" s="1"/>
      <c r="L42" s="1"/>
      <c r="M42" s="1"/>
      <c r="N42" s="1"/>
      <c r="O42" s="1"/>
      <c r="P42" s="1"/>
      <c r="Q42" s="1"/>
      <c r="R42" s="1"/>
      <c r="S42" s="1"/>
      <c r="T42" s="1"/>
      <c r="U42" s="1"/>
      <c r="V42" s="1"/>
      <c r="W42" s="1"/>
      <c r="X42" s="1"/>
      <c r="Y42" s="1"/>
      <c r="Z42" s="1"/>
    </row>
    <row r="43" ht="10.5" customHeight="1">
      <c r="A43" s="1"/>
      <c r="B43" s="293" t="s">
        <v>134</v>
      </c>
      <c r="C43" s="1050">
        <v>108.0</v>
      </c>
      <c r="D43" s="1050">
        <v>100.8</v>
      </c>
      <c r="E43" s="1051">
        <v>97.8</v>
      </c>
      <c r="F43" s="1050">
        <v>100.9</v>
      </c>
      <c r="G43" s="1050">
        <v>101.1</v>
      </c>
      <c r="H43" s="1050">
        <v>96.7</v>
      </c>
      <c r="I43" s="1"/>
      <c r="J43" s="1"/>
      <c r="K43" s="1"/>
      <c r="L43" s="1"/>
      <c r="M43" s="1"/>
      <c r="N43" s="1"/>
      <c r="O43" s="1"/>
      <c r="P43" s="1"/>
      <c r="Q43" s="1"/>
      <c r="R43" s="1"/>
      <c r="S43" s="1"/>
      <c r="T43" s="1"/>
      <c r="U43" s="1"/>
      <c r="V43" s="1"/>
      <c r="W43" s="1"/>
      <c r="X43" s="1"/>
      <c r="Y43" s="1"/>
      <c r="Z43" s="1"/>
    </row>
    <row r="44" ht="10.5" customHeight="1">
      <c r="A44" s="1"/>
      <c r="B44" s="508" t="s">
        <v>135</v>
      </c>
      <c r="C44" s="1050">
        <v>107.5</v>
      </c>
      <c r="D44" s="1050">
        <v>99.7</v>
      </c>
      <c r="E44" s="1051">
        <v>100.7</v>
      </c>
      <c r="F44" s="1050">
        <v>102.0</v>
      </c>
      <c r="G44" s="1050">
        <v>102.4</v>
      </c>
      <c r="H44" s="1050">
        <v>94.1</v>
      </c>
      <c r="I44" s="1"/>
      <c r="J44" s="1"/>
      <c r="K44" s="1"/>
      <c r="L44" s="1"/>
      <c r="M44" s="1"/>
      <c r="N44" s="1"/>
      <c r="O44" s="1"/>
      <c r="P44" s="1"/>
      <c r="Q44" s="1"/>
      <c r="R44" s="1"/>
      <c r="S44" s="1"/>
      <c r="T44" s="1"/>
      <c r="U44" s="1"/>
      <c r="V44" s="1"/>
      <c r="W44" s="1"/>
      <c r="X44" s="1"/>
      <c r="Y44" s="1"/>
      <c r="Z44" s="1"/>
    </row>
    <row r="45" ht="10.5" customHeight="1">
      <c r="A45" s="1"/>
      <c r="B45" s="508" t="s">
        <v>138</v>
      </c>
      <c r="C45" s="1050">
        <v>105.4</v>
      </c>
      <c r="D45" s="1050">
        <v>100.3</v>
      </c>
      <c r="E45" s="1051">
        <v>104.4</v>
      </c>
      <c r="F45" s="1050">
        <v>103.5</v>
      </c>
      <c r="G45" s="1050">
        <v>103.6</v>
      </c>
      <c r="H45" s="1050">
        <v>101.5</v>
      </c>
      <c r="I45" s="1"/>
      <c r="J45" s="1"/>
      <c r="K45" s="1"/>
      <c r="L45" s="1"/>
      <c r="M45" s="1"/>
      <c r="N45" s="1"/>
      <c r="O45" s="1"/>
      <c r="P45" s="1"/>
      <c r="Q45" s="1"/>
      <c r="R45" s="1"/>
      <c r="S45" s="1"/>
      <c r="T45" s="1"/>
      <c r="U45" s="1"/>
      <c r="V45" s="1"/>
      <c r="W45" s="1"/>
      <c r="X45" s="1"/>
      <c r="Y45" s="1"/>
      <c r="Z45" s="1"/>
    </row>
    <row r="46" ht="10.5" customHeight="1">
      <c r="A46" s="1"/>
      <c r="B46" s="508"/>
      <c r="C46" s="1050"/>
      <c r="D46" s="1050"/>
      <c r="E46" s="1051"/>
      <c r="F46" s="1050"/>
      <c r="G46" s="1050"/>
      <c r="H46" s="1050"/>
      <c r="I46" s="1"/>
      <c r="J46" s="1"/>
      <c r="K46" s="1"/>
      <c r="L46" s="1"/>
      <c r="M46" s="1"/>
      <c r="N46" s="1"/>
      <c r="O46" s="1"/>
      <c r="P46" s="1"/>
      <c r="Q46" s="1"/>
      <c r="R46" s="1"/>
      <c r="S46" s="1"/>
      <c r="T46" s="1"/>
      <c r="U46" s="1"/>
      <c r="V46" s="1"/>
      <c r="W46" s="1"/>
      <c r="X46" s="1"/>
      <c r="Y46" s="1"/>
      <c r="Z46" s="1"/>
    </row>
    <row r="47" ht="10.5" customHeight="1">
      <c r="A47" s="1"/>
      <c r="B47" s="176" t="s">
        <v>139</v>
      </c>
      <c r="C47" s="1050" t="s">
        <v>1705</v>
      </c>
      <c r="D47" s="1050" t="s">
        <v>1706</v>
      </c>
      <c r="E47" s="1051" t="s">
        <v>1707</v>
      </c>
      <c r="F47" s="1050" t="s">
        <v>1708</v>
      </c>
      <c r="G47" s="1050" t="s">
        <v>1709</v>
      </c>
      <c r="H47" s="1050" t="s">
        <v>1710</v>
      </c>
      <c r="I47" s="1"/>
      <c r="J47" s="1"/>
      <c r="K47" s="1"/>
      <c r="L47" s="1"/>
      <c r="M47" s="1"/>
      <c r="N47" s="1"/>
      <c r="O47" s="1"/>
      <c r="P47" s="1"/>
      <c r="Q47" s="1"/>
      <c r="R47" s="1"/>
      <c r="S47" s="1"/>
      <c r="T47" s="1"/>
      <c r="U47" s="1"/>
      <c r="V47" s="1"/>
      <c r="W47" s="1"/>
      <c r="X47" s="1"/>
      <c r="Y47" s="1"/>
      <c r="Z47" s="1"/>
    </row>
    <row r="48" ht="10.5" customHeight="1">
      <c r="A48" s="1"/>
      <c r="B48" s="176" t="s">
        <v>143</v>
      </c>
      <c r="C48" s="1050" t="s">
        <v>1706</v>
      </c>
      <c r="D48" s="1050" t="s">
        <v>1711</v>
      </c>
      <c r="E48" s="1051" t="s">
        <v>1712</v>
      </c>
      <c r="F48" s="1050" t="s">
        <v>1713</v>
      </c>
      <c r="G48" s="1050" t="s">
        <v>1714</v>
      </c>
      <c r="H48" s="1050" t="s">
        <v>1715</v>
      </c>
      <c r="I48" s="1"/>
      <c r="J48" s="1"/>
      <c r="K48" s="1"/>
      <c r="L48" s="1"/>
      <c r="M48" s="1"/>
      <c r="N48" s="1"/>
      <c r="O48" s="1"/>
      <c r="P48" s="1"/>
      <c r="Q48" s="1"/>
      <c r="R48" s="1"/>
      <c r="S48" s="1"/>
      <c r="T48" s="1"/>
      <c r="U48" s="1"/>
      <c r="V48" s="1"/>
      <c r="W48" s="1"/>
      <c r="X48" s="1"/>
      <c r="Y48" s="1"/>
      <c r="Z48" s="1"/>
    </row>
    <row r="49" ht="10.5" customHeight="1">
      <c r="A49" s="1"/>
      <c r="B49" s="176" t="s">
        <v>149</v>
      </c>
      <c r="C49" s="1050" t="s">
        <v>1716</v>
      </c>
      <c r="D49" s="1050" t="s">
        <v>1717</v>
      </c>
      <c r="E49" s="1051" t="s">
        <v>1718</v>
      </c>
      <c r="F49" s="1050" t="s">
        <v>1719</v>
      </c>
      <c r="G49" s="1050" t="s">
        <v>1720</v>
      </c>
      <c r="H49" s="1050" t="s">
        <v>1721</v>
      </c>
      <c r="I49" s="1"/>
      <c r="J49" s="1"/>
      <c r="K49" s="1"/>
      <c r="L49" s="1"/>
      <c r="M49" s="1"/>
      <c r="N49" s="1"/>
      <c r="O49" s="1"/>
      <c r="P49" s="1"/>
      <c r="Q49" s="1"/>
      <c r="R49" s="1"/>
      <c r="S49" s="1"/>
      <c r="T49" s="1"/>
      <c r="U49" s="1"/>
      <c r="V49" s="1"/>
      <c r="W49" s="1"/>
      <c r="X49" s="1"/>
      <c r="Y49" s="1"/>
      <c r="Z49" s="1"/>
    </row>
    <row r="50" ht="10.5" customHeight="1">
      <c r="A50" s="1"/>
      <c r="B50" s="176" t="s">
        <v>151</v>
      </c>
      <c r="C50" s="1050" t="s">
        <v>1722</v>
      </c>
      <c r="D50" s="1050" t="s">
        <v>1723</v>
      </c>
      <c r="E50" s="1051" t="s">
        <v>1724</v>
      </c>
      <c r="F50" s="1050" t="s">
        <v>1725</v>
      </c>
      <c r="G50" s="1050" t="s">
        <v>1726</v>
      </c>
      <c r="H50" s="1050" t="s">
        <v>1727</v>
      </c>
      <c r="I50" s="1"/>
      <c r="J50" s="1"/>
      <c r="K50" s="1"/>
      <c r="L50" s="1"/>
      <c r="M50" s="1"/>
      <c r="N50" s="1"/>
      <c r="O50" s="1"/>
      <c r="P50" s="1"/>
      <c r="Q50" s="1"/>
      <c r="R50" s="1"/>
      <c r="S50" s="1"/>
      <c r="T50" s="1"/>
      <c r="U50" s="1"/>
      <c r="V50" s="1"/>
      <c r="W50" s="1"/>
      <c r="X50" s="1"/>
      <c r="Y50" s="1"/>
      <c r="Z50" s="1"/>
    </row>
    <row r="51" ht="10.5" customHeight="1">
      <c r="A51" s="1"/>
      <c r="B51" s="176" t="s">
        <v>153</v>
      </c>
      <c r="C51" s="1050" t="s">
        <v>1728</v>
      </c>
      <c r="D51" s="1050" t="s">
        <v>1729</v>
      </c>
      <c r="E51" s="1051" t="s">
        <v>1730</v>
      </c>
      <c r="F51" s="1050" t="s">
        <v>1731</v>
      </c>
      <c r="G51" s="1050" t="s">
        <v>1732</v>
      </c>
      <c r="H51" s="1050" t="s">
        <v>1733</v>
      </c>
      <c r="I51" s="1"/>
      <c r="J51" s="1"/>
      <c r="K51" s="1"/>
      <c r="L51" s="1"/>
      <c r="M51" s="1"/>
      <c r="N51" s="1"/>
      <c r="O51" s="1"/>
      <c r="P51" s="1"/>
      <c r="Q51" s="1"/>
      <c r="R51" s="1"/>
      <c r="S51" s="1"/>
      <c r="T51" s="1"/>
      <c r="U51" s="1"/>
      <c r="V51" s="1"/>
      <c r="W51" s="1"/>
      <c r="X51" s="1"/>
      <c r="Y51" s="1"/>
      <c r="Z51" s="1"/>
    </row>
    <row r="52" ht="10.5" customHeight="1">
      <c r="A52" s="1"/>
      <c r="B52" s="176"/>
      <c r="C52" s="1050"/>
      <c r="D52" s="1050"/>
      <c r="E52" s="1051"/>
      <c r="F52" s="1050"/>
      <c r="G52" s="1050"/>
      <c r="H52" s="1050"/>
      <c r="I52" s="1"/>
      <c r="J52" s="1"/>
      <c r="K52" s="1"/>
      <c r="L52" s="1"/>
      <c r="M52" s="1"/>
      <c r="N52" s="1"/>
      <c r="O52" s="1"/>
      <c r="P52" s="1"/>
      <c r="Q52" s="1"/>
      <c r="R52" s="1"/>
      <c r="S52" s="1"/>
      <c r="T52" s="1"/>
      <c r="U52" s="1"/>
      <c r="V52" s="1"/>
      <c r="W52" s="1"/>
      <c r="X52" s="1"/>
      <c r="Y52" s="1"/>
      <c r="Z52" s="1"/>
    </row>
    <row r="53" ht="10.5" customHeight="1">
      <c r="A53" s="1"/>
      <c r="B53" s="176" t="s">
        <v>155</v>
      </c>
      <c r="C53" s="1050" t="s">
        <v>1734</v>
      </c>
      <c r="D53" s="1050" t="s">
        <v>1735</v>
      </c>
      <c r="E53" s="1051" t="s">
        <v>1736</v>
      </c>
      <c r="F53" s="1050" t="s">
        <v>1737</v>
      </c>
      <c r="G53" s="1050" t="s">
        <v>1738</v>
      </c>
      <c r="H53" s="1050" t="s">
        <v>1739</v>
      </c>
      <c r="I53" s="1"/>
      <c r="J53" s="1"/>
      <c r="K53" s="1"/>
      <c r="L53" s="1"/>
      <c r="M53" s="1"/>
      <c r="N53" s="1"/>
      <c r="O53" s="1"/>
      <c r="P53" s="1"/>
      <c r="Q53" s="1"/>
      <c r="R53" s="1"/>
      <c r="S53" s="1"/>
      <c r="T53" s="1"/>
      <c r="U53" s="1"/>
      <c r="V53" s="1"/>
      <c r="W53" s="1"/>
      <c r="X53" s="1"/>
      <c r="Y53" s="1"/>
      <c r="Z53" s="1"/>
    </row>
    <row r="54" ht="10.5" customHeight="1">
      <c r="A54" s="1"/>
      <c r="B54" s="183" t="s">
        <v>1740</v>
      </c>
      <c r="C54" s="1053" t="s">
        <v>1735</v>
      </c>
      <c r="D54" s="1053" t="s">
        <v>1741</v>
      </c>
      <c r="E54" s="1054" t="s">
        <v>1742</v>
      </c>
      <c r="F54" s="1053" t="s">
        <v>1741</v>
      </c>
      <c r="G54" s="1053" t="s">
        <v>1743</v>
      </c>
      <c r="H54" s="1053" t="s">
        <v>1744</v>
      </c>
      <c r="I54" s="1"/>
      <c r="J54" s="1"/>
      <c r="K54" s="1"/>
      <c r="L54" s="1"/>
      <c r="M54" s="1"/>
      <c r="N54" s="1"/>
      <c r="O54" s="1"/>
      <c r="P54" s="1"/>
      <c r="Q54" s="1"/>
      <c r="R54" s="1"/>
      <c r="S54" s="1"/>
      <c r="T54" s="1"/>
      <c r="U54" s="1"/>
      <c r="V54" s="1"/>
      <c r="W54" s="1"/>
      <c r="X54" s="1"/>
      <c r="Y54" s="1"/>
      <c r="Z54" s="1"/>
    </row>
    <row r="55" ht="12.0" customHeight="1">
      <c r="A55" s="1"/>
      <c r="B55" s="60" t="s">
        <v>1745</v>
      </c>
      <c r="C55" s="612"/>
      <c r="D55" s="1055"/>
      <c r="E55" s="1055"/>
      <c r="F55" s="1055"/>
      <c r="G55" s="1055"/>
      <c r="H55" s="1055"/>
      <c r="I55" s="1"/>
      <c r="J55" s="1"/>
      <c r="K55" s="1"/>
      <c r="L55" s="1"/>
      <c r="M55" s="1"/>
      <c r="N55" s="1"/>
      <c r="O55" s="1"/>
      <c r="P55" s="1"/>
      <c r="Q55" s="1"/>
      <c r="R55" s="1"/>
      <c r="S55" s="1"/>
      <c r="T55" s="1"/>
      <c r="U55" s="1"/>
      <c r="V55" s="1"/>
      <c r="W55" s="1"/>
      <c r="X55" s="1"/>
      <c r="Y55" s="1"/>
      <c r="Z55" s="1"/>
    </row>
    <row r="56" ht="10.5" customHeight="1">
      <c r="A56" s="1"/>
      <c r="B56" s="1"/>
      <c r="C56" s="817"/>
      <c r="D56" s="817"/>
      <c r="E56" s="817"/>
      <c r="F56" s="817"/>
      <c r="G56" s="817"/>
      <c r="H56" s="817"/>
      <c r="I56" s="1"/>
      <c r="J56" s="1"/>
      <c r="K56" s="1"/>
      <c r="L56" s="1"/>
      <c r="M56" s="1"/>
      <c r="N56" s="1"/>
      <c r="O56" s="1"/>
      <c r="P56" s="1"/>
      <c r="Q56" s="1"/>
      <c r="R56" s="1"/>
      <c r="S56" s="1"/>
      <c r="T56" s="1"/>
      <c r="U56" s="1"/>
      <c r="V56" s="1"/>
      <c r="W56" s="1"/>
      <c r="X56" s="1"/>
      <c r="Y56" s="1"/>
      <c r="Z56" s="1"/>
    </row>
    <row r="57" ht="10.5" customHeight="1">
      <c r="A57" s="1"/>
      <c r="B57" s="1"/>
      <c r="C57" s="612"/>
      <c r="D57" s="612"/>
      <c r="E57" s="612"/>
      <c r="F57" s="612"/>
      <c r="G57" s="612"/>
      <c r="H57" s="612"/>
      <c r="I57" s="1"/>
      <c r="J57" s="1"/>
      <c r="K57" s="1"/>
      <c r="L57" s="1"/>
      <c r="M57" s="1"/>
      <c r="N57" s="1"/>
      <c r="O57" s="1"/>
      <c r="P57" s="1"/>
      <c r="Q57" s="1"/>
      <c r="R57" s="1"/>
      <c r="S57" s="1"/>
      <c r="T57" s="1"/>
      <c r="U57" s="1"/>
      <c r="V57" s="1"/>
      <c r="W57" s="1"/>
      <c r="X57" s="1"/>
      <c r="Y57" s="1"/>
      <c r="Z57" s="1"/>
    </row>
    <row r="58" ht="10.5" customHeight="1">
      <c r="A58" s="1"/>
      <c r="B58" s="1"/>
      <c r="C58" s="612"/>
      <c r="D58" s="612"/>
      <c r="E58" s="612"/>
      <c r="F58" s="612"/>
      <c r="G58" s="612"/>
      <c r="H58" s="612"/>
      <c r="I58" s="1"/>
      <c r="J58" s="1"/>
      <c r="K58" s="1"/>
      <c r="L58" s="1"/>
      <c r="M58" s="1"/>
      <c r="N58" s="1"/>
      <c r="O58" s="1"/>
      <c r="P58" s="1"/>
      <c r="Q58" s="1"/>
      <c r="R58" s="1"/>
      <c r="S58" s="1"/>
      <c r="T58" s="1"/>
      <c r="U58" s="1"/>
      <c r="V58" s="1"/>
      <c r="W58" s="1"/>
      <c r="X58" s="1"/>
      <c r="Y58" s="1"/>
      <c r="Z58" s="1"/>
    </row>
    <row r="59" ht="10.5" customHeight="1">
      <c r="A59" s="1"/>
      <c r="B59" s="1"/>
      <c r="C59" s="612"/>
      <c r="D59" s="612"/>
      <c r="E59" s="612"/>
      <c r="F59" s="612"/>
      <c r="G59" s="612"/>
      <c r="H59" s="612"/>
      <c r="I59" s="1"/>
      <c r="J59" s="1"/>
      <c r="K59" s="1"/>
      <c r="L59" s="1"/>
      <c r="M59" s="1"/>
      <c r="N59" s="1"/>
      <c r="O59" s="1"/>
      <c r="P59" s="1"/>
      <c r="Q59" s="1"/>
      <c r="R59" s="1"/>
      <c r="S59" s="1"/>
      <c r="T59" s="1"/>
      <c r="U59" s="1"/>
      <c r="V59" s="1"/>
      <c r="W59" s="1"/>
      <c r="X59" s="1"/>
      <c r="Y59" s="1"/>
      <c r="Z59" s="1"/>
    </row>
    <row r="60" ht="10.5" customHeight="1">
      <c r="A60" s="1"/>
      <c r="B60" s="1"/>
      <c r="C60" s="612"/>
      <c r="D60" s="612"/>
      <c r="E60" s="612"/>
      <c r="F60" s="612"/>
      <c r="G60" s="612"/>
      <c r="H60" s="612"/>
      <c r="I60" s="1"/>
      <c r="J60" s="1"/>
      <c r="K60" s="1"/>
      <c r="L60" s="1"/>
      <c r="M60" s="1"/>
      <c r="N60" s="1"/>
      <c r="O60" s="1"/>
      <c r="P60" s="1"/>
      <c r="Q60" s="1"/>
      <c r="R60" s="1"/>
      <c r="S60" s="1"/>
      <c r="T60" s="1"/>
      <c r="U60" s="1"/>
      <c r="V60" s="1"/>
      <c r="W60" s="1"/>
      <c r="X60" s="1"/>
      <c r="Y60" s="1"/>
      <c r="Z60" s="1"/>
    </row>
    <row r="61" ht="10.5" customHeight="1">
      <c r="A61" s="1"/>
      <c r="B61" s="1"/>
      <c r="C61" s="612"/>
      <c r="D61" s="612"/>
      <c r="E61" s="612"/>
      <c r="F61" s="612"/>
      <c r="G61" s="612"/>
      <c r="H61" s="612"/>
      <c r="I61" s="1"/>
      <c r="J61" s="1"/>
      <c r="K61" s="1"/>
      <c r="L61" s="1"/>
      <c r="M61" s="1"/>
      <c r="N61" s="1"/>
      <c r="O61" s="1"/>
      <c r="P61" s="1"/>
      <c r="Q61" s="1"/>
      <c r="R61" s="1"/>
      <c r="S61" s="1"/>
      <c r="T61" s="1"/>
      <c r="U61" s="1"/>
      <c r="V61" s="1"/>
      <c r="W61" s="1"/>
      <c r="X61" s="1"/>
      <c r="Y61" s="1"/>
      <c r="Z61" s="1"/>
    </row>
    <row r="62" ht="10.5" customHeight="1">
      <c r="A62" s="1"/>
      <c r="B62" s="1"/>
      <c r="C62" s="612"/>
      <c r="D62" s="612"/>
      <c r="E62" s="612"/>
      <c r="F62" s="612"/>
      <c r="G62" s="612"/>
      <c r="H62" s="612"/>
      <c r="I62" s="1"/>
      <c r="J62" s="1"/>
      <c r="K62" s="1"/>
      <c r="L62" s="1"/>
      <c r="M62" s="1"/>
      <c r="N62" s="1"/>
      <c r="O62" s="1"/>
      <c r="P62" s="1"/>
      <c r="Q62" s="1"/>
      <c r="R62" s="1"/>
      <c r="S62" s="1"/>
      <c r="T62" s="1"/>
      <c r="U62" s="1"/>
      <c r="V62" s="1"/>
      <c r="W62" s="1"/>
      <c r="X62" s="1"/>
      <c r="Y62" s="1"/>
      <c r="Z62" s="1"/>
    </row>
    <row r="63" ht="10.5" customHeight="1">
      <c r="A63" s="1"/>
      <c r="B63" s="1"/>
      <c r="C63" s="612"/>
      <c r="D63" s="612"/>
      <c r="E63" s="612"/>
      <c r="F63" s="612"/>
      <c r="G63" s="612"/>
      <c r="H63" s="612"/>
      <c r="I63" s="1"/>
      <c r="J63" s="1"/>
      <c r="K63" s="1"/>
      <c r="L63" s="1"/>
      <c r="M63" s="1"/>
      <c r="N63" s="1"/>
      <c r="O63" s="1"/>
      <c r="P63" s="1"/>
      <c r="Q63" s="1"/>
      <c r="R63" s="1"/>
      <c r="S63" s="1"/>
      <c r="T63" s="1"/>
      <c r="U63" s="1"/>
      <c r="V63" s="1"/>
      <c r="W63" s="1"/>
      <c r="X63" s="1"/>
      <c r="Y63" s="1"/>
      <c r="Z63" s="1"/>
    </row>
    <row r="64" ht="10.5" customHeight="1">
      <c r="A64" s="1"/>
      <c r="B64" s="1"/>
      <c r="C64" s="612"/>
      <c r="D64" s="612"/>
      <c r="E64" s="612"/>
      <c r="F64" s="612"/>
      <c r="G64" s="612"/>
      <c r="H64" s="612"/>
      <c r="I64" s="1"/>
      <c r="J64" s="1"/>
      <c r="K64" s="1"/>
      <c r="L64" s="1"/>
      <c r="M64" s="1"/>
      <c r="N64" s="1"/>
      <c r="O64" s="1"/>
      <c r="P64" s="1"/>
      <c r="Q64" s="1"/>
      <c r="R64" s="1"/>
      <c r="S64" s="1"/>
      <c r="T64" s="1"/>
      <c r="U64" s="1"/>
      <c r="V64" s="1"/>
      <c r="W64" s="1"/>
      <c r="X64" s="1"/>
      <c r="Y64" s="1"/>
      <c r="Z64" s="1"/>
    </row>
    <row r="65" ht="10.5" customHeight="1">
      <c r="A65" s="1"/>
      <c r="B65" s="1"/>
      <c r="C65" s="612"/>
      <c r="D65" s="612"/>
      <c r="E65" s="612"/>
      <c r="F65" s="612"/>
      <c r="G65" s="612"/>
      <c r="H65" s="612"/>
      <c r="I65" s="1"/>
      <c r="J65" s="1"/>
      <c r="K65" s="1"/>
      <c r="L65" s="1"/>
      <c r="M65" s="1"/>
      <c r="N65" s="1"/>
      <c r="O65" s="1"/>
      <c r="P65" s="1"/>
      <c r="Q65" s="1"/>
      <c r="R65" s="1"/>
      <c r="S65" s="1"/>
      <c r="T65" s="1"/>
      <c r="U65" s="1"/>
      <c r="V65" s="1"/>
      <c r="W65" s="1"/>
      <c r="X65" s="1"/>
      <c r="Y65" s="1"/>
      <c r="Z65" s="1"/>
    </row>
    <row r="66" ht="10.5" customHeight="1">
      <c r="A66" s="1"/>
      <c r="B66" s="1"/>
      <c r="C66" s="612"/>
      <c r="D66" s="612"/>
      <c r="E66" s="612"/>
      <c r="F66" s="612"/>
      <c r="G66" s="612"/>
      <c r="H66" s="612"/>
      <c r="I66" s="1"/>
      <c r="J66" s="1"/>
      <c r="K66" s="1"/>
      <c r="L66" s="1"/>
      <c r="M66" s="1"/>
      <c r="N66" s="1"/>
      <c r="O66" s="1"/>
      <c r="P66" s="1"/>
      <c r="Q66" s="1"/>
      <c r="R66" s="1"/>
      <c r="S66" s="1"/>
      <c r="T66" s="1"/>
      <c r="U66" s="1"/>
      <c r="V66" s="1"/>
      <c r="W66" s="1"/>
      <c r="X66" s="1"/>
      <c r="Y66" s="1"/>
      <c r="Z66" s="1"/>
    </row>
    <row r="67" ht="10.5" customHeight="1">
      <c r="A67" s="1"/>
      <c r="B67" s="1"/>
      <c r="C67" s="612"/>
      <c r="D67" s="612"/>
      <c r="E67" s="612"/>
      <c r="F67" s="612"/>
      <c r="G67" s="612"/>
      <c r="H67" s="612"/>
      <c r="I67" s="1"/>
      <c r="J67" s="1"/>
      <c r="K67" s="1"/>
      <c r="L67" s="1"/>
      <c r="M67" s="1"/>
      <c r="N67" s="1"/>
      <c r="O67" s="1"/>
      <c r="P67" s="1"/>
      <c r="Q67" s="1"/>
      <c r="R67" s="1"/>
      <c r="S67" s="1"/>
      <c r="T67" s="1"/>
      <c r="U67" s="1"/>
      <c r="V67" s="1"/>
      <c r="W67" s="1"/>
      <c r="X67" s="1"/>
      <c r="Y67" s="1"/>
      <c r="Z67" s="1"/>
    </row>
    <row r="68" ht="10.5" customHeight="1">
      <c r="A68" s="1"/>
      <c r="B68" s="1"/>
      <c r="C68" s="612"/>
      <c r="D68" s="612"/>
      <c r="E68" s="612"/>
      <c r="F68" s="612"/>
      <c r="G68" s="612"/>
      <c r="H68" s="612"/>
      <c r="I68" s="1"/>
      <c r="J68" s="1"/>
      <c r="K68" s="1"/>
      <c r="L68" s="1"/>
      <c r="M68" s="1"/>
      <c r="N68" s="1"/>
      <c r="O68" s="1"/>
      <c r="P68" s="1"/>
      <c r="Q68" s="1"/>
      <c r="R68" s="1"/>
      <c r="S68" s="1"/>
      <c r="T68" s="1"/>
      <c r="U68" s="1"/>
      <c r="V68" s="1"/>
      <c r="W68" s="1"/>
      <c r="X68" s="1"/>
      <c r="Y68" s="1"/>
      <c r="Z68" s="1"/>
    </row>
    <row r="69" ht="10.5" customHeight="1">
      <c r="A69" s="1"/>
      <c r="B69" s="1"/>
      <c r="C69" s="612"/>
      <c r="D69" s="612"/>
      <c r="E69" s="612"/>
      <c r="F69" s="612"/>
      <c r="G69" s="612"/>
      <c r="H69" s="612"/>
      <c r="I69" s="1"/>
      <c r="J69" s="1"/>
      <c r="K69" s="1"/>
      <c r="L69" s="1"/>
      <c r="M69" s="1"/>
      <c r="N69" s="1"/>
      <c r="O69" s="1"/>
      <c r="P69" s="1"/>
      <c r="Q69" s="1"/>
      <c r="R69" s="1"/>
      <c r="S69" s="1"/>
      <c r="T69" s="1"/>
      <c r="U69" s="1"/>
      <c r="V69" s="1"/>
      <c r="W69" s="1"/>
      <c r="X69" s="1"/>
      <c r="Y69" s="1"/>
      <c r="Z69" s="1"/>
    </row>
    <row r="70" ht="10.5" customHeight="1">
      <c r="A70" s="1"/>
      <c r="B70" s="1"/>
      <c r="C70" s="612"/>
      <c r="D70" s="612"/>
      <c r="E70" s="612"/>
      <c r="F70" s="612"/>
      <c r="G70" s="612"/>
      <c r="H70" s="612"/>
      <c r="I70" s="1"/>
      <c r="J70" s="1"/>
      <c r="K70" s="1"/>
      <c r="L70" s="1"/>
      <c r="M70" s="1"/>
      <c r="N70" s="1"/>
      <c r="O70" s="1"/>
      <c r="P70" s="1"/>
      <c r="Q70" s="1"/>
      <c r="R70" s="1"/>
      <c r="S70" s="1"/>
      <c r="T70" s="1"/>
      <c r="U70" s="1"/>
      <c r="V70" s="1"/>
      <c r="W70" s="1"/>
      <c r="X70" s="1"/>
      <c r="Y70" s="1"/>
      <c r="Z70" s="1"/>
    </row>
    <row r="71" ht="10.5" customHeight="1">
      <c r="A71" s="1"/>
      <c r="B71" s="1"/>
      <c r="C71" s="612"/>
      <c r="D71" s="612"/>
      <c r="E71" s="612"/>
      <c r="F71" s="612"/>
      <c r="G71" s="612"/>
      <c r="H71" s="612"/>
      <c r="I71" s="1"/>
      <c r="J71" s="1"/>
      <c r="K71" s="1"/>
      <c r="L71" s="1"/>
      <c r="M71" s="1"/>
      <c r="N71" s="1"/>
      <c r="O71" s="1"/>
      <c r="P71" s="1"/>
      <c r="Q71" s="1"/>
      <c r="R71" s="1"/>
      <c r="S71" s="1"/>
      <c r="T71" s="1"/>
      <c r="U71" s="1"/>
      <c r="V71" s="1"/>
      <c r="W71" s="1"/>
      <c r="X71" s="1"/>
      <c r="Y71" s="1"/>
      <c r="Z71" s="1"/>
    </row>
    <row r="72" ht="10.5" customHeight="1">
      <c r="A72" s="1"/>
      <c r="B72" s="1"/>
      <c r="C72" s="612"/>
      <c r="D72" s="612"/>
      <c r="E72" s="612"/>
      <c r="F72" s="612"/>
      <c r="G72" s="612"/>
      <c r="H72" s="612"/>
      <c r="I72" s="1"/>
      <c r="J72" s="1"/>
      <c r="K72" s="1"/>
      <c r="L72" s="1"/>
      <c r="M72" s="1"/>
      <c r="N72" s="1"/>
      <c r="O72" s="1"/>
      <c r="P72" s="1"/>
      <c r="Q72" s="1"/>
      <c r="R72" s="1"/>
      <c r="S72" s="1"/>
      <c r="T72" s="1"/>
      <c r="U72" s="1"/>
      <c r="V72" s="1"/>
      <c r="W72" s="1"/>
      <c r="X72" s="1"/>
      <c r="Y72" s="1"/>
      <c r="Z72" s="1"/>
    </row>
    <row r="73" ht="10.5" customHeight="1">
      <c r="A73" s="1"/>
      <c r="B73" s="1"/>
      <c r="C73" s="612"/>
      <c r="D73" s="612"/>
      <c r="E73" s="612"/>
      <c r="F73" s="612"/>
      <c r="G73" s="612"/>
      <c r="H73" s="612"/>
      <c r="I73" s="1"/>
      <c r="J73" s="1"/>
      <c r="K73" s="1"/>
      <c r="L73" s="1"/>
      <c r="M73" s="1"/>
      <c r="N73" s="1"/>
      <c r="O73" s="1"/>
      <c r="P73" s="1"/>
      <c r="Q73" s="1"/>
      <c r="R73" s="1"/>
      <c r="S73" s="1"/>
      <c r="T73" s="1"/>
      <c r="U73" s="1"/>
      <c r="V73" s="1"/>
      <c r="W73" s="1"/>
      <c r="X73" s="1"/>
      <c r="Y73" s="1"/>
      <c r="Z73" s="1"/>
    </row>
    <row r="74" ht="10.5" customHeight="1">
      <c r="A74" s="1"/>
      <c r="B74" s="1"/>
      <c r="C74" s="612"/>
      <c r="D74" s="612"/>
      <c r="E74" s="612"/>
      <c r="F74" s="612"/>
      <c r="G74" s="612"/>
      <c r="H74" s="612"/>
      <c r="I74" s="1"/>
      <c r="J74" s="1"/>
      <c r="K74" s="1"/>
      <c r="L74" s="1"/>
      <c r="M74" s="1"/>
      <c r="N74" s="1"/>
      <c r="O74" s="1"/>
      <c r="P74" s="1"/>
      <c r="Q74" s="1"/>
      <c r="R74" s="1"/>
      <c r="S74" s="1"/>
      <c r="T74" s="1"/>
      <c r="U74" s="1"/>
      <c r="V74" s="1"/>
      <c r="W74" s="1"/>
      <c r="X74" s="1"/>
      <c r="Y74" s="1"/>
      <c r="Z74" s="1"/>
    </row>
    <row r="75" ht="10.5" customHeight="1">
      <c r="A75" s="1"/>
      <c r="B75" s="1"/>
      <c r="C75" s="612"/>
      <c r="D75" s="612"/>
      <c r="E75" s="612"/>
      <c r="F75" s="612"/>
      <c r="G75" s="612"/>
      <c r="H75" s="612"/>
      <c r="I75" s="1"/>
      <c r="J75" s="1"/>
      <c r="K75" s="1"/>
      <c r="L75" s="1"/>
      <c r="M75" s="1"/>
      <c r="N75" s="1"/>
      <c r="O75" s="1"/>
      <c r="P75" s="1"/>
      <c r="Q75" s="1"/>
      <c r="R75" s="1"/>
      <c r="S75" s="1"/>
      <c r="T75" s="1"/>
      <c r="U75" s="1"/>
      <c r="V75" s="1"/>
      <c r="W75" s="1"/>
      <c r="X75" s="1"/>
      <c r="Y75" s="1"/>
      <c r="Z75" s="1"/>
    </row>
    <row r="76" ht="10.5" customHeight="1">
      <c r="A76" s="1"/>
      <c r="B76" s="1"/>
      <c r="C76" s="612"/>
      <c r="D76" s="612"/>
      <c r="E76" s="612"/>
      <c r="F76" s="612"/>
      <c r="G76" s="612"/>
      <c r="H76" s="612"/>
      <c r="I76" s="1"/>
      <c r="J76" s="1"/>
      <c r="K76" s="1"/>
      <c r="L76" s="1"/>
      <c r="M76" s="1"/>
      <c r="N76" s="1"/>
      <c r="O76" s="1"/>
      <c r="P76" s="1"/>
      <c r="Q76" s="1"/>
      <c r="R76" s="1"/>
      <c r="S76" s="1"/>
      <c r="T76" s="1"/>
      <c r="U76" s="1"/>
      <c r="V76" s="1"/>
      <c r="W76" s="1"/>
      <c r="X76" s="1"/>
      <c r="Y76" s="1"/>
      <c r="Z76" s="1"/>
    </row>
    <row r="77" ht="10.5" customHeight="1">
      <c r="A77" s="1"/>
      <c r="B77" s="1"/>
      <c r="C77" s="612"/>
      <c r="D77" s="612"/>
      <c r="E77" s="612"/>
      <c r="F77" s="612"/>
      <c r="G77" s="612"/>
      <c r="H77" s="612"/>
      <c r="I77" s="1"/>
      <c r="J77" s="1"/>
      <c r="K77" s="1"/>
      <c r="L77" s="1"/>
      <c r="M77" s="1"/>
      <c r="N77" s="1"/>
      <c r="O77" s="1"/>
      <c r="P77" s="1"/>
      <c r="Q77" s="1"/>
      <c r="R77" s="1"/>
      <c r="S77" s="1"/>
      <c r="T77" s="1"/>
      <c r="U77" s="1"/>
      <c r="V77" s="1"/>
      <c r="W77" s="1"/>
      <c r="X77" s="1"/>
      <c r="Y77" s="1"/>
      <c r="Z77" s="1"/>
    </row>
    <row r="78" ht="10.5" customHeight="1">
      <c r="A78" s="1"/>
      <c r="B78" s="1"/>
      <c r="C78" s="612"/>
      <c r="D78" s="612"/>
      <c r="E78" s="612"/>
      <c r="F78" s="612"/>
      <c r="G78" s="612"/>
      <c r="H78" s="1056" t="s">
        <v>1746</v>
      </c>
      <c r="I78" s="1"/>
      <c r="J78" s="1"/>
      <c r="K78" s="1"/>
      <c r="L78" s="1"/>
      <c r="M78" s="1"/>
      <c r="N78" s="1"/>
      <c r="O78" s="1"/>
      <c r="P78" s="1"/>
      <c r="Q78" s="1"/>
      <c r="R78" s="1"/>
      <c r="S78" s="1"/>
      <c r="T78" s="1"/>
      <c r="U78" s="1"/>
      <c r="V78" s="1"/>
      <c r="W78" s="1"/>
      <c r="X78" s="1"/>
      <c r="Y78" s="1"/>
      <c r="Z78" s="1"/>
    </row>
    <row r="79" ht="10.5" customHeight="1">
      <c r="A79" s="1"/>
      <c r="B79" s="1"/>
      <c r="C79" s="612"/>
      <c r="D79" s="612"/>
      <c r="E79" s="612"/>
      <c r="F79" s="612"/>
      <c r="G79" s="612"/>
      <c r="H79" s="1056"/>
      <c r="I79" s="1"/>
      <c r="J79" s="1"/>
      <c r="K79" s="1"/>
      <c r="L79" s="1"/>
      <c r="M79" s="1"/>
      <c r="N79" s="1"/>
      <c r="O79" s="1"/>
      <c r="P79" s="1"/>
      <c r="Q79" s="1"/>
      <c r="R79" s="1"/>
      <c r="S79" s="1"/>
      <c r="T79" s="1"/>
      <c r="U79" s="1"/>
      <c r="V79" s="1"/>
      <c r="W79" s="1"/>
      <c r="X79" s="1"/>
      <c r="Y79" s="1"/>
      <c r="Z79" s="1"/>
    </row>
    <row r="80" ht="10.5" customHeight="1">
      <c r="A80" s="1"/>
      <c r="B80" s="1"/>
      <c r="C80" s="612"/>
      <c r="D80" s="612"/>
      <c r="E80" s="612"/>
      <c r="F80" s="612"/>
      <c r="G80" s="612"/>
      <c r="H80" s="612"/>
      <c r="I80" s="1"/>
      <c r="J80" s="1"/>
      <c r="K80" s="1"/>
      <c r="L80" s="1"/>
      <c r="M80" s="1"/>
      <c r="N80" s="1"/>
      <c r="O80" s="1"/>
      <c r="P80" s="1"/>
      <c r="Q80" s="1"/>
      <c r="R80" s="1"/>
      <c r="S80" s="1"/>
      <c r="T80" s="1"/>
      <c r="U80" s="1"/>
      <c r="V80" s="1"/>
      <c r="W80" s="1"/>
      <c r="X80" s="1"/>
      <c r="Y80" s="1"/>
      <c r="Z80" s="1"/>
    </row>
    <row r="81" ht="11.25" customHeight="1">
      <c r="A81" s="1"/>
      <c r="B81" s="1" t="s">
        <v>1747</v>
      </c>
      <c r="C81" s="612"/>
      <c r="D81" s="612"/>
      <c r="E81" s="612"/>
      <c r="F81" s="612"/>
      <c r="G81" s="612"/>
      <c r="H81" s="612"/>
      <c r="I81" s="1"/>
      <c r="J81" s="1"/>
      <c r="K81" s="1"/>
      <c r="L81" s="1"/>
      <c r="M81" s="1"/>
      <c r="N81" s="1"/>
      <c r="O81" s="1"/>
      <c r="P81" s="1"/>
      <c r="Q81" s="1"/>
      <c r="R81" s="1"/>
      <c r="S81" s="1"/>
      <c r="T81" s="1"/>
      <c r="U81" s="1"/>
      <c r="V81" s="1"/>
      <c r="W81" s="1"/>
      <c r="X81" s="1"/>
      <c r="Y81" s="1"/>
      <c r="Z81" s="1"/>
    </row>
    <row r="82" ht="25.5" customHeight="1">
      <c r="A82" s="1"/>
      <c r="B82" s="189" t="s">
        <v>1</v>
      </c>
      <c r="C82" s="1057" t="s">
        <v>295</v>
      </c>
      <c r="D82" s="1057" t="s">
        <v>363</v>
      </c>
      <c r="E82" s="1057" t="s">
        <v>728</v>
      </c>
      <c r="F82" s="1057" t="s">
        <v>2</v>
      </c>
      <c r="G82" s="1057" t="s">
        <v>1702</v>
      </c>
      <c r="H82" s="1057" t="s">
        <v>1703</v>
      </c>
      <c r="I82" s="1"/>
      <c r="J82" s="1"/>
      <c r="K82" s="1"/>
      <c r="L82" s="1"/>
      <c r="M82" s="1"/>
      <c r="N82" s="1"/>
      <c r="O82" s="1"/>
      <c r="P82" s="1"/>
      <c r="Q82" s="1"/>
      <c r="R82" s="1"/>
      <c r="S82" s="1"/>
      <c r="T82" s="1"/>
      <c r="U82" s="1"/>
      <c r="V82" s="1"/>
      <c r="W82" s="1"/>
      <c r="X82" s="1"/>
      <c r="Y82" s="1"/>
      <c r="Z82" s="1"/>
    </row>
    <row r="83" ht="11.25" customHeight="1">
      <c r="A83" s="1"/>
      <c r="B83" s="6"/>
      <c r="C83" s="1058" t="s">
        <v>54</v>
      </c>
      <c r="D83" s="9"/>
      <c r="E83" s="9"/>
      <c r="F83" s="9"/>
      <c r="G83" s="9"/>
      <c r="H83" s="10"/>
      <c r="I83" s="1"/>
      <c r="J83" s="1"/>
      <c r="K83" s="1"/>
      <c r="L83" s="1"/>
      <c r="M83" s="1"/>
      <c r="N83" s="1"/>
      <c r="O83" s="1"/>
      <c r="P83" s="1"/>
      <c r="Q83" s="1"/>
      <c r="R83" s="1"/>
      <c r="S83" s="1"/>
      <c r="T83" s="1"/>
      <c r="U83" s="1"/>
      <c r="V83" s="1"/>
      <c r="W83" s="1"/>
      <c r="X83" s="1"/>
      <c r="Y83" s="1"/>
      <c r="Z83" s="1"/>
    </row>
    <row r="84" ht="11.25" customHeight="1">
      <c r="A84" s="1"/>
      <c r="B84" s="1046" t="s">
        <v>1748</v>
      </c>
      <c r="C84" s="1059" t="s">
        <v>1749</v>
      </c>
      <c r="D84" s="1059" t="s">
        <v>1750</v>
      </c>
      <c r="E84" s="1059" t="s">
        <v>1751</v>
      </c>
      <c r="F84" s="1059">
        <v>100.0</v>
      </c>
      <c r="G84" s="1059">
        <v>95.6</v>
      </c>
      <c r="H84" s="1059">
        <v>4.4</v>
      </c>
      <c r="I84" s="1"/>
      <c r="J84" s="1"/>
      <c r="K84" s="1"/>
      <c r="L84" s="1"/>
      <c r="M84" s="1"/>
      <c r="N84" s="1"/>
      <c r="O84" s="1"/>
      <c r="P84" s="1"/>
      <c r="Q84" s="1"/>
      <c r="R84" s="1"/>
      <c r="S84" s="1"/>
      <c r="T84" s="1"/>
      <c r="U84" s="1"/>
      <c r="V84" s="1"/>
      <c r="W84" s="1"/>
      <c r="X84" s="1"/>
      <c r="Y84" s="1"/>
      <c r="Z84" s="1"/>
    </row>
    <row r="85" ht="10.5" customHeight="1">
      <c r="A85" s="1"/>
      <c r="B85" s="1060">
        <v>1975.0</v>
      </c>
      <c r="C85" s="1061">
        <v>84.0</v>
      </c>
      <c r="D85" s="1061">
        <v>41.9</v>
      </c>
      <c r="E85" s="1061">
        <v>40.7</v>
      </c>
      <c r="F85" s="1061">
        <v>51.8</v>
      </c>
      <c r="G85" s="1061">
        <v>48.2</v>
      </c>
      <c r="H85" s="1061">
        <v>181.8</v>
      </c>
      <c r="I85" s="1"/>
      <c r="J85" s="1"/>
      <c r="K85" s="1"/>
      <c r="L85" s="1"/>
      <c r="M85" s="1"/>
      <c r="N85" s="1"/>
      <c r="O85" s="1"/>
      <c r="P85" s="1"/>
      <c r="Q85" s="1"/>
      <c r="R85" s="1"/>
      <c r="S85" s="1"/>
      <c r="T85" s="1"/>
      <c r="U85" s="1"/>
      <c r="V85" s="1"/>
      <c r="W85" s="1"/>
      <c r="X85" s="1"/>
      <c r="Y85" s="1"/>
      <c r="Z85" s="1"/>
    </row>
    <row r="86" ht="10.5" customHeight="1">
      <c r="A86" s="1"/>
      <c r="B86" s="1060">
        <v>1976.0</v>
      </c>
      <c r="C86" s="1061">
        <v>79.4</v>
      </c>
      <c r="D86" s="1061">
        <v>44.4</v>
      </c>
      <c r="E86" s="1061">
        <v>42.5</v>
      </c>
      <c r="F86" s="1061">
        <v>52.4</v>
      </c>
      <c r="G86" s="1061">
        <v>48.2</v>
      </c>
      <c r="H86" s="1061">
        <v>155.2</v>
      </c>
      <c r="I86" s="1"/>
      <c r="J86" s="1"/>
      <c r="K86" s="1"/>
      <c r="L86" s="1"/>
      <c r="M86" s="1"/>
      <c r="N86" s="1"/>
      <c r="O86" s="1"/>
      <c r="P86" s="1"/>
      <c r="Q86" s="1"/>
      <c r="R86" s="1"/>
      <c r="S86" s="1"/>
      <c r="T86" s="1"/>
      <c r="U86" s="1"/>
      <c r="V86" s="1"/>
      <c r="W86" s="1"/>
      <c r="X86" s="1"/>
      <c r="Y86" s="1"/>
      <c r="Z86" s="1"/>
    </row>
    <row r="87" ht="10.5" customHeight="1">
      <c r="A87" s="1"/>
      <c r="B87" s="1060">
        <v>1977.0</v>
      </c>
      <c r="C87" s="1061">
        <v>93.8</v>
      </c>
      <c r="D87" s="1061">
        <v>41.1</v>
      </c>
      <c r="E87" s="1061">
        <v>44.9</v>
      </c>
      <c r="F87" s="1061">
        <v>56.4</v>
      </c>
      <c r="G87" s="1061">
        <v>52.7</v>
      </c>
      <c r="H87" s="1061">
        <v>190.0</v>
      </c>
      <c r="I87" s="1"/>
      <c r="J87" s="1"/>
      <c r="K87" s="1"/>
      <c r="L87" s="1"/>
      <c r="M87" s="1"/>
      <c r="N87" s="1"/>
      <c r="O87" s="1"/>
      <c r="P87" s="1"/>
      <c r="Q87" s="1"/>
      <c r="R87" s="1"/>
      <c r="S87" s="1"/>
      <c r="T87" s="1"/>
      <c r="U87" s="1"/>
      <c r="V87" s="1"/>
      <c r="W87" s="1"/>
      <c r="X87" s="1"/>
      <c r="Y87" s="1"/>
      <c r="Z87" s="1"/>
    </row>
    <row r="88" ht="10.5" customHeight="1">
      <c r="A88" s="1"/>
      <c r="B88" s="1060">
        <v>1978.0</v>
      </c>
      <c r="C88" s="1061">
        <v>98.2</v>
      </c>
      <c r="D88" s="1061">
        <v>45.2</v>
      </c>
      <c r="E88" s="1061">
        <v>46.8</v>
      </c>
      <c r="F88" s="1061">
        <v>59.2</v>
      </c>
      <c r="G88" s="1061">
        <v>55.3</v>
      </c>
      <c r="H88" s="1061">
        <v>206.3</v>
      </c>
      <c r="I88" s="1"/>
      <c r="J88" s="1"/>
      <c r="K88" s="1"/>
      <c r="L88" s="1"/>
      <c r="M88" s="1"/>
      <c r="N88" s="1"/>
      <c r="O88" s="1"/>
      <c r="P88" s="1"/>
      <c r="Q88" s="1"/>
      <c r="R88" s="1"/>
      <c r="S88" s="1"/>
      <c r="T88" s="1"/>
      <c r="U88" s="1"/>
      <c r="V88" s="1"/>
      <c r="W88" s="1"/>
      <c r="X88" s="1"/>
      <c r="Y88" s="1"/>
      <c r="Z88" s="1"/>
    </row>
    <row r="89" ht="10.5" customHeight="1">
      <c r="A89" s="1"/>
      <c r="B89" s="1060">
        <v>1979.0</v>
      </c>
      <c r="C89" s="1061">
        <v>88.3</v>
      </c>
      <c r="D89" s="1061">
        <v>45.9</v>
      </c>
      <c r="E89" s="1061">
        <v>49.8</v>
      </c>
      <c r="F89" s="1061">
        <v>58.5</v>
      </c>
      <c r="G89" s="1061">
        <v>52.7</v>
      </c>
      <c r="H89" s="1061">
        <v>228.9</v>
      </c>
      <c r="I89" s="1"/>
      <c r="J89" s="1"/>
      <c r="K89" s="1"/>
      <c r="L89" s="1"/>
      <c r="M89" s="1"/>
      <c r="N89" s="1"/>
      <c r="O89" s="1"/>
      <c r="P89" s="1"/>
      <c r="Q89" s="1"/>
      <c r="R89" s="1"/>
      <c r="S89" s="1"/>
      <c r="T89" s="1"/>
      <c r="U89" s="1"/>
      <c r="V89" s="1"/>
      <c r="W89" s="1"/>
      <c r="X89" s="1"/>
      <c r="Y89" s="1"/>
      <c r="Z89" s="1"/>
    </row>
    <row r="90" ht="10.5" customHeight="1">
      <c r="A90" s="1"/>
      <c r="B90" s="238"/>
      <c r="C90" s="364"/>
      <c r="D90" s="364"/>
      <c r="E90" s="364"/>
      <c r="F90" s="364"/>
      <c r="G90" s="364"/>
      <c r="H90" s="364"/>
      <c r="I90" s="1"/>
      <c r="J90" s="1"/>
      <c r="K90" s="1"/>
      <c r="L90" s="1"/>
      <c r="M90" s="1"/>
      <c r="N90" s="1"/>
      <c r="O90" s="1"/>
      <c r="P90" s="1"/>
      <c r="Q90" s="1"/>
      <c r="R90" s="1"/>
      <c r="S90" s="1"/>
      <c r="T90" s="1"/>
      <c r="U90" s="1"/>
      <c r="V90" s="1"/>
      <c r="W90" s="1"/>
      <c r="X90" s="1"/>
      <c r="Y90" s="1"/>
      <c r="Z90" s="1"/>
    </row>
    <row r="91" ht="10.5" customHeight="1">
      <c r="A91" s="1"/>
      <c r="B91" s="1060">
        <v>1980.0</v>
      </c>
      <c r="C91" s="1061">
        <v>95.5</v>
      </c>
      <c r="D91" s="1061">
        <v>51.2</v>
      </c>
      <c r="E91" s="1061">
        <v>49.8</v>
      </c>
      <c r="F91" s="1061">
        <v>62.0</v>
      </c>
      <c r="G91" s="1061">
        <v>57.1</v>
      </c>
      <c r="H91" s="1061">
        <v>220.7</v>
      </c>
      <c r="I91" s="1"/>
      <c r="J91" s="1"/>
      <c r="K91" s="1"/>
      <c r="L91" s="1"/>
      <c r="M91" s="1"/>
      <c r="N91" s="1"/>
      <c r="O91" s="1"/>
      <c r="P91" s="1"/>
      <c r="Q91" s="1"/>
      <c r="R91" s="1"/>
      <c r="S91" s="1"/>
      <c r="T91" s="1"/>
      <c r="U91" s="1"/>
      <c r="V91" s="1"/>
      <c r="W91" s="1"/>
      <c r="X91" s="1"/>
      <c r="Y91" s="1"/>
      <c r="Z91" s="1"/>
    </row>
    <row r="92" ht="10.5" customHeight="1">
      <c r="A92" s="1"/>
      <c r="B92" s="1060">
        <v>1981.0</v>
      </c>
      <c r="C92" s="1061">
        <v>121.7</v>
      </c>
      <c r="D92" s="1061">
        <v>52.0</v>
      </c>
      <c r="E92" s="1061">
        <v>47.4</v>
      </c>
      <c r="F92" s="1061">
        <v>68.2</v>
      </c>
      <c r="G92" s="1061">
        <v>63.5</v>
      </c>
      <c r="H92" s="1061">
        <v>212.6</v>
      </c>
      <c r="I92" s="1"/>
      <c r="J92" s="1"/>
      <c r="K92" s="1"/>
      <c r="L92" s="1"/>
      <c r="M92" s="1"/>
      <c r="N92" s="1"/>
      <c r="O92" s="1"/>
      <c r="P92" s="1"/>
      <c r="Q92" s="1"/>
      <c r="R92" s="1"/>
      <c r="S92" s="1"/>
      <c r="T92" s="1"/>
      <c r="U92" s="1"/>
      <c r="V92" s="1"/>
      <c r="W92" s="1"/>
      <c r="X92" s="1"/>
      <c r="Y92" s="1"/>
      <c r="Z92" s="1"/>
    </row>
    <row r="93" ht="10.5" customHeight="1">
      <c r="A93" s="1"/>
      <c r="B93" s="1060">
        <v>1982.0</v>
      </c>
      <c r="C93" s="1061">
        <v>92.8</v>
      </c>
      <c r="D93" s="1061">
        <v>57.3</v>
      </c>
      <c r="E93" s="1061">
        <v>52.8</v>
      </c>
      <c r="F93" s="1061">
        <v>63.4</v>
      </c>
      <c r="G93" s="1061">
        <v>57.1</v>
      </c>
      <c r="H93" s="1061">
        <v>216.6</v>
      </c>
      <c r="I93" s="1"/>
      <c r="J93" s="1"/>
      <c r="K93" s="1"/>
      <c r="L93" s="1"/>
      <c r="M93" s="1"/>
      <c r="N93" s="1"/>
      <c r="O93" s="1"/>
      <c r="P93" s="1"/>
      <c r="Q93" s="1"/>
      <c r="R93" s="1"/>
      <c r="S93" s="1"/>
      <c r="T93" s="1"/>
      <c r="U93" s="1"/>
      <c r="V93" s="1"/>
      <c r="W93" s="1"/>
      <c r="X93" s="1"/>
      <c r="Y93" s="1"/>
      <c r="Z93" s="1"/>
    </row>
    <row r="94" ht="10.5" customHeight="1">
      <c r="A94" s="1"/>
      <c r="B94" s="1060">
        <v>1983.0</v>
      </c>
      <c r="C94" s="1061">
        <v>62.3</v>
      </c>
      <c r="D94" s="1061">
        <v>52.0</v>
      </c>
      <c r="E94" s="1061">
        <v>55.9</v>
      </c>
      <c r="F94" s="1061">
        <v>55.2</v>
      </c>
      <c r="G94" s="1061">
        <v>48.8</v>
      </c>
      <c r="H94" s="1061">
        <v>216.6</v>
      </c>
      <c r="I94" s="1"/>
      <c r="J94" s="1"/>
      <c r="K94" s="1"/>
      <c r="L94" s="1"/>
      <c r="M94" s="1"/>
      <c r="N94" s="1"/>
      <c r="O94" s="1"/>
      <c r="P94" s="1"/>
      <c r="Q94" s="1"/>
      <c r="R94" s="1"/>
      <c r="S94" s="1"/>
      <c r="T94" s="1"/>
      <c r="U94" s="1"/>
      <c r="V94" s="1"/>
      <c r="W94" s="1"/>
      <c r="X94" s="1"/>
      <c r="Y94" s="1"/>
      <c r="Z94" s="1"/>
    </row>
    <row r="95" ht="10.5" customHeight="1">
      <c r="A95" s="1"/>
      <c r="B95" s="1060">
        <v>1984.0</v>
      </c>
      <c r="C95" s="1061">
        <v>74.8</v>
      </c>
      <c r="D95" s="1061">
        <v>56.6</v>
      </c>
      <c r="E95" s="1061">
        <v>56.5</v>
      </c>
      <c r="F95" s="1061">
        <v>59.9</v>
      </c>
      <c r="G95" s="1061">
        <v>52.7</v>
      </c>
      <c r="H95" s="1061">
        <v>216.6</v>
      </c>
      <c r="I95" s="1"/>
      <c r="J95" s="1"/>
      <c r="K95" s="1"/>
      <c r="L95" s="1"/>
      <c r="M95" s="1"/>
      <c r="N95" s="1"/>
      <c r="O95" s="1"/>
      <c r="P95" s="1"/>
      <c r="Q95" s="1"/>
      <c r="R95" s="1"/>
      <c r="S95" s="1"/>
      <c r="T95" s="1"/>
      <c r="U95" s="1"/>
      <c r="V95" s="1"/>
      <c r="W95" s="1"/>
      <c r="X95" s="1"/>
      <c r="Y95" s="1"/>
      <c r="Z95" s="1"/>
    </row>
    <row r="96" ht="10.5" customHeight="1">
      <c r="A96" s="1"/>
      <c r="B96" s="238"/>
      <c r="C96" s="364"/>
      <c r="D96" s="364"/>
      <c r="E96" s="364"/>
      <c r="F96" s="364"/>
      <c r="G96" s="364"/>
      <c r="H96" s="364"/>
      <c r="I96" s="1"/>
      <c r="J96" s="1"/>
      <c r="K96" s="1"/>
      <c r="L96" s="1"/>
      <c r="M96" s="1"/>
      <c r="N96" s="1"/>
      <c r="O96" s="1"/>
      <c r="P96" s="1"/>
      <c r="Q96" s="1"/>
      <c r="R96" s="1"/>
      <c r="S96" s="1"/>
      <c r="T96" s="1"/>
      <c r="U96" s="1"/>
      <c r="V96" s="1"/>
      <c r="W96" s="1"/>
      <c r="X96" s="1"/>
      <c r="Y96" s="1"/>
      <c r="Z96" s="1"/>
    </row>
    <row r="97" ht="10.5" customHeight="1">
      <c r="A97" s="1"/>
      <c r="B97" s="1062">
        <v>1985.0</v>
      </c>
      <c r="C97" s="1050">
        <v>89.3</v>
      </c>
      <c r="D97" s="1050">
        <v>56.6</v>
      </c>
      <c r="E97" s="1050">
        <v>54.6</v>
      </c>
      <c r="F97" s="1050">
        <v>63.4</v>
      </c>
      <c r="G97" s="1050">
        <v>57.8</v>
      </c>
      <c r="H97" s="1050">
        <v>214.5</v>
      </c>
      <c r="I97" s="1"/>
      <c r="J97" s="1"/>
      <c r="K97" s="1"/>
      <c r="L97" s="1"/>
      <c r="M97" s="1"/>
      <c r="N97" s="1"/>
      <c r="O97" s="1"/>
      <c r="P97" s="1"/>
      <c r="Q97" s="1"/>
      <c r="R97" s="1"/>
      <c r="S97" s="1"/>
      <c r="T97" s="1"/>
      <c r="U97" s="1"/>
      <c r="V97" s="1"/>
      <c r="W97" s="1"/>
      <c r="X97" s="1"/>
      <c r="Y97" s="1"/>
      <c r="Z97" s="1"/>
    </row>
    <row r="98" ht="10.5" customHeight="1">
      <c r="A98" s="1"/>
      <c r="B98" s="1062">
        <v>1986.0</v>
      </c>
      <c r="C98" s="1050">
        <v>91.1</v>
      </c>
      <c r="D98" s="1050">
        <v>55.3</v>
      </c>
      <c r="E98" s="1050">
        <v>52.8</v>
      </c>
      <c r="F98" s="1050">
        <v>62.6</v>
      </c>
      <c r="G98" s="1050">
        <v>56.5</v>
      </c>
      <c r="H98" s="1050">
        <v>208.3</v>
      </c>
      <c r="I98" s="1"/>
      <c r="J98" s="1"/>
      <c r="K98" s="1"/>
      <c r="L98" s="1"/>
      <c r="M98" s="1"/>
      <c r="N98" s="1"/>
      <c r="O98" s="1"/>
      <c r="P98" s="1"/>
      <c r="Q98" s="1"/>
      <c r="R98" s="1"/>
      <c r="S98" s="1"/>
      <c r="T98" s="1"/>
      <c r="U98" s="1"/>
      <c r="V98" s="1"/>
      <c r="W98" s="1"/>
      <c r="X98" s="1"/>
      <c r="Y98" s="1"/>
      <c r="Z98" s="1"/>
    </row>
    <row r="99" ht="10.5" customHeight="1">
      <c r="A99" s="1"/>
      <c r="B99" s="1062">
        <v>1987.0</v>
      </c>
      <c r="C99" s="1050">
        <v>94.7</v>
      </c>
      <c r="D99" s="1050">
        <v>60.7</v>
      </c>
      <c r="E99" s="1050">
        <v>54.0</v>
      </c>
      <c r="F99" s="1050">
        <v>64.7</v>
      </c>
      <c r="G99" s="1050">
        <v>60.4</v>
      </c>
      <c r="H99" s="1050">
        <v>200.2</v>
      </c>
      <c r="I99" s="1"/>
      <c r="J99" s="1"/>
      <c r="K99" s="1"/>
      <c r="L99" s="1"/>
      <c r="M99" s="1"/>
      <c r="N99" s="1"/>
      <c r="O99" s="1"/>
      <c r="P99" s="1"/>
      <c r="Q99" s="1"/>
      <c r="R99" s="1"/>
      <c r="S99" s="1"/>
      <c r="T99" s="1"/>
      <c r="U99" s="1"/>
      <c r="V99" s="1"/>
      <c r="W99" s="1"/>
      <c r="X99" s="1"/>
      <c r="Y99" s="1"/>
      <c r="Z99" s="1"/>
    </row>
    <row r="100" ht="10.5" customHeight="1">
      <c r="A100" s="1"/>
      <c r="B100" s="1062">
        <v>1988.0</v>
      </c>
      <c r="C100" s="1050">
        <v>99.2</v>
      </c>
      <c r="D100" s="1050">
        <v>64.1</v>
      </c>
      <c r="E100" s="1050">
        <v>55.3</v>
      </c>
      <c r="F100" s="1050">
        <v>67.5</v>
      </c>
      <c r="G100" s="1050">
        <v>62.8</v>
      </c>
      <c r="H100" s="1050">
        <v>212.6</v>
      </c>
      <c r="I100" s="1"/>
      <c r="J100" s="1"/>
      <c r="K100" s="1"/>
      <c r="L100" s="1"/>
      <c r="M100" s="1"/>
      <c r="N100" s="1"/>
      <c r="O100" s="1"/>
      <c r="P100" s="1"/>
      <c r="Q100" s="1"/>
      <c r="R100" s="1"/>
      <c r="S100" s="1"/>
      <c r="T100" s="1"/>
      <c r="U100" s="1"/>
      <c r="V100" s="1"/>
      <c r="W100" s="1"/>
      <c r="X100" s="1"/>
      <c r="Y100" s="1"/>
      <c r="Z100" s="1"/>
    </row>
    <row r="101" ht="10.5" customHeight="1">
      <c r="A101" s="1"/>
      <c r="B101" s="1062">
        <v>1989.0</v>
      </c>
      <c r="C101" s="1050">
        <v>107.4</v>
      </c>
      <c r="D101" s="1050">
        <v>68.8</v>
      </c>
      <c r="E101" s="1050">
        <v>57.7</v>
      </c>
      <c r="F101" s="1050">
        <v>72.1</v>
      </c>
      <c r="G101" s="1050">
        <v>67.3</v>
      </c>
      <c r="H101" s="1050">
        <v>212.6</v>
      </c>
      <c r="I101" s="1"/>
      <c r="J101" s="1"/>
      <c r="K101" s="1"/>
      <c r="L101" s="1"/>
      <c r="M101" s="1"/>
      <c r="N101" s="1"/>
      <c r="O101" s="1"/>
      <c r="P101" s="1"/>
      <c r="Q101" s="1"/>
      <c r="R101" s="1"/>
      <c r="S101" s="1"/>
      <c r="T101" s="1"/>
      <c r="U101" s="1"/>
      <c r="V101" s="1"/>
      <c r="W101" s="1"/>
      <c r="X101" s="1"/>
      <c r="Y101" s="1"/>
      <c r="Z101" s="1"/>
    </row>
    <row r="102" ht="10.5" customHeight="1">
      <c r="A102" s="1"/>
      <c r="B102" s="129"/>
      <c r="C102" s="1063"/>
      <c r="D102" s="1063"/>
      <c r="E102" s="1063"/>
      <c r="F102" s="1063"/>
      <c r="G102" s="1063"/>
      <c r="H102" s="1063"/>
      <c r="I102" s="1"/>
      <c r="J102" s="1"/>
      <c r="K102" s="1"/>
      <c r="L102" s="1"/>
      <c r="M102" s="1"/>
      <c r="N102" s="1"/>
      <c r="O102" s="1"/>
      <c r="P102" s="1"/>
      <c r="Q102" s="1"/>
      <c r="R102" s="1"/>
      <c r="S102" s="1"/>
      <c r="T102" s="1"/>
      <c r="U102" s="1"/>
      <c r="V102" s="1"/>
      <c r="W102" s="1"/>
      <c r="X102" s="1"/>
      <c r="Y102" s="1"/>
      <c r="Z102" s="1"/>
    </row>
    <row r="103" ht="10.5" customHeight="1">
      <c r="A103" s="1"/>
      <c r="B103" s="1062">
        <v>1990.0</v>
      </c>
      <c r="C103" s="1050">
        <v>90.2</v>
      </c>
      <c r="D103" s="1050">
        <v>67.5</v>
      </c>
      <c r="E103" s="1050">
        <v>60.7</v>
      </c>
      <c r="F103" s="1050">
        <v>68.2</v>
      </c>
      <c r="G103" s="1050">
        <v>63.5</v>
      </c>
      <c r="H103" s="1050">
        <v>204.4</v>
      </c>
      <c r="I103" s="1"/>
      <c r="J103" s="1"/>
      <c r="K103" s="1"/>
      <c r="L103" s="1"/>
      <c r="M103" s="1"/>
      <c r="N103" s="1"/>
      <c r="O103" s="1"/>
      <c r="P103" s="1"/>
      <c r="Q103" s="1"/>
      <c r="R103" s="1"/>
      <c r="S103" s="1"/>
      <c r="T103" s="1"/>
      <c r="U103" s="1"/>
      <c r="V103" s="1"/>
      <c r="W103" s="1"/>
      <c r="X103" s="1"/>
      <c r="Y103" s="1"/>
      <c r="Z103" s="1"/>
    </row>
    <row r="104" ht="10.5" customHeight="1">
      <c r="A104" s="1"/>
      <c r="B104" s="1062">
        <v>1991.0</v>
      </c>
      <c r="C104" s="1050">
        <v>91.2</v>
      </c>
      <c r="D104" s="1050">
        <v>69.8</v>
      </c>
      <c r="E104" s="1050">
        <v>62.6</v>
      </c>
      <c r="F104" s="1050">
        <v>69.9</v>
      </c>
      <c r="G104" s="1050">
        <v>65.2</v>
      </c>
      <c r="H104" s="1050">
        <v>181.4</v>
      </c>
      <c r="I104" s="1"/>
      <c r="J104" s="1"/>
      <c r="K104" s="1"/>
      <c r="L104" s="1"/>
      <c r="M104" s="1"/>
      <c r="N104" s="1"/>
      <c r="O104" s="1"/>
      <c r="P104" s="1"/>
      <c r="Q104" s="1"/>
      <c r="R104" s="1"/>
      <c r="S104" s="1"/>
      <c r="T104" s="1"/>
      <c r="U104" s="1"/>
      <c r="V104" s="1"/>
      <c r="W104" s="1"/>
      <c r="X104" s="1"/>
      <c r="Y104" s="1"/>
      <c r="Z104" s="1"/>
    </row>
    <row r="105" ht="10.5" customHeight="1">
      <c r="A105" s="1"/>
      <c r="B105" s="1062">
        <v>1992.0</v>
      </c>
      <c r="C105" s="1050">
        <v>52.8</v>
      </c>
      <c r="D105" s="1050">
        <v>66.2</v>
      </c>
      <c r="E105" s="1050">
        <v>62.0</v>
      </c>
      <c r="F105" s="1050">
        <v>60.0</v>
      </c>
      <c r="G105" s="1050">
        <v>54.8</v>
      </c>
      <c r="H105" s="1050">
        <v>163.1</v>
      </c>
      <c r="I105" s="1"/>
      <c r="J105" s="1"/>
      <c r="K105" s="1"/>
      <c r="L105" s="1"/>
      <c r="M105" s="1"/>
      <c r="N105" s="1"/>
      <c r="O105" s="1"/>
      <c r="P105" s="1"/>
      <c r="Q105" s="1"/>
      <c r="R105" s="1"/>
      <c r="S105" s="1"/>
      <c r="T105" s="1"/>
      <c r="U105" s="1"/>
      <c r="V105" s="1"/>
      <c r="W105" s="1"/>
      <c r="X105" s="1"/>
      <c r="Y105" s="1"/>
      <c r="Z105" s="1"/>
    </row>
    <row r="106" ht="10.5" customHeight="1">
      <c r="A106" s="1"/>
      <c r="B106" s="1062">
        <v>1993.0</v>
      </c>
      <c r="C106" s="1050">
        <v>85.5</v>
      </c>
      <c r="D106" s="1050">
        <v>66.6</v>
      </c>
      <c r="E106" s="1050">
        <v>60.3</v>
      </c>
      <c r="F106" s="1050">
        <v>66.6</v>
      </c>
      <c r="G106" s="1050">
        <v>62.9</v>
      </c>
      <c r="H106" s="1050">
        <v>147.0</v>
      </c>
      <c r="I106" s="1"/>
      <c r="J106" s="1"/>
      <c r="K106" s="1"/>
      <c r="L106" s="1"/>
      <c r="M106" s="1"/>
      <c r="N106" s="1"/>
      <c r="O106" s="1"/>
      <c r="P106" s="1"/>
      <c r="Q106" s="1"/>
      <c r="R106" s="1"/>
      <c r="S106" s="1"/>
      <c r="T106" s="1"/>
      <c r="U106" s="1"/>
      <c r="V106" s="1"/>
      <c r="W106" s="1"/>
      <c r="X106" s="1"/>
      <c r="Y106" s="1"/>
      <c r="Z106" s="1"/>
    </row>
    <row r="107" ht="10.5" customHeight="1">
      <c r="A107" s="1"/>
      <c r="B107" s="1062">
        <v>1994.0</v>
      </c>
      <c r="C107" s="1050">
        <v>98.8</v>
      </c>
      <c r="D107" s="1050">
        <v>66.6</v>
      </c>
      <c r="E107" s="1050">
        <v>57.9</v>
      </c>
      <c r="F107" s="1050">
        <v>68.5</v>
      </c>
      <c r="G107" s="1050">
        <v>65.6</v>
      </c>
      <c r="H107" s="1050">
        <v>147.0</v>
      </c>
      <c r="I107" s="1"/>
      <c r="J107" s="1"/>
      <c r="K107" s="1"/>
      <c r="L107" s="1"/>
      <c r="M107" s="1"/>
      <c r="N107" s="1"/>
      <c r="O107" s="1"/>
      <c r="P107" s="1"/>
      <c r="Q107" s="1"/>
      <c r="R107" s="1"/>
      <c r="S107" s="1"/>
      <c r="T107" s="1"/>
      <c r="U107" s="1"/>
      <c r="V107" s="1"/>
      <c r="W107" s="1"/>
      <c r="X107" s="1"/>
      <c r="Y107" s="1"/>
      <c r="Z107" s="1"/>
    </row>
    <row r="108" ht="10.5" customHeight="1">
      <c r="A108" s="1"/>
      <c r="B108" s="129"/>
      <c r="C108" s="1063"/>
      <c r="D108" s="1063"/>
      <c r="E108" s="1063"/>
      <c r="F108" s="1063"/>
      <c r="G108" s="1063"/>
      <c r="H108" s="1063"/>
      <c r="I108" s="1"/>
      <c r="J108" s="1"/>
      <c r="K108" s="1"/>
      <c r="L108" s="1"/>
      <c r="M108" s="1"/>
      <c r="N108" s="1"/>
      <c r="O108" s="1"/>
      <c r="P108" s="1"/>
      <c r="Q108" s="1"/>
      <c r="R108" s="1"/>
      <c r="S108" s="1"/>
      <c r="T108" s="1"/>
      <c r="U108" s="1"/>
      <c r="V108" s="1"/>
      <c r="W108" s="1"/>
      <c r="X108" s="1"/>
      <c r="Y108" s="1"/>
      <c r="Z108" s="1"/>
    </row>
    <row r="109" ht="10.5" customHeight="1">
      <c r="A109" s="1"/>
      <c r="B109" s="1062">
        <v>1995.0</v>
      </c>
      <c r="C109" s="1050">
        <v>68.0</v>
      </c>
      <c r="D109" s="1050">
        <v>69.7</v>
      </c>
      <c r="E109" s="1050">
        <v>60.2</v>
      </c>
      <c r="F109" s="1050">
        <v>63.3</v>
      </c>
      <c r="G109" s="1050">
        <v>60.4</v>
      </c>
      <c r="H109" s="1050">
        <v>103.3</v>
      </c>
      <c r="I109" s="1"/>
      <c r="J109" s="1"/>
      <c r="K109" s="1"/>
      <c r="L109" s="1"/>
      <c r="M109" s="1"/>
      <c r="N109" s="1"/>
      <c r="O109" s="1"/>
      <c r="P109" s="1"/>
      <c r="Q109" s="1"/>
      <c r="R109" s="1"/>
      <c r="S109" s="1"/>
      <c r="T109" s="1"/>
      <c r="U109" s="1"/>
      <c r="V109" s="1"/>
      <c r="W109" s="1"/>
      <c r="X109" s="1"/>
      <c r="Y109" s="1"/>
      <c r="Z109" s="1"/>
    </row>
    <row r="110" ht="10.5" customHeight="1">
      <c r="A110" s="1"/>
      <c r="B110" s="1062">
        <v>1996.0</v>
      </c>
      <c r="C110" s="1050">
        <v>103.8</v>
      </c>
      <c r="D110" s="1050">
        <v>74.4</v>
      </c>
      <c r="E110" s="1050">
        <v>63.2</v>
      </c>
      <c r="F110" s="1050">
        <v>75.8</v>
      </c>
      <c r="G110" s="1050">
        <v>73.4</v>
      </c>
      <c r="H110" s="1050">
        <v>117.2</v>
      </c>
      <c r="I110" s="1"/>
      <c r="J110" s="1"/>
      <c r="K110" s="1"/>
      <c r="L110" s="1"/>
      <c r="M110" s="1"/>
      <c r="N110" s="1"/>
      <c r="O110" s="1"/>
      <c r="P110" s="1"/>
      <c r="Q110" s="1"/>
      <c r="R110" s="1"/>
      <c r="S110" s="1"/>
      <c r="T110" s="1"/>
      <c r="U110" s="1"/>
      <c r="V110" s="1"/>
      <c r="W110" s="1"/>
      <c r="X110" s="1"/>
      <c r="Y110" s="1"/>
      <c r="Z110" s="1"/>
    </row>
    <row r="111" ht="10.5" customHeight="1">
      <c r="A111" s="1"/>
      <c r="B111" s="1062">
        <v>1997.0</v>
      </c>
      <c r="C111" s="1050">
        <v>99.9</v>
      </c>
      <c r="D111" s="1050">
        <v>78.1</v>
      </c>
      <c r="E111" s="1050">
        <v>62.3</v>
      </c>
      <c r="F111" s="1050">
        <v>75.0</v>
      </c>
      <c r="G111" s="1050">
        <v>72.4</v>
      </c>
      <c r="H111" s="1050">
        <v>114.9</v>
      </c>
      <c r="I111" s="1"/>
      <c r="J111" s="1"/>
      <c r="K111" s="1"/>
      <c r="L111" s="1"/>
      <c r="M111" s="1"/>
      <c r="N111" s="1"/>
      <c r="O111" s="1"/>
      <c r="P111" s="1"/>
      <c r="Q111" s="1"/>
      <c r="R111" s="1"/>
      <c r="S111" s="1"/>
      <c r="T111" s="1"/>
      <c r="U111" s="1"/>
      <c r="V111" s="1"/>
      <c r="W111" s="1"/>
      <c r="X111" s="1"/>
      <c r="Y111" s="1"/>
      <c r="Z111" s="1"/>
    </row>
    <row r="112" ht="10.5" customHeight="1">
      <c r="A112" s="1"/>
      <c r="B112" s="1062">
        <v>1998.0</v>
      </c>
      <c r="C112" s="1050">
        <v>86.5</v>
      </c>
      <c r="D112" s="1050">
        <v>76.7</v>
      </c>
      <c r="E112" s="1050">
        <v>64.3</v>
      </c>
      <c r="F112" s="1050">
        <v>72.0</v>
      </c>
      <c r="G112" s="1050">
        <v>69.7</v>
      </c>
      <c r="H112" s="1050">
        <v>106.0</v>
      </c>
      <c r="I112" s="1"/>
      <c r="J112" s="1"/>
      <c r="K112" s="1"/>
      <c r="L112" s="1"/>
      <c r="M112" s="1"/>
      <c r="N112" s="1"/>
      <c r="O112" s="1"/>
      <c r="P112" s="1"/>
      <c r="Q112" s="1"/>
      <c r="R112" s="1"/>
      <c r="S112" s="1"/>
      <c r="T112" s="1"/>
      <c r="U112" s="1"/>
      <c r="V112" s="1"/>
      <c r="W112" s="1"/>
      <c r="X112" s="1"/>
      <c r="Y112" s="1"/>
      <c r="Z112" s="1"/>
    </row>
    <row r="113" ht="10.5" customHeight="1">
      <c r="A113" s="1"/>
      <c r="B113" s="1062">
        <v>1999.0</v>
      </c>
      <c r="C113" s="1050">
        <v>90.6</v>
      </c>
      <c r="D113" s="1050">
        <v>85.1</v>
      </c>
      <c r="E113" s="1050">
        <v>66.4</v>
      </c>
      <c r="F113" s="1050">
        <v>75.9</v>
      </c>
      <c r="G113" s="1050">
        <v>73.6</v>
      </c>
      <c r="H113" s="1050">
        <v>119.1</v>
      </c>
      <c r="I113" s="1"/>
      <c r="J113" s="1"/>
      <c r="K113" s="1"/>
      <c r="L113" s="1"/>
      <c r="M113" s="1"/>
      <c r="N113" s="1"/>
      <c r="O113" s="1"/>
      <c r="P113" s="1"/>
      <c r="Q113" s="1"/>
      <c r="R113" s="1"/>
      <c r="S113" s="1"/>
      <c r="T113" s="1"/>
      <c r="U113" s="1"/>
      <c r="V113" s="1"/>
      <c r="W113" s="1"/>
      <c r="X113" s="1"/>
      <c r="Y113" s="1"/>
      <c r="Z113" s="1"/>
    </row>
    <row r="114" ht="10.5" customHeight="1">
      <c r="A114" s="1"/>
      <c r="B114" s="129"/>
      <c r="C114" s="1063"/>
      <c r="D114" s="1063"/>
      <c r="E114" s="1063"/>
      <c r="F114" s="1063"/>
      <c r="G114" s="1063"/>
      <c r="H114" s="1063"/>
      <c r="I114" s="1"/>
      <c r="J114" s="1"/>
      <c r="K114" s="1"/>
      <c r="L114" s="1"/>
      <c r="M114" s="1"/>
      <c r="N114" s="1"/>
      <c r="O114" s="1"/>
      <c r="P114" s="1"/>
      <c r="Q114" s="1"/>
      <c r="R114" s="1"/>
      <c r="S114" s="1"/>
      <c r="T114" s="1"/>
      <c r="U114" s="1"/>
      <c r="V114" s="1"/>
      <c r="W114" s="1"/>
      <c r="X114" s="1"/>
      <c r="Y114" s="1"/>
      <c r="Z114" s="1"/>
    </row>
    <row r="115" ht="10.5" customHeight="1">
      <c r="A115" s="1"/>
      <c r="B115" s="1062">
        <v>2000.0</v>
      </c>
      <c r="C115" s="1050">
        <v>108.6</v>
      </c>
      <c r="D115" s="1050">
        <v>81.4</v>
      </c>
      <c r="E115" s="1050">
        <v>65.7</v>
      </c>
      <c r="F115" s="1050">
        <v>79.9</v>
      </c>
      <c r="G115" s="1050">
        <v>78.1</v>
      </c>
      <c r="H115" s="1050">
        <v>114.1</v>
      </c>
      <c r="I115" s="1"/>
      <c r="J115" s="1"/>
      <c r="K115" s="1"/>
      <c r="L115" s="1"/>
      <c r="M115" s="1"/>
      <c r="N115" s="1"/>
      <c r="O115" s="1"/>
      <c r="P115" s="1"/>
      <c r="Q115" s="1"/>
      <c r="R115" s="1"/>
      <c r="S115" s="1"/>
      <c r="T115" s="1"/>
      <c r="U115" s="1"/>
      <c r="V115" s="1"/>
      <c r="W115" s="1"/>
      <c r="X115" s="1"/>
      <c r="Y115" s="1"/>
      <c r="Z115" s="1"/>
    </row>
    <row r="116" ht="10.5" customHeight="1">
      <c r="A116" s="1"/>
      <c r="B116" s="1062">
        <v>2001.0</v>
      </c>
      <c r="C116" s="1050">
        <v>94.7</v>
      </c>
      <c r="D116" s="1050">
        <v>81.5</v>
      </c>
      <c r="E116" s="1050">
        <v>66.3</v>
      </c>
      <c r="F116" s="1050">
        <v>76.7</v>
      </c>
      <c r="G116" s="1050">
        <v>75.1</v>
      </c>
      <c r="H116" s="1050">
        <v>107.3</v>
      </c>
      <c r="I116" s="1"/>
      <c r="J116" s="1"/>
      <c r="K116" s="1"/>
      <c r="L116" s="1"/>
      <c r="M116" s="1"/>
      <c r="N116" s="1"/>
      <c r="O116" s="1"/>
      <c r="P116" s="1"/>
      <c r="Q116" s="1"/>
      <c r="R116" s="1"/>
      <c r="S116" s="1"/>
      <c r="T116" s="1"/>
      <c r="U116" s="1"/>
      <c r="V116" s="1"/>
      <c r="W116" s="1"/>
      <c r="X116" s="1"/>
      <c r="Y116" s="1"/>
      <c r="Z116" s="1"/>
    </row>
    <row r="117" ht="10.5" customHeight="1">
      <c r="A117" s="1"/>
      <c r="B117" s="1062">
        <v>2002.0</v>
      </c>
      <c r="C117" s="1050">
        <v>102.7</v>
      </c>
      <c r="D117" s="1050">
        <v>85.0</v>
      </c>
      <c r="E117" s="1050">
        <v>69.2</v>
      </c>
      <c r="F117" s="1050">
        <v>81.0</v>
      </c>
      <c r="G117" s="1050">
        <v>79.2</v>
      </c>
      <c r="H117" s="1050">
        <v>116.5</v>
      </c>
      <c r="I117" s="1"/>
      <c r="J117" s="1"/>
      <c r="K117" s="1"/>
      <c r="L117" s="1"/>
      <c r="M117" s="1"/>
      <c r="N117" s="1"/>
      <c r="O117" s="1"/>
      <c r="P117" s="1"/>
      <c r="Q117" s="1"/>
      <c r="R117" s="1"/>
      <c r="S117" s="1"/>
      <c r="T117" s="1"/>
      <c r="U117" s="1"/>
      <c r="V117" s="1"/>
      <c r="W117" s="1"/>
      <c r="X117" s="1"/>
      <c r="Y117" s="1"/>
      <c r="Z117" s="1"/>
    </row>
    <row r="118" ht="10.5" customHeight="1">
      <c r="A118" s="1"/>
      <c r="B118" s="1062">
        <v>2003.0</v>
      </c>
      <c r="C118" s="1050">
        <v>91.1</v>
      </c>
      <c r="D118" s="1050">
        <v>91.5</v>
      </c>
      <c r="E118" s="1050">
        <v>75.3</v>
      </c>
      <c r="F118" s="1050">
        <v>82.8</v>
      </c>
      <c r="G118" s="1050">
        <v>81.0</v>
      </c>
      <c r="H118" s="1050">
        <v>116.5</v>
      </c>
      <c r="I118" s="1"/>
      <c r="J118" s="1"/>
      <c r="K118" s="1"/>
      <c r="L118" s="1"/>
      <c r="M118" s="1"/>
      <c r="N118" s="1"/>
      <c r="O118" s="1"/>
      <c r="P118" s="1"/>
      <c r="Q118" s="1"/>
      <c r="R118" s="1"/>
      <c r="S118" s="1"/>
      <c r="T118" s="1"/>
      <c r="U118" s="1"/>
      <c r="V118" s="1"/>
      <c r="W118" s="1"/>
      <c r="X118" s="1"/>
      <c r="Y118" s="1"/>
      <c r="Z118" s="1"/>
    </row>
    <row r="119" ht="10.5" customHeight="1">
      <c r="A119" s="1"/>
      <c r="B119" s="1062">
        <v>2004.0</v>
      </c>
      <c r="C119" s="1050">
        <v>94.9</v>
      </c>
      <c r="D119" s="1050">
        <v>96.2</v>
      </c>
      <c r="E119" s="1050">
        <v>77.0</v>
      </c>
      <c r="F119" s="1050">
        <v>85.6</v>
      </c>
      <c r="G119" s="1050">
        <v>83.7</v>
      </c>
      <c r="H119" s="1050">
        <v>121.6</v>
      </c>
      <c r="I119" s="1"/>
      <c r="J119" s="1"/>
      <c r="K119" s="1"/>
      <c r="L119" s="1"/>
      <c r="M119" s="1"/>
      <c r="N119" s="1"/>
      <c r="O119" s="1"/>
      <c r="P119" s="1"/>
      <c r="Q119" s="1"/>
      <c r="R119" s="1"/>
      <c r="S119" s="1"/>
      <c r="T119" s="1"/>
      <c r="U119" s="1"/>
      <c r="V119" s="1"/>
      <c r="W119" s="1"/>
      <c r="X119" s="1"/>
      <c r="Y119" s="1"/>
      <c r="Z119" s="1"/>
    </row>
    <row r="120" ht="10.5" customHeight="1">
      <c r="A120" s="1"/>
      <c r="B120" s="1062"/>
      <c r="C120" s="1050"/>
      <c r="D120" s="1050"/>
      <c r="E120" s="1050"/>
      <c r="F120" s="1050"/>
      <c r="G120" s="1050"/>
      <c r="H120" s="1050"/>
      <c r="I120" s="1"/>
      <c r="J120" s="1"/>
      <c r="K120" s="1"/>
      <c r="L120" s="1"/>
      <c r="M120" s="1"/>
      <c r="N120" s="1"/>
      <c r="O120" s="1"/>
      <c r="P120" s="1"/>
      <c r="Q120" s="1"/>
      <c r="R120" s="1"/>
      <c r="S120" s="1"/>
      <c r="T120" s="1"/>
      <c r="U120" s="1"/>
      <c r="V120" s="1"/>
      <c r="W120" s="1"/>
      <c r="X120" s="1"/>
      <c r="Y120" s="1"/>
      <c r="Z120" s="1"/>
    </row>
    <row r="121" ht="10.5" customHeight="1">
      <c r="A121" s="1"/>
      <c r="B121" s="1062">
        <v>2005.0</v>
      </c>
      <c r="C121" s="1050">
        <v>103.9</v>
      </c>
      <c r="D121" s="1050">
        <v>91.0</v>
      </c>
      <c r="E121" s="1050">
        <v>85.2</v>
      </c>
      <c r="F121" s="1050">
        <v>91.0</v>
      </c>
      <c r="G121" s="1050">
        <v>89.5</v>
      </c>
      <c r="H121" s="1050">
        <v>121.0</v>
      </c>
      <c r="I121" s="1"/>
      <c r="J121" s="1"/>
      <c r="K121" s="1"/>
      <c r="L121" s="1"/>
      <c r="M121" s="1"/>
      <c r="N121" s="1"/>
      <c r="O121" s="1"/>
      <c r="P121" s="1"/>
      <c r="Q121" s="1"/>
      <c r="R121" s="1"/>
      <c r="S121" s="1"/>
      <c r="T121" s="1"/>
      <c r="U121" s="1"/>
      <c r="V121" s="1"/>
      <c r="W121" s="1"/>
      <c r="X121" s="1"/>
      <c r="Y121" s="1"/>
      <c r="Z121" s="1"/>
    </row>
    <row r="122" ht="10.5" customHeight="1">
      <c r="A122" s="1"/>
      <c r="B122" s="1062">
        <v>2006.0</v>
      </c>
      <c r="C122" s="1050">
        <v>84.8</v>
      </c>
      <c r="D122" s="1050">
        <v>94.6</v>
      </c>
      <c r="E122" s="1050">
        <v>90.5</v>
      </c>
      <c r="F122" s="1050">
        <v>90.3</v>
      </c>
      <c r="G122" s="1050">
        <v>89.3</v>
      </c>
      <c r="H122" s="1050">
        <v>110.5</v>
      </c>
      <c r="I122" s="1"/>
      <c r="J122" s="1"/>
      <c r="K122" s="1"/>
      <c r="L122" s="1"/>
      <c r="M122" s="1"/>
      <c r="N122" s="1"/>
      <c r="O122" s="1"/>
      <c r="P122" s="1"/>
      <c r="Q122" s="1"/>
      <c r="R122" s="1"/>
      <c r="S122" s="1"/>
      <c r="T122" s="1"/>
      <c r="U122" s="1"/>
      <c r="V122" s="1"/>
      <c r="W122" s="1"/>
      <c r="X122" s="1"/>
      <c r="Y122" s="1"/>
      <c r="Z122" s="1"/>
    </row>
    <row r="123" ht="10.5" customHeight="1">
      <c r="A123" s="1"/>
      <c r="B123" s="1062">
        <v>2007.0</v>
      </c>
      <c r="C123" s="1050">
        <v>78.4</v>
      </c>
      <c r="D123" s="1050">
        <v>97.1</v>
      </c>
      <c r="E123" s="1050">
        <v>93.0</v>
      </c>
      <c r="F123" s="1050">
        <v>90.8</v>
      </c>
      <c r="G123" s="1050">
        <v>90.3</v>
      </c>
      <c r="H123" s="1050">
        <v>101.0</v>
      </c>
      <c r="I123" s="1"/>
      <c r="J123" s="1"/>
      <c r="K123" s="1"/>
      <c r="L123" s="1"/>
      <c r="M123" s="1"/>
      <c r="N123" s="1"/>
      <c r="O123" s="1"/>
      <c r="P123" s="1"/>
      <c r="Q123" s="1"/>
      <c r="R123" s="1"/>
      <c r="S123" s="1"/>
      <c r="T123" s="1"/>
      <c r="U123" s="1"/>
      <c r="V123" s="1"/>
      <c r="W123" s="1"/>
      <c r="X123" s="1"/>
      <c r="Y123" s="1"/>
      <c r="Z123" s="1"/>
    </row>
    <row r="124" ht="10.5" customHeight="1">
      <c r="A124" s="1"/>
      <c r="B124" s="264">
        <v>2008.0</v>
      </c>
      <c r="C124" s="1063">
        <v>107.3</v>
      </c>
      <c r="D124" s="1063">
        <v>102.4</v>
      </c>
      <c r="E124" s="1063">
        <v>94.9</v>
      </c>
      <c r="F124" s="1063">
        <v>99.8</v>
      </c>
      <c r="G124" s="1063">
        <v>99.9</v>
      </c>
      <c r="H124" s="1063">
        <v>96.3</v>
      </c>
      <c r="I124" s="1"/>
      <c r="J124" s="1"/>
      <c r="K124" s="1"/>
      <c r="L124" s="1"/>
      <c r="M124" s="1"/>
      <c r="N124" s="1"/>
      <c r="O124" s="1"/>
      <c r="P124" s="1"/>
      <c r="Q124" s="1"/>
      <c r="R124" s="1"/>
      <c r="S124" s="1"/>
      <c r="T124" s="1"/>
      <c r="U124" s="1"/>
      <c r="V124" s="1"/>
      <c r="W124" s="1"/>
      <c r="X124" s="1"/>
      <c r="Y124" s="1"/>
      <c r="Z124" s="1"/>
    </row>
    <row r="125" ht="10.5" customHeight="1">
      <c r="A125" s="1"/>
      <c r="B125" s="1064">
        <v>2009.0</v>
      </c>
      <c r="C125" s="1063">
        <v>104.3</v>
      </c>
      <c r="D125" s="1063">
        <v>98.2</v>
      </c>
      <c r="E125" s="1063">
        <v>95.1</v>
      </c>
      <c r="F125" s="1063">
        <v>98.0</v>
      </c>
      <c r="G125" s="1063">
        <v>98.2</v>
      </c>
      <c r="H125" s="1063">
        <v>95.2</v>
      </c>
      <c r="I125" s="1"/>
      <c r="J125" s="1"/>
      <c r="K125" s="1"/>
      <c r="L125" s="1"/>
      <c r="M125" s="1"/>
      <c r="N125" s="1"/>
      <c r="O125" s="1"/>
      <c r="P125" s="1"/>
      <c r="Q125" s="1"/>
      <c r="R125" s="1"/>
      <c r="S125" s="1"/>
      <c r="T125" s="1"/>
      <c r="U125" s="1"/>
      <c r="V125" s="1"/>
      <c r="W125" s="1"/>
      <c r="X125" s="1"/>
      <c r="Y125" s="1"/>
      <c r="Z125" s="1"/>
    </row>
    <row r="126" ht="10.5" customHeight="1">
      <c r="A126" s="1"/>
      <c r="B126" s="356"/>
      <c r="C126" s="518"/>
      <c r="D126" s="518"/>
      <c r="E126" s="518"/>
      <c r="F126" s="518"/>
      <c r="G126" s="518"/>
      <c r="H126" s="518"/>
      <c r="I126" s="1"/>
      <c r="J126" s="1"/>
      <c r="K126" s="1"/>
      <c r="L126" s="1"/>
      <c r="M126" s="1"/>
      <c r="N126" s="1"/>
      <c r="O126" s="1"/>
      <c r="P126" s="1"/>
      <c r="Q126" s="1"/>
      <c r="R126" s="1"/>
      <c r="S126" s="1"/>
      <c r="T126" s="1"/>
      <c r="U126" s="1"/>
      <c r="V126" s="1"/>
      <c r="W126" s="1"/>
      <c r="X126" s="1"/>
      <c r="Y126" s="1"/>
      <c r="Z126" s="1"/>
    </row>
    <row r="127" ht="10.5" customHeight="1">
      <c r="A127" s="1"/>
      <c r="B127" s="1064">
        <v>2010.0</v>
      </c>
      <c r="C127" s="1063" t="s">
        <v>1752</v>
      </c>
      <c r="D127" s="1063" t="s">
        <v>1752</v>
      </c>
      <c r="E127" s="1063" t="s">
        <v>1752</v>
      </c>
      <c r="F127" s="1063" t="s">
        <v>1752</v>
      </c>
      <c r="G127" s="1063" t="s">
        <v>1752</v>
      </c>
      <c r="H127" s="1063" t="s">
        <v>1752</v>
      </c>
      <c r="I127" s="1"/>
      <c r="J127" s="1"/>
      <c r="K127" s="1"/>
      <c r="L127" s="1"/>
      <c r="M127" s="1"/>
      <c r="N127" s="1"/>
      <c r="O127" s="1"/>
      <c r="P127" s="1"/>
      <c r="Q127" s="1"/>
      <c r="R127" s="1"/>
      <c r="S127" s="1"/>
      <c r="T127" s="1"/>
      <c r="U127" s="1"/>
      <c r="V127" s="1"/>
      <c r="W127" s="1"/>
      <c r="X127" s="1"/>
      <c r="Y127" s="1"/>
      <c r="Z127" s="1"/>
    </row>
    <row r="128" ht="10.5" customHeight="1">
      <c r="A128" s="1"/>
      <c r="B128" s="1065" t="s">
        <v>487</v>
      </c>
      <c r="C128" s="1063" t="s">
        <v>1753</v>
      </c>
      <c r="D128" s="1063" t="s">
        <v>1706</v>
      </c>
      <c r="E128" s="1063" t="s">
        <v>1752</v>
      </c>
      <c r="F128" s="1063" t="s">
        <v>1754</v>
      </c>
      <c r="G128" s="1063" t="s">
        <v>1755</v>
      </c>
      <c r="H128" s="1063" t="s">
        <v>1756</v>
      </c>
      <c r="I128" s="1"/>
      <c r="J128" s="1"/>
      <c r="K128" s="1"/>
      <c r="L128" s="1"/>
      <c r="M128" s="1"/>
      <c r="N128" s="1"/>
      <c r="O128" s="1"/>
      <c r="P128" s="1"/>
      <c r="Q128" s="1"/>
      <c r="R128" s="1"/>
      <c r="S128" s="1"/>
      <c r="T128" s="1"/>
      <c r="U128" s="1"/>
      <c r="V128" s="1"/>
      <c r="W128" s="1"/>
      <c r="X128" s="1"/>
      <c r="Y128" s="1"/>
      <c r="Z128" s="1"/>
    </row>
    <row r="129" ht="10.5" customHeight="1">
      <c r="A129" s="1"/>
      <c r="B129" s="1065" t="s">
        <v>489</v>
      </c>
      <c r="C129" s="1063" t="s">
        <v>1720</v>
      </c>
      <c r="D129" s="1063" t="s">
        <v>1757</v>
      </c>
      <c r="E129" s="1063" t="s">
        <v>1754</v>
      </c>
      <c r="F129" s="1063" t="s">
        <v>1719</v>
      </c>
      <c r="G129" s="1063" t="s">
        <v>1758</v>
      </c>
      <c r="H129" s="1063" t="s">
        <v>1759</v>
      </c>
      <c r="I129" s="1"/>
      <c r="J129" s="1"/>
      <c r="K129" s="1"/>
      <c r="L129" s="1"/>
      <c r="M129" s="1"/>
      <c r="N129" s="1"/>
      <c r="O129" s="1"/>
      <c r="P129" s="1"/>
      <c r="Q129" s="1"/>
      <c r="R129" s="1"/>
      <c r="S129" s="1"/>
      <c r="T129" s="1"/>
      <c r="U129" s="1"/>
      <c r="V129" s="1"/>
      <c r="W129" s="1"/>
      <c r="X129" s="1"/>
      <c r="Y129" s="1"/>
      <c r="Z129" s="1"/>
    </row>
    <row r="130" ht="10.5" customHeight="1">
      <c r="A130" s="1"/>
      <c r="B130" s="1065" t="s">
        <v>55</v>
      </c>
      <c r="C130" s="1063" t="s">
        <v>1760</v>
      </c>
      <c r="D130" s="1063" t="s">
        <v>1761</v>
      </c>
      <c r="E130" s="1063" t="s">
        <v>1762</v>
      </c>
      <c r="F130" s="1063" t="s">
        <v>1763</v>
      </c>
      <c r="G130" s="1063" t="s">
        <v>1764</v>
      </c>
      <c r="H130" s="1063" t="s">
        <v>1765</v>
      </c>
      <c r="I130" s="1"/>
      <c r="J130" s="1"/>
      <c r="K130" s="1"/>
      <c r="L130" s="1"/>
      <c r="M130" s="1"/>
      <c r="N130" s="1"/>
      <c r="O130" s="1"/>
      <c r="P130" s="1"/>
      <c r="Q130" s="1"/>
      <c r="R130" s="1"/>
      <c r="S130" s="1"/>
      <c r="T130" s="1"/>
      <c r="U130" s="1"/>
      <c r="V130" s="1"/>
      <c r="W130" s="1"/>
      <c r="X130" s="1"/>
      <c r="Y130" s="1"/>
      <c r="Z130" s="1"/>
    </row>
    <row r="131" ht="10.5" customHeight="1">
      <c r="A131" s="1"/>
      <c r="B131" s="1065" t="s">
        <v>57</v>
      </c>
      <c r="C131" s="1063" t="s">
        <v>838</v>
      </c>
      <c r="D131" s="1063" t="s">
        <v>1766</v>
      </c>
      <c r="E131" s="1063" t="s">
        <v>1767</v>
      </c>
      <c r="F131" s="1063" t="s">
        <v>1768</v>
      </c>
      <c r="G131" s="1063" t="s">
        <v>1761</v>
      </c>
      <c r="H131" s="1063" t="s">
        <v>1769</v>
      </c>
      <c r="I131" s="1"/>
      <c r="J131" s="1"/>
      <c r="K131" s="1"/>
      <c r="L131" s="1"/>
      <c r="M131" s="1"/>
      <c r="N131" s="1"/>
      <c r="O131" s="1"/>
      <c r="P131" s="1"/>
      <c r="Q131" s="1"/>
      <c r="R131" s="1"/>
      <c r="S131" s="1"/>
      <c r="T131" s="1"/>
      <c r="U131" s="1"/>
      <c r="V131" s="1"/>
      <c r="W131" s="1"/>
      <c r="X131" s="1"/>
      <c r="Y131" s="1"/>
      <c r="Z131" s="1"/>
    </row>
    <row r="132" ht="10.5" customHeight="1">
      <c r="A132" s="1"/>
      <c r="B132" s="1065" t="s">
        <v>11</v>
      </c>
      <c r="C132" s="1063"/>
      <c r="D132" s="1063"/>
      <c r="E132" s="1063"/>
      <c r="F132" s="1063"/>
      <c r="G132" s="1063"/>
      <c r="H132" s="1063"/>
      <c r="I132" s="1"/>
      <c r="J132" s="1"/>
      <c r="K132" s="1"/>
      <c r="L132" s="1"/>
      <c r="M132" s="1"/>
      <c r="N132" s="1"/>
      <c r="O132" s="1"/>
      <c r="P132" s="1"/>
      <c r="Q132" s="1"/>
      <c r="R132" s="1"/>
      <c r="S132" s="1"/>
      <c r="T132" s="1"/>
      <c r="U132" s="1"/>
      <c r="V132" s="1"/>
      <c r="W132" s="1"/>
      <c r="X132" s="1"/>
      <c r="Y132" s="1"/>
      <c r="Z132" s="1"/>
    </row>
    <row r="133" ht="10.5" customHeight="1">
      <c r="A133" s="1"/>
      <c r="B133" s="1065" t="s">
        <v>58</v>
      </c>
      <c r="C133" s="1063" t="s">
        <v>1770</v>
      </c>
      <c r="D133" s="1063" t="s">
        <v>1771</v>
      </c>
      <c r="E133" s="1063" t="s">
        <v>1772</v>
      </c>
      <c r="F133" s="1063" t="s">
        <v>1773</v>
      </c>
      <c r="G133" s="1063" t="s">
        <v>1774</v>
      </c>
      <c r="H133" s="1063" t="s">
        <v>1775</v>
      </c>
      <c r="I133" s="1"/>
      <c r="J133" s="1"/>
      <c r="K133" s="1"/>
      <c r="L133" s="1"/>
      <c r="M133" s="1"/>
      <c r="N133" s="1"/>
      <c r="O133" s="1"/>
      <c r="P133" s="1"/>
      <c r="Q133" s="1"/>
      <c r="R133" s="1"/>
      <c r="S133" s="1"/>
      <c r="T133" s="1"/>
      <c r="U133" s="1"/>
      <c r="V133" s="1"/>
      <c r="W133" s="1"/>
      <c r="X133" s="1"/>
      <c r="Y133" s="1"/>
      <c r="Z133" s="1"/>
    </row>
    <row r="134" ht="10.5" customHeight="1">
      <c r="A134" s="1"/>
      <c r="B134" s="1065" t="s">
        <v>59</v>
      </c>
      <c r="C134" s="1063" t="s">
        <v>1776</v>
      </c>
      <c r="D134" s="1063" t="s">
        <v>1777</v>
      </c>
      <c r="E134" s="1063" t="s">
        <v>1778</v>
      </c>
      <c r="F134" s="1063" t="s">
        <v>1779</v>
      </c>
      <c r="G134" s="1063" t="s">
        <v>1737</v>
      </c>
      <c r="H134" s="1063" t="s">
        <v>1780</v>
      </c>
      <c r="I134" s="1"/>
      <c r="J134" s="1"/>
      <c r="K134" s="1"/>
      <c r="L134" s="1"/>
      <c r="M134" s="1"/>
      <c r="N134" s="1"/>
      <c r="O134" s="1"/>
      <c r="P134" s="1"/>
      <c r="Q134" s="1"/>
      <c r="R134" s="1"/>
      <c r="S134" s="1"/>
      <c r="T134" s="1"/>
      <c r="U134" s="1"/>
      <c r="V134" s="1"/>
      <c r="W134" s="1"/>
      <c r="X134" s="1"/>
      <c r="Y134" s="1"/>
      <c r="Z134" s="1"/>
    </row>
    <row r="135" ht="10.5" customHeight="1">
      <c r="A135" s="1"/>
      <c r="B135" s="1066" t="s">
        <v>1781</v>
      </c>
      <c r="C135" s="1067" t="s">
        <v>1782</v>
      </c>
      <c r="D135" s="1067" t="s">
        <v>1783</v>
      </c>
      <c r="E135" s="1067" t="s">
        <v>1784</v>
      </c>
      <c r="F135" s="1067" t="s">
        <v>1785</v>
      </c>
      <c r="G135" s="1067" t="s">
        <v>1786</v>
      </c>
      <c r="H135" s="1067" t="s">
        <v>1787</v>
      </c>
      <c r="I135" s="1"/>
      <c r="J135" s="1"/>
      <c r="K135" s="1"/>
      <c r="L135" s="1"/>
      <c r="M135" s="1"/>
      <c r="N135" s="1"/>
      <c r="O135" s="1"/>
      <c r="P135" s="1"/>
      <c r="Q135" s="1"/>
      <c r="R135" s="1"/>
      <c r="S135" s="1"/>
      <c r="T135" s="1"/>
      <c r="U135" s="1"/>
      <c r="V135" s="1"/>
      <c r="W135" s="1"/>
      <c r="X135" s="1"/>
      <c r="Y135" s="1"/>
      <c r="Z135" s="1"/>
    </row>
    <row r="136" ht="12.0" customHeight="1">
      <c r="A136" s="1"/>
      <c r="B136" s="60" t="s">
        <v>1788</v>
      </c>
      <c r="C136" s="612"/>
      <c r="D136" s="1068"/>
      <c r="E136" s="1068"/>
      <c r="F136" s="1068"/>
      <c r="G136" s="1068"/>
      <c r="H136" s="1068"/>
      <c r="I136" s="1"/>
      <c r="J136" s="1"/>
      <c r="K136" s="1"/>
      <c r="L136" s="1"/>
      <c r="M136" s="1"/>
      <c r="N136" s="1"/>
      <c r="O136" s="1"/>
      <c r="P136" s="1"/>
      <c r="Q136" s="1"/>
      <c r="R136" s="1"/>
      <c r="S136" s="1"/>
      <c r="T136" s="1"/>
      <c r="U136" s="1"/>
      <c r="V136" s="1"/>
      <c r="W136" s="1"/>
      <c r="X136" s="1"/>
      <c r="Y136" s="1"/>
      <c r="Z136" s="1"/>
    </row>
    <row r="137" ht="10.5" customHeight="1">
      <c r="A137" s="1"/>
      <c r="B137" s="1"/>
      <c r="C137" s="817"/>
      <c r="D137" s="817"/>
      <c r="E137" s="817"/>
      <c r="F137" s="817"/>
      <c r="G137" s="817"/>
      <c r="H137" s="817"/>
      <c r="I137" s="1"/>
      <c r="J137" s="1"/>
      <c r="K137" s="1"/>
      <c r="L137" s="1"/>
      <c r="M137" s="1"/>
      <c r="N137" s="1"/>
      <c r="O137" s="1"/>
      <c r="P137" s="1"/>
      <c r="Q137" s="1"/>
      <c r="R137" s="1"/>
      <c r="S137" s="1"/>
      <c r="T137" s="1"/>
      <c r="U137" s="1"/>
      <c r="V137" s="1"/>
      <c r="W137" s="1"/>
      <c r="X137" s="1"/>
      <c r="Y137" s="1"/>
      <c r="Z137" s="1"/>
    </row>
    <row r="138" ht="10.5" customHeight="1">
      <c r="A138" s="1"/>
      <c r="B138" s="1"/>
      <c r="C138" s="612"/>
      <c r="D138" s="612"/>
      <c r="E138" s="612"/>
      <c r="F138" s="612"/>
      <c r="G138" s="612"/>
      <c r="H138" s="612"/>
      <c r="I138" s="1"/>
      <c r="J138" s="1"/>
      <c r="K138" s="1"/>
      <c r="L138" s="1"/>
      <c r="M138" s="1"/>
      <c r="N138" s="1"/>
      <c r="O138" s="1"/>
      <c r="P138" s="1"/>
      <c r="Q138" s="1"/>
      <c r="R138" s="1"/>
      <c r="S138" s="1"/>
      <c r="T138" s="1"/>
      <c r="U138" s="1"/>
      <c r="V138" s="1"/>
      <c r="W138" s="1"/>
      <c r="X138" s="1"/>
      <c r="Y138" s="1"/>
      <c r="Z138" s="1"/>
    </row>
    <row r="139" ht="10.5" customHeight="1">
      <c r="A139" s="1"/>
      <c r="B139" s="1"/>
      <c r="C139" s="612"/>
      <c r="D139" s="612"/>
      <c r="E139" s="612"/>
      <c r="F139" s="612"/>
      <c r="G139" s="612"/>
      <c r="H139" s="612"/>
      <c r="I139" s="1"/>
      <c r="J139" s="1"/>
      <c r="K139" s="1"/>
      <c r="L139" s="1"/>
      <c r="M139" s="1"/>
      <c r="N139" s="1"/>
      <c r="O139" s="1"/>
      <c r="P139" s="1"/>
      <c r="Q139" s="1"/>
      <c r="R139" s="1"/>
      <c r="S139" s="1"/>
      <c r="T139" s="1"/>
      <c r="U139" s="1"/>
      <c r="V139" s="1"/>
      <c r="W139" s="1"/>
      <c r="X139" s="1"/>
      <c r="Y139" s="1"/>
      <c r="Z139" s="1"/>
    </row>
    <row r="140" ht="10.5" customHeight="1">
      <c r="A140" s="1"/>
      <c r="B140" s="1"/>
      <c r="C140" s="612"/>
      <c r="D140" s="612"/>
      <c r="E140" s="612"/>
      <c r="F140" s="612"/>
      <c r="G140" s="612"/>
      <c r="H140" s="612"/>
      <c r="I140" s="1"/>
      <c r="J140" s="1"/>
      <c r="K140" s="1"/>
      <c r="L140" s="1"/>
      <c r="M140" s="1"/>
      <c r="N140" s="1"/>
      <c r="O140" s="1"/>
      <c r="P140" s="1"/>
      <c r="Q140" s="1"/>
      <c r="R140" s="1"/>
      <c r="S140" s="1"/>
      <c r="T140" s="1"/>
      <c r="U140" s="1"/>
      <c r="V140" s="1"/>
      <c r="W140" s="1"/>
      <c r="X140" s="1"/>
      <c r="Y140" s="1"/>
      <c r="Z140" s="1"/>
    </row>
    <row r="141" ht="10.5" customHeight="1">
      <c r="A141" s="1"/>
      <c r="B141" s="1"/>
      <c r="C141" s="612"/>
      <c r="D141" s="612"/>
      <c r="E141" s="612"/>
      <c r="F141" s="612"/>
      <c r="G141" s="612"/>
      <c r="H141" s="612"/>
      <c r="I141" s="1"/>
      <c r="J141" s="1"/>
      <c r="K141" s="1"/>
      <c r="L141" s="1"/>
      <c r="M141" s="1"/>
      <c r="N141" s="1"/>
      <c r="O141" s="1"/>
      <c r="P141" s="1"/>
      <c r="Q141" s="1"/>
      <c r="R141" s="1"/>
      <c r="S141" s="1"/>
      <c r="T141" s="1"/>
      <c r="U141" s="1"/>
      <c r="V141" s="1"/>
      <c r="W141" s="1"/>
      <c r="X141" s="1"/>
      <c r="Y141" s="1"/>
      <c r="Z141" s="1"/>
    </row>
    <row r="142" ht="10.5" customHeight="1">
      <c r="A142" s="1"/>
      <c r="B142" s="1"/>
      <c r="C142" s="612"/>
      <c r="D142" s="612"/>
      <c r="E142" s="612"/>
      <c r="F142" s="612"/>
      <c r="G142" s="612"/>
      <c r="H142" s="612"/>
      <c r="I142" s="1"/>
      <c r="J142" s="1"/>
      <c r="K142" s="1"/>
      <c r="L142" s="1"/>
      <c r="M142" s="1"/>
      <c r="N142" s="1"/>
      <c r="O142" s="1"/>
      <c r="P142" s="1"/>
      <c r="Q142" s="1"/>
      <c r="R142" s="1"/>
      <c r="S142" s="1"/>
      <c r="T142" s="1"/>
      <c r="U142" s="1"/>
      <c r="V142" s="1"/>
      <c r="W142" s="1"/>
      <c r="X142" s="1"/>
      <c r="Y142" s="1"/>
      <c r="Z142" s="1"/>
    </row>
    <row r="143" ht="10.5" customHeight="1">
      <c r="A143" s="1"/>
      <c r="B143" s="1"/>
      <c r="C143" s="612"/>
      <c r="D143" s="612"/>
      <c r="E143" s="612"/>
      <c r="F143" s="612"/>
      <c r="G143" s="612"/>
      <c r="H143" s="612"/>
      <c r="I143" s="1"/>
      <c r="J143" s="1"/>
      <c r="K143" s="1"/>
      <c r="L143" s="1"/>
      <c r="M143" s="1"/>
      <c r="N143" s="1"/>
      <c r="O143" s="1"/>
      <c r="P143" s="1"/>
      <c r="Q143" s="1"/>
      <c r="R143" s="1"/>
      <c r="S143" s="1"/>
      <c r="T143" s="1"/>
      <c r="U143" s="1"/>
      <c r="V143" s="1"/>
      <c r="W143" s="1"/>
      <c r="X143" s="1"/>
      <c r="Y143" s="1"/>
      <c r="Z143" s="1"/>
    </row>
    <row r="144" ht="10.5" customHeight="1">
      <c r="A144" s="1"/>
      <c r="B144" s="1"/>
      <c r="C144" s="612"/>
      <c r="D144" s="612"/>
      <c r="E144" s="612"/>
      <c r="F144" s="612"/>
      <c r="G144" s="612"/>
      <c r="H144" s="612"/>
      <c r="I144" s="1"/>
      <c r="J144" s="1"/>
      <c r="K144" s="1"/>
      <c r="L144" s="1"/>
      <c r="M144" s="1"/>
      <c r="N144" s="1"/>
      <c r="O144" s="1"/>
      <c r="P144" s="1"/>
      <c r="Q144" s="1"/>
      <c r="R144" s="1"/>
      <c r="S144" s="1"/>
      <c r="T144" s="1"/>
      <c r="U144" s="1"/>
      <c r="V144" s="1"/>
      <c r="W144" s="1"/>
      <c r="X144" s="1"/>
      <c r="Y144" s="1"/>
      <c r="Z144" s="1"/>
    </row>
    <row r="145" ht="10.5" customHeight="1">
      <c r="A145" s="1"/>
      <c r="B145" s="1"/>
      <c r="C145" s="612"/>
      <c r="D145" s="612"/>
      <c r="E145" s="612"/>
      <c r="F145" s="612"/>
      <c r="G145" s="612"/>
      <c r="H145" s="612"/>
      <c r="I145" s="1"/>
      <c r="J145" s="1"/>
      <c r="K145" s="1"/>
      <c r="L145" s="1"/>
      <c r="M145" s="1"/>
      <c r="N145" s="1"/>
      <c r="O145" s="1"/>
      <c r="P145" s="1"/>
      <c r="Q145" s="1"/>
      <c r="R145" s="1"/>
      <c r="S145" s="1"/>
      <c r="T145" s="1"/>
      <c r="U145" s="1"/>
      <c r="V145" s="1"/>
      <c r="W145" s="1"/>
      <c r="X145" s="1"/>
      <c r="Y145" s="1"/>
      <c r="Z145" s="1"/>
    </row>
    <row r="146" ht="10.5" customHeight="1">
      <c r="A146" s="1"/>
      <c r="B146" s="1"/>
      <c r="C146" s="612"/>
      <c r="D146" s="612"/>
      <c r="E146" s="612"/>
      <c r="F146" s="612"/>
      <c r="G146" s="612"/>
      <c r="H146" s="612"/>
      <c r="I146" s="1"/>
      <c r="J146" s="1"/>
      <c r="K146" s="1"/>
      <c r="L146" s="1"/>
      <c r="M146" s="1"/>
      <c r="N146" s="1"/>
      <c r="O146" s="1"/>
      <c r="P146" s="1"/>
      <c r="Q146" s="1"/>
      <c r="R146" s="1"/>
      <c r="S146" s="1"/>
      <c r="T146" s="1"/>
      <c r="U146" s="1"/>
      <c r="V146" s="1"/>
      <c r="W146" s="1"/>
      <c r="X146" s="1"/>
      <c r="Y146" s="1"/>
      <c r="Z146" s="1"/>
    </row>
    <row r="147" ht="10.5" customHeight="1">
      <c r="A147" s="1"/>
      <c r="B147" s="1"/>
      <c r="C147" s="612"/>
      <c r="D147" s="612"/>
      <c r="E147" s="612"/>
      <c r="F147" s="612"/>
      <c r="G147" s="612"/>
      <c r="H147" s="612"/>
      <c r="I147" s="1"/>
      <c r="J147" s="1"/>
      <c r="K147" s="1"/>
      <c r="L147" s="1"/>
      <c r="M147" s="1"/>
      <c r="N147" s="1"/>
      <c r="O147" s="1"/>
      <c r="P147" s="1"/>
      <c r="Q147" s="1"/>
      <c r="R147" s="1"/>
      <c r="S147" s="1"/>
      <c r="T147" s="1"/>
      <c r="U147" s="1"/>
      <c r="V147" s="1"/>
      <c r="W147" s="1"/>
      <c r="X147" s="1"/>
      <c r="Y147" s="1"/>
      <c r="Z147" s="1"/>
    </row>
    <row r="148" ht="10.5" customHeight="1">
      <c r="A148" s="1"/>
      <c r="B148" s="1"/>
      <c r="C148" s="612"/>
      <c r="D148" s="612"/>
      <c r="E148" s="612"/>
      <c r="F148" s="612"/>
      <c r="G148" s="612"/>
      <c r="H148" s="612"/>
      <c r="I148" s="1"/>
      <c r="J148" s="1"/>
      <c r="K148" s="1"/>
      <c r="L148" s="1"/>
      <c r="M148" s="1"/>
      <c r="N148" s="1"/>
      <c r="O148" s="1"/>
      <c r="P148" s="1"/>
      <c r="Q148" s="1"/>
      <c r="R148" s="1"/>
      <c r="S148" s="1"/>
      <c r="T148" s="1"/>
      <c r="U148" s="1"/>
      <c r="V148" s="1"/>
      <c r="W148" s="1"/>
      <c r="X148" s="1"/>
      <c r="Y148" s="1"/>
      <c r="Z148" s="1"/>
    </row>
    <row r="149" ht="10.5" customHeight="1">
      <c r="A149" s="1"/>
      <c r="B149" s="1"/>
      <c r="C149" s="612"/>
      <c r="D149" s="612"/>
      <c r="E149" s="612"/>
      <c r="F149" s="612"/>
      <c r="G149" s="612"/>
      <c r="H149" s="612"/>
      <c r="I149" s="1"/>
      <c r="J149" s="1"/>
      <c r="K149" s="1"/>
      <c r="L149" s="1"/>
      <c r="M149" s="1"/>
      <c r="N149" s="1"/>
      <c r="O149" s="1"/>
      <c r="P149" s="1"/>
      <c r="Q149" s="1"/>
      <c r="R149" s="1"/>
      <c r="S149" s="1"/>
      <c r="T149" s="1"/>
      <c r="U149" s="1"/>
      <c r="V149" s="1"/>
      <c r="W149" s="1"/>
      <c r="X149" s="1"/>
      <c r="Y149" s="1"/>
      <c r="Z149" s="1"/>
    </row>
    <row r="150" ht="10.5" customHeight="1">
      <c r="A150" s="1"/>
      <c r="B150" s="1"/>
      <c r="C150" s="612"/>
      <c r="D150" s="612"/>
      <c r="E150" s="612"/>
      <c r="F150" s="612"/>
      <c r="G150" s="612"/>
      <c r="H150" s="612"/>
      <c r="I150" s="1"/>
      <c r="J150" s="1"/>
      <c r="K150" s="1"/>
      <c r="L150" s="1"/>
      <c r="M150" s="1"/>
      <c r="N150" s="1"/>
      <c r="O150" s="1"/>
      <c r="P150" s="1"/>
      <c r="Q150" s="1"/>
      <c r="R150" s="1"/>
      <c r="S150" s="1"/>
      <c r="T150" s="1"/>
      <c r="U150" s="1"/>
      <c r="V150" s="1"/>
      <c r="W150" s="1"/>
      <c r="X150" s="1"/>
      <c r="Y150" s="1"/>
      <c r="Z150" s="1"/>
    </row>
    <row r="151" ht="10.5" customHeight="1">
      <c r="A151" s="1"/>
      <c r="B151" s="1"/>
      <c r="C151" s="612"/>
      <c r="D151" s="612"/>
      <c r="E151" s="612"/>
      <c r="F151" s="612"/>
      <c r="G151" s="612"/>
      <c r="H151" s="612"/>
      <c r="I151" s="1"/>
      <c r="J151" s="1"/>
      <c r="K151" s="1"/>
      <c r="L151" s="1"/>
      <c r="M151" s="1"/>
      <c r="N151" s="1"/>
      <c r="O151" s="1"/>
      <c r="P151" s="1"/>
      <c r="Q151" s="1"/>
      <c r="R151" s="1"/>
      <c r="S151" s="1"/>
      <c r="T151" s="1"/>
      <c r="U151" s="1"/>
      <c r="V151" s="1"/>
      <c r="W151" s="1"/>
      <c r="X151" s="1"/>
      <c r="Y151" s="1"/>
      <c r="Z151" s="1"/>
    </row>
    <row r="152" ht="10.5" customHeight="1">
      <c r="A152" s="1"/>
      <c r="B152" s="1"/>
      <c r="C152" s="612"/>
      <c r="D152" s="612"/>
      <c r="E152" s="612"/>
      <c r="F152" s="612"/>
      <c r="G152" s="612"/>
      <c r="H152" s="612"/>
      <c r="I152" s="1"/>
      <c r="J152" s="1"/>
      <c r="K152" s="1"/>
      <c r="L152" s="1"/>
      <c r="M152" s="1"/>
      <c r="N152" s="1"/>
      <c r="O152" s="1"/>
      <c r="P152" s="1"/>
      <c r="Q152" s="1"/>
      <c r="R152" s="1"/>
      <c r="S152" s="1"/>
      <c r="T152" s="1"/>
      <c r="U152" s="1"/>
      <c r="V152" s="1"/>
      <c r="W152" s="1"/>
      <c r="X152" s="1"/>
      <c r="Y152" s="1"/>
      <c r="Z152" s="1"/>
    </row>
    <row r="153" ht="10.5" customHeight="1">
      <c r="A153" s="1"/>
      <c r="B153" s="1"/>
      <c r="C153" s="612"/>
      <c r="D153" s="612"/>
      <c r="E153" s="612"/>
      <c r="F153" s="612"/>
      <c r="G153" s="612"/>
      <c r="H153" s="612"/>
      <c r="I153" s="1"/>
      <c r="J153" s="1"/>
      <c r="K153" s="1"/>
      <c r="L153" s="1"/>
      <c r="M153" s="1"/>
      <c r="N153" s="1"/>
      <c r="O153" s="1"/>
      <c r="P153" s="1"/>
      <c r="Q153" s="1"/>
      <c r="R153" s="1"/>
      <c r="S153" s="1"/>
      <c r="T153" s="1"/>
      <c r="U153" s="1"/>
      <c r="V153" s="1"/>
      <c r="W153" s="1"/>
      <c r="X153" s="1"/>
      <c r="Y153" s="1"/>
      <c r="Z153" s="1"/>
    </row>
    <row r="154" ht="10.5" customHeight="1">
      <c r="A154" s="1"/>
      <c r="B154" s="1"/>
      <c r="C154" s="612"/>
      <c r="D154" s="612"/>
      <c r="E154" s="612"/>
      <c r="F154" s="612"/>
      <c r="G154" s="612"/>
      <c r="H154" s="612"/>
      <c r="I154" s="1"/>
      <c r="J154" s="1"/>
      <c r="K154" s="1"/>
      <c r="L154" s="1"/>
      <c r="M154" s="1"/>
      <c r="N154" s="1"/>
      <c r="O154" s="1"/>
      <c r="P154" s="1"/>
      <c r="Q154" s="1"/>
      <c r="R154" s="1"/>
      <c r="S154" s="1"/>
      <c r="T154" s="1"/>
      <c r="U154" s="1"/>
      <c r="V154" s="1"/>
      <c r="W154" s="1"/>
      <c r="X154" s="1"/>
      <c r="Y154" s="1"/>
      <c r="Z154" s="1"/>
    </row>
    <row r="155" ht="10.5" customHeight="1">
      <c r="A155" s="1"/>
      <c r="B155" s="1"/>
      <c r="C155" s="612"/>
      <c r="D155" s="612"/>
      <c r="E155" s="612"/>
      <c r="F155" s="612"/>
      <c r="G155" s="612"/>
      <c r="H155" s="612"/>
      <c r="I155" s="1"/>
      <c r="J155" s="1"/>
      <c r="K155" s="1"/>
      <c r="L155" s="1"/>
      <c r="M155" s="1"/>
      <c r="N155" s="1"/>
      <c r="O155" s="1"/>
      <c r="P155" s="1"/>
      <c r="Q155" s="1"/>
      <c r="R155" s="1"/>
      <c r="S155" s="1"/>
      <c r="T155" s="1"/>
      <c r="U155" s="1"/>
      <c r="V155" s="1"/>
      <c r="W155" s="1"/>
      <c r="X155" s="1"/>
      <c r="Y155" s="1"/>
      <c r="Z155" s="1"/>
    </row>
    <row r="156" ht="10.5" customHeight="1">
      <c r="A156" s="1"/>
      <c r="B156" s="1"/>
      <c r="C156" s="612"/>
      <c r="D156" s="612"/>
      <c r="E156" s="612"/>
      <c r="F156" s="612"/>
      <c r="G156" s="612"/>
      <c r="H156" s="612"/>
      <c r="I156" s="1"/>
      <c r="J156" s="1"/>
      <c r="K156" s="1"/>
      <c r="L156" s="1"/>
      <c r="M156" s="1"/>
      <c r="N156" s="1"/>
      <c r="O156" s="1"/>
      <c r="P156" s="1"/>
      <c r="Q156" s="1"/>
      <c r="R156" s="1"/>
      <c r="S156" s="1"/>
      <c r="T156" s="1"/>
      <c r="U156" s="1"/>
      <c r="V156" s="1"/>
      <c r="W156" s="1"/>
      <c r="X156" s="1"/>
      <c r="Y156" s="1"/>
      <c r="Z156" s="1"/>
    </row>
    <row r="157" ht="10.5" customHeight="1">
      <c r="A157" s="1"/>
      <c r="B157" s="1"/>
      <c r="C157" s="612"/>
      <c r="D157" s="612"/>
      <c r="E157" s="612"/>
      <c r="F157" s="612"/>
      <c r="G157" s="612"/>
      <c r="H157" s="612"/>
      <c r="I157" s="1"/>
      <c r="J157" s="1"/>
      <c r="K157" s="1"/>
      <c r="L157" s="1"/>
      <c r="M157" s="1"/>
      <c r="N157" s="1"/>
      <c r="O157" s="1"/>
      <c r="P157" s="1"/>
      <c r="Q157" s="1"/>
      <c r="R157" s="1"/>
      <c r="S157" s="1"/>
      <c r="T157" s="1"/>
      <c r="U157" s="1"/>
      <c r="V157" s="1"/>
      <c r="W157" s="1"/>
      <c r="X157" s="1"/>
      <c r="Y157" s="1"/>
      <c r="Z157" s="1"/>
    </row>
    <row r="158" ht="10.5" customHeight="1">
      <c r="A158" s="1"/>
      <c r="B158" s="1"/>
      <c r="C158" s="612"/>
      <c r="D158" s="612"/>
      <c r="E158" s="612"/>
      <c r="F158" s="612"/>
      <c r="G158" s="612"/>
      <c r="H158" s="612"/>
      <c r="I158" s="1"/>
      <c r="J158" s="1"/>
      <c r="K158" s="1"/>
      <c r="L158" s="1"/>
      <c r="M158" s="1"/>
      <c r="N158" s="1"/>
      <c r="O158" s="1"/>
      <c r="P158" s="1"/>
      <c r="Q158" s="1"/>
      <c r="R158" s="1"/>
      <c r="S158" s="1"/>
      <c r="T158" s="1"/>
      <c r="U158" s="1"/>
      <c r="V158" s="1"/>
      <c r="W158" s="1"/>
      <c r="X158" s="1"/>
      <c r="Y158" s="1"/>
      <c r="Z158" s="1"/>
    </row>
    <row r="159" ht="10.5" customHeight="1">
      <c r="A159" s="1"/>
      <c r="B159" s="1"/>
      <c r="C159" s="612"/>
      <c r="D159" s="612"/>
      <c r="E159" s="612"/>
      <c r="F159" s="612"/>
      <c r="G159" s="612"/>
      <c r="H159" s="612"/>
      <c r="I159" s="1"/>
      <c r="J159" s="1"/>
      <c r="K159" s="1"/>
      <c r="L159" s="1"/>
      <c r="M159" s="1"/>
      <c r="N159" s="1"/>
      <c r="O159" s="1"/>
      <c r="P159" s="1"/>
      <c r="Q159" s="1"/>
      <c r="R159" s="1"/>
      <c r="S159" s="1"/>
      <c r="T159" s="1"/>
      <c r="U159" s="1"/>
      <c r="V159" s="1"/>
      <c r="W159" s="1"/>
      <c r="X159" s="1"/>
      <c r="Y159" s="1"/>
      <c r="Z159" s="1"/>
    </row>
    <row r="160" ht="10.5" customHeight="1">
      <c r="A160" s="1"/>
      <c r="B160" s="1"/>
      <c r="C160" s="612"/>
      <c r="D160" s="612"/>
      <c r="E160" s="612"/>
      <c r="F160" s="612"/>
      <c r="G160" s="612"/>
      <c r="H160" s="1056" t="s">
        <v>1798</v>
      </c>
      <c r="I160" s="1"/>
      <c r="J160" s="1"/>
      <c r="K160" s="1"/>
      <c r="L160" s="1"/>
      <c r="M160" s="1"/>
      <c r="N160" s="1"/>
      <c r="O160" s="1"/>
      <c r="P160" s="1"/>
      <c r="Q160" s="1"/>
      <c r="R160" s="1"/>
      <c r="S160" s="1"/>
      <c r="T160" s="1"/>
      <c r="U160" s="1"/>
      <c r="V160" s="1"/>
      <c r="W160" s="1"/>
      <c r="X160" s="1"/>
      <c r="Y160" s="1"/>
      <c r="Z160" s="1"/>
    </row>
    <row r="161" ht="10.5" customHeight="1">
      <c r="A161" s="1"/>
      <c r="B161" s="1"/>
      <c r="C161" s="612"/>
      <c r="D161" s="612"/>
      <c r="E161" s="612"/>
      <c r="F161" s="612"/>
      <c r="G161" s="612"/>
      <c r="H161" s="1056"/>
      <c r="I161" s="1"/>
      <c r="J161" s="1"/>
      <c r="K161" s="1"/>
      <c r="L161" s="1"/>
      <c r="M161" s="1"/>
      <c r="N161" s="1"/>
      <c r="O161" s="1"/>
      <c r="P161" s="1"/>
      <c r="Q161" s="1"/>
      <c r="R161" s="1"/>
      <c r="S161" s="1"/>
      <c r="T161" s="1"/>
      <c r="U161" s="1"/>
      <c r="V161" s="1"/>
      <c r="W161" s="1"/>
      <c r="X161" s="1"/>
      <c r="Y161" s="1"/>
      <c r="Z161" s="1"/>
    </row>
    <row r="162" ht="10.5" customHeight="1">
      <c r="A162" s="1"/>
      <c r="B162" s="1"/>
      <c r="C162" s="612"/>
      <c r="D162" s="612"/>
      <c r="E162" s="612"/>
      <c r="F162" s="612"/>
      <c r="G162" s="612"/>
      <c r="H162" s="612"/>
      <c r="I162" s="1"/>
      <c r="J162" s="1"/>
      <c r="K162" s="1"/>
      <c r="L162" s="1"/>
      <c r="M162" s="1"/>
      <c r="N162" s="1"/>
      <c r="O162" s="1"/>
      <c r="P162" s="1"/>
      <c r="Q162" s="1"/>
      <c r="R162" s="1"/>
      <c r="S162" s="1"/>
      <c r="T162" s="1"/>
      <c r="U162" s="1"/>
      <c r="V162" s="1"/>
      <c r="W162" s="1"/>
      <c r="X162" s="1"/>
      <c r="Y162" s="1"/>
      <c r="Z162" s="1"/>
    </row>
    <row r="163" ht="11.25" customHeight="1">
      <c r="A163" s="1"/>
      <c r="B163" s="1" t="s">
        <v>1799</v>
      </c>
      <c r="C163" s="612"/>
      <c r="D163" s="612"/>
      <c r="E163" s="612"/>
      <c r="F163" s="612"/>
      <c r="G163" s="612"/>
      <c r="H163" s="612"/>
      <c r="I163" s="1"/>
      <c r="J163" s="1"/>
      <c r="K163" s="1"/>
      <c r="L163" s="1"/>
      <c r="M163" s="1"/>
      <c r="N163" s="1"/>
      <c r="O163" s="1"/>
      <c r="P163" s="1"/>
      <c r="Q163" s="1"/>
      <c r="R163" s="1"/>
      <c r="S163" s="1"/>
      <c r="T163" s="1"/>
      <c r="U163" s="1"/>
      <c r="V163" s="1"/>
      <c r="W163" s="1"/>
      <c r="X163" s="1"/>
      <c r="Y163" s="1"/>
      <c r="Z163" s="1"/>
    </row>
    <row r="164" ht="24.75" customHeight="1">
      <c r="A164" s="1"/>
      <c r="B164" s="189" t="s">
        <v>1</v>
      </c>
      <c r="C164" s="1057" t="s">
        <v>1800</v>
      </c>
      <c r="D164" s="1057" t="s">
        <v>1801</v>
      </c>
      <c r="E164" s="1057" t="s">
        <v>1802</v>
      </c>
      <c r="F164" s="1057" t="s">
        <v>1803</v>
      </c>
      <c r="G164" s="612"/>
      <c r="H164" s="612"/>
      <c r="I164" s="1"/>
      <c r="J164" s="1"/>
      <c r="K164" s="1"/>
      <c r="L164" s="1"/>
      <c r="M164" s="1"/>
      <c r="N164" s="1"/>
      <c r="O164" s="1"/>
      <c r="P164" s="1"/>
      <c r="Q164" s="1"/>
      <c r="R164" s="1"/>
      <c r="S164" s="1"/>
      <c r="T164" s="1"/>
      <c r="U164" s="1"/>
      <c r="V164" s="1"/>
      <c r="W164" s="1"/>
      <c r="X164" s="1"/>
      <c r="Y164" s="1"/>
      <c r="Z164" s="1"/>
    </row>
    <row r="165" ht="11.25" customHeight="1">
      <c r="A165" s="1"/>
      <c r="B165" s="6"/>
      <c r="C165" s="1058" t="s">
        <v>54</v>
      </c>
      <c r="D165" s="9"/>
      <c r="E165" s="9"/>
      <c r="F165" s="10"/>
      <c r="G165" s="612"/>
      <c r="H165" s="612"/>
      <c r="I165" s="1"/>
      <c r="J165" s="1"/>
      <c r="K165" s="1"/>
      <c r="L165" s="1"/>
      <c r="M165" s="1"/>
      <c r="N165" s="1"/>
      <c r="O165" s="1"/>
      <c r="P165" s="1"/>
      <c r="Q165" s="1"/>
      <c r="R165" s="1"/>
      <c r="S165" s="1"/>
      <c r="T165" s="1"/>
      <c r="U165" s="1"/>
      <c r="V165" s="1"/>
      <c r="W165" s="1"/>
      <c r="X165" s="1"/>
      <c r="Y165" s="1"/>
      <c r="Z165" s="1"/>
    </row>
    <row r="166" ht="11.25" customHeight="1">
      <c r="A166" s="1"/>
      <c r="B166" s="512" t="s">
        <v>1748</v>
      </c>
      <c r="C166" s="1070">
        <v>23.0</v>
      </c>
      <c r="D166" s="1070">
        <v>27.0</v>
      </c>
      <c r="E166" s="1070">
        <v>50.0</v>
      </c>
      <c r="F166" s="1070">
        <f>SUM(C166:E166)</f>
        <v>100</v>
      </c>
      <c r="G166" s="612"/>
      <c r="H166" s="612"/>
      <c r="I166" s="1"/>
      <c r="J166" s="1"/>
      <c r="K166" s="1"/>
      <c r="L166" s="1"/>
      <c r="M166" s="1"/>
      <c r="N166" s="1"/>
      <c r="O166" s="1"/>
      <c r="P166" s="1"/>
      <c r="Q166" s="1"/>
      <c r="R166" s="1"/>
      <c r="S166" s="1"/>
      <c r="T166" s="1"/>
      <c r="U166" s="1"/>
      <c r="V166" s="1"/>
      <c r="W166" s="1"/>
      <c r="X166" s="1"/>
      <c r="Y166" s="1"/>
      <c r="Z166" s="1"/>
    </row>
    <row r="167" ht="10.5" customHeight="1">
      <c r="A167" s="1"/>
      <c r="B167" s="238">
        <v>1980.0</v>
      </c>
      <c r="C167" s="364">
        <v>10.0</v>
      </c>
      <c r="D167" s="364">
        <v>7.1</v>
      </c>
      <c r="E167" s="364">
        <v>7.3</v>
      </c>
      <c r="F167" s="364">
        <v>8.0</v>
      </c>
      <c r="G167" s="612"/>
      <c r="H167" s="612"/>
      <c r="I167" s="1"/>
      <c r="J167" s="1"/>
      <c r="K167" s="1"/>
      <c r="L167" s="1"/>
      <c r="M167" s="1"/>
      <c r="N167" s="1"/>
      <c r="O167" s="1"/>
      <c r="P167" s="1"/>
      <c r="Q167" s="1"/>
      <c r="R167" s="1"/>
      <c r="S167" s="1"/>
      <c r="T167" s="1"/>
      <c r="U167" s="1"/>
      <c r="V167" s="1"/>
      <c r="W167" s="1"/>
      <c r="X167" s="1"/>
      <c r="Y167" s="1"/>
      <c r="Z167" s="1"/>
    </row>
    <row r="168" ht="10.5" customHeight="1">
      <c r="A168" s="1"/>
      <c r="B168" s="238">
        <v>1981.0</v>
      </c>
      <c r="C168" s="364">
        <v>10.3</v>
      </c>
      <c r="D168" s="364">
        <v>7.2</v>
      </c>
      <c r="E168" s="364">
        <v>9.1</v>
      </c>
      <c r="F168" s="364">
        <v>8.9</v>
      </c>
      <c r="G168" s="612"/>
      <c r="H168" s="612"/>
      <c r="I168" s="1"/>
      <c r="J168" s="1"/>
      <c r="K168" s="1"/>
      <c r="L168" s="1"/>
      <c r="M168" s="1"/>
      <c r="N168" s="1"/>
      <c r="O168" s="1"/>
      <c r="P168" s="1"/>
      <c r="Q168" s="1"/>
      <c r="R168" s="1"/>
      <c r="S168" s="1"/>
      <c r="T168" s="1"/>
      <c r="U168" s="1"/>
      <c r="V168" s="1"/>
      <c r="W168" s="1"/>
      <c r="X168" s="1"/>
      <c r="Y168" s="1"/>
      <c r="Z168" s="1"/>
    </row>
    <row r="169" ht="10.5" customHeight="1">
      <c r="A169" s="1"/>
      <c r="B169" s="238">
        <v>1982.0</v>
      </c>
      <c r="C169" s="364">
        <v>11.9</v>
      </c>
      <c r="D169" s="364">
        <v>8.4</v>
      </c>
      <c r="E169" s="364">
        <v>9.0</v>
      </c>
      <c r="F169" s="364">
        <v>9.7</v>
      </c>
      <c r="G169" s="612"/>
      <c r="H169" s="612"/>
      <c r="I169" s="1"/>
      <c r="J169" s="1"/>
      <c r="K169" s="1"/>
      <c r="L169" s="1"/>
      <c r="M169" s="1"/>
      <c r="N169" s="1"/>
      <c r="O169" s="1"/>
      <c r="P169" s="1"/>
      <c r="Q169" s="1"/>
      <c r="R169" s="1"/>
      <c r="S169" s="1"/>
      <c r="T169" s="1"/>
      <c r="U169" s="1"/>
      <c r="V169" s="1"/>
      <c r="W169" s="1"/>
      <c r="X169" s="1"/>
      <c r="Y169" s="1"/>
      <c r="Z169" s="1"/>
    </row>
    <row r="170" ht="10.5" customHeight="1">
      <c r="A170" s="1"/>
      <c r="B170" s="238">
        <v>1983.0</v>
      </c>
      <c r="C170" s="364">
        <v>14.6</v>
      </c>
      <c r="D170" s="364">
        <v>9.1</v>
      </c>
      <c r="E170" s="364">
        <v>8.8</v>
      </c>
      <c r="F170" s="364">
        <v>10.9</v>
      </c>
      <c r="G170" s="612"/>
      <c r="H170" s="612"/>
      <c r="I170" s="1"/>
      <c r="J170" s="1"/>
      <c r="K170" s="1"/>
      <c r="L170" s="1"/>
      <c r="M170" s="1"/>
      <c r="N170" s="1"/>
      <c r="O170" s="1"/>
      <c r="P170" s="1"/>
      <c r="Q170" s="1"/>
      <c r="R170" s="1"/>
      <c r="S170" s="1"/>
      <c r="T170" s="1"/>
      <c r="U170" s="1"/>
      <c r="V170" s="1"/>
      <c r="W170" s="1"/>
      <c r="X170" s="1"/>
      <c r="Y170" s="1"/>
      <c r="Z170" s="1"/>
    </row>
    <row r="171" ht="10.5" customHeight="1">
      <c r="A171" s="1"/>
      <c r="B171" s="238">
        <v>1984.0</v>
      </c>
      <c r="C171" s="364">
        <v>16.2</v>
      </c>
      <c r="D171" s="364">
        <v>9.2</v>
      </c>
      <c r="E171" s="364">
        <v>11.1</v>
      </c>
      <c r="F171" s="364">
        <v>12.2</v>
      </c>
      <c r="G171" s="612"/>
      <c r="H171" s="612"/>
      <c r="I171" s="1"/>
      <c r="J171" s="1"/>
      <c r="K171" s="1"/>
      <c r="L171" s="1"/>
      <c r="M171" s="1"/>
      <c r="N171" s="1"/>
      <c r="O171" s="1"/>
      <c r="P171" s="1"/>
      <c r="Q171" s="1"/>
      <c r="R171" s="1"/>
      <c r="S171" s="1"/>
      <c r="T171" s="1"/>
      <c r="U171" s="1"/>
      <c r="V171" s="1"/>
      <c r="W171" s="1"/>
      <c r="X171" s="1"/>
      <c r="Y171" s="1"/>
      <c r="Z171" s="1"/>
    </row>
    <row r="172" ht="10.5" customHeight="1">
      <c r="A172" s="1"/>
      <c r="B172" s="238"/>
      <c r="C172" s="364"/>
      <c r="D172" s="364"/>
      <c r="E172" s="364"/>
      <c r="F172" s="364"/>
      <c r="G172" s="612"/>
      <c r="H172" s="612"/>
      <c r="I172" s="1"/>
      <c r="J172" s="1"/>
      <c r="K172" s="1"/>
      <c r="L172" s="1"/>
      <c r="M172" s="1"/>
      <c r="N172" s="1"/>
      <c r="O172" s="1"/>
      <c r="P172" s="1"/>
      <c r="Q172" s="1"/>
      <c r="R172" s="1"/>
      <c r="S172" s="1"/>
      <c r="T172" s="1"/>
      <c r="U172" s="1"/>
      <c r="V172" s="1"/>
      <c r="W172" s="1"/>
      <c r="X172" s="1"/>
      <c r="Y172" s="1"/>
      <c r="Z172" s="1"/>
    </row>
    <row r="173" ht="10.5" customHeight="1">
      <c r="A173" s="1"/>
      <c r="B173" s="238">
        <v>1985.0</v>
      </c>
      <c r="C173" s="364">
        <v>16.8</v>
      </c>
      <c r="D173" s="364">
        <v>10.7</v>
      </c>
      <c r="E173" s="364">
        <v>12.3</v>
      </c>
      <c r="F173" s="364">
        <v>13.2</v>
      </c>
      <c r="G173" s="612"/>
      <c r="H173" s="612"/>
      <c r="I173" s="1"/>
      <c r="J173" s="1"/>
      <c r="K173" s="1"/>
      <c r="L173" s="1"/>
      <c r="M173" s="1"/>
      <c r="N173" s="1"/>
      <c r="O173" s="1"/>
      <c r="P173" s="1"/>
      <c r="Q173" s="1"/>
      <c r="R173" s="1"/>
      <c r="S173" s="1"/>
      <c r="T173" s="1"/>
      <c r="U173" s="1"/>
      <c r="V173" s="1"/>
      <c r="W173" s="1"/>
      <c r="X173" s="1"/>
      <c r="Y173" s="1"/>
      <c r="Z173" s="1"/>
    </row>
    <row r="174" ht="10.5" customHeight="1">
      <c r="A174" s="1"/>
      <c r="B174" s="238">
        <v>1986.0</v>
      </c>
      <c r="C174" s="364">
        <v>18.4</v>
      </c>
      <c r="D174" s="364">
        <v>13.0</v>
      </c>
      <c r="E174" s="364">
        <v>14.1</v>
      </c>
      <c r="F174" s="364">
        <v>15.0</v>
      </c>
      <c r="G174" s="612"/>
      <c r="H174" s="612"/>
      <c r="I174" s="1"/>
      <c r="J174" s="1"/>
      <c r="K174" s="1"/>
      <c r="L174" s="1"/>
      <c r="M174" s="1"/>
      <c r="N174" s="1"/>
      <c r="O174" s="1"/>
      <c r="P174" s="1"/>
      <c r="Q174" s="1"/>
      <c r="R174" s="1"/>
      <c r="S174" s="1"/>
      <c r="T174" s="1"/>
      <c r="U174" s="1"/>
      <c r="V174" s="1"/>
      <c r="W174" s="1"/>
      <c r="X174" s="1"/>
      <c r="Y174" s="1"/>
      <c r="Z174" s="1"/>
    </row>
    <row r="175" ht="10.5" customHeight="1">
      <c r="A175" s="1"/>
      <c r="B175" s="238">
        <v>1987.0</v>
      </c>
      <c r="C175" s="364">
        <v>19.8</v>
      </c>
      <c r="D175" s="364">
        <v>14.9</v>
      </c>
      <c r="E175" s="364">
        <v>17.6</v>
      </c>
      <c r="F175" s="364">
        <v>17.5</v>
      </c>
      <c r="G175" s="612"/>
      <c r="H175" s="612"/>
      <c r="I175" s="1"/>
      <c r="J175" s="1"/>
      <c r="K175" s="1"/>
      <c r="L175" s="1"/>
      <c r="M175" s="1"/>
      <c r="N175" s="1"/>
      <c r="O175" s="1"/>
      <c r="P175" s="1"/>
      <c r="Q175" s="1"/>
      <c r="R175" s="1"/>
      <c r="S175" s="1"/>
      <c r="T175" s="1"/>
      <c r="U175" s="1"/>
      <c r="V175" s="1"/>
      <c r="W175" s="1"/>
      <c r="X175" s="1"/>
      <c r="Y175" s="1"/>
      <c r="Z175" s="1"/>
    </row>
    <row r="176" ht="10.5" customHeight="1">
      <c r="A176" s="1"/>
      <c r="B176" s="238">
        <v>1988.0</v>
      </c>
      <c r="C176" s="364">
        <v>21.0</v>
      </c>
      <c r="D176" s="364">
        <v>16.6</v>
      </c>
      <c r="E176" s="364">
        <v>21.0</v>
      </c>
      <c r="F176" s="364">
        <v>19.7</v>
      </c>
      <c r="G176" s="612"/>
      <c r="H176" s="612"/>
      <c r="I176" s="1"/>
      <c r="J176" s="1"/>
      <c r="K176" s="1"/>
      <c r="L176" s="1"/>
      <c r="M176" s="1"/>
      <c r="N176" s="1"/>
      <c r="O176" s="1"/>
      <c r="P176" s="1"/>
      <c r="Q176" s="1"/>
      <c r="R176" s="1"/>
      <c r="S176" s="1"/>
      <c r="T176" s="1"/>
      <c r="U176" s="1"/>
      <c r="V176" s="1"/>
      <c r="W176" s="1"/>
      <c r="X176" s="1"/>
      <c r="Y176" s="1"/>
      <c r="Z176" s="1"/>
    </row>
    <row r="177" ht="10.5" customHeight="1">
      <c r="A177" s="1"/>
      <c r="B177" s="238">
        <v>1989.0</v>
      </c>
      <c r="C177" s="364">
        <v>22.9</v>
      </c>
      <c r="D177" s="364">
        <v>17.3</v>
      </c>
      <c r="E177" s="364">
        <v>21.8</v>
      </c>
      <c r="F177" s="364">
        <v>20.8</v>
      </c>
      <c r="G177" s="612"/>
      <c r="H177" s="612"/>
      <c r="I177" s="1"/>
      <c r="J177" s="1"/>
      <c r="K177" s="1"/>
      <c r="L177" s="1"/>
      <c r="M177" s="1"/>
      <c r="N177" s="1"/>
      <c r="O177" s="1"/>
      <c r="P177" s="1"/>
      <c r="Q177" s="1"/>
      <c r="R177" s="1"/>
      <c r="S177" s="1"/>
      <c r="T177" s="1"/>
      <c r="U177" s="1"/>
      <c r="V177" s="1"/>
      <c r="W177" s="1"/>
      <c r="X177" s="1"/>
      <c r="Y177" s="1"/>
      <c r="Z177" s="1"/>
    </row>
    <row r="178" ht="10.5" customHeight="1">
      <c r="A178" s="1"/>
      <c r="B178" s="238"/>
      <c r="C178" s="364"/>
      <c r="D178" s="364"/>
      <c r="E178" s="364"/>
      <c r="F178" s="364"/>
      <c r="G178" s="612"/>
      <c r="H178" s="612"/>
      <c r="I178" s="1"/>
      <c r="J178" s="1"/>
      <c r="K178" s="1"/>
      <c r="L178" s="1"/>
      <c r="M178" s="1"/>
      <c r="N178" s="1"/>
      <c r="O178" s="1"/>
      <c r="P178" s="1"/>
      <c r="Q178" s="1"/>
      <c r="R178" s="1"/>
      <c r="S178" s="1"/>
      <c r="T178" s="1"/>
      <c r="U178" s="1"/>
      <c r="V178" s="1"/>
      <c r="W178" s="1"/>
      <c r="X178" s="1"/>
      <c r="Y178" s="1"/>
      <c r="Z178" s="1"/>
    </row>
    <row r="179" ht="10.5" customHeight="1">
      <c r="A179" s="1"/>
      <c r="B179" s="238">
        <v>1990.0</v>
      </c>
      <c r="C179" s="364">
        <v>25.5</v>
      </c>
      <c r="D179" s="364">
        <v>20.4</v>
      </c>
      <c r="E179" s="364">
        <v>22.2</v>
      </c>
      <c r="F179" s="364">
        <v>22.4</v>
      </c>
      <c r="G179" s="612"/>
      <c r="H179" s="612"/>
      <c r="I179" s="1"/>
      <c r="J179" s="1"/>
      <c r="K179" s="1"/>
      <c r="L179" s="1"/>
      <c r="M179" s="1"/>
      <c r="N179" s="1"/>
      <c r="O179" s="1"/>
      <c r="P179" s="1"/>
      <c r="Q179" s="1"/>
      <c r="R179" s="1"/>
      <c r="S179" s="1"/>
      <c r="T179" s="1"/>
      <c r="U179" s="1"/>
      <c r="V179" s="1"/>
      <c r="W179" s="1"/>
      <c r="X179" s="1"/>
      <c r="Y179" s="1"/>
      <c r="Z179" s="1"/>
    </row>
    <row r="180" ht="10.5" customHeight="1">
      <c r="A180" s="1"/>
      <c r="B180" s="238">
        <v>1991.0</v>
      </c>
      <c r="C180" s="364">
        <v>29.1</v>
      </c>
      <c r="D180" s="364">
        <v>21.7</v>
      </c>
      <c r="E180" s="364">
        <v>23.0</v>
      </c>
      <c r="F180" s="364">
        <v>24.2</v>
      </c>
      <c r="G180" s="612"/>
      <c r="H180" s="612"/>
      <c r="I180" s="1"/>
      <c r="J180" s="1"/>
      <c r="K180" s="1"/>
      <c r="L180" s="1"/>
      <c r="M180" s="1"/>
      <c r="N180" s="1"/>
      <c r="O180" s="1"/>
      <c r="P180" s="1"/>
      <c r="Q180" s="1"/>
      <c r="R180" s="1"/>
      <c r="S180" s="1"/>
      <c r="T180" s="1"/>
      <c r="U180" s="1"/>
      <c r="V180" s="1"/>
      <c r="W180" s="1"/>
      <c r="X180" s="1"/>
      <c r="Y180" s="1"/>
      <c r="Z180" s="1"/>
    </row>
    <row r="181" ht="10.5" customHeight="1">
      <c r="A181" s="1"/>
      <c r="B181" s="238">
        <v>1992.0</v>
      </c>
      <c r="C181" s="364">
        <v>38.2</v>
      </c>
      <c r="D181" s="364">
        <v>24.8</v>
      </c>
      <c r="E181" s="364">
        <v>25.1</v>
      </c>
      <c r="F181" s="364">
        <v>28.8</v>
      </c>
      <c r="G181" s="612"/>
      <c r="H181" s="612"/>
      <c r="I181" s="1"/>
      <c r="J181" s="1"/>
      <c r="K181" s="1"/>
      <c r="L181" s="1"/>
      <c r="M181" s="1"/>
      <c r="N181" s="1"/>
      <c r="O181" s="1"/>
      <c r="P181" s="1"/>
      <c r="Q181" s="1"/>
      <c r="R181" s="1"/>
      <c r="S181" s="1"/>
      <c r="T181" s="1"/>
      <c r="U181" s="1"/>
      <c r="V181" s="1"/>
      <c r="W181" s="1"/>
      <c r="X181" s="1"/>
      <c r="Y181" s="1"/>
      <c r="Z181" s="1"/>
    </row>
    <row r="182" ht="10.5" customHeight="1">
      <c r="A182" s="1"/>
      <c r="B182" s="238">
        <v>1993.0</v>
      </c>
      <c r="C182" s="364">
        <v>37.4</v>
      </c>
      <c r="D182" s="364">
        <v>22.8</v>
      </c>
      <c r="E182" s="364">
        <v>27.1</v>
      </c>
      <c r="F182" s="364">
        <v>28.9</v>
      </c>
      <c r="G182" s="612"/>
      <c r="H182" s="612"/>
      <c r="I182" s="1"/>
      <c r="J182" s="1"/>
      <c r="K182" s="1"/>
      <c r="L182" s="1"/>
      <c r="M182" s="1"/>
      <c r="N182" s="1"/>
      <c r="O182" s="1"/>
      <c r="P182" s="1"/>
      <c r="Q182" s="1"/>
      <c r="R182" s="1"/>
      <c r="S182" s="1"/>
      <c r="T182" s="1"/>
      <c r="U182" s="1"/>
      <c r="V182" s="1"/>
      <c r="W182" s="1"/>
      <c r="X182" s="1"/>
      <c r="Y182" s="1"/>
      <c r="Z182" s="1"/>
    </row>
    <row r="183" ht="10.5" customHeight="1">
      <c r="A183" s="1"/>
      <c r="B183" s="238">
        <v>1994.0</v>
      </c>
      <c r="C183" s="364">
        <v>36.1</v>
      </c>
      <c r="D183" s="364">
        <v>25.3</v>
      </c>
      <c r="E183" s="364">
        <v>34.3</v>
      </c>
      <c r="F183" s="364">
        <v>32.3</v>
      </c>
      <c r="G183" s="612"/>
      <c r="H183" s="612"/>
      <c r="I183" s="1"/>
      <c r="J183" s="1"/>
      <c r="K183" s="1"/>
      <c r="L183" s="1"/>
      <c r="M183" s="1"/>
      <c r="N183" s="1"/>
      <c r="O183" s="1"/>
      <c r="P183" s="1"/>
      <c r="Q183" s="1"/>
      <c r="R183" s="1"/>
      <c r="S183" s="1"/>
      <c r="T183" s="1"/>
      <c r="U183" s="1"/>
      <c r="V183" s="1"/>
      <c r="W183" s="1"/>
      <c r="X183" s="1"/>
      <c r="Y183" s="1"/>
      <c r="Z183" s="1"/>
    </row>
    <row r="184" ht="10.5" customHeight="1">
      <c r="A184" s="1"/>
      <c r="B184" s="238"/>
      <c r="C184" s="364"/>
      <c r="D184" s="364"/>
      <c r="E184" s="364"/>
      <c r="F184" s="364"/>
      <c r="G184" s="612"/>
      <c r="H184" s="612"/>
      <c r="I184" s="1"/>
      <c r="J184" s="1"/>
      <c r="K184" s="1"/>
      <c r="L184" s="1"/>
      <c r="M184" s="1"/>
      <c r="N184" s="1"/>
      <c r="O184" s="1"/>
      <c r="P184" s="1"/>
      <c r="Q184" s="1"/>
      <c r="R184" s="1"/>
      <c r="S184" s="1"/>
      <c r="T184" s="1"/>
      <c r="U184" s="1"/>
      <c r="V184" s="1"/>
      <c r="W184" s="1"/>
      <c r="X184" s="1"/>
      <c r="Y184" s="1"/>
      <c r="Z184" s="1"/>
    </row>
    <row r="185" ht="10.5" customHeight="1">
      <c r="A185" s="1"/>
      <c r="B185" s="238">
        <v>1995.0</v>
      </c>
      <c r="C185" s="364">
        <v>45.3</v>
      </c>
      <c r="D185" s="364">
        <v>29.7</v>
      </c>
      <c r="E185" s="364">
        <v>36.2</v>
      </c>
      <c r="F185" s="364">
        <v>36.8</v>
      </c>
      <c r="G185" s="612"/>
      <c r="H185" s="612"/>
      <c r="I185" s="1"/>
      <c r="J185" s="1"/>
      <c r="K185" s="1"/>
      <c r="L185" s="1"/>
      <c r="M185" s="1"/>
      <c r="N185" s="1"/>
      <c r="O185" s="1"/>
      <c r="P185" s="1"/>
      <c r="Q185" s="1"/>
      <c r="R185" s="1"/>
      <c r="S185" s="1"/>
      <c r="T185" s="1"/>
      <c r="U185" s="1"/>
      <c r="V185" s="1"/>
      <c r="W185" s="1"/>
      <c r="X185" s="1"/>
      <c r="Y185" s="1"/>
      <c r="Z185" s="1"/>
    </row>
    <row r="186" ht="10.5" customHeight="1">
      <c r="A186" s="1"/>
      <c r="B186" s="238">
        <v>1996.0</v>
      </c>
      <c r="C186" s="364">
        <v>47.2</v>
      </c>
      <c r="D186" s="364">
        <v>32.1</v>
      </c>
      <c r="E186" s="364">
        <v>38.0</v>
      </c>
      <c r="F186" s="364">
        <v>38.9</v>
      </c>
      <c r="G186" s="612"/>
      <c r="H186" s="612"/>
      <c r="I186" s="1"/>
      <c r="J186" s="1"/>
      <c r="K186" s="1"/>
      <c r="L186" s="1"/>
      <c r="M186" s="1"/>
      <c r="N186" s="1"/>
      <c r="O186" s="1"/>
      <c r="P186" s="1"/>
      <c r="Q186" s="1"/>
      <c r="R186" s="1"/>
      <c r="S186" s="1"/>
      <c r="T186" s="1"/>
      <c r="U186" s="1"/>
      <c r="V186" s="1"/>
      <c r="W186" s="1"/>
      <c r="X186" s="1"/>
      <c r="Y186" s="1"/>
      <c r="Z186" s="1"/>
    </row>
    <row r="187" ht="10.5" customHeight="1">
      <c r="A187" s="1"/>
      <c r="B187" s="238">
        <v>1997.0</v>
      </c>
      <c r="C187" s="364">
        <v>46.3</v>
      </c>
      <c r="D187" s="364">
        <v>33.2</v>
      </c>
      <c r="E187" s="364">
        <v>43.4</v>
      </c>
      <c r="F187" s="364">
        <v>41.5</v>
      </c>
      <c r="G187" s="612"/>
      <c r="H187" s="612"/>
      <c r="I187" s="1"/>
      <c r="J187" s="1"/>
      <c r="K187" s="1"/>
      <c r="L187" s="1"/>
      <c r="M187" s="1"/>
      <c r="N187" s="1"/>
      <c r="O187" s="1"/>
      <c r="P187" s="1"/>
      <c r="Q187" s="1"/>
      <c r="R187" s="1"/>
      <c r="S187" s="1"/>
      <c r="T187" s="1"/>
      <c r="U187" s="1"/>
      <c r="V187" s="1"/>
      <c r="W187" s="1"/>
      <c r="X187" s="1"/>
      <c r="Y187" s="1"/>
      <c r="Z187" s="1"/>
    </row>
    <row r="188" ht="10.5" customHeight="1">
      <c r="A188" s="1"/>
      <c r="B188" s="238">
        <v>1998.0</v>
      </c>
      <c r="C188" s="364">
        <v>49.1</v>
      </c>
      <c r="D188" s="364">
        <v>38.0</v>
      </c>
      <c r="E188" s="364">
        <v>42.0</v>
      </c>
      <c r="F188" s="364">
        <v>42.9</v>
      </c>
      <c r="G188" s="612"/>
      <c r="H188" s="612"/>
      <c r="I188" s="1"/>
      <c r="J188" s="1"/>
      <c r="K188" s="1"/>
      <c r="L188" s="1"/>
      <c r="M188" s="1"/>
      <c r="N188" s="1"/>
      <c r="O188" s="1"/>
      <c r="P188" s="1"/>
      <c r="Q188" s="1"/>
      <c r="R188" s="1"/>
      <c r="S188" s="1"/>
      <c r="T188" s="1"/>
      <c r="U188" s="1"/>
      <c r="V188" s="1"/>
      <c r="W188" s="1"/>
      <c r="X188" s="1"/>
      <c r="Y188" s="1"/>
      <c r="Z188" s="1"/>
    </row>
    <row r="189" ht="10.5" customHeight="1">
      <c r="A189" s="1"/>
      <c r="B189" s="238">
        <v>1999.0</v>
      </c>
      <c r="C189" s="364">
        <v>54.2</v>
      </c>
      <c r="D189" s="364">
        <v>36.5</v>
      </c>
      <c r="E189" s="364">
        <v>40.3</v>
      </c>
      <c r="F189" s="364">
        <v>42.9</v>
      </c>
      <c r="G189" s="612"/>
      <c r="H189" s="612"/>
      <c r="I189" s="1"/>
      <c r="J189" s="1"/>
      <c r="K189" s="1"/>
      <c r="L189" s="1"/>
      <c r="M189" s="1"/>
      <c r="N189" s="1"/>
      <c r="O189" s="1"/>
      <c r="P189" s="1"/>
      <c r="Q189" s="1"/>
      <c r="R189" s="1"/>
      <c r="S189" s="1"/>
      <c r="T189" s="1"/>
      <c r="U189" s="1"/>
      <c r="V189" s="1"/>
      <c r="W189" s="1"/>
      <c r="X189" s="1"/>
      <c r="Y189" s="1"/>
      <c r="Z189" s="1"/>
    </row>
    <row r="190" ht="10.5" customHeight="1">
      <c r="A190" s="1"/>
      <c r="B190" s="238"/>
      <c r="C190" s="364"/>
      <c r="D190" s="364"/>
      <c r="E190" s="364"/>
      <c r="F190" s="364"/>
      <c r="G190" s="612"/>
      <c r="H190" s="612"/>
      <c r="I190" s="1"/>
      <c r="J190" s="1"/>
      <c r="K190" s="1"/>
      <c r="L190" s="1"/>
      <c r="M190" s="1"/>
      <c r="N190" s="1"/>
      <c r="O190" s="1"/>
      <c r="P190" s="1"/>
      <c r="Q190" s="1"/>
      <c r="R190" s="1"/>
      <c r="S190" s="1"/>
      <c r="T190" s="1"/>
      <c r="U190" s="1"/>
      <c r="V190" s="1"/>
      <c r="W190" s="1"/>
      <c r="X190" s="1"/>
      <c r="Y190" s="1"/>
      <c r="Z190" s="1"/>
    </row>
    <row r="191" ht="10.5" customHeight="1">
      <c r="A191" s="1"/>
      <c r="B191" s="238">
        <v>2000.0</v>
      </c>
      <c r="C191" s="364">
        <v>51.2</v>
      </c>
      <c r="D191" s="364">
        <v>43.5</v>
      </c>
      <c r="E191" s="364">
        <v>43.4</v>
      </c>
      <c r="F191" s="364">
        <v>45.4</v>
      </c>
      <c r="G191" s="612"/>
      <c r="H191" s="612"/>
      <c r="I191" s="1"/>
      <c r="J191" s="1"/>
      <c r="K191" s="1"/>
      <c r="L191" s="1"/>
      <c r="M191" s="1"/>
      <c r="N191" s="1"/>
      <c r="O191" s="1"/>
      <c r="P191" s="1"/>
      <c r="Q191" s="1"/>
      <c r="R191" s="1"/>
      <c r="S191" s="1"/>
      <c r="T191" s="1"/>
      <c r="U191" s="1"/>
      <c r="V191" s="1"/>
      <c r="W191" s="1"/>
      <c r="X191" s="1"/>
      <c r="Y191" s="1"/>
      <c r="Z191" s="1"/>
    </row>
    <row r="192" ht="10.5" customHeight="1">
      <c r="A192" s="1"/>
      <c r="B192" s="238">
        <v>2001.0</v>
      </c>
      <c r="C192" s="364">
        <v>61.6</v>
      </c>
      <c r="D192" s="364">
        <v>48.1</v>
      </c>
      <c r="E192" s="364">
        <v>48.1</v>
      </c>
      <c r="F192" s="364">
        <v>51.6</v>
      </c>
      <c r="G192" s="612"/>
      <c r="H192" s="612"/>
      <c r="I192" s="1"/>
      <c r="J192" s="1"/>
      <c r="K192" s="1"/>
      <c r="L192" s="1"/>
      <c r="M192" s="1"/>
      <c r="N192" s="1"/>
      <c r="O192" s="1"/>
      <c r="P192" s="1"/>
      <c r="Q192" s="1"/>
      <c r="R192" s="1"/>
      <c r="S192" s="1"/>
      <c r="T192" s="1"/>
      <c r="U192" s="1"/>
      <c r="V192" s="1"/>
      <c r="W192" s="1"/>
      <c r="X192" s="1"/>
      <c r="Y192" s="1"/>
      <c r="Z192" s="1"/>
    </row>
    <row r="193" ht="10.5" customHeight="1">
      <c r="A193" s="1"/>
      <c r="B193" s="238">
        <v>2002.0</v>
      </c>
      <c r="C193" s="364">
        <v>85.7</v>
      </c>
      <c r="D193" s="364">
        <v>59.2</v>
      </c>
      <c r="E193" s="364">
        <v>59.1</v>
      </c>
      <c r="F193" s="364">
        <v>66.1</v>
      </c>
      <c r="G193" s="612"/>
      <c r="H193" s="612"/>
      <c r="I193" s="1"/>
      <c r="J193" s="1"/>
      <c r="K193" s="1"/>
      <c r="L193" s="1"/>
      <c r="M193" s="1"/>
      <c r="N193" s="1"/>
      <c r="O193" s="1"/>
      <c r="P193" s="1"/>
      <c r="Q193" s="1"/>
      <c r="R193" s="1"/>
      <c r="S193" s="1"/>
      <c r="T193" s="1"/>
      <c r="U193" s="1"/>
      <c r="V193" s="1"/>
      <c r="W193" s="1"/>
      <c r="X193" s="1"/>
      <c r="Y193" s="1"/>
      <c r="Z193" s="1"/>
    </row>
    <row r="194" ht="10.5" customHeight="1">
      <c r="A194" s="1"/>
      <c r="B194" s="238">
        <v>2003.0</v>
      </c>
      <c r="C194" s="467">
        <v>88.7</v>
      </c>
      <c r="D194" s="467">
        <v>66.0</v>
      </c>
      <c r="E194" s="467">
        <v>62.5</v>
      </c>
      <c r="F194" s="467">
        <v>70.7</v>
      </c>
      <c r="G194" s="612"/>
      <c r="H194" s="612"/>
      <c r="I194" s="1"/>
      <c r="J194" s="1"/>
      <c r="K194" s="1"/>
      <c r="L194" s="1"/>
      <c r="M194" s="1"/>
      <c r="N194" s="1"/>
      <c r="O194" s="1"/>
      <c r="P194" s="1"/>
      <c r="Q194" s="1"/>
      <c r="R194" s="1"/>
      <c r="S194" s="1"/>
      <c r="T194" s="1"/>
      <c r="U194" s="1"/>
      <c r="V194" s="1"/>
      <c r="W194" s="1"/>
      <c r="X194" s="1"/>
      <c r="Y194" s="1"/>
      <c r="Z194" s="1"/>
    </row>
    <row r="195" ht="10.5" customHeight="1">
      <c r="A195" s="1"/>
      <c r="B195" s="238">
        <v>2004.0</v>
      </c>
      <c r="C195" s="467">
        <v>74.6</v>
      </c>
      <c r="D195" s="467">
        <v>68.9</v>
      </c>
      <c r="E195" s="467">
        <v>63.5</v>
      </c>
      <c r="F195" s="467">
        <v>67.6</v>
      </c>
      <c r="G195" s="612"/>
      <c r="H195" s="612"/>
      <c r="I195" s="1"/>
      <c r="J195" s="1"/>
      <c r="K195" s="1"/>
      <c r="L195" s="1"/>
      <c r="M195" s="1"/>
      <c r="N195" s="1"/>
      <c r="O195" s="1"/>
      <c r="P195" s="1"/>
      <c r="Q195" s="1"/>
      <c r="R195" s="1"/>
      <c r="S195" s="1"/>
      <c r="T195" s="1"/>
      <c r="U195" s="1"/>
      <c r="V195" s="1"/>
      <c r="W195" s="1"/>
      <c r="X195" s="1"/>
      <c r="Y195" s="1"/>
      <c r="Z195" s="1"/>
    </row>
    <row r="196" ht="10.5" customHeight="1">
      <c r="A196" s="1"/>
      <c r="B196" s="238"/>
      <c r="C196" s="467"/>
      <c r="D196" s="467"/>
      <c r="E196" s="467"/>
      <c r="F196" s="467"/>
      <c r="G196" s="612"/>
      <c r="H196" s="612"/>
      <c r="I196" s="1"/>
      <c r="J196" s="1"/>
      <c r="K196" s="1"/>
      <c r="L196" s="1"/>
      <c r="M196" s="1"/>
      <c r="N196" s="1"/>
      <c r="O196" s="1"/>
      <c r="P196" s="1"/>
      <c r="Q196" s="1"/>
      <c r="R196" s="1"/>
      <c r="S196" s="1"/>
      <c r="T196" s="1"/>
      <c r="U196" s="1"/>
      <c r="V196" s="1"/>
      <c r="W196" s="1"/>
      <c r="X196" s="1"/>
      <c r="Y196" s="1"/>
      <c r="Z196" s="1"/>
    </row>
    <row r="197" ht="10.5" customHeight="1">
      <c r="A197" s="1"/>
      <c r="B197" s="238">
        <v>2005.0</v>
      </c>
      <c r="C197" s="467">
        <v>54.4</v>
      </c>
      <c r="D197" s="467">
        <v>63.8</v>
      </c>
      <c r="E197" s="467">
        <v>64.5</v>
      </c>
      <c r="F197" s="467">
        <v>61.3</v>
      </c>
      <c r="G197" s="612"/>
      <c r="H197" s="612"/>
      <c r="I197" s="1"/>
      <c r="J197" s="1"/>
      <c r="K197" s="1"/>
      <c r="L197" s="1"/>
      <c r="M197" s="1"/>
      <c r="N197" s="1"/>
      <c r="O197" s="1"/>
      <c r="P197" s="1"/>
      <c r="Q197" s="1"/>
      <c r="R197" s="1"/>
      <c r="S197" s="1"/>
      <c r="T197" s="1"/>
      <c r="U197" s="1"/>
      <c r="V197" s="1"/>
      <c r="W197" s="1"/>
      <c r="X197" s="1"/>
      <c r="Y197" s="1"/>
      <c r="Z197" s="1"/>
    </row>
    <row r="198" ht="10.5" customHeight="1">
      <c r="A198" s="1"/>
      <c r="B198" s="238">
        <v>2006.0</v>
      </c>
      <c r="C198" s="467">
        <v>72.3</v>
      </c>
      <c r="D198" s="467">
        <v>68.2</v>
      </c>
      <c r="E198" s="467">
        <v>73.1</v>
      </c>
      <c r="F198" s="467">
        <v>71.4</v>
      </c>
      <c r="G198" s="612"/>
      <c r="H198" s="612"/>
      <c r="I198" s="1"/>
      <c r="J198" s="1"/>
      <c r="K198" s="1"/>
      <c r="L198" s="1"/>
      <c r="M198" s="1"/>
      <c r="N198" s="1"/>
      <c r="O198" s="1"/>
      <c r="P198" s="1"/>
      <c r="Q198" s="1"/>
      <c r="R198" s="1"/>
      <c r="S198" s="1"/>
      <c r="T198" s="1"/>
      <c r="U198" s="1"/>
      <c r="V198" s="1"/>
      <c r="W198" s="1"/>
      <c r="X198" s="1"/>
      <c r="Y198" s="1"/>
      <c r="Z198" s="1"/>
    </row>
    <row r="199" ht="10.5" customHeight="1">
      <c r="A199" s="1"/>
      <c r="B199" s="238">
        <v>2007.0</v>
      </c>
      <c r="C199" s="467">
        <v>103.2</v>
      </c>
      <c r="D199" s="467">
        <v>79.0</v>
      </c>
      <c r="E199" s="467">
        <v>83.3</v>
      </c>
      <c r="F199" s="467">
        <v>87.3</v>
      </c>
      <c r="G199" s="612"/>
      <c r="H199" s="612"/>
      <c r="I199" s="1"/>
      <c r="J199" s="1"/>
      <c r="K199" s="1"/>
      <c r="L199" s="1"/>
      <c r="M199" s="1"/>
      <c r="N199" s="1"/>
      <c r="O199" s="1"/>
      <c r="P199" s="1"/>
      <c r="Q199" s="1"/>
      <c r="R199" s="1"/>
      <c r="S199" s="1"/>
      <c r="T199" s="1"/>
      <c r="U199" s="1"/>
      <c r="V199" s="1"/>
      <c r="W199" s="1"/>
      <c r="X199" s="1"/>
      <c r="Y199" s="1"/>
      <c r="Z199" s="1"/>
    </row>
    <row r="200" ht="10.5" customHeight="1">
      <c r="A200" s="1"/>
      <c r="B200" s="238">
        <v>2008.0</v>
      </c>
      <c r="C200" s="467">
        <v>123.5</v>
      </c>
      <c r="D200" s="467">
        <v>85.0</v>
      </c>
      <c r="E200" s="467">
        <v>92.8</v>
      </c>
      <c r="F200" s="467">
        <v>98.8</v>
      </c>
      <c r="G200" s="612"/>
      <c r="H200" s="612"/>
      <c r="I200" s="1"/>
      <c r="J200" s="1"/>
      <c r="K200" s="1"/>
      <c r="L200" s="1"/>
      <c r="M200" s="1"/>
      <c r="N200" s="1"/>
      <c r="O200" s="1"/>
      <c r="P200" s="1"/>
      <c r="Q200" s="1"/>
      <c r="R200" s="1"/>
      <c r="S200" s="1"/>
      <c r="T200" s="1"/>
      <c r="U200" s="1"/>
      <c r="V200" s="1"/>
      <c r="W200" s="1"/>
      <c r="X200" s="1"/>
      <c r="Y200" s="1"/>
      <c r="Z200" s="1"/>
    </row>
    <row r="201" ht="10.5" customHeight="1">
      <c r="A201" s="1"/>
      <c r="B201" s="238">
        <v>2009.0</v>
      </c>
      <c r="C201" s="467">
        <v>109.4</v>
      </c>
      <c r="D201" s="467">
        <v>100.9</v>
      </c>
      <c r="E201" s="467">
        <v>99.1</v>
      </c>
      <c r="F201" s="467">
        <v>102.0</v>
      </c>
      <c r="G201" s="612"/>
      <c r="H201" s="612"/>
      <c r="I201" s="1"/>
      <c r="J201" s="1"/>
      <c r="K201" s="1"/>
      <c r="L201" s="1"/>
      <c r="M201" s="1"/>
      <c r="N201" s="1"/>
      <c r="O201" s="1"/>
      <c r="P201" s="1"/>
      <c r="Q201" s="1"/>
      <c r="R201" s="1"/>
      <c r="S201" s="1"/>
      <c r="T201" s="1"/>
      <c r="U201" s="1"/>
      <c r="V201" s="1"/>
      <c r="W201" s="1"/>
      <c r="X201" s="1"/>
      <c r="Y201" s="1"/>
      <c r="Z201" s="1"/>
    </row>
    <row r="202" ht="10.5" customHeight="1">
      <c r="A202" s="1"/>
      <c r="B202" s="238"/>
      <c r="C202" s="467"/>
      <c r="D202" s="467"/>
      <c r="E202" s="467"/>
      <c r="F202" s="467"/>
      <c r="G202" s="612"/>
      <c r="H202" s="612"/>
      <c r="I202" s="1"/>
      <c r="J202" s="1"/>
      <c r="K202" s="1"/>
      <c r="L202" s="1"/>
      <c r="M202" s="1"/>
      <c r="N202" s="1"/>
      <c r="O202" s="1"/>
      <c r="P202" s="1"/>
      <c r="Q202" s="1"/>
      <c r="R202" s="1"/>
      <c r="S202" s="1"/>
      <c r="T202" s="1"/>
      <c r="U202" s="1"/>
      <c r="V202" s="1"/>
      <c r="W202" s="1"/>
      <c r="X202" s="1"/>
      <c r="Y202" s="1"/>
      <c r="Z202" s="1"/>
    </row>
    <row r="203" ht="10.5" customHeight="1">
      <c r="A203" s="1"/>
      <c r="B203" s="129">
        <v>2010.0</v>
      </c>
      <c r="C203" s="467">
        <v>100.0</v>
      </c>
      <c r="D203" s="467">
        <v>100.0</v>
      </c>
      <c r="E203" s="467">
        <v>100.0</v>
      </c>
      <c r="F203" s="467">
        <v>100.0</v>
      </c>
      <c r="G203" s="612"/>
      <c r="H203" s="612"/>
      <c r="I203" s="1"/>
      <c r="J203" s="1"/>
      <c r="K203" s="1"/>
      <c r="L203" s="1"/>
      <c r="M203" s="1"/>
      <c r="N203" s="1"/>
      <c r="O203" s="1"/>
      <c r="P203" s="1"/>
      <c r="Q203" s="1"/>
      <c r="R203" s="1"/>
      <c r="S203" s="1"/>
      <c r="T203" s="1"/>
      <c r="U203" s="1"/>
      <c r="V203" s="1"/>
      <c r="W203" s="1"/>
      <c r="X203" s="1"/>
      <c r="Y203" s="1"/>
      <c r="Z203" s="1"/>
    </row>
    <row r="204" ht="10.5" customHeight="1">
      <c r="A204" s="1"/>
      <c r="B204" s="79">
        <v>2011.0</v>
      </c>
      <c r="C204" s="467">
        <v>128.6</v>
      </c>
      <c r="D204" s="467">
        <v>106.1</v>
      </c>
      <c r="E204" s="467">
        <v>110.6</v>
      </c>
      <c r="F204" s="467">
        <v>113.5</v>
      </c>
      <c r="G204" s="612"/>
      <c r="H204" s="612"/>
      <c r="I204" s="1"/>
      <c r="J204" s="1"/>
      <c r="K204" s="1"/>
      <c r="L204" s="1"/>
      <c r="M204" s="1"/>
      <c r="N204" s="1"/>
      <c r="O204" s="1"/>
      <c r="P204" s="1"/>
      <c r="Q204" s="1"/>
      <c r="R204" s="1"/>
      <c r="S204" s="1"/>
      <c r="T204" s="1"/>
      <c r="U204" s="1"/>
      <c r="V204" s="1"/>
      <c r="W204" s="1"/>
      <c r="X204" s="1"/>
      <c r="Y204" s="1"/>
      <c r="Z204" s="1"/>
    </row>
    <row r="205" ht="10.5" customHeight="1">
      <c r="A205" s="1"/>
      <c r="B205" s="11" t="s">
        <v>489</v>
      </c>
      <c r="C205" s="467">
        <v>158.5</v>
      </c>
      <c r="D205" s="467">
        <v>112.4</v>
      </c>
      <c r="E205" s="467">
        <v>117.9</v>
      </c>
      <c r="F205" s="467">
        <v>125.7</v>
      </c>
      <c r="G205" s="774"/>
      <c r="H205" s="612"/>
      <c r="I205" s="1"/>
      <c r="J205" s="1"/>
      <c r="K205" s="1"/>
      <c r="L205" s="1"/>
      <c r="M205" s="1"/>
      <c r="N205" s="1"/>
      <c r="O205" s="1"/>
      <c r="P205" s="1"/>
      <c r="Q205" s="1"/>
      <c r="R205" s="1"/>
      <c r="S205" s="1"/>
      <c r="T205" s="1"/>
      <c r="U205" s="1"/>
      <c r="V205" s="1"/>
      <c r="W205" s="1"/>
      <c r="X205" s="1"/>
      <c r="Y205" s="1"/>
      <c r="Z205" s="1"/>
    </row>
    <row r="206" ht="10.5" customHeight="1">
      <c r="A206" s="1"/>
      <c r="B206" s="79" t="s">
        <v>55</v>
      </c>
      <c r="C206" s="467">
        <v>160.6</v>
      </c>
      <c r="D206" s="467">
        <v>122.9</v>
      </c>
      <c r="E206" s="467">
        <v>124.3</v>
      </c>
      <c r="F206" s="467">
        <v>132.2</v>
      </c>
      <c r="G206" s="612"/>
      <c r="H206" s="612"/>
      <c r="I206" s="1"/>
      <c r="J206" s="1"/>
      <c r="K206" s="1"/>
      <c r="L206" s="1"/>
      <c r="M206" s="1"/>
      <c r="N206" s="1"/>
      <c r="O206" s="1"/>
      <c r="P206" s="1"/>
      <c r="Q206" s="1"/>
      <c r="R206" s="1"/>
      <c r="S206" s="1"/>
      <c r="T206" s="1"/>
      <c r="U206" s="1"/>
      <c r="V206" s="1"/>
      <c r="W206" s="1"/>
      <c r="X206" s="1"/>
      <c r="Y206" s="1"/>
      <c r="Z206" s="1"/>
    </row>
    <row r="207" ht="10.5" customHeight="1">
      <c r="A207" s="1"/>
      <c r="B207" s="79" t="s">
        <v>57</v>
      </c>
      <c r="C207" s="467">
        <v>167.2</v>
      </c>
      <c r="D207" s="467">
        <v>136.5</v>
      </c>
      <c r="E207" s="467">
        <v>138.4</v>
      </c>
      <c r="F207" s="467">
        <v>144.4</v>
      </c>
      <c r="G207" s="612"/>
      <c r="H207" s="612"/>
      <c r="I207" s="1"/>
      <c r="J207" s="1"/>
      <c r="K207" s="1"/>
      <c r="L207" s="1"/>
      <c r="M207" s="1"/>
      <c r="N207" s="1"/>
      <c r="O207" s="1"/>
      <c r="P207" s="1"/>
      <c r="Q207" s="1"/>
      <c r="R207" s="1"/>
      <c r="S207" s="1"/>
      <c r="T207" s="1"/>
      <c r="U207" s="1"/>
      <c r="V207" s="1"/>
      <c r="W207" s="1"/>
      <c r="X207" s="1"/>
      <c r="Y207" s="1"/>
      <c r="Z207" s="1"/>
    </row>
    <row r="208" ht="10.5" customHeight="1">
      <c r="A208" s="1"/>
      <c r="B208" s="79"/>
      <c r="C208" s="467"/>
      <c r="D208" s="467"/>
      <c r="E208" s="467"/>
      <c r="F208" s="467"/>
      <c r="G208" s="612"/>
      <c r="H208" s="612"/>
      <c r="I208" s="1"/>
      <c r="J208" s="1"/>
      <c r="K208" s="1"/>
      <c r="L208" s="1"/>
      <c r="M208" s="1"/>
      <c r="N208" s="1"/>
      <c r="O208" s="1"/>
      <c r="P208" s="1"/>
      <c r="Q208" s="1"/>
      <c r="R208" s="1"/>
      <c r="S208" s="1"/>
      <c r="T208" s="1"/>
      <c r="U208" s="1"/>
      <c r="V208" s="1"/>
      <c r="W208" s="1"/>
      <c r="X208" s="1"/>
      <c r="Y208" s="1"/>
      <c r="Z208" s="1"/>
    </row>
    <row r="209" ht="10.5" customHeight="1">
      <c r="A209" s="1"/>
      <c r="B209" s="79" t="s">
        <v>58</v>
      </c>
      <c r="C209" s="467">
        <v>183.2</v>
      </c>
      <c r="D209" s="467">
        <v>144.2</v>
      </c>
      <c r="E209" s="467">
        <v>146.8</v>
      </c>
      <c r="F209" s="467">
        <v>154.4</v>
      </c>
      <c r="G209" s="612"/>
      <c r="H209" s="612"/>
      <c r="I209" s="1"/>
      <c r="J209" s="1"/>
      <c r="K209" s="1"/>
      <c r="L209" s="1"/>
      <c r="M209" s="1"/>
      <c r="N209" s="1"/>
      <c r="O209" s="1"/>
      <c r="P209" s="1"/>
      <c r="Q209" s="1"/>
      <c r="R209" s="1"/>
      <c r="S209" s="1"/>
      <c r="T209" s="1"/>
      <c r="U209" s="1"/>
      <c r="V209" s="1"/>
      <c r="W209" s="1"/>
      <c r="X209" s="1"/>
      <c r="Y209" s="1"/>
      <c r="Z209" s="1"/>
    </row>
    <row r="210" ht="10.5" customHeight="1">
      <c r="A210" s="1"/>
      <c r="B210" s="79" t="s">
        <v>59</v>
      </c>
      <c r="C210" s="467">
        <v>244.5</v>
      </c>
      <c r="D210" s="467">
        <v>173.3</v>
      </c>
      <c r="E210" s="467">
        <v>155.1</v>
      </c>
      <c r="F210" s="467">
        <v>180.4</v>
      </c>
      <c r="G210" s="612"/>
      <c r="H210" s="612"/>
      <c r="I210" s="1"/>
      <c r="J210" s="1"/>
      <c r="K210" s="1"/>
      <c r="L210" s="1"/>
      <c r="M210" s="1"/>
      <c r="N210" s="1"/>
      <c r="O210" s="1"/>
      <c r="P210" s="1"/>
      <c r="Q210" s="1"/>
      <c r="R210" s="1"/>
      <c r="S210" s="1"/>
      <c r="T210" s="1"/>
      <c r="U210" s="1"/>
      <c r="V210" s="1"/>
      <c r="W210" s="1"/>
      <c r="X210" s="1"/>
      <c r="Y210" s="1"/>
      <c r="Z210" s="1"/>
    </row>
    <row r="211" ht="10.5" customHeight="1">
      <c r="A211" s="1"/>
      <c r="B211" s="97" t="s">
        <v>60</v>
      </c>
      <c r="C211" s="471">
        <v>170.5</v>
      </c>
      <c r="D211" s="471">
        <v>163.7</v>
      </c>
      <c r="E211" s="471">
        <v>183.3</v>
      </c>
      <c r="F211" s="471">
        <v>175.1</v>
      </c>
      <c r="G211" s="612"/>
      <c r="H211" s="612"/>
      <c r="I211" s="1"/>
      <c r="J211" s="1"/>
      <c r="K211" s="1"/>
      <c r="L211" s="1"/>
      <c r="M211" s="1"/>
      <c r="N211" s="1"/>
      <c r="O211" s="1"/>
      <c r="P211" s="1"/>
      <c r="Q211" s="1"/>
      <c r="R211" s="1"/>
      <c r="S211" s="1"/>
      <c r="T211" s="1"/>
      <c r="U211" s="1"/>
      <c r="V211" s="1"/>
      <c r="W211" s="1"/>
      <c r="X211" s="1"/>
      <c r="Y211" s="1"/>
      <c r="Z211" s="1"/>
    </row>
    <row r="212" ht="6.0" customHeight="1">
      <c r="A212" s="1"/>
      <c r="B212" s="242"/>
      <c r="C212" s="473"/>
      <c r="D212" s="473"/>
      <c r="E212" s="473"/>
      <c r="F212" s="473"/>
      <c r="G212" s="612"/>
      <c r="H212" s="612"/>
      <c r="I212" s="1"/>
      <c r="J212" s="1"/>
      <c r="K212" s="1"/>
      <c r="L212" s="1"/>
      <c r="M212" s="1"/>
      <c r="N212" s="1"/>
      <c r="O212" s="1"/>
      <c r="P212" s="1"/>
      <c r="Q212" s="1"/>
      <c r="R212" s="1"/>
      <c r="S212" s="1"/>
      <c r="T212" s="1"/>
      <c r="U212" s="1"/>
      <c r="V212" s="1"/>
      <c r="W212" s="1"/>
      <c r="X212" s="1"/>
      <c r="Y212" s="1"/>
      <c r="Z212" s="1"/>
    </row>
    <row r="213" ht="10.5" customHeight="1">
      <c r="A213" s="1"/>
      <c r="B213" s="185" t="s">
        <v>1804</v>
      </c>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0.5" customHeight="1">
      <c r="A214" s="1"/>
      <c r="B214" s="185" t="s">
        <v>1805</v>
      </c>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0.5" customHeight="1">
      <c r="A215" s="1"/>
      <c r="B215" s="185" t="s">
        <v>1806</v>
      </c>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0.5" customHeight="1">
      <c r="A216" s="1"/>
      <c r="B216" s="1"/>
      <c r="C216" s="817"/>
      <c r="D216" s="817"/>
      <c r="E216" s="817"/>
      <c r="F216" s="817"/>
      <c r="G216" s="1"/>
      <c r="H216" s="1"/>
      <c r="I216" s="1"/>
      <c r="J216" s="1"/>
      <c r="K216" s="1"/>
      <c r="L216" s="1"/>
      <c r="M216" s="1"/>
      <c r="N216" s="1"/>
      <c r="O216" s="1"/>
      <c r="P216" s="1"/>
      <c r="Q216" s="1"/>
      <c r="R216" s="1"/>
      <c r="S216" s="1"/>
      <c r="T216" s="1"/>
      <c r="U216" s="1"/>
      <c r="V216" s="1"/>
      <c r="W216" s="1"/>
      <c r="X216" s="1"/>
      <c r="Y216" s="1"/>
      <c r="Z216" s="1"/>
    </row>
    <row r="217" ht="10.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0.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0.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0.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0.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0.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0.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0.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0.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0.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0.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0.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0.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0.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0.5" customHeight="1">
      <c r="A231" s="1"/>
      <c r="B231" s="1"/>
      <c r="C231" s="1"/>
      <c r="D231" s="1"/>
      <c r="E231" s="1"/>
      <c r="F231" s="1"/>
      <c r="G231" s="1"/>
      <c r="H231" s="110">
        <v>91.0</v>
      </c>
      <c r="I231" s="1"/>
      <c r="J231" s="1"/>
      <c r="K231" s="1"/>
      <c r="L231" s="1"/>
      <c r="M231" s="1"/>
      <c r="N231" s="1"/>
      <c r="O231" s="1"/>
      <c r="P231" s="1"/>
      <c r="Q231" s="1"/>
      <c r="R231" s="1"/>
      <c r="S231" s="1"/>
      <c r="T231" s="1"/>
      <c r="U231" s="1"/>
      <c r="V231" s="1"/>
      <c r="W231" s="1"/>
      <c r="X231" s="1"/>
      <c r="Y231" s="1"/>
      <c r="Z231" s="1"/>
    </row>
    <row r="232" ht="10.5" customHeight="1">
      <c r="A232" s="1"/>
      <c r="B232" s="1"/>
      <c r="C232" s="1"/>
      <c r="D232" s="1"/>
      <c r="E232" s="1"/>
      <c r="F232" s="1"/>
      <c r="G232" s="1"/>
      <c r="H232" s="110"/>
      <c r="I232" s="1"/>
      <c r="J232" s="1"/>
      <c r="K232" s="1"/>
      <c r="L232" s="1"/>
      <c r="M232" s="1"/>
      <c r="N232" s="1"/>
      <c r="O232" s="1"/>
      <c r="P232" s="1"/>
      <c r="Q232" s="1"/>
      <c r="R232" s="1"/>
      <c r="S232" s="1"/>
      <c r="T232" s="1"/>
      <c r="U232" s="1"/>
      <c r="V232" s="1"/>
      <c r="W232" s="1"/>
      <c r="X232" s="1"/>
      <c r="Y232" s="1"/>
      <c r="Z232" s="1"/>
    </row>
    <row r="233" ht="10.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1.25" customHeight="1">
      <c r="A234" s="1" t="s">
        <v>11</v>
      </c>
      <c r="B234" s="1" t="s">
        <v>1807</v>
      </c>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4.75" customHeight="1">
      <c r="A235" s="1"/>
      <c r="B235" s="189" t="s">
        <v>1</v>
      </c>
      <c r="C235" s="273" t="s">
        <v>1808</v>
      </c>
      <c r="D235" s="273" t="s">
        <v>1809</v>
      </c>
      <c r="E235" s="273" t="s">
        <v>1810</v>
      </c>
      <c r="F235" s="273" t="s">
        <v>1573</v>
      </c>
      <c r="G235" s="273" t="s">
        <v>1811</v>
      </c>
      <c r="H235" s="273" t="s">
        <v>1812</v>
      </c>
      <c r="I235" s="273" t="s">
        <v>1577</v>
      </c>
      <c r="J235" s="273" t="s">
        <v>1576</v>
      </c>
      <c r="K235" s="273" t="s">
        <v>1803</v>
      </c>
      <c r="L235" s="1"/>
      <c r="M235" s="1"/>
      <c r="N235" s="1"/>
      <c r="O235" s="1"/>
      <c r="P235" s="1"/>
      <c r="Q235" s="1"/>
      <c r="R235" s="1"/>
      <c r="S235" s="1"/>
      <c r="T235" s="1"/>
      <c r="U235" s="1"/>
      <c r="V235" s="1"/>
      <c r="W235" s="1"/>
      <c r="X235" s="1"/>
      <c r="Y235" s="1"/>
      <c r="Z235" s="1"/>
    </row>
    <row r="236" ht="11.25" customHeight="1">
      <c r="A236" s="1"/>
      <c r="B236" s="6"/>
      <c r="C236" s="8" t="s">
        <v>54</v>
      </c>
      <c r="D236" s="9"/>
      <c r="E236" s="9"/>
      <c r="F236" s="9"/>
      <c r="G236" s="9"/>
      <c r="H236" s="9"/>
      <c r="I236" s="9"/>
      <c r="J236" s="9"/>
      <c r="K236" s="10"/>
      <c r="L236" s="1"/>
      <c r="M236" s="1"/>
      <c r="N236" s="1"/>
      <c r="O236" s="1"/>
      <c r="P236" s="1"/>
      <c r="Q236" s="1"/>
      <c r="R236" s="1"/>
      <c r="S236" s="1"/>
      <c r="T236" s="1"/>
      <c r="U236" s="1"/>
      <c r="V236" s="1"/>
      <c r="W236" s="1"/>
      <c r="X236" s="1"/>
      <c r="Y236" s="1"/>
      <c r="Z236" s="1"/>
    </row>
    <row r="237" ht="11.25" customHeight="1">
      <c r="A237" s="1"/>
      <c r="B237" s="512" t="s">
        <v>1704</v>
      </c>
      <c r="C237" s="1073">
        <v>46.3</v>
      </c>
      <c r="D237" s="1073">
        <v>13.1</v>
      </c>
      <c r="E237" s="1073">
        <v>11.4</v>
      </c>
      <c r="F237" s="1073">
        <v>16.2</v>
      </c>
      <c r="G237" s="1073">
        <v>10.2</v>
      </c>
      <c r="H237" s="1073">
        <v>1.3</v>
      </c>
      <c r="I237" s="1073">
        <v>0.3</v>
      </c>
      <c r="J237" s="1073">
        <v>1.2</v>
      </c>
      <c r="K237" s="1073">
        <f>SUM(C237:J237)</f>
        <v>100</v>
      </c>
      <c r="L237" s="1"/>
      <c r="M237" s="1"/>
      <c r="N237" s="1"/>
      <c r="O237" s="1"/>
      <c r="P237" s="1"/>
      <c r="Q237" s="1"/>
      <c r="R237" s="1"/>
      <c r="S237" s="1"/>
      <c r="T237" s="1"/>
      <c r="U237" s="1"/>
      <c r="V237" s="1"/>
      <c r="W237" s="1"/>
      <c r="X237" s="1"/>
      <c r="Y237" s="1"/>
      <c r="Z237" s="1"/>
    </row>
    <row r="238" ht="10.5" customHeight="1">
      <c r="A238" s="1"/>
      <c r="B238" s="238">
        <v>1980.0</v>
      </c>
      <c r="C238" s="364">
        <v>13.9</v>
      </c>
      <c r="D238" s="364">
        <v>10.8</v>
      </c>
      <c r="E238" s="364">
        <v>7.9</v>
      </c>
      <c r="F238" s="364">
        <v>7.8</v>
      </c>
      <c r="G238" s="364">
        <v>4.2</v>
      </c>
      <c r="H238" s="364">
        <v>8.7</v>
      </c>
      <c r="I238" s="364">
        <v>11.7</v>
      </c>
      <c r="J238" s="364">
        <v>7.3</v>
      </c>
      <c r="K238" s="364">
        <v>10.0</v>
      </c>
      <c r="L238" s="1"/>
      <c r="M238" s="1"/>
      <c r="N238" s="1"/>
      <c r="O238" s="1"/>
      <c r="P238" s="1"/>
      <c r="Q238" s="1"/>
      <c r="R238" s="1"/>
      <c r="S238" s="1"/>
      <c r="T238" s="1"/>
      <c r="U238" s="1"/>
      <c r="V238" s="1"/>
      <c r="W238" s="1"/>
      <c r="X238" s="1"/>
      <c r="Y238" s="1"/>
      <c r="Z238" s="1"/>
    </row>
    <row r="239" ht="10.5" customHeight="1">
      <c r="A239" s="1"/>
      <c r="B239" s="238">
        <v>1981.0</v>
      </c>
      <c r="C239" s="364">
        <v>13.9</v>
      </c>
      <c r="D239" s="364">
        <v>12.3</v>
      </c>
      <c r="E239" s="364">
        <v>8.3</v>
      </c>
      <c r="F239" s="364">
        <v>7.3</v>
      </c>
      <c r="G239" s="364">
        <v>5.2</v>
      </c>
      <c r="H239" s="364">
        <v>11.8</v>
      </c>
      <c r="I239" s="364">
        <v>12.3</v>
      </c>
      <c r="J239" s="364">
        <v>8.0</v>
      </c>
      <c r="K239" s="364">
        <v>10.3</v>
      </c>
      <c r="L239" s="1"/>
      <c r="M239" s="1"/>
      <c r="N239" s="1"/>
      <c r="O239" s="1"/>
      <c r="P239" s="1"/>
      <c r="Q239" s="1"/>
      <c r="R239" s="1"/>
      <c r="S239" s="1"/>
      <c r="T239" s="1"/>
      <c r="U239" s="1"/>
      <c r="V239" s="1"/>
      <c r="W239" s="1"/>
      <c r="X239" s="1"/>
      <c r="Y239" s="1"/>
      <c r="Z239" s="1"/>
    </row>
    <row r="240" ht="10.5" customHeight="1">
      <c r="A240" s="1"/>
      <c r="B240" s="238">
        <v>1982.0</v>
      </c>
      <c r="C240" s="364">
        <v>16.2</v>
      </c>
      <c r="D240" s="364">
        <v>14.6</v>
      </c>
      <c r="E240" s="364">
        <v>9.8</v>
      </c>
      <c r="F240" s="364">
        <v>8.0</v>
      </c>
      <c r="G240" s="364">
        <v>6.3</v>
      </c>
      <c r="H240" s="364">
        <v>9.6</v>
      </c>
      <c r="I240" s="364">
        <v>12.3</v>
      </c>
      <c r="J240" s="364">
        <v>10.5</v>
      </c>
      <c r="K240" s="364">
        <v>11.9</v>
      </c>
      <c r="L240" s="1"/>
      <c r="M240" s="1"/>
      <c r="N240" s="1"/>
      <c r="O240" s="1"/>
      <c r="P240" s="1"/>
      <c r="Q240" s="1"/>
      <c r="R240" s="1"/>
      <c r="S240" s="1"/>
      <c r="T240" s="1"/>
      <c r="U240" s="1"/>
      <c r="V240" s="1"/>
      <c r="W240" s="1"/>
      <c r="X240" s="1"/>
      <c r="Y240" s="1"/>
      <c r="Z240" s="1"/>
    </row>
    <row r="241" ht="10.5" customHeight="1">
      <c r="A241" s="1"/>
      <c r="B241" s="238">
        <v>1983.0</v>
      </c>
      <c r="C241" s="364">
        <v>20.4</v>
      </c>
      <c r="D241" s="364">
        <v>14.8</v>
      </c>
      <c r="E241" s="364">
        <v>9.8</v>
      </c>
      <c r="F241" s="364">
        <v>10.6</v>
      </c>
      <c r="G241" s="364">
        <v>8.1</v>
      </c>
      <c r="H241" s="364">
        <v>15.8</v>
      </c>
      <c r="I241" s="364">
        <v>15.2</v>
      </c>
      <c r="J241" s="364">
        <v>14.3</v>
      </c>
      <c r="K241" s="364">
        <v>14.6</v>
      </c>
      <c r="L241" s="1"/>
      <c r="M241" s="1"/>
      <c r="N241" s="1"/>
      <c r="O241" s="1"/>
      <c r="P241" s="1"/>
      <c r="Q241" s="1"/>
      <c r="R241" s="1"/>
      <c r="S241" s="1"/>
      <c r="T241" s="1"/>
      <c r="U241" s="1"/>
      <c r="V241" s="1"/>
      <c r="W241" s="1"/>
      <c r="X241" s="1"/>
      <c r="Y241" s="1"/>
      <c r="Z241" s="1"/>
    </row>
    <row r="242" ht="10.5" customHeight="1">
      <c r="A242" s="1"/>
      <c r="B242" s="238">
        <v>1984.0</v>
      </c>
      <c r="C242" s="364">
        <v>26.0</v>
      </c>
      <c r="D242" s="364">
        <v>15.4</v>
      </c>
      <c r="E242" s="364">
        <v>11.1</v>
      </c>
      <c r="F242" s="364">
        <v>8.8</v>
      </c>
      <c r="G242" s="364">
        <v>8.2</v>
      </c>
      <c r="H242" s="364">
        <v>15.1</v>
      </c>
      <c r="I242" s="364">
        <v>17.2</v>
      </c>
      <c r="J242" s="364">
        <v>15.9</v>
      </c>
      <c r="K242" s="364">
        <v>16.2</v>
      </c>
      <c r="L242" s="1"/>
      <c r="M242" s="1"/>
      <c r="N242" s="1"/>
      <c r="O242" s="1"/>
      <c r="P242" s="1"/>
      <c r="Q242" s="1"/>
      <c r="R242" s="1"/>
      <c r="S242" s="1"/>
      <c r="T242" s="1"/>
      <c r="U242" s="1"/>
      <c r="V242" s="1"/>
      <c r="W242" s="1"/>
      <c r="X242" s="1"/>
      <c r="Y242" s="1"/>
      <c r="Z242" s="1"/>
    </row>
    <row r="243" ht="10.5" customHeight="1">
      <c r="A243" s="1"/>
      <c r="B243" s="238"/>
      <c r="C243" s="364"/>
      <c r="D243" s="364"/>
      <c r="E243" s="364"/>
      <c r="F243" s="364"/>
      <c r="G243" s="364"/>
      <c r="H243" s="364"/>
      <c r="I243" s="364"/>
      <c r="J243" s="364"/>
      <c r="K243" s="364"/>
      <c r="L243" s="1"/>
      <c r="M243" s="1"/>
      <c r="N243" s="1"/>
      <c r="O243" s="1"/>
      <c r="P243" s="1"/>
      <c r="Q243" s="1"/>
      <c r="R243" s="1"/>
      <c r="S243" s="1"/>
      <c r="T243" s="1"/>
      <c r="U243" s="1"/>
      <c r="V243" s="1"/>
      <c r="W243" s="1"/>
      <c r="X243" s="1"/>
      <c r="Y243" s="1"/>
      <c r="Z243" s="1"/>
    </row>
    <row r="244" ht="10.5" customHeight="1">
      <c r="A244" s="1"/>
      <c r="B244" s="238">
        <v>1985.0</v>
      </c>
      <c r="C244" s="364">
        <v>26.0</v>
      </c>
      <c r="D244" s="364">
        <v>16.5</v>
      </c>
      <c r="E244" s="364">
        <v>13.7</v>
      </c>
      <c r="F244" s="364">
        <v>9.8</v>
      </c>
      <c r="G244" s="364">
        <v>8.0</v>
      </c>
      <c r="H244" s="364">
        <v>13.0</v>
      </c>
      <c r="I244" s="364">
        <v>20.2</v>
      </c>
      <c r="J244" s="364">
        <v>17.2</v>
      </c>
      <c r="K244" s="364">
        <v>16.8</v>
      </c>
      <c r="L244" s="1"/>
      <c r="M244" s="1"/>
      <c r="N244" s="1"/>
      <c r="O244" s="1"/>
      <c r="P244" s="1"/>
      <c r="Q244" s="1"/>
      <c r="R244" s="1"/>
      <c r="S244" s="1"/>
      <c r="T244" s="1"/>
      <c r="U244" s="1"/>
      <c r="V244" s="1"/>
      <c r="W244" s="1"/>
      <c r="X244" s="1"/>
      <c r="Y244" s="1"/>
      <c r="Z244" s="1"/>
    </row>
    <row r="245" ht="10.5" customHeight="1">
      <c r="A245" s="1"/>
      <c r="B245" s="238">
        <v>1986.0</v>
      </c>
      <c r="C245" s="364">
        <v>27.8</v>
      </c>
      <c r="D245" s="364">
        <v>18.8</v>
      </c>
      <c r="E245" s="364">
        <v>15.7</v>
      </c>
      <c r="F245" s="364">
        <v>11.4</v>
      </c>
      <c r="G245" s="364">
        <v>8.1</v>
      </c>
      <c r="H245" s="364">
        <v>13.2</v>
      </c>
      <c r="I245" s="364">
        <v>20.7</v>
      </c>
      <c r="J245" s="364">
        <v>19.3</v>
      </c>
      <c r="K245" s="364">
        <v>18.4</v>
      </c>
      <c r="L245" s="1"/>
      <c r="M245" s="1"/>
      <c r="N245" s="1"/>
      <c r="O245" s="1"/>
      <c r="P245" s="1"/>
      <c r="Q245" s="1"/>
      <c r="R245" s="1"/>
      <c r="S245" s="1"/>
      <c r="T245" s="1"/>
      <c r="U245" s="1"/>
      <c r="V245" s="1"/>
      <c r="W245" s="1"/>
      <c r="X245" s="1"/>
      <c r="Y245" s="1"/>
      <c r="Z245" s="1"/>
    </row>
    <row r="246" ht="10.5" customHeight="1">
      <c r="A246" s="1"/>
      <c r="B246" s="238">
        <v>1987.0</v>
      </c>
      <c r="C246" s="364">
        <v>30.0</v>
      </c>
      <c r="D246" s="364">
        <v>20.7</v>
      </c>
      <c r="E246" s="364">
        <v>18.3</v>
      </c>
      <c r="F246" s="364">
        <v>10.5</v>
      </c>
      <c r="G246" s="364">
        <v>9.0</v>
      </c>
      <c r="H246" s="364">
        <v>15.0</v>
      </c>
      <c r="I246" s="364">
        <v>22.6</v>
      </c>
      <c r="J246" s="364">
        <v>23.2</v>
      </c>
      <c r="K246" s="364">
        <v>19.8</v>
      </c>
      <c r="L246" s="1"/>
      <c r="M246" s="1"/>
      <c r="N246" s="1"/>
      <c r="O246" s="1"/>
      <c r="P246" s="1"/>
      <c r="Q246" s="1"/>
      <c r="R246" s="1"/>
      <c r="S246" s="1"/>
      <c r="T246" s="1"/>
      <c r="U246" s="1"/>
      <c r="V246" s="1"/>
      <c r="W246" s="1"/>
      <c r="X246" s="1"/>
      <c r="Y246" s="1"/>
      <c r="Z246" s="1"/>
    </row>
    <row r="247" ht="10.5" customHeight="1">
      <c r="A247" s="1"/>
      <c r="B247" s="238">
        <v>1988.0</v>
      </c>
      <c r="C247" s="364">
        <v>30.7</v>
      </c>
      <c r="D247" s="364">
        <v>19.4</v>
      </c>
      <c r="E247" s="364">
        <v>17.4</v>
      </c>
      <c r="F247" s="364">
        <v>13.0</v>
      </c>
      <c r="G247" s="364">
        <v>10.8</v>
      </c>
      <c r="H247" s="364">
        <v>19.1</v>
      </c>
      <c r="I247" s="364">
        <v>24.9</v>
      </c>
      <c r="J247" s="364">
        <v>26.6</v>
      </c>
      <c r="K247" s="364">
        <v>21.0</v>
      </c>
      <c r="L247" s="1"/>
      <c r="M247" s="1"/>
      <c r="N247" s="1"/>
      <c r="O247" s="1"/>
      <c r="P247" s="1"/>
      <c r="Q247" s="1"/>
      <c r="R247" s="1"/>
      <c r="S247" s="1"/>
      <c r="T247" s="1"/>
      <c r="U247" s="1"/>
      <c r="V247" s="1"/>
      <c r="W247" s="1"/>
      <c r="X247" s="1"/>
      <c r="Y247" s="1"/>
      <c r="Z247" s="1"/>
    </row>
    <row r="248" ht="10.5" customHeight="1">
      <c r="A248" s="1"/>
      <c r="B248" s="238">
        <v>1989.0</v>
      </c>
      <c r="C248" s="364">
        <v>31.2</v>
      </c>
      <c r="D248" s="364">
        <v>21.6</v>
      </c>
      <c r="E248" s="364">
        <v>21.6</v>
      </c>
      <c r="F248" s="364">
        <v>16.2</v>
      </c>
      <c r="G248" s="364">
        <v>12.2</v>
      </c>
      <c r="H248" s="364">
        <v>18.5</v>
      </c>
      <c r="I248" s="364">
        <v>25.9</v>
      </c>
      <c r="J248" s="364">
        <v>29.8</v>
      </c>
      <c r="K248" s="364">
        <v>22.9</v>
      </c>
      <c r="L248" s="1"/>
      <c r="M248" s="1"/>
      <c r="N248" s="1"/>
      <c r="O248" s="1"/>
      <c r="P248" s="1"/>
      <c r="Q248" s="1"/>
      <c r="R248" s="1"/>
      <c r="S248" s="1"/>
      <c r="T248" s="1"/>
      <c r="U248" s="1"/>
      <c r="V248" s="1"/>
      <c r="W248" s="1"/>
      <c r="X248" s="1"/>
      <c r="Y248" s="1"/>
      <c r="Z248" s="1"/>
    </row>
    <row r="249" ht="10.5" customHeight="1">
      <c r="A249" s="1"/>
      <c r="B249" s="238"/>
      <c r="C249" s="364"/>
      <c r="D249" s="364"/>
      <c r="E249" s="364"/>
      <c r="F249" s="364"/>
      <c r="G249" s="364"/>
      <c r="H249" s="364"/>
      <c r="I249" s="364"/>
      <c r="J249" s="364"/>
      <c r="K249" s="364"/>
      <c r="L249" s="1"/>
      <c r="M249" s="1"/>
      <c r="N249" s="1"/>
      <c r="O249" s="1"/>
      <c r="P249" s="1"/>
      <c r="Q249" s="1"/>
      <c r="R249" s="1"/>
      <c r="S249" s="1"/>
      <c r="T249" s="1"/>
      <c r="U249" s="1"/>
      <c r="V249" s="1"/>
      <c r="W249" s="1"/>
      <c r="X249" s="1"/>
      <c r="Y249" s="1"/>
      <c r="Z249" s="1"/>
    </row>
    <row r="250" ht="10.5" customHeight="1">
      <c r="A250" s="1"/>
      <c r="B250" s="238">
        <v>1990.0</v>
      </c>
      <c r="C250" s="364">
        <v>36.2</v>
      </c>
      <c r="D250" s="364">
        <v>26.3</v>
      </c>
      <c r="E250" s="364">
        <v>23.4</v>
      </c>
      <c r="F250" s="364">
        <v>17.5</v>
      </c>
      <c r="G250" s="364">
        <v>12.4</v>
      </c>
      <c r="H250" s="364">
        <v>18.0</v>
      </c>
      <c r="I250" s="364">
        <v>32.0</v>
      </c>
      <c r="J250" s="364">
        <v>31.5</v>
      </c>
      <c r="K250" s="364">
        <v>25.5</v>
      </c>
      <c r="L250" s="1"/>
      <c r="M250" s="1"/>
      <c r="N250" s="1"/>
      <c r="O250" s="1"/>
      <c r="P250" s="1"/>
      <c r="Q250" s="1"/>
      <c r="R250" s="1"/>
      <c r="S250" s="1"/>
      <c r="T250" s="1"/>
      <c r="U250" s="1"/>
      <c r="V250" s="1"/>
      <c r="W250" s="1"/>
      <c r="X250" s="1"/>
      <c r="Y250" s="1"/>
      <c r="Z250" s="1"/>
    </row>
    <row r="251" ht="10.5" customHeight="1">
      <c r="A251" s="1"/>
      <c r="B251" s="238">
        <v>1991.0</v>
      </c>
      <c r="C251" s="364">
        <v>42.8</v>
      </c>
      <c r="D251" s="364">
        <v>31.3</v>
      </c>
      <c r="E251" s="364">
        <v>24.7</v>
      </c>
      <c r="F251" s="364">
        <v>18.0</v>
      </c>
      <c r="G251" s="364">
        <v>14.9</v>
      </c>
      <c r="H251" s="364">
        <v>18.2</v>
      </c>
      <c r="I251" s="364">
        <v>30.9</v>
      </c>
      <c r="J251" s="364">
        <v>37.5</v>
      </c>
      <c r="K251" s="364">
        <v>29.1</v>
      </c>
      <c r="L251" s="1"/>
      <c r="M251" s="1"/>
      <c r="N251" s="1"/>
      <c r="O251" s="1"/>
      <c r="P251" s="1"/>
      <c r="Q251" s="1"/>
      <c r="R251" s="1"/>
      <c r="S251" s="1"/>
      <c r="T251" s="1"/>
      <c r="U251" s="1"/>
      <c r="V251" s="1"/>
      <c r="W251" s="1"/>
      <c r="X251" s="1"/>
      <c r="Y251" s="1"/>
      <c r="Z251" s="1"/>
    </row>
    <row r="252" ht="10.5" customHeight="1">
      <c r="A252" s="1"/>
      <c r="B252" s="238">
        <v>1992.0</v>
      </c>
      <c r="C252" s="364">
        <v>54.7</v>
      </c>
      <c r="D252" s="364">
        <v>36.0</v>
      </c>
      <c r="E252" s="364">
        <v>27.0</v>
      </c>
      <c r="F252" s="364">
        <v>28.5</v>
      </c>
      <c r="G252" s="364">
        <v>22.5</v>
      </c>
      <c r="H252" s="364">
        <v>27.3</v>
      </c>
      <c r="I252" s="364">
        <v>31.8</v>
      </c>
      <c r="J252" s="364">
        <v>43.3</v>
      </c>
      <c r="K252" s="364">
        <v>38.2</v>
      </c>
      <c r="L252" s="1"/>
      <c r="M252" s="1"/>
      <c r="N252" s="1"/>
      <c r="O252" s="1"/>
      <c r="P252" s="1"/>
      <c r="Q252" s="1"/>
      <c r="R252" s="1"/>
      <c r="S252" s="1"/>
      <c r="T252" s="1"/>
      <c r="U252" s="1"/>
      <c r="V252" s="1"/>
      <c r="W252" s="1"/>
      <c r="X252" s="1"/>
      <c r="Y252" s="1"/>
      <c r="Z252" s="1"/>
    </row>
    <row r="253" ht="10.5" customHeight="1">
      <c r="A253" s="1"/>
      <c r="B253" s="238">
        <v>1993.0</v>
      </c>
      <c r="C253" s="364">
        <v>50.5</v>
      </c>
      <c r="D253" s="364">
        <v>38.6</v>
      </c>
      <c r="E253" s="364">
        <v>27.1</v>
      </c>
      <c r="F253" s="364">
        <v>31.6</v>
      </c>
      <c r="G253" s="364">
        <v>20.6</v>
      </c>
      <c r="H253" s="364">
        <v>26.3</v>
      </c>
      <c r="I253" s="364">
        <v>34.2</v>
      </c>
      <c r="J253" s="364">
        <v>37.3</v>
      </c>
      <c r="K253" s="364">
        <v>37.4</v>
      </c>
      <c r="L253" s="1"/>
      <c r="M253" s="1"/>
      <c r="N253" s="1"/>
      <c r="O253" s="1"/>
      <c r="P253" s="1"/>
      <c r="Q253" s="1"/>
      <c r="R253" s="1"/>
      <c r="S253" s="1"/>
      <c r="T253" s="1"/>
      <c r="U253" s="1"/>
      <c r="V253" s="1"/>
      <c r="W253" s="1"/>
      <c r="X253" s="1"/>
      <c r="Y253" s="1"/>
      <c r="Z253" s="1"/>
    </row>
    <row r="254" ht="10.5" customHeight="1">
      <c r="A254" s="1"/>
      <c r="B254" s="238">
        <v>1994.0</v>
      </c>
      <c r="C254" s="364">
        <v>46.3</v>
      </c>
      <c r="D254" s="364">
        <v>39.0</v>
      </c>
      <c r="E254" s="364">
        <v>28.5</v>
      </c>
      <c r="F254" s="364">
        <v>32.9</v>
      </c>
      <c r="G254" s="364">
        <v>17.5</v>
      </c>
      <c r="H254" s="364">
        <v>27.7</v>
      </c>
      <c r="I254" s="364">
        <v>37.9</v>
      </c>
      <c r="J254" s="364">
        <v>35.6</v>
      </c>
      <c r="K254" s="364">
        <v>36.1</v>
      </c>
      <c r="L254" s="1"/>
      <c r="M254" s="1"/>
      <c r="N254" s="1"/>
      <c r="O254" s="1"/>
      <c r="P254" s="1"/>
      <c r="Q254" s="1"/>
      <c r="R254" s="1"/>
      <c r="S254" s="1"/>
      <c r="T254" s="1"/>
      <c r="U254" s="1"/>
      <c r="V254" s="1"/>
      <c r="W254" s="1"/>
      <c r="X254" s="1"/>
      <c r="Y254" s="1"/>
      <c r="Z254" s="1"/>
    </row>
    <row r="255" ht="10.5" customHeight="1">
      <c r="A255" s="1"/>
      <c r="B255" s="238"/>
      <c r="C255" s="364"/>
      <c r="D255" s="364"/>
      <c r="E255" s="364"/>
      <c r="F255" s="364"/>
      <c r="G255" s="364"/>
      <c r="H255" s="364"/>
      <c r="I255" s="364"/>
      <c r="J255" s="364"/>
      <c r="K255" s="364"/>
      <c r="L255" s="1"/>
      <c r="M255" s="1"/>
      <c r="N255" s="1"/>
      <c r="O255" s="1"/>
      <c r="P255" s="1"/>
      <c r="Q255" s="1"/>
      <c r="R255" s="1"/>
      <c r="S255" s="1"/>
      <c r="T255" s="1"/>
      <c r="U255" s="1"/>
      <c r="V255" s="1"/>
      <c r="W255" s="1"/>
      <c r="X255" s="1"/>
      <c r="Y255" s="1"/>
      <c r="Z255" s="1"/>
    </row>
    <row r="256" ht="10.5" customHeight="1">
      <c r="A256" s="1"/>
      <c r="B256" s="238">
        <v>1995.0</v>
      </c>
      <c r="C256" s="364">
        <v>70.9</v>
      </c>
      <c r="D256" s="364">
        <v>40.8</v>
      </c>
      <c r="E256" s="364">
        <v>32.6</v>
      </c>
      <c r="F256" s="364">
        <v>32.5</v>
      </c>
      <c r="G256" s="364">
        <v>27.9</v>
      </c>
      <c r="H256" s="364">
        <v>39.5</v>
      </c>
      <c r="I256" s="364">
        <v>45.7</v>
      </c>
      <c r="J256" s="364">
        <v>39.8</v>
      </c>
      <c r="K256" s="364">
        <v>45.3</v>
      </c>
      <c r="L256" s="1"/>
      <c r="M256" s="1"/>
      <c r="N256" s="1"/>
      <c r="O256" s="1"/>
      <c r="P256" s="1"/>
      <c r="Q256" s="1"/>
      <c r="R256" s="1"/>
      <c r="S256" s="1"/>
      <c r="T256" s="1"/>
      <c r="U256" s="1"/>
      <c r="V256" s="1"/>
      <c r="W256" s="1"/>
      <c r="X256" s="1"/>
      <c r="Y256" s="1"/>
      <c r="Z256" s="1"/>
    </row>
    <row r="257" ht="10.5" customHeight="1">
      <c r="A257" s="1"/>
      <c r="B257" s="238">
        <v>1996.0</v>
      </c>
      <c r="C257" s="364">
        <v>72.5</v>
      </c>
      <c r="D257" s="364">
        <v>46.1</v>
      </c>
      <c r="E257" s="364">
        <v>30.9</v>
      </c>
      <c r="F257" s="364">
        <v>34.4</v>
      </c>
      <c r="G257" s="364">
        <v>27.0</v>
      </c>
      <c r="H257" s="364">
        <v>37.3</v>
      </c>
      <c r="I257" s="364">
        <v>56.2</v>
      </c>
      <c r="J257" s="364">
        <v>45.6</v>
      </c>
      <c r="K257" s="364">
        <v>47.2</v>
      </c>
      <c r="L257" s="1"/>
      <c r="M257" s="1"/>
      <c r="N257" s="1"/>
      <c r="O257" s="1"/>
      <c r="P257" s="1"/>
      <c r="Q257" s="1"/>
      <c r="R257" s="1"/>
      <c r="S257" s="1"/>
      <c r="T257" s="1"/>
      <c r="U257" s="1"/>
      <c r="V257" s="1"/>
      <c r="W257" s="1"/>
      <c r="X257" s="1"/>
      <c r="Y257" s="1"/>
      <c r="Z257" s="1"/>
    </row>
    <row r="258" ht="10.5" customHeight="1">
      <c r="A258" s="1"/>
      <c r="B258" s="238">
        <v>1997.0</v>
      </c>
      <c r="C258" s="364">
        <v>70.1</v>
      </c>
      <c r="D258" s="364">
        <v>42.9</v>
      </c>
      <c r="E258" s="364">
        <v>30.5</v>
      </c>
      <c r="F258" s="364">
        <v>37.5</v>
      </c>
      <c r="G258" s="364">
        <v>24.4</v>
      </c>
      <c r="H258" s="364">
        <v>39.8</v>
      </c>
      <c r="I258" s="364">
        <v>60.2</v>
      </c>
      <c r="J258" s="364">
        <v>53.1</v>
      </c>
      <c r="K258" s="364">
        <v>46.3</v>
      </c>
      <c r="L258" s="1"/>
      <c r="M258" s="1"/>
      <c r="N258" s="1"/>
      <c r="O258" s="1"/>
      <c r="P258" s="1"/>
      <c r="Q258" s="1"/>
      <c r="R258" s="1"/>
      <c r="S258" s="1"/>
      <c r="T258" s="1"/>
      <c r="U258" s="1"/>
      <c r="V258" s="1"/>
      <c r="W258" s="1"/>
      <c r="X258" s="1"/>
      <c r="Y258" s="1"/>
      <c r="Z258" s="1"/>
    </row>
    <row r="259" ht="10.5" customHeight="1">
      <c r="A259" s="1"/>
      <c r="B259" s="238">
        <v>1998.0</v>
      </c>
      <c r="C259" s="364">
        <v>68.0</v>
      </c>
      <c r="D259" s="364">
        <v>42.0</v>
      </c>
      <c r="E259" s="364">
        <v>41.6</v>
      </c>
      <c r="F259" s="364">
        <v>39.8</v>
      </c>
      <c r="G259" s="364">
        <v>29.0</v>
      </c>
      <c r="H259" s="364">
        <v>44.6</v>
      </c>
      <c r="I259" s="364">
        <v>61.1</v>
      </c>
      <c r="J259" s="364">
        <v>63.6</v>
      </c>
      <c r="K259" s="364">
        <v>49.1</v>
      </c>
      <c r="L259" s="1"/>
      <c r="M259" s="1"/>
      <c r="N259" s="1"/>
      <c r="O259" s="1"/>
      <c r="P259" s="1"/>
      <c r="Q259" s="1"/>
      <c r="R259" s="1"/>
      <c r="S259" s="1"/>
      <c r="T259" s="1"/>
      <c r="U259" s="1"/>
      <c r="V259" s="1"/>
      <c r="W259" s="1"/>
      <c r="X259" s="1"/>
      <c r="Y259" s="1"/>
      <c r="Z259" s="1"/>
    </row>
    <row r="260" ht="10.5" customHeight="1">
      <c r="A260" s="1"/>
      <c r="B260" s="238">
        <v>1999.0</v>
      </c>
      <c r="C260" s="364">
        <v>81.2</v>
      </c>
      <c r="D260" s="364">
        <v>48.7</v>
      </c>
      <c r="E260" s="364">
        <v>37.9</v>
      </c>
      <c r="F260" s="364">
        <v>39.0</v>
      </c>
      <c r="G260" s="364">
        <v>33.9</v>
      </c>
      <c r="H260" s="364">
        <v>50.3</v>
      </c>
      <c r="I260" s="364">
        <v>62.4</v>
      </c>
      <c r="J260" s="364">
        <v>68.1</v>
      </c>
      <c r="K260" s="364">
        <v>54.2</v>
      </c>
      <c r="L260" s="1"/>
      <c r="M260" s="1"/>
      <c r="N260" s="1"/>
      <c r="O260" s="1"/>
      <c r="P260" s="1"/>
      <c r="Q260" s="1"/>
      <c r="R260" s="1"/>
      <c r="S260" s="1"/>
      <c r="T260" s="1"/>
      <c r="U260" s="1"/>
      <c r="V260" s="1"/>
      <c r="W260" s="1"/>
      <c r="X260" s="1"/>
      <c r="Y260" s="1"/>
      <c r="Z260" s="1"/>
    </row>
    <row r="261" ht="10.5" customHeight="1">
      <c r="A261" s="1"/>
      <c r="B261" s="238"/>
      <c r="C261" s="364"/>
      <c r="D261" s="364"/>
      <c r="E261" s="364"/>
      <c r="F261" s="364"/>
      <c r="G261" s="364"/>
      <c r="H261" s="364"/>
      <c r="I261" s="364"/>
      <c r="J261" s="364"/>
      <c r="K261" s="364"/>
      <c r="L261" s="1"/>
      <c r="M261" s="1"/>
      <c r="N261" s="1"/>
      <c r="O261" s="1"/>
      <c r="P261" s="1"/>
      <c r="Q261" s="1"/>
      <c r="R261" s="1"/>
      <c r="S261" s="1"/>
      <c r="T261" s="1"/>
      <c r="U261" s="1"/>
      <c r="V261" s="1"/>
      <c r="W261" s="1"/>
      <c r="X261" s="1"/>
      <c r="Y261" s="1"/>
      <c r="Z261" s="1"/>
    </row>
    <row r="262" ht="10.5" customHeight="1">
      <c r="A262" s="1"/>
      <c r="B262" s="238">
        <v>2000.0</v>
      </c>
      <c r="C262" s="364">
        <v>69.9</v>
      </c>
      <c r="D262" s="364">
        <v>48.5</v>
      </c>
      <c r="E262" s="364">
        <v>34.3</v>
      </c>
      <c r="F262" s="364">
        <v>40.9</v>
      </c>
      <c r="G262" s="364">
        <v>32.6</v>
      </c>
      <c r="H262" s="364">
        <v>51.7</v>
      </c>
      <c r="I262" s="364">
        <v>54.8</v>
      </c>
      <c r="J262" s="364">
        <v>58.7</v>
      </c>
      <c r="K262" s="467">
        <v>51.2</v>
      </c>
      <c r="L262" s="1"/>
      <c r="M262" s="1"/>
      <c r="N262" s="1"/>
      <c r="O262" s="1"/>
      <c r="P262" s="1"/>
      <c r="Q262" s="1"/>
      <c r="R262" s="1"/>
      <c r="S262" s="1"/>
      <c r="T262" s="1"/>
      <c r="U262" s="1"/>
      <c r="V262" s="1"/>
      <c r="W262" s="1"/>
      <c r="X262" s="1"/>
      <c r="Y262" s="1"/>
      <c r="Z262" s="1"/>
    </row>
    <row r="263" ht="10.5" customHeight="1">
      <c r="A263" s="1"/>
      <c r="B263" s="238">
        <v>2001.0</v>
      </c>
      <c r="C263" s="364">
        <v>92.3</v>
      </c>
      <c r="D263" s="364">
        <v>59.8</v>
      </c>
      <c r="E263" s="364">
        <v>39.1</v>
      </c>
      <c r="F263" s="364">
        <v>48.7</v>
      </c>
      <c r="G263" s="364">
        <v>32.8</v>
      </c>
      <c r="H263" s="364">
        <v>43.9</v>
      </c>
      <c r="I263" s="364">
        <v>59.1</v>
      </c>
      <c r="J263" s="364">
        <v>66.7</v>
      </c>
      <c r="K263" s="467">
        <v>61.6</v>
      </c>
      <c r="L263" s="1"/>
      <c r="M263" s="1"/>
      <c r="N263" s="1"/>
      <c r="O263" s="1"/>
      <c r="P263" s="1"/>
      <c r="Q263" s="1"/>
      <c r="R263" s="1"/>
      <c r="S263" s="1"/>
      <c r="T263" s="1"/>
      <c r="U263" s="1"/>
      <c r="V263" s="1"/>
      <c r="W263" s="1"/>
      <c r="X263" s="1"/>
      <c r="Y263" s="1"/>
      <c r="Z263" s="1"/>
    </row>
    <row r="264" ht="10.5" customHeight="1">
      <c r="A264" s="1"/>
      <c r="B264" s="238">
        <v>2002.0</v>
      </c>
      <c r="C264" s="364">
        <v>145.7</v>
      </c>
      <c r="D264" s="364">
        <v>71.1</v>
      </c>
      <c r="E264" s="364">
        <v>62.0</v>
      </c>
      <c r="F264" s="364">
        <v>53.8</v>
      </c>
      <c r="G264" s="364">
        <v>50.0</v>
      </c>
      <c r="H264" s="364">
        <v>73.9</v>
      </c>
      <c r="I264" s="364">
        <v>79.0</v>
      </c>
      <c r="J264" s="364">
        <v>71.8</v>
      </c>
      <c r="K264" s="467">
        <v>85.7</v>
      </c>
      <c r="L264" s="1"/>
      <c r="M264" s="1"/>
      <c r="N264" s="1"/>
      <c r="O264" s="1"/>
      <c r="P264" s="1"/>
      <c r="Q264" s="1"/>
      <c r="R264" s="1"/>
      <c r="S264" s="1"/>
      <c r="T264" s="1"/>
      <c r="U264" s="1"/>
      <c r="V264" s="1"/>
      <c r="W264" s="1"/>
      <c r="X264" s="1"/>
      <c r="Y264" s="1"/>
      <c r="Z264" s="1"/>
    </row>
    <row r="265" ht="10.5" customHeight="1">
      <c r="A265" s="1"/>
      <c r="B265" s="238">
        <v>2003.0</v>
      </c>
      <c r="C265" s="467">
        <v>130.8</v>
      </c>
      <c r="D265" s="467">
        <v>75.0</v>
      </c>
      <c r="E265" s="467">
        <v>71.4</v>
      </c>
      <c r="F265" s="467">
        <v>54.1</v>
      </c>
      <c r="G265" s="467">
        <v>69.4</v>
      </c>
      <c r="H265" s="467">
        <v>68.3</v>
      </c>
      <c r="I265" s="467">
        <v>88.1</v>
      </c>
      <c r="J265" s="467">
        <v>76.1</v>
      </c>
      <c r="K265" s="467">
        <v>88.7</v>
      </c>
      <c r="L265" s="1"/>
      <c r="M265" s="1"/>
      <c r="N265" s="1"/>
      <c r="O265" s="1"/>
      <c r="P265" s="1"/>
      <c r="Q265" s="1"/>
      <c r="R265" s="1"/>
      <c r="S265" s="1"/>
      <c r="T265" s="1"/>
      <c r="U265" s="1"/>
      <c r="V265" s="1"/>
      <c r="W265" s="1"/>
      <c r="X265" s="1"/>
      <c r="Y265" s="1"/>
      <c r="Z265" s="1"/>
    </row>
    <row r="266" ht="10.5" customHeight="1">
      <c r="A266" s="1"/>
      <c r="B266" s="238">
        <v>2004.0</v>
      </c>
      <c r="C266" s="467">
        <v>104.0</v>
      </c>
      <c r="D266" s="467">
        <v>66.5</v>
      </c>
      <c r="E266" s="467">
        <v>57.1</v>
      </c>
      <c r="F266" s="467">
        <v>51.6</v>
      </c>
      <c r="G266" s="467">
        <v>57.9</v>
      </c>
      <c r="H266" s="467">
        <v>56.8</v>
      </c>
      <c r="I266" s="467">
        <v>80.0</v>
      </c>
      <c r="J266" s="467">
        <v>73.1</v>
      </c>
      <c r="K266" s="467">
        <v>74.6</v>
      </c>
      <c r="L266" s="1"/>
      <c r="M266" s="1"/>
      <c r="N266" s="1"/>
      <c r="O266" s="1"/>
      <c r="P266" s="1"/>
      <c r="Q266" s="1"/>
      <c r="R266" s="1"/>
      <c r="S266" s="1"/>
      <c r="T266" s="1"/>
      <c r="U266" s="1"/>
      <c r="V266" s="1"/>
      <c r="W266" s="1"/>
      <c r="X266" s="1"/>
      <c r="Y266" s="1"/>
      <c r="Z266" s="1"/>
    </row>
    <row r="267" ht="10.5" customHeight="1">
      <c r="A267" s="1"/>
      <c r="B267" s="238"/>
      <c r="C267" s="467"/>
      <c r="D267" s="467"/>
      <c r="E267" s="467"/>
      <c r="F267" s="467"/>
      <c r="G267" s="467"/>
      <c r="H267" s="467"/>
      <c r="I267" s="467"/>
      <c r="J267" s="467"/>
      <c r="K267" s="467"/>
      <c r="L267" s="1"/>
      <c r="M267" s="1"/>
      <c r="N267" s="1"/>
      <c r="O267" s="1"/>
      <c r="P267" s="1"/>
      <c r="Q267" s="1"/>
      <c r="R267" s="1"/>
      <c r="S267" s="1"/>
      <c r="T267" s="1"/>
      <c r="U267" s="1"/>
      <c r="V267" s="1"/>
      <c r="W267" s="1"/>
      <c r="X267" s="1"/>
      <c r="Y267" s="1"/>
      <c r="Z267" s="1"/>
    </row>
    <row r="268" ht="10.5" customHeight="1">
      <c r="A268" s="1"/>
      <c r="B268" s="238">
        <v>2005.0</v>
      </c>
      <c r="C268" s="467">
        <v>57.2</v>
      </c>
      <c r="D268" s="467">
        <v>53.8</v>
      </c>
      <c r="E268" s="467">
        <v>46.4</v>
      </c>
      <c r="F268" s="467">
        <v>54.2</v>
      </c>
      <c r="G268" s="467">
        <v>45.7</v>
      </c>
      <c r="H268" s="467">
        <v>50.3</v>
      </c>
      <c r="I268" s="467">
        <v>59.1</v>
      </c>
      <c r="J268" s="467">
        <v>69.2</v>
      </c>
      <c r="K268" s="467">
        <v>54.4</v>
      </c>
      <c r="L268" s="1"/>
      <c r="M268" s="1"/>
      <c r="N268" s="1"/>
      <c r="O268" s="1"/>
      <c r="P268" s="1"/>
      <c r="Q268" s="1"/>
      <c r="R268" s="1"/>
      <c r="S268" s="1"/>
      <c r="T268" s="1"/>
      <c r="U268" s="1"/>
      <c r="V268" s="1"/>
      <c r="W268" s="1"/>
      <c r="X268" s="1"/>
      <c r="Y268" s="1"/>
      <c r="Z268" s="1"/>
    </row>
    <row r="269" ht="10.5" customHeight="1">
      <c r="A269" s="1"/>
      <c r="B269" s="238">
        <v>2006.0</v>
      </c>
      <c r="C269" s="467">
        <v>87.8</v>
      </c>
      <c r="D269" s="467">
        <v>62.9</v>
      </c>
      <c r="E269" s="467">
        <v>57.5</v>
      </c>
      <c r="F269" s="467">
        <v>61.3</v>
      </c>
      <c r="G269" s="467">
        <v>55.4</v>
      </c>
      <c r="H269" s="467">
        <v>71.6</v>
      </c>
      <c r="I269" s="467">
        <v>55.0</v>
      </c>
      <c r="J269" s="467">
        <v>61.9</v>
      </c>
      <c r="K269" s="467">
        <v>72.3</v>
      </c>
      <c r="L269" s="1"/>
      <c r="M269" s="1"/>
      <c r="N269" s="1"/>
      <c r="O269" s="1"/>
      <c r="P269" s="1"/>
      <c r="Q269" s="1"/>
      <c r="R269" s="1"/>
      <c r="S269" s="1"/>
      <c r="T269" s="1"/>
      <c r="U269" s="1"/>
      <c r="V269" s="1"/>
      <c r="W269" s="1"/>
      <c r="X269" s="1"/>
      <c r="Y269" s="1"/>
      <c r="Z269" s="1"/>
    </row>
    <row r="270" ht="10.5" customHeight="1">
      <c r="A270" s="1"/>
      <c r="B270" s="238">
        <v>2007.0</v>
      </c>
      <c r="C270" s="467">
        <v>134.4</v>
      </c>
      <c r="D270" s="467">
        <v>98.6</v>
      </c>
      <c r="E270" s="467">
        <v>93.1</v>
      </c>
      <c r="F270" s="467">
        <v>63.4</v>
      </c>
      <c r="G270" s="467">
        <v>71.2</v>
      </c>
      <c r="H270" s="467">
        <v>104.2</v>
      </c>
      <c r="I270" s="467">
        <v>68.3</v>
      </c>
      <c r="J270" s="467">
        <v>60.3</v>
      </c>
      <c r="K270" s="467">
        <v>103.2</v>
      </c>
      <c r="L270" s="1"/>
      <c r="M270" s="1"/>
      <c r="N270" s="1"/>
      <c r="O270" s="1"/>
      <c r="P270" s="1"/>
      <c r="Q270" s="1"/>
      <c r="R270" s="1"/>
      <c r="S270" s="1"/>
      <c r="T270" s="1"/>
      <c r="U270" s="1"/>
      <c r="V270" s="1"/>
      <c r="W270" s="1"/>
      <c r="X270" s="1"/>
      <c r="Y270" s="1"/>
      <c r="Z270" s="1"/>
    </row>
    <row r="271" ht="10.5" customHeight="1">
      <c r="A271" s="1"/>
      <c r="B271" s="238">
        <v>2008.0</v>
      </c>
      <c r="C271" s="467">
        <v>142.9</v>
      </c>
      <c r="D271" s="467">
        <v>145.3</v>
      </c>
      <c r="E271" s="467">
        <v>126.1</v>
      </c>
      <c r="F271" s="467">
        <v>73.2</v>
      </c>
      <c r="G271" s="467">
        <v>102.0</v>
      </c>
      <c r="H271" s="467">
        <v>124.1</v>
      </c>
      <c r="I271" s="467">
        <v>103.5</v>
      </c>
      <c r="J271" s="467">
        <v>72.5</v>
      </c>
      <c r="K271" s="467">
        <v>123.5</v>
      </c>
      <c r="L271" s="1"/>
      <c r="M271" s="1"/>
      <c r="N271" s="1"/>
      <c r="O271" s="1"/>
      <c r="P271" s="1"/>
      <c r="Q271" s="1"/>
      <c r="R271" s="1"/>
      <c r="S271" s="1"/>
      <c r="T271" s="1"/>
      <c r="U271" s="1"/>
      <c r="V271" s="1"/>
      <c r="W271" s="1"/>
      <c r="X271" s="1"/>
      <c r="Y271" s="1"/>
      <c r="Z271" s="1"/>
    </row>
    <row r="272" ht="10.5" customHeight="1">
      <c r="A272" s="1"/>
      <c r="B272" s="238">
        <v>2009.0</v>
      </c>
      <c r="C272" s="467">
        <v>124.1</v>
      </c>
      <c r="D272" s="467">
        <v>97.5</v>
      </c>
      <c r="E272" s="467">
        <v>99.7</v>
      </c>
      <c r="F272" s="467">
        <v>86.9</v>
      </c>
      <c r="G272" s="467">
        <v>102.6</v>
      </c>
      <c r="H272" s="467">
        <v>115.2</v>
      </c>
      <c r="I272" s="467">
        <v>91.9</v>
      </c>
      <c r="J272" s="467">
        <v>90.2</v>
      </c>
      <c r="K272" s="467">
        <v>109.4</v>
      </c>
      <c r="L272" s="1"/>
      <c r="M272" s="1"/>
      <c r="N272" s="1"/>
      <c r="O272" s="1"/>
      <c r="P272" s="1"/>
      <c r="Q272" s="1"/>
      <c r="R272" s="1"/>
      <c r="S272" s="1"/>
      <c r="T272" s="1"/>
      <c r="U272" s="1"/>
      <c r="V272" s="1"/>
      <c r="W272" s="1"/>
      <c r="X272" s="1"/>
      <c r="Y272" s="1"/>
      <c r="Z272" s="1"/>
    </row>
    <row r="273" ht="10.5" customHeight="1">
      <c r="A273" s="1"/>
      <c r="B273" s="238"/>
      <c r="C273" s="467"/>
      <c r="D273" s="467"/>
      <c r="E273" s="467"/>
      <c r="F273" s="467"/>
      <c r="G273" s="467"/>
      <c r="H273" s="467"/>
      <c r="I273" s="467"/>
      <c r="J273" s="467"/>
      <c r="K273" s="467"/>
      <c r="L273" s="1"/>
      <c r="M273" s="1"/>
      <c r="N273" s="1"/>
      <c r="O273" s="1"/>
      <c r="P273" s="1"/>
      <c r="Q273" s="1"/>
      <c r="R273" s="1"/>
      <c r="S273" s="1"/>
      <c r="T273" s="1"/>
      <c r="U273" s="1"/>
      <c r="V273" s="1"/>
      <c r="W273" s="1"/>
      <c r="X273" s="1"/>
      <c r="Y273" s="1"/>
      <c r="Z273" s="1"/>
    </row>
    <row r="274" ht="10.5" customHeight="1">
      <c r="A274" s="1"/>
      <c r="B274" s="129">
        <v>2010.0</v>
      </c>
      <c r="C274" s="467">
        <v>100.0</v>
      </c>
      <c r="D274" s="467">
        <v>100.0</v>
      </c>
      <c r="E274" s="467">
        <v>100.0</v>
      </c>
      <c r="F274" s="467">
        <v>100.0</v>
      </c>
      <c r="G274" s="467">
        <v>100.0</v>
      </c>
      <c r="H274" s="467">
        <v>100.0</v>
      </c>
      <c r="I274" s="467">
        <v>100.0</v>
      </c>
      <c r="J274" s="467">
        <v>100.0</v>
      </c>
      <c r="K274" s="467">
        <v>100.0</v>
      </c>
      <c r="L274" s="1"/>
      <c r="M274" s="1"/>
      <c r="N274" s="1"/>
      <c r="O274" s="1"/>
      <c r="P274" s="1"/>
      <c r="Q274" s="1"/>
      <c r="R274" s="1"/>
      <c r="S274" s="1"/>
      <c r="T274" s="1"/>
      <c r="U274" s="1"/>
      <c r="V274" s="1"/>
      <c r="W274" s="1"/>
      <c r="X274" s="1"/>
      <c r="Y274" s="1"/>
      <c r="Z274" s="1"/>
    </row>
    <row r="275" ht="10.5" customHeight="1">
      <c r="A275" s="1"/>
      <c r="B275" s="79">
        <v>2011.0</v>
      </c>
      <c r="C275" s="467">
        <v>148.9</v>
      </c>
      <c r="D275" s="467">
        <v>127.2</v>
      </c>
      <c r="E275" s="467">
        <v>112.4</v>
      </c>
      <c r="F275" s="467">
        <v>110.1</v>
      </c>
      <c r="G275" s="467">
        <v>91.3</v>
      </c>
      <c r="H275" s="467">
        <v>112.5</v>
      </c>
      <c r="I275" s="467">
        <v>108.4</v>
      </c>
      <c r="J275" s="467">
        <v>101.8</v>
      </c>
      <c r="K275" s="467">
        <v>128.6</v>
      </c>
      <c r="L275" s="1"/>
      <c r="M275" s="1"/>
      <c r="N275" s="1"/>
      <c r="O275" s="1"/>
      <c r="P275" s="1"/>
      <c r="Q275" s="1"/>
      <c r="R275" s="1"/>
      <c r="S275" s="1"/>
      <c r="T275" s="1"/>
      <c r="U275" s="1"/>
      <c r="V275" s="1"/>
      <c r="W275" s="1"/>
      <c r="X275" s="1"/>
      <c r="Y275" s="1"/>
      <c r="Z275" s="1"/>
    </row>
    <row r="276" ht="10.5" customHeight="1">
      <c r="A276" s="1"/>
      <c r="B276" s="79" t="s">
        <v>489</v>
      </c>
      <c r="C276" s="467">
        <v>196.6</v>
      </c>
      <c r="D276" s="467">
        <v>123.7</v>
      </c>
      <c r="E276" s="467">
        <v>149.1</v>
      </c>
      <c r="F276" s="467">
        <v>121.7</v>
      </c>
      <c r="G276" s="467">
        <v>107.5</v>
      </c>
      <c r="H276" s="467">
        <v>163.8</v>
      </c>
      <c r="I276" s="467">
        <v>119.6</v>
      </c>
      <c r="J276" s="467">
        <v>98.7</v>
      </c>
      <c r="K276" s="467">
        <v>158.5</v>
      </c>
      <c r="L276" s="1"/>
      <c r="M276" s="1"/>
      <c r="N276" s="1"/>
      <c r="O276" s="1"/>
      <c r="P276" s="1"/>
      <c r="Q276" s="1"/>
      <c r="R276" s="1"/>
      <c r="S276" s="1"/>
      <c r="T276" s="1"/>
      <c r="U276" s="1"/>
      <c r="V276" s="1"/>
      <c r="W276" s="1"/>
      <c r="X276" s="1"/>
      <c r="Y276" s="1"/>
      <c r="Z276" s="1"/>
    </row>
    <row r="277" ht="10.5" customHeight="1">
      <c r="A277" s="1"/>
      <c r="B277" s="79" t="s">
        <v>55</v>
      </c>
      <c r="C277" s="467">
        <v>186.6</v>
      </c>
      <c r="D277" s="467">
        <v>153.7</v>
      </c>
      <c r="E277" s="467">
        <v>159.3</v>
      </c>
      <c r="F277" s="467">
        <v>121.1</v>
      </c>
      <c r="G277" s="467">
        <v>119.3</v>
      </c>
      <c r="H277" s="467">
        <v>188.5</v>
      </c>
      <c r="I277" s="467">
        <v>126.8</v>
      </c>
      <c r="J277" s="467">
        <v>112.4</v>
      </c>
      <c r="K277" s="467">
        <v>160.6</v>
      </c>
      <c r="L277" s="1"/>
      <c r="M277" s="1"/>
      <c r="N277" s="1"/>
      <c r="O277" s="1"/>
      <c r="P277" s="1"/>
      <c r="Q277" s="1"/>
      <c r="R277" s="1"/>
      <c r="S277" s="1"/>
      <c r="T277" s="1"/>
      <c r="U277" s="1"/>
      <c r="V277" s="1"/>
      <c r="W277" s="1"/>
      <c r="X277" s="1"/>
      <c r="Y277" s="1"/>
      <c r="Z277" s="1"/>
    </row>
    <row r="278" ht="10.5" customHeight="1">
      <c r="A278" s="1"/>
      <c r="B278" s="79" t="s">
        <v>57</v>
      </c>
      <c r="C278" s="467">
        <v>191.2</v>
      </c>
      <c r="D278" s="467">
        <v>161.8</v>
      </c>
      <c r="E278" s="467">
        <v>159.8</v>
      </c>
      <c r="F278" s="467">
        <v>132.0</v>
      </c>
      <c r="G278" s="467">
        <v>130.0</v>
      </c>
      <c r="H278" s="467">
        <v>209.6</v>
      </c>
      <c r="I278" s="467">
        <v>136.3</v>
      </c>
      <c r="J278" s="467">
        <v>122.2</v>
      </c>
      <c r="K278" s="467">
        <v>167.2</v>
      </c>
      <c r="L278" s="1"/>
      <c r="M278" s="1"/>
      <c r="N278" s="1"/>
      <c r="O278" s="1"/>
      <c r="P278" s="1"/>
      <c r="Q278" s="1"/>
      <c r="R278" s="1"/>
      <c r="S278" s="1"/>
      <c r="T278" s="1"/>
      <c r="U278" s="1"/>
      <c r="V278" s="1"/>
      <c r="W278" s="1"/>
      <c r="X278" s="1"/>
      <c r="Y278" s="1"/>
      <c r="Z278" s="1"/>
    </row>
    <row r="279" ht="10.5" customHeight="1">
      <c r="A279" s="1"/>
      <c r="B279" s="79"/>
      <c r="C279" s="467"/>
      <c r="D279" s="467"/>
      <c r="E279" s="467"/>
      <c r="F279" s="467"/>
      <c r="G279" s="467"/>
      <c r="H279" s="467"/>
      <c r="I279" s="467"/>
      <c r="J279" s="467"/>
      <c r="K279" s="467"/>
      <c r="L279" s="1"/>
      <c r="M279" s="1"/>
      <c r="N279" s="1"/>
      <c r="O279" s="1"/>
      <c r="P279" s="1"/>
      <c r="Q279" s="1"/>
      <c r="R279" s="1"/>
      <c r="S279" s="1"/>
      <c r="T279" s="1"/>
      <c r="U279" s="1"/>
      <c r="V279" s="1"/>
      <c r="W279" s="1"/>
      <c r="X279" s="1"/>
      <c r="Y279" s="1"/>
      <c r="Z279" s="1"/>
    </row>
    <row r="280" ht="10.5" customHeight="1">
      <c r="A280" s="1"/>
      <c r="B280" s="79" t="s">
        <v>58</v>
      </c>
      <c r="C280" s="467">
        <v>215.2</v>
      </c>
      <c r="D280" s="467">
        <v>172.8</v>
      </c>
      <c r="E280" s="467">
        <v>160.8</v>
      </c>
      <c r="F280" s="467">
        <v>145.6</v>
      </c>
      <c r="G280" s="467">
        <v>142.9</v>
      </c>
      <c r="H280" s="467">
        <v>182.9</v>
      </c>
      <c r="I280" s="467">
        <v>158.0</v>
      </c>
      <c r="J280" s="467">
        <v>135.2</v>
      </c>
      <c r="K280" s="467">
        <v>183.2</v>
      </c>
      <c r="L280" s="1"/>
      <c r="M280" s="1"/>
      <c r="N280" s="1"/>
      <c r="O280" s="1"/>
      <c r="P280" s="1"/>
      <c r="Q280" s="1"/>
      <c r="R280" s="1"/>
      <c r="S280" s="1"/>
      <c r="T280" s="1"/>
      <c r="U280" s="1"/>
      <c r="V280" s="1"/>
      <c r="W280" s="1"/>
      <c r="X280" s="1"/>
      <c r="Y280" s="1"/>
      <c r="Z280" s="1"/>
    </row>
    <row r="281" ht="10.5" customHeight="1">
      <c r="A281" s="1"/>
      <c r="B281" s="79" t="s">
        <v>59</v>
      </c>
      <c r="C281" s="467">
        <v>318.1</v>
      </c>
      <c r="D281" s="467">
        <v>201.1</v>
      </c>
      <c r="E281" s="467">
        <v>192.2</v>
      </c>
      <c r="F281" s="467">
        <v>170.7</v>
      </c>
      <c r="G281" s="467">
        <v>158.0</v>
      </c>
      <c r="H281" s="467">
        <v>222.9</v>
      </c>
      <c r="I281" s="467">
        <v>191.2</v>
      </c>
      <c r="J281" s="467">
        <v>146.1</v>
      </c>
      <c r="K281" s="467">
        <v>244.5</v>
      </c>
      <c r="L281" s="1"/>
      <c r="M281" s="1"/>
      <c r="N281" s="1"/>
      <c r="O281" s="1"/>
      <c r="P281" s="1"/>
      <c r="Q281" s="1"/>
      <c r="R281" s="1"/>
      <c r="S281" s="1"/>
      <c r="T281" s="1"/>
      <c r="U281" s="1"/>
      <c r="V281" s="1"/>
      <c r="W281" s="1"/>
      <c r="X281" s="1"/>
      <c r="Y281" s="1"/>
      <c r="Z281" s="1"/>
    </row>
    <row r="282" ht="10.5" customHeight="1">
      <c r="A282" s="1"/>
      <c r="B282" s="52" t="s">
        <v>60</v>
      </c>
      <c r="C282" s="471">
        <v>173.6</v>
      </c>
      <c r="D282" s="471">
        <v>187.7</v>
      </c>
      <c r="E282" s="471">
        <v>148.8</v>
      </c>
      <c r="F282" s="471">
        <v>173.4</v>
      </c>
      <c r="G282" s="471">
        <v>147.2</v>
      </c>
      <c r="H282" s="471">
        <v>230.6</v>
      </c>
      <c r="I282" s="471">
        <v>183.4</v>
      </c>
      <c r="J282" s="471">
        <v>164.9</v>
      </c>
      <c r="K282" s="471">
        <v>170.5</v>
      </c>
      <c r="L282" s="1"/>
      <c r="M282" s="1"/>
      <c r="N282" s="1"/>
      <c r="O282" s="1"/>
      <c r="P282" s="1"/>
      <c r="Q282" s="1"/>
      <c r="R282" s="1"/>
      <c r="S282" s="1"/>
      <c r="T282" s="1"/>
      <c r="U282" s="1"/>
      <c r="V282" s="1"/>
      <c r="W282" s="1"/>
      <c r="X282" s="1"/>
      <c r="Y282" s="1"/>
      <c r="Z282" s="1"/>
    </row>
    <row r="283" ht="6.0" customHeight="1">
      <c r="A283" s="1"/>
      <c r="B283" s="242"/>
      <c r="C283" s="473"/>
      <c r="D283" s="473"/>
      <c r="E283" s="473"/>
      <c r="F283" s="473"/>
      <c r="G283" s="473"/>
      <c r="H283" s="473"/>
      <c r="I283" s="473"/>
      <c r="J283" s="473"/>
      <c r="K283" s="473"/>
      <c r="L283" s="1"/>
      <c r="M283" s="1"/>
      <c r="N283" s="1"/>
      <c r="O283" s="1"/>
      <c r="P283" s="1"/>
      <c r="Q283" s="1"/>
      <c r="R283" s="1"/>
      <c r="S283" s="1"/>
      <c r="T283" s="1"/>
      <c r="U283" s="1"/>
      <c r="V283" s="1"/>
      <c r="W283" s="1"/>
      <c r="X283" s="1"/>
      <c r="Y283" s="1"/>
      <c r="Z283" s="1"/>
    </row>
    <row r="284" ht="10.5" customHeight="1">
      <c r="A284" s="1"/>
      <c r="B284" s="185" t="s">
        <v>1824</v>
      </c>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0.5" customHeight="1">
      <c r="A285" s="1"/>
      <c r="B285" s="185" t="s">
        <v>1825</v>
      </c>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0.5" customHeight="1">
      <c r="A286" s="1"/>
      <c r="B286" s="185" t="s">
        <v>1826</v>
      </c>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0.5" customHeight="1">
      <c r="A287" s="1"/>
      <c r="B287" s="185" t="s">
        <v>1827</v>
      </c>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0.5" customHeight="1">
      <c r="A288" s="1"/>
      <c r="B288" s="185" t="s">
        <v>1828</v>
      </c>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0.5" customHeight="1">
      <c r="A289" s="1"/>
      <c r="B289" s="1"/>
      <c r="C289" s="817"/>
      <c r="D289" s="817"/>
      <c r="E289" s="817"/>
      <c r="F289" s="817"/>
      <c r="G289" s="817"/>
      <c r="H289" s="817"/>
      <c r="I289" s="817"/>
      <c r="J289" s="817"/>
      <c r="K289" s="817"/>
      <c r="L289" s="1"/>
      <c r="M289" s="1"/>
      <c r="N289" s="1"/>
      <c r="O289" s="1"/>
      <c r="P289" s="1"/>
      <c r="Q289" s="1"/>
      <c r="R289" s="1"/>
      <c r="S289" s="1"/>
      <c r="T289" s="1"/>
      <c r="U289" s="1"/>
      <c r="V289" s="1"/>
      <c r="W289" s="1"/>
      <c r="X289" s="1"/>
      <c r="Y289" s="1"/>
      <c r="Z289" s="1"/>
    </row>
    <row r="290" ht="10.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0.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0.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0.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0.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0.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0.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0.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0.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0.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0.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0.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0.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0.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0.5" customHeight="1">
      <c r="A304" s="1"/>
      <c r="B304" s="1"/>
      <c r="C304" s="1"/>
      <c r="D304" s="1"/>
      <c r="E304" s="1"/>
      <c r="F304" s="1"/>
      <c r="G304" s="1"/>
      <c r="H304" s="110">
        <v>92.0</v>
      </c>
      <c r="I304" s="1"/>
      <c r="J304" s="1"/>
      <c r="K304" s="1"/>
      <c r="L304" s="1"/>
      <c r="M304" s="1"/>
      <c r="N304" s="1"/>
      <c r="O304" s="1"/>
      <c r="P304" s="1"/>
      <c r="Q304" s="1"/>
      <c r="R304" s="1"/>
      <c r="S304" s="1"/>
      <c r="T304" s="1"/>
      <c r="U304" s="1"/>
      <c r="V304" s="1"/>
      <c r="W304" s="1"/>
      <c r="X304" s="1"/>
      <c r="Y304" s="1"/>
      <c r="Z304" s="1"/>
    </row>
    <row r="305" ht="10.5" customHeight="1">
      <c r="A305" s="1"/>
      <c r="B305" s="1"/>
      <c r="C305" s="1"/>
      <c r="D305" s="1"/>
      <c r="E305" s="1"/>
      <c r="F305" s="1"/>
      <c r="G305" s="1"/>
      <c r="H305" s="110"/>
      <c r="I305" s="1"/>
      <c r="J305" s="1"/>
      <c r="K305" s="1"/>
      <c r="L305" s="1"/>
      <c r="M305" s="1"/>
      <c r="N305" s="1"/>
      <c r="O305" s="1"/>
      <c r="P305" s="1"/>
      <c r="Q305" s="1"/>
      <c r="R305" s="1"/>
      <c r="S305" s="1"/>
      <c r="T305" s="1"/>
      <c r="U305" s="1"/>
      <c r="V305" s="1"/>
      <c r="W305" s="1"/>
      <c r="X305" s="1"/>
      <c r="Y305" s="1"/>
      <c r="Z305" s="1"/>
    </row>
    <row r="306" ht="10.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1.25" customHeight="1">
      <c r="A307" s="1"/>
      <c r="B307" s="1" t="s">
        <v>1829</v>
      </c>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1.25" customHeight="1">
      <c r="A308" s="1"/>
      <c r="B308" s="189" t="s">
        <v>1</v>
      </c>
      <c r="C308" s="273" t="s">
        <v>1830</v>
      </c>
      <c r="D308" s="273" t="s">
        <v>1592</v>
      </c>
      <c r="E308" s="273" t="s">
        <v>1831</v>
      </c>
      <c r="F308" s="273" t="s">
        <v>1803</v>
      </c>
      <c r="G308" s="1"/>
      <c r="H308" s="1"/>
      <c r="I308" s="1"/>
      <c r="J308" s="1"/>
      <c r="K308" s="1"/>
      <c r="L308" s="1"/>
      <c r="M308" s="1"/>
      <c r="N308" s="1"/>
      <c r="O308" s="1"/>
      <c r="P308" s="1"/>
      <c r="Q308" s="1"/>
      <c r="R308" s="1"/>
      <c r="S308" s="1"/>
      <c r="T308" s="1"/>
      <c r="U308" s="1"/>
      <c r="V308" s="1"/>
      <c r="W308" s="1"/>
      <c r="X308" s="1"/>
      <c r="Y308" s="1"/>
      <c r="Z308" s="1"/>
    </row>
    <row r="309" ht="11.25" customHeight="1">
      <c r="A309" s="1"/>
      <c r="B309" s="6"/>
      <c r="C309" s="8" t="s">
        <v>54</v>
      </c>
      <c r="D309" s="9"/>
      <c r="E309" s="9"/>
      <c r="F309" s="10"/>
      <c r="G309" s="1"/>
      <c r="H309" s="1"/>
      <c r="I309" s="1"/>
      <c r="J309" s="1"/>
      <c r="K309" s="1"/>
      <c r="L309" s="1"/>
      <c r="M309" s="1"/>
      <c r="N309" s="1"/>
      <c r="O309" s="1"/>
      <c r="P309" s="1"/>
      <c r="Q309" s="1"/>
      <c r="R309" s="1"/>
      <c r="S309" s="1"/>
      <c r="T309" s="1"/>
      <c r="U309" s="1"/>
      <c r="V309" s="1"/>
      <c r="W309" s="1"/>
      <c r="X309" s="1"/>
      <c r="Y309" s="1"/>
      <c r="Z309" s="1"/>
    </row>
    <row r="310" ht="11.25" customHeight="1">
      <c r="A310" s="1"/>
      <c r="B310" s="512" t="s">
        <v>1704</v>
      </c>
      <c r="C310" s="134">
        <v>52.0</v>
      </c>
      <c r="D310" s="134">
        <v>37.0</v>
      </c>
      <c r="E310" s="134">
        <v>11.0</v>
      </c>
      <c r="F310" s="134">
        <f>SUM(C310:E310)</f>
        <v>100</v>
      </c>
      <c r="G310" s="1"/>
      <c r="H310" s="1"/>
      <c r="I310" s="1"/>
      <c r="J310" s="1"/>
      <c r="K310" s="1"/>
      <c r="L310" s="1"/>
      <c r="M310" s="1"/>
      <c r="N310" s="1"/>
      <c r="O310" s="1"/>
      <c r="P310" s="1"/>
      <c r="Q310" s="1"/>
      <c r="R310" s="1"/>
      <c r="S310" s="1"/>
      <c r="T310" s="1"/>
      <c r="U310" s="1"/>
      <c r="V310" s="1"/>
      <c r="W310" s="1"/>
      <c r="X310" s="1"/>
      <c r="Y310" s="1"/>
      <c r="Z310" s="1"/>
    </row>
    <row r="311" ht="10.5" customHeight="1">
      <c r="A311" s="1"/>
      <c r="B311" s="238">
        <v>1980.0</v>
      </c>
      <c r="C311" s="489">
        <v>6.1</v>
      </c>
      <c r="D311" s="489">
        <v>7.3</v>
      </c>
      <c r="E311" s="489">
        <v>10.0</v>
      </c>
      <c r="F311" s="489">
        <v>7.1</v>
      </c>
      <c r="G311" s="1"/>
      <c r="H311" s="1"/>
      <c r="I311" s="1"/>
      <c r="J311" s="1"/>
      <c r="K311" s="1"/>
      <c r="L311" s="1"/>
      <c r="M311" s="1"/>
      <c r="N311" s="1"/>
      <c r="O311" s="1"/>
      <c r="P311" s="1"/>
      <c r="Q311" s="1"/>
      <c r="R311" s="1"/>
      <c r="S311" s="1"/>
      <c r="T311" s="1"/>
      <c r="U311" s="1"/>
      <c r="V311" s="1"/>
      <c r="W311" s="1"/>
      <c r="X311" s="1"/>
      <c r="Y311" s="1"/>
      <c r="Z311" s="1"/>
    </row>
    <row r="312" ht="10.5" customHeight="1">
      <c r="A312" s="1"/>
      <c r="B312" s="238">
        <v>1981.0</v>
      </c>
      <c r="C312" s="489">
        <v>6.5</v>
      </c>
      <c r="D312" s="489">
        <v>7.6</v>
      </c>
      <c r="E312" s="489">
        <v>9.2</v>
      </c>
      <c r="F312" s="489">
        <v>7.2</v>
      </c>
      <c r="G312" s="1"/>
      <c r="H312" s="1"/>
      <c r="I312" s="1"/>
      <c r="J312" s="1"/>
      <c r="K312" s="1"/>
      <c r="L312" s="1"/>
      <c r="M312" s="1"/>
      <c r="N312" s="1"/>
      <c r="O312" s="1"/>
      <c r="P312" s="1"/>
      <c r="Q312" s="1"/>
      <c r="R312" s="1"/>
      <c r="S312" s="1"/>
      <c r="T312" s="1"/>
      <c r="U312" s="1"/>
      <c r="V312" s="1"/>
      <c r="W312" s="1"/>
      <c r="X312" s="1"/>
      <c r="Y312" s="1"/>
      <c r="Z312" s="1"/>
    </row>
    <row r="313" ht="10.5" customHeight="1">
      <c r="A313" s="1"/>
      <c r="B313" s="238">
        <v>1982.0</v>
      </c>
      <c r="C313" s="489">
        <v>7.8</v>
      </c>
      <c r="D313" s="489">
        <v>8.2</v>
      </c>
      <c r="E313" s="489">
        <v>11.7</v>
      </c>
      <c r="F313" s="489">
        <v>8.4</v>
      </c>
      <c r="G313" s="1"/>
      <c r="H313" s="1"/>
      <c r="I313" s="1"/>
      <c r="J313" s="1"/>
      <c r="K313" s="1"/>
      <c r="L313" s="1"/>
      <c r="M313" s="1"/>
      <c r="N313" s="1"/>
      <c r="O313" s="1"/>
      <c r="P313" s="1"/>
      <c r="Q313" s="1"/>
      <c r="R313" s="1"/>
      <c r="S313" s="1"/>
      <c r="T313" s="1"/>
      <c r="U313" s="1"/>
      <c r="V313" s="1"/>
      <c r="W313" s="1"/>
      <c r="X313" s="1"/>
      <c r="Y313" s="1"/>
      <c r="Z313" s="1"/>
    </row>
    <row r="314" ht="10.5" customHeight="1">
      <c r="A314" s="1"/>
      <c r="B314" s="238">
        <v>1983.0</v>
      </c>
      <c r="C314" s="489">
        <v>8.0</v>
      </c>
      <c r="D314" s="489">
        <v>10.4</v>
      </c>
      <c r="E314" s="489">
        <v>11.0</v>
      </c>
      <c r="F314" s="489">
        <v>9.1</v>
      </c>
      <c r="G314" s="1"/>
      <c r="H314" s="1"/>
      <c r="I314" s="1"/>
      <c r="J314" s="1"/>
      <c r="K314" s="1"/>
      <c r="L314" s="1"/>
      <c r="M314" s="1"/>
      <c r="N314" s="1"/>
      <c r="O314" s="1"/>
      <c r="P314" s="1"/>
      <c r="Q314" s="1"/>
      <c r="R314" s="1"/>
      <c r="S314" s="1"/>
      <c r="T314" s="1"/>
      <c r="U314" s="1"/>
      <c r="V314" s="1"/>
      <c r="W314" s="1"/>
      <c r="X314" s="1"/>
      <c r="Y314" s="1"/>
      <c r="Z314" s="1"/>
    </row>
    <row r="315" ht="10.5" customHeight="1">
      <c r="A315" s="1"/>
      <c r="B315" s="238">
        <v>1984.0</v>
      </c>
      <c r="C315" s="489">
        <v>9.3</v>
      </c>
      <c r="D315" s="489">
        <v>8.4</v>
      </c>
      <c r="E315" s="489">
        <v>11.8</v>
      </c>
      <c r="F315" s="489">
        <v>9.2</v>
      </c>
      <c r="G315" s="1"/>
      <c r="H315" s="1"/>
      <c r="I315" s="1"/>
      <c r="J315" s="1"/>
      <c r="K315" s="1"/>
      <c r="L315" s="1"/>
      <c r="M315" s="1"/>
      <c r="N315" s="1"/>
      <c r="O315" s="1"/>
      <c r="P315" s="1"/>
      <c r="Q315" s="1"/>
      <c r="R315" s="1"/>
      <c r="S315" s="1"/>
      <c r="T315" s="1"/>
      <c r="U315" s="1"/>
      <c r="V315" s="1"/>
      <c r="W315" s="1"/>
      <c r="X315" s="1"/>
      <c r="Y315" s="1"/>
      <c r="Z315" s="1"/>
    </row>
    <row r="316" ht="10.5" customHeight="1">
      <c r="A316" s="1"/>
      <c r="B316" s="238"/>
      <c r="C316" s="489"/>
      <c r="D316" s="489"/>
      <c r="E316" s="489"/>
      <c r="F316" s="489"/>
      <c r="G316" s="1"/>
      <c r="H316" s="1"/>
      <c r="I316" s="1"/>
      <c r="J316" s="1"/>
      <c r="K316" s="1"/>
      <c r="L316" s="1"/>
      <c r="M316" s="1"/>
      <c r="N316" s="1"/>
      <c r="O316" s="1"/>
      <c r="P316" s="1"/>
      <c r="Q316" s="1"/>
      <c r="R316" s="1"/>
      <c r="S316" s="1"/>
      <c r="T316" s="1"/>
      <c r="U316" s="1"/>
      <c r="V316" s="1"/>
      <c r="W316" s="1"/>
      <c r="X316" s="1"/>
      <c r="Y316" s="1"/>
      <c r="Z316" s="1"/>
    </row>
    <row r="317" ht="10.5" customHeight="1">
      <c r="A317" s="1"/>
      <c r="B317" s="238">
        <v>1985.0</v>
      </c>
      <c r="C317" s="489">
        <v>11.2</v>
      </c>
      <c r="D317" s="489">
        <v>9.5</v>
      </c>
      <c r="E317" s="489">
        <v>12.7</v>
      </c>
      <c r="F317" s="489">
        <v>10.7</v>
      </c>
      <c r="G317" s="1"/>
      <c r="H317" s="1"/>
      <c r="I317" s="1"/>
      <c r="J317" s="1"/>
      <c r="K317" s="1"/>
      <c r="L317" s="1"/>
      <c r="M317" s="1"/>
      <c r="N317" s="1"/>
      <c r="O317" s="1"/>
      <c r="P317" s="1"/>
      <c r="Q317" s="1"/>
      <c r="R317" s="1"/>
      <c r="S317" s="1"/>
      <c r="T317" s="1"/>
      <c r="U317" s="1"/>
      <c r="V317" s="1"/>
      <c r="W317" s="1"/>
      <c r="X317" s="1"/>
      <c r="Y317" s="1"/>
      <c r="Z317" s="1"/>
    </row>
    <row r="318" ht="10.5" customHeight="1">
      <c r="A318" s="1"/>
      <c r="B318" s="238">
        <v>1986.0</v>
      </c>
      <c r="C318" s="489">
        <v>13.7</v>
      </c>
      <c r="D318" s="489">
        <v>11.9</v>
      </c>
      <c r="E318" s="489">
        <v>14.9</v>
      </c>
      <c r="F318" s="489">
        <v>13.0</v>
      </c>
      <c r="G318" s="1"/>
      <c r="H318" s="1"/>
      <c r="I318" s="1"/>
      <c r="J318" s="1"/>
      <c r="K318" s="1"/>
      <c r="L318" s="1"/>
      <c r="M318" s="1"/>
      <c r="N318" s="1"/>
      <c r="O318" s="1"/>
      <c r="P318" s="1"/>
      <c r="Q318" s="1"/>
      <c r="R318" s="1"/>
      <c r="S318" s="1"/>
      <c r="T318" s="1"/>
      <c r="U318" s="1"/>
      <c r="V318" s="1"/>
      <c r="W318" s="1"/>
      <c r="X318" s="1"/>
      <c r="Y318" s="1"/>
      <c r="Z318" s="1"/>
    </row>
    <row r="319" ht="10.5" customHeight="1">
      <c r="A319" s="1"/>
      <c r="B319" s="238">
        <v>1987.0</v>
      </c>
      <c r="C319" s="489">
        <v>13.9</v>
      </c>
      <c r="D319" s="489">
        <v>16.1</v>
      </c>
      <c r="E319" s="489">
        <v>17.3</v>
      </c>
      <c r="F319" s="489">
        <v>14.9</v>
      </c>
      <c r="G319" s="1"/>
      <c r="H319" s="1"/>
      <c r="I319" s="1"/>
      <c r="J319" s="1"/>
      <c r="K319" s="1"/>
      <c r="L319" s="1"/>
      <c r="M319" s="1"/>
      <c r="N319" s="1"/>
      <c r="O319" s="1"/>
      <c r="P319" s="1"/>
      <c r="Q319" s="1"/>
      <c r="R319" s="1"/>
      <c r="S319" s="1"/>
      <c r="T319" s="1"/>
      <c r="U319" s="1"/>
      <c r="V319" s="1"/>
      <c r="W319" s="1"/>
      <c r="X319" s="1"/>
      <c r="Y319" s="1"/>
      <c r="Z319" s="1"/>
    </row>
    <row r="320" ht="10.5" customHeight="1">
      <c r="A320" s="1"/>
      <c r="B320" s="238">
        <v>1988.0</v>
      </c>
      <c r="C320" s="489">
        <v>15.4</v>
      </c>
      <c r="D320" s="489">
        <v>16.9</v>
      </c>
      <c r="E320" s="489">
        <v>20.2</v>
      </c>
      <c r="F320" s="489">
        <v>16.6</v>
      </c>
      <c r="G320" s="1"/>
      <c r="H320" s="1"/>
      <c r="I320" s="1"/>
      <c r="J320" s="1"/>
      <c r="K320" s="1"/>
      <c r="L320" s="1"/>
      <c r="M320" s="1"/>
      <c r="N320" s="1"/>
      <c r="O320" s="1"/>
      <c r="P320" s="1"/>
      <c r="Q320" s="1"/>
      <c r="R320" s="1"/>
      <c r="S320" s="1"/>
      <c r="T320" s="1"/>
      <c r="U320" s="1"/>
      <c r="V320" s="1"/>
      <c r="W320" s="1"/>
      <c r="X320" s="1"/>
      <c r="Y320" s="1"/>
      <c r="Z320" s="1"/>
    </row>
    <row r="321" ht="10.5" customHeight="1">
      <c r="A321" s="1"/>
      <c r="B321" s="238">
        <v>1989.0</v>
      </c>
      <c r="C321" s="489">
        <v>18.6</v>
      </c>
      <c r="D321" s="489">
        <v>13.7</v>
      </c>
      <c r="E321" s="489">
        <v>21.2</v>
      </c>
      <c r="F321" s="489">
        <v>17.3</v>
      </c>
      <c r="G321" s="1"/>
      <c r="H321" s="1"/>
      <c r="I321" s="1"/>
      <c r="J321" s="1"/>
      <c r="K321" s="1"/>
      <c r="L321" s="1"/>
      <c r="M321" s="1"/>
      <c r="N321" s="1"/>
      <c r="O321" s="1"/>
      <c r="P321" s="1"/>
      <c r="Q321" s="1"/>
      <c r="R321" s="1"/>
      <c r="S321" s="1"/>
      <c r="T321" s="1"/>
      <c r="U321" s="1"/>
      <c r="V321" s="1"/>
      <c r="W321" s="1"/>
      <c r="X321" s="1"/>
      <c r="Y321" s="1"/>
      <c r="Z321" s="1"/>
    </row>
    <row r="322" ht="10.5" customHeight="1">
      <c r="A322" s="1"/>
      <c r="B322" s="238"/>
      <c r="C322" s="489"/>
      <c r="D322" s="489"/>
      <c r="E322" s="489"/>
      <c r="F322" s="489"/>
      <c r="G322" s="1"/>
      <c r="H322" s="1"/>
      <c r="I322" s="1"/>
      <c r="J322" s="1"/>
      <c r="K322" s="1"/>
      <c r="L322" s="1"/>
      <c r="M322" s="1"/>
      <c r="N322" s="1"/>
      <c r="O322" s="1"/>
      <c r="P322" s="1"/>
      <c r="Q322" s="1"/>
      <c r="R322" s="1"/>
      <c r="S322" s="1"/>
      <c r="T322" s="1"/>
      <c r="U322" s="1"/>
      <c r="V322" s="1"/>
      <c r="W322" s="1"/>
      <c r="X322" s="1"/>
      <c r="Y322" s="1"/>
      <c r="Z322" s="1"/>
    </row>
    <row r="323" ht="10.5" customHeight="1">
      <c r="A323" s="1"/>
      <c r="B323" s="238">
        <v>1990.0</v>
      </c>
      <c r="C323" s="489">
        <v>21.7</v>
      </c>
      <c r="D323" s="489">
        <v>19.1</v>
      </c>
      <c r="E323" s="489">
        <v>23.8</v>
      </c>
      <c r="F323" s="489">
        <v>20.4</v>
      </c>
      <c r="G323" s="1"/>
      <c r="H323" s="1"/>
      <c r="I323" s="1"/>
      <c r="J323" s="1"/>
      <c r="K323" s="1"/>
      <c r="L323" s="1"/>
      <c r="M323" s="1"/>
      <c r="N323" s="1"/>
      <c r="O323" s="1"/>
      <c r="P323" s="1"/>
      <c r="Q323" s="1"/>
      <c r="R323" s="1"/>
      <c r="S323" s="1"/>
      <c r="T323" s="1"/>
      <c r="U323" s="1"/>
      <c r="V323" s="1"/>
      <c r="W323" s="1"/>
      <c r="X323" s="1"/>
      <c r="Y323" s="1"/>
      <c r="Z323" s="1"/>
    </row>
    <row r="324" ht="10.5" customHeight="1">
      <c r="A324" s="1"/>
      <c r="B324" s="238">
        <v>1991.0</v>
      </c>
      <c r="C324" s="489">
        <v>23.4</v>
      </c>
      <c r="D324" s="489">
        <v>19.3</v>
      </c>
      <c r="E324" s="489">
        <v>27.9</v>
      </c>
      <c r="F324" s="489">
        <v>21.7</v>
      </c>
      <c r="G324" s="1"/>
      <c r="H324" s="1"/>
      <c r="I324" s="1"/>
      <c r="J324" s="1"/>
      <c r="K324" s="1"/>
      <c r="L324" s="1"/>
      <c r="M324" s="1"/>
      <c r="N324" s="1"/>
      <c r="O324" s="1"/>
      <c r="P324" s="1"/>
      <c r="Q324" s="1"/>
      <c r="R324" s="1"/>
      <c r="S324" s="1"/>
      <c r="T324" s="1"/>
      <c r="U324" s="1"/>
      <c r="V324" s="1"/>
      <c r="W324" s="1"/>
      <c r="X324" s="1"/>
      <c r="Y324" s="1"/>
      <c r="Z324" s="1"/>
    </row>
    <row r="325" ht="10.5" customHeight="1">
      <c r="A325" s="1"/>
      <c r="B325" s="238">
        <v>1992.0</v>
      </c>
      <c r="C325" s="489">
        <v>25.2</v>
      </c>
      <c r="D325" s="489">
        <v>24.1</v>
      </c>
      <c r="E325" s="489">
        <v>31.0</v>
      </c>
      <c r="F325" s="489">
        <v>24.8</v>
      </c>
      <c r="G325" s="1"/>
      <c r="H325" s="1"/>
      <c r="I325" s="1"/>
      <c r="J325" s="1"/>
      <c r="K325" s="1"/>
      <c r="L325" s="1"/>
      <c r="M325" s="1"/>
      <c r="N325" s="1"/>
      <c r="O325" s="1"/>
      <c r="P325" s="1"/>
      <c r="Q325" s="1"/>
      <c r="R325" s="1"/>
      <c r="S325" s="1"/>
      <c r="T325" s="1"/>
      <c r="U325" s="1"/>
      <c r="V325" s="1"/>
      <c r="W325" s="1"/>
      <c r="X325" s="1"/>
      <c r="Y325" s="1"/>
      <c r="Z325" s="1"/>
    </row>
    <row r="326" ht="10.5" customHeight="1">
      <c r="A326" s="1"/>
      <c r="B326" s="238">
        <v>1993.0</v>
      </c>
      <c r="C326" s="489">
        <v>25.4</v>
      </c>
      <c r="D326" s="489">
        <v>18.7</v>
      </c>
      <c r="E326" s="489">
        <v>31.5</v>
      </c>
      <c r="F326" s="489">
        <v>22.8</v>
      </c>
      <c r="G326" s="1"/>
      <c r="H326" s="1"/>
      <c r="I326" s="1"/>
      <c r="J326" s="1"/>
      <c r="K326" s="1"/>
      <c r="L326" s="1"/>
      <c r="M326" s="1"/>
      <c r="N326" s="1"/>
      <c r="O326" s="1"/>
      <c r="P326" s="1"/>
      <c r="Q326" s="1"/>
      <c r="R326" s="1"/>
      <c r="S326" s="1"/>
      <c r="T326" s="1"/>
      <c r="U326" s="1"/>
      <c r="V326" s="1"/>
      <c r="W326" s="1"/>
      <c r="X326" s="1"/>
      <c r="Y326" s="1"/>
      <c r="Z326" s="1"/>
    </row>
    <row r="327" ht="10.5" customHeight="1">
      <c r="A327" s="1"/>
      <c r="B327" s="238">
        <v>1994.0</v>
      </c>
      <c r="C327" s="489">
        <v>27.9</v>
      </c>
      <c r="D327" s="489">
        <v>22.4</v>
      </c>
      <c r="E327" s="489">
        <v>30.7</v>
      </c>
      <c r="F327" s="489">
        <v>25.3</v>
      </c>
      <c r="G327" s="1"/>
      <c r="H327" s="1"/>
      <c r="I327" s="1"/>
      <c r="J327" s="1"/>
      <c r="K327" s="1"/>
      <c r="L327" s="1"/>
      <c r="M327" s="1"/>
      <c r="N327" s="1"/>
      <c r="O327" s="1"/>
      <c r="P327" s="1"/>
      <c r="Q327" s="1"/>
      <c r="R327" s="1"/>
      <c r="S327" s="1"/>
      <c r="T327" s="1"/>
      <c r="U327" s="1"/>
      <c r="V327" s="1"/>
      <c r="W327" s="1"/>
      <c r="X327" s="1"/>
      <c r="Y327" s="1"/>
      <c r="Z327" s="1"/>
    </row>
    <row r="328" ht="10.5" customHeight="1">
      <c r="A328" s="1"/>
      <c r="B328" s="238"/>
      <c r="C328" s="489"/>
      <c r="D328" s="489"/>
      <c r="E328" s="489"/>
      <c r="F328" s="489"/>
      <c r="G328" s="1"/>
      <c r="H328" s="1"/>
      <c r="I328" s="1"/>
      <c r="J328" s="1"/>
      <c r="K328" s="1"/>
      <c r="L328" s="1"/>
      <c r="M328" s="1"/>
      <c r="N328" s="1"/>
      <c r="O328" s="1"/>
      <c r="P328" s="1"/>
      <c r="Q328" s="1"/>
      <c r="R328" s="1"/>
      <c r="S328" s="1"/>
      <c r="T328" s="1"/>
      <c r="U328" s="1"/>
      <c r="V328" s="1"/>
      <c r="W328" s="1"/>
      <c r="X328" s="1"/>
      <c r="Y328" s="1"/>
      <c r="Z328" s="1"/>
    </row>
    <row r="329" ht="10.5" customHeight="1">
      <c r="A329" s="1"/>
      <c r="B329" s="238">
        <v>1995.0</v>
      </c>
      <c r="C329" s="489">
        <v>32.4</v>
      </c>
      <c r="D329" s="489">
        <v>26.3</v>
      </c>
      <c r="E329" s="489">
        <v>36.5</v>
      </c>
      <c r="F329" s="489">
        <v>29.7</v>
      </c>
      <c r="G329" s="1"/>
      <c r="H329" s="1"/>
      <c r="I329" s="1"/>
      <c r="J329" s="1"/>
      <c r="K329" s="1"/>
      <c r="L329" s="1"/>
      <c r="M329" s="1"/>
      <c r="N329" s="1"/>
      <c r="O329" s="1"/>
      <c r="P329" s="1"/>
      <c r="Q329" s="1"/>
      <c r="R329" s="1"/>
      <c r="S329" s="1"/>
      <c r="T329" s="1"/>
      <c r="U329" s="1"/>
      <c r="V329" s="1"/>
      <c r="W329" s="1"/>
      <c r="X329" s="1"/>
      <c r="Y329" s="1"/>
      <c r="Z329" s="1"/>
    </row>
    <row r="330" ht="10.5" customHeight="1">
      <c r="A330" s="1"/>
      <c r="B330" s="238">
        <v>1996.0</v>
      </c>
      <c r="C330" s="489">
        <v>34.1</v>
      </c>
      <c r="D330" s="489">
        <v>27.8</v>
      </c>
      <c r="E330" s="489">
        <v>45.4</v>
      </c>
      <c r="F330" s="489">
        <v>32.1</v>
      </c>
      <c r="G330" s="1"/>
      <c r="H330" s="1"/>
      <c r="I330" s="1"/>
      <c r="J330" s="1"/>
      <c r="K330" s="1"/>
      <c r="L330" s="1"/>
      <c r="M330" s="1"/>
      <c r="N330" s="1"/>
      <c r="O330" s="1"/>
      <c r="P330" s="1"/>
      <c r="Q330" s="1"/>
      <c r="R330" s="1"/>
      <c r="S330" s="1"/>
      <c r="T330" s="1"/>
      <c r="U330" s="1"/>
      <c r="V330" s="1"/>
      <c r="W330" s="1"/>
      <c r="X330" s="1"/>
      <c r="Y330" s="1"/>
      <c r="Z330" s="1"/>
    </row>
    <row r="331" ht="10.5" customHeight="1">
      <c r="A331" s="1"/>
      <c r="B331" s="238">
        <v>1997.0</v>
      </c>
      <c r="C331" s="489">
        <v>33.9</v>
      </c>
      <c r="D331" s="489">
        <v>28.3</v>
      </c>
      <c r="E331" s="489">
        <v>51.8</v>
      </c>
      <c r="F331" s="489">
        <v>33.2</v>
      </c>
      <c r="G331" s="1"/>
      <c r="H331" s="1"/>
      <c r="I331" s="1"/>
      <c r="J331" s="1"/>
      <c r="K331" s="1"/>
      <c r="L331" s="1"/>
      <c r="M331" s="1"/>
      <c r="N331" s="1"/>
      <c r="O331" s="1"/>
      <c r="P331" s="1"/>
      <c r="Q331" s="1"/>
      <c r="R331" s="1"/>
      <c r="S331" s="1"/>
      <c r="T331" s="1"/>
      <c r="U331" s="1"/>
      <c r="V331" s="1"/>
      <c r="W331" s="1"/>
      <c r="X331" s="1"/>
      <c r="Y331" s="1"/>
      <c r="Z331" s="1"/>
    </row>
    <row r="332" ht="10.5" customHeight="1">
      <c r="A332" s="1"/>
      <c r="B332" s="238">
        <v>1998.0</v>
      </c>
      <c r="C332" s="489">
        <v>40.1</v>
      </c>
      <c r="D332" s="489">
        <v>32.7</v>
      </c>
      <c r="E332" s="489">
        <v>56.4</v>
      </c>
      <c r="F332" s="489">
        <v>38.0</v>
      </c>
      <c r="G332" s="1"/>
      <c r="H332" s="1"/>
      <c r="I332" s="1"/>
      <c r="J332" s="1"/>
      <c r="K332" s="1"/>
      <c r="L332" s="1"/>
      <c r="M332" s="1"/>
      <c r="N332" s="1"/>
      <c r="O332" s="1"/>
      <c r="P332" s="1"/>
      <c r="Q332" s="1"/>
      <c r="R332" s="1"/>
      <c r="S332" s="1"/>
      <c r="T332" s="1"/>
      <c r="U332" s="1"/>
      <c r="V332" s="1"/>
      <c r="W332" s="1"/>
      <c r="X332" s="1"/>
      <c r="Y332" s="1"/>
      <c r="Z332" s="1"/>
    </row>
    <row r="333" ht="10.5" customHeight="1">
      <c r="A333" s="1"/>
      <c r="B333" s="238">
        <v>1999.0</v>
      </c>
      <c r="C333" s="489">
        <v>41.0</v>
      </c>
      <c r="D333" s="489">
        <v>28.9</v>
      </c>
      <c r="E333" s="489">
        <v>53.7</v>
      </c>
      <c r="F333" s="489">
        <v>36.5</v>
      </c>
      <c r="G333" s="1"/>
      <c r="H333" s="1"/>
      <c r="I333" s="1"/>
      <c r="J333" s="1"/>
      <c r="K333" s="1"/>
      <c r="L333" s="1"/>
      <c r="M333" s="1"/>
      <c r="N333" s="1"/>
      <c r="O333" s="1"/>
      <c r="P333" s="1"/>
      <c r="Q333" s="1"/>
      <c r="R333" s="1"/>
      <c r="S333" s="1"/>
      <c r="T333" s="1"/>
      <c r="U333" s="1"/>
      <c r="V333" s="1"/>
      <c r="W333" s="1"/>
      <c r="X333" s="1"/>
      <c r="Y333" s="1"/>
      <c r="Z333" s="1"/>
    </row>
    <row r="334" ht="10.5" customHeight="1">
      <c r="A334" s="1"/>
      <c r="B334" s="238"/>
      <c r="C334" s="489"/>
      <c r="D334" s="489"/>
      <c r="E334" s="489"/>
      <c r="F334" s="489"/>
      <c r="G334" s="1"/>
      <c r="H334" s="1"/>
      <c r="I334" s="1"/>
      <c r="J334" s="1"/>
      <c r="K334" s="1"/>
      <c r="L334" s="1"/>
      <c r="M334" s="1"/>
      <c r="N334" s="1"/>
      <c r="O334" s="1"/>
      <c r="P334" s="1"/>
      <c r="Q334" s="1"/>
      <c r="R334" s="1"/>
      <c r="S334" s="1"/>
      <c r="T334" s="1"/>
      <c r="U334" s="1"/>
      <c r="V334" s="1"/>
      <c r="W334" s="1"/>
      <c r="X334" s="1"/>
      <c r="Y334" s="1"/>
      <c r="Z334" s="1"/>
    </row>
    <row r="335" ht="10.5" customHeight="1">
      <c r="A335" s="1"/>
      <c r="B335" s="238">
        <v>2000.0</v>
      </c>
      <c r="C335" s="489">
        <v>41.3</v>
      </c>
      <c r="D335" s="489">
        <v>45.4</v>
      </c>
      <c r="E335" s="489">
        <v>52.6</v>
      </c>
      <c r="F335" s="489">
        <v>43.5</v>
      </c>
      <c r="G335" s="1"/>
      <c r="H335" s="1"/>
      <c r="I335" s="1"/>
      <c r="J335" s="1"/>
      <c r="K335" s="1"/>
      <c r="L335" s="1"/>
      <c r="M335" s="1"/>
      <c r="N335" s="1"/>
      <c r="O335" s="1"/>
      <c r="P335" s="1"/>
      <c r="Q335" s="1"/>
      <c r="R335" s="1"/>
      <c r="S335" s="1"/>
      <c r="T335" s="1"/>
      <c r="U335" s="1"/>
      <c r="V335" s="1"/>
      <c r="W335" s="1"/>
      <c r="X335" s="1"/>
      <c r="Y335" s="1"/>
      <c r="Z335" s="1"/>
    </row>
    <row r="336" ht="10.5" customHeight="1">
      <c r="A336" s="1"/>
      <c r="B336" s="238">
        <v>2001.0</v>
      </c>
      <c r="C336" s="489">
        <v>50.7</v>
      </c>
      <c r="D336" s="489">
        <v>43.9</v>
      </c>
      <c r="E336" s="489">
        <v>55.8</v>
      </c>
      <c r="F336" s="489">
        <v>48.1</v>
      </c>
      <c r="G336" s="1"/>
      <c r="H336" s="1"/>
      <c r="I336" s="1"/>
      <c r="J336" s="1"/>
      <c r="K336" s="1"/>
      <c r="L336" s="1"/>
      <c r="M336" s="1"/>
      <c r="N336" s="1"/>
      <c r="O336" s="1"/>
      <c r="P336" s="1"/>
      <c r="Q336" s="1"/>
      <c r="R336" s="1"/>
      <c r="S336" s="1"/>
      <c r="T336" s="1"/>
      <c r="U336" s="1"/>
      <c r="V336" s="1"/>
      <c r="W336" s="1"/>
      <c r="X336" s="1"/>
      <c r="Y336" s="1"/>
      <c r="Z336" s="1"/>
    </row>
    <row r="337" ht="10.5" customHeight="1">
      <c r="A337" s="1"/>
      <c r="B337" s="238">
        <v>2002.0</v>
      </c>
      <c r="C337" s="489">
        <v>56.0</v>
      </c>
      <c r="D337" s="495">
        <v>62.3</v>
      </c>
      <c r="E337" s="489">
        <v>71.6</v>
      </c>
      <c r="F337" s="489">
        <v>59.2</v>
      </c>
      <c r="G337" s="1"/>
      <c r="H337" s="1"/>
      <c r="I337" s="1"/>
      <c r="J337" s="1"/>
      <c r="K337" s="1"/>
      <c r="L337" s="1"/>
      <c r="M337" s="1"/>
      <c r="N337" s="1"/>
      <c r="O337" s="1"/>
      <c r="P337" s="1"/>
      <c r="Q337" s="1"/>
      <c r="R337" s="1"/>
      <c r="S337" s="1"/>
      <c r="T337" s="1"/>
      <c r="U337" s="1"/>
      <c r="V337" s="1"/>
      <c r="W337" s="1"/>
      <c r="X337" s="1"/>
      <c r="Y337" s="1"/>
      <c r="Z337" s="1"/>
    </row>
    <row r="338" ht="10.5" customHeight="1">
      <c r="A338" s="1"/>
      <c r="B338" s="238">
        <v>2003.0</v>
      </c>
      <c r="C338" s="495">
        <v>61.2</v>
      </c>
      <c r="D338" s="495">
        <v>66.8</v>
      </c>
      <c r="E338" s="495">
        <v>91.9</v>
      </c>
      <c r="F338" s="495">
        <v>66.0</v>
      </c>
      <c r="G338" s="1"/>
      <c r="H338" s="1"/>
      <c r="I338" s="1"/>
      <c r="J338" s="1"/>
      <c r="K338" s="1"/>
      <c r="L338" s="1"/>
      <c r="M338" s="1"/>
      <c r="N338" s="1"/>
      <c r="O338" s="1"/>
      <c r="P338" s="1"/>
      <c r="Q338" s="1"/>
      <c r="R338" s="1"/>
      <c r="S338" s="1"/>
      <c r="T338" s="1"/>
      <c r="U338" s="1"/>
      <c r="V338" s="1"/>
      <c r="W338" s="1"/>
      <c r="X338" s="1"/>
      <c r="Y338" s="1"/>
      <c r="Z338" s="1"/>
    </row>
    <row r="339" ht="10.5" customHeight="1">
      <c r="A339" s="1"/>
      <c r="B339" s="238">
        <v>2004.0</v>
      </c>
      <c r="C339" s="495">
        <v>67.1</v>
      </c>
      <c r="D339" s="495">
        <v>69.4</v>
      </c>
      <c r="E339" s="495">
        <v>85.8</v>
      </c>
      <c r="F339" s="495">
        <v>68.9</v>
      </c>
      <c r="G339" s="1"/>
      <c r="H339" s="1"/>
      <c r="I339" s="1"/>
      <c r="J339" s="1"/>
      <c r="K339" s="1"/>
      <c r="L339" s="1"/>
      <c r="M339" s="1"/>
      <c r="N339" s="1"/>
      <c r="O339" s="1"/>
      <c r="P339" s="1"/>
      <c r="Q339" s="1"/>
      <c r="R339" s="1"/>
      <c r="S339" s="1"/>
      <c r="T339" s="1"/>
      <c r="U339" s="1"/>
      <c r="V339" s="1"/>
      <c r="W339" s="1"/>
      <c r="X339" s="1"/>
      <c r="Y339" s="1"/>
      <c r="Z339" s="1"/>
    </row>
    <row r="340" ht="10.5" customHeight="1">
      <c r="A340" s="1"/>
      <c r="B340" s="238"/>
      <c r="C340" s="495"/>
      <c r="D340" s="495"/>
      <c r="E340" s="495"/>
      <c r="F340" s="495"/>
      <c r="G340" s="1"/>
      <c r="H340" s="1"/>
      <c r="I340" s="1"/>
      <c r="J340" s="1"/>
      <c r="K340" s="1"/>
      <c r="L340" s="1"/>
      <c r="M340" s="1"/>
      <c r="N340" s="1"/>
      <c r="O340" s="1"/>
      <c r="P340" s="1"/>
      <c r="Q340" s="1"/>
      <c r="R340" s="1"/>
      <c r="S340" s="1"/>
      <c r="T340" s="1"/>
      <c r="U340" s="1"/>
      <c r="V340" s="1"/>
      <c r="W340" s="1"/>
      <c r="X340" s="1"/>
      <c r="Y340" s="1"/>
      <c r="Z340" s="1"/>
    </row>
    <row r="341" ht="10.5" customHeight="1">
      <c r="A341" s="1"/>
      <c r="B341" s="238">
        <v>2005.0</v>
      </c>
      <c r="C341" s="495">
        <v>62.4</v>
      </c>
      <c r="D341" s="495">
        <v>59.2</v>
      </c>
      <c r="E341" s="495">
        <v>83.0</v>
      </c>
      <c r="F341" s="495">
        <v>63.8</v>
      </c>
      <c r="G341" s="1"/>
      <c r="H341" s="1"/>
      <c r="I341" s="1"/>
      <c r="J341" s="1"/>
      <c r="K341" s="1"/>
      <c r="L341" s="1"/>
      <c r="M341" s="1"/>
      <c r="N341" s="1"/>
      <c r="O341" s="1"/>
      <c r="P341" s="1"/>
      <c r="Q341" s="1"/>
      <c r="R341" s="1"/>
      <c r="S341" s="1"/>
      <c r="T341" s="1"/>
      <c r="U341" s="1"/>
      <c r="V341" s="1"/>
      <c r="W341" s="1"/>
      <c r="X341" s="1"/>
      <c r="Y341" s="1"/>
      <c r="Z341" s="1"/>
    </row>
    <row r="342" ht="10.5" customHeight="1">
      <c r="A342" s="1"/>
      <c r="B342" s="238">
        <v>2006.0</v>
      </c>
      <c r="C342" s="495">
        <v>65.1</v>
      </c>
      <c r="D342" s="495">
        <v>66.8</v>
      </c>
      <c r="E342" s="495">
        <v>82.7</v>
      </c>
      <c r="F342" s="495">
        <v>68.2</v>
      </c>
      <c r="G342" s="1"/>
      <c r="H342" s="1"/>
      <c r="I342" s="1"/>
      <c r="J342" s="1"/>
      <c r="K342" s="1"/>
      <c r="L342" s="1"/>
      <c r="M342" s="1"/>
      <c r="N342" s="1"/>
      <c r="O342" s="1"/>
      <c r="P342" s="1"/>
      <c r="Q342" s="1"/>
      <c r="R342" s="1"/>
      <c r="S342" s="1"/>
      <c r="T342" s="1"/>
      <c r="U342" s="1"/>
      <c r="V342" s="1"/>
      <c r="W342" s="1"/>
      <c r="X342" s="1"/>
      <c r="Y342" s="1"/>
      <c r="Z342" s="1"/>
    </row>
    <row r="343" ht="10.5" customHeight="1">
      <c r="A343" s="1"/>
      <c r="B343" s="238">
        <v>2007.0</v>
      </c>
      <c r="C343" s="495">
        <v>76.4</v>
      </c>
      <c r="D343" s="495">
        <v>80.0</v>
      </c>
      <c r="E343" s="495">
        <v>81.9</v>
      </c>
      <c r="F343" s="495">
        <v>79.0</v>
      </c>
      <c r="G343" s="1"/>
      <c r="H343" s="1"/>
      <c r="I343" s="1"/>
      <c r="J343" s="1"/>
      <c r="K343" s="1"/>
      <c r="L343" s="1"/>
      <c r="M343" s="1"/>
      <c r="N343" s="1"/>
      <c r="O343" s="1"/>
      <c r="P343" s="1"/>
      <c r="Q343" s="1"/>
      <c r="R343" s="1"/>
      <c r="S343" s="1"/>
      <c r="T343" s="1"/>
      <c r="U343" s="1"/>
      <c r="V343" s="1"/>
      <c r="W343" s="1"/>
      <c r="X343" s="1"/>
      <c r="Y343" s="1"/>
      <c r="Z343" s="1"/>
    </row>
    <row r="344" ht="10.5" customHeight="1">
      <c r="A344" s="1"/>
      <c r="B344" s="238">
        <v>2008.0</v>
      </c>
      <c r="C344" s="495">
        <v>90.1</v>
      </c>
      <c r="D344" s="495">
        <v>77.8</v>
      </c>
      <c r="E344" s="495">
        <v>83.3</v>
      </c>
      <c r="F344" s="495">
        <v>85.0</v>
      </c>
      <c r="G344" s="1"/>
      <c r="H344" s="1"/>
      <c r="I344" s="1"/>
      <c r="J344" s="1"/>
      <c r="K344" s="1"/>
      <c r="L344" s="1"/>
      <c r="M344" s="1"/>
      <c r="N344" s="1"/>
      <c r="O344" s="1"/>
      <c r="P344" s="1"/>
      <c r="Q344" s="1"/>
      <c r="R344" s="1"/>
      <c r="S344" s="1"/>
      <c r="T344" s="1"/>
      <c r="U344" s="1"/>
      <c r="V344" s="1"/>
      <c r="W344" s="1"/>
      <c r="X344" s="1"/>
      <c r="Y344" s="1"/>
      <c r="Z344" s="1"/>
    </row>
    <row r="345" ht="10.5" customHeight="1">
      <c r="A345" s="1"/>
      <c r="B345" s="238">
        <v>2009.0</v>
      </c>
      <c r="C345" s="495">
        <v>93.1</v>
      </c>
      <c r="D345" s="495">
        <v>110.6</v>
      </c>
      <c r="E345" s="495">
        <v>93.1</v>
      </c>
      <c r="F345" s="495">
        <v>100.9</v>
      </c>
      <c r="G345" s="1"/>
      <c r="H345" s="1"/>
      <c r="I345" s="1"/>
      <c r="J345" s="1"/>
      <c r="K345" s="1"/>
      <c r="L345" s="1"/>
      <c r="M345" s="1"/>
      <c r="N345" s="1"/>
      <c r="O345" s="1"/>
      <c r="P345" s="1"/>
      <c r="Q345" s="1"/>
      <c r="R345" s="1"/>
      <c r="S345" s="1"/>
      <c r="T345" s="1"/>
      <c r="U345" s="1"/>
      <c r="V345" s="1"/>
      <c r="W345" s="1"/>
      <c r="X345" s="1"/>
      <c r="Y345" s="1"/>
      <c r="Z345" s="1"/>
    </row>
    <row r="346" ht="10.5" customHeight="1">
      <c r="A346" s="1"/>
      <c r="B346" s="238"/>
      <c r="C346" s="495"/>
      <c r="D346" s="495"/>
      <c r="E346" s="495"/>
      <c r="F346" s="495"/>
      <c r="G346" s="1"/>
      <c r="H346" s="1"/>
      <c r="I346" s="1"/>
      <c r="J346" s="1"/>
      <c r="K346" s="1"/>
      <c r="L346" s="1"/>
      <c r="M346" s="1"/>
      <c r="N346" s="1"/>
      <c r="O346" s="1"/>
      <c r="P346" s="1"/>
      <c r="Q346" s="1"/>
      <c r="R346" s="1"/>
      <c r="S346" s="1"/>
      <c r="T346" s="1"/>
      <c r="U346" s="1"/>
      <c r="V346" s="1"/>
      <c r="W346" s="1"/>
      <c r="X346" s="1"/>
      <c r="Y346" s="1"/>
      <c r="Z346" s="1"/>
    </row>
    <row r="347" ht="10.5" customHeight="1">
      <c r="A347" s="1"/>
      <c r="B347" s="129">
        <v>2010.0</v>
      </c>
      <c r="C347" s="495">
        <v>100.0</v>
      </c>
      <c r="D347" s="495">
        <v>100.0</v>
      </c>
      <c r="E347" s="495">
        <v>100.0</v>
      </c>
      <c r="F347" s="495">
        <v>100.0</v>
      </c>
      <c r="G347" s="1"/>
      <c r="H347" s="1"/>
      <c r="I347" s="1"/>
      <c r="J347" s="1"/>
      <c r="K347" s="1"/>
      <c r="L347" s="1"/>
      <c r="M347" s="1"/>
      <c r="N347" s="1"/>
      <c r="O347" s="1"/>
      <c r="P347" s="1"/>
      <c r="Q347" s="1"/>
      <c r="R347" s="1"/>
      <c r="S347" s="1"/>
      <c r="T347" s="1"/>
      <c r="U347" s="1"/>
      <c r="V347" s="1"/>
      <c r="W347" s="1"/>
      <c r="X347" s="1"/>
      <c r="Y347" s="1"/>
      <c r="Z347" s="1"/>
    </row>
    <row r="348" ht="10.5" customHeight="1">
      <c r="A348" s="1"/>
      <c r="B348" s="79">
        <v>2011.0</v>
      </c>
      <c r="C348" s="495">
        <v>108.3</v>
      </c>
      <c r="D348" s="495">
        <v>104.0</v>
      </c>
      <c r="E348" s="495">
        <v>102.7</v>
      </c>
      <c r="F348" s="495">
        <v>106.1</v>
      </c>
      <c r="G348" s="1"/>
      <c r="H348" s="1"/>
      <c r="I348" s="1"/>
      <c r="J348" s="1"/>
      <c r="K348" s="1"/>
      <c r="L348" s="1"/>
      <c r="M348" s="1"/>
      <c r="N348" s="1"/>
      <c r="O348" s="1"/>
      <c r="P348" s="1"/>
      <c r="Q348" s="1"/>
      <c r="R348" s="1"/>
      <c r="S348" s="1"/>
      <c r="T348" s="1"/>
      <c r="U348" s="1"/>
      <c r="V348" s="1"/>
      <c r="W348" s="1"/>
      <c r="X348" s="1"/>
      <c r="Y348" s="1"/>
      <c r="Z348" s="1"/>
    </row>
    <row r="349" ht="10.5" customHeight="1">
      <c r="A349" s="1"/>
      <c r="B349" s="79" t="s">
        <v>489</v>
      </c>
      <c r="C349" s="495">
        <v>115.2</v>
      </c>
      <c r="D349" s="495">
        <v>110.3</v>
      </c>
      <c r="E349" s="495">
        <v>106.5</v>
      </c>
      <c r="F349" s="495">
        <v>112.4</v>
      </c>
      <c r="G349" s="253"/>
      <c r="H349" s="1"/>
      <c r="I349" s="1"/>
      <c r="J349" s="1"/>
      <c r="K349" s="1"/>
      <c r="L349" s="1"/>
      <c r="M349" s="1"/>
      <c r="N349" s="1"/>
      <c r="O349" s="1"/>
      <c r="P349" s="1"/>
      <c r="Q349" s="1"/>
      <c r="R349" s="1"/>
      <c r="S349" s="1"/>
      <c r="T349" s="1"/>
      <c r="U349" s="1"/>
      <c r="V349" s="1"/>
      <c r="W349" s="1"/>
      <c r="X349" s="1"/>
      <c r="Y349" s="1"/>
      <c r="Z349" s="1"/>
    </row>
    <row r="350" ht="10.5" customHeight="1">
      <c r="A350" s="1"/>
      <c r="B350" s="79" t="s">
        <v>55</v>
      </c>
      <c r="C350" s="495">
        <v>129.2</v>
      </c>
      <c r="D350" s="495">
        <v>115.7</v>
      </c>
      <c r="E350" s="495">
        <v>116.9</v>
      </c>
      <c r="F350" s="495">
        <v>122.9</v>
      </c>
      <c r="G350" s="1"/>
      <c r="H350" s="1"/>
      <c r="I350" s="1"/>
      <c r="J350" s="1"/>
      <c r="K350" s="1"/>
      <c r="L350" s="1"/>
      <c r="M350" s="1"/>
      <c r="N350" s="1"/>
      <c r="O350" s="1"/>
      <c r="P350" s="1"/>
      <c r="Q350" s="1"/>
      <c r="R350" s="1"/>
      <c r="S350" s="1"/>
      <c r="T350" s="1"/>
      <c r="U350" s="1"/>
      <c r="V350" s="1"/>
      <c r="W350" s="1"/>
      <c r="X350" s="1"/>
      <c r="Y350" s="1"/>
      <c r="Z350" s="1"/>
    </row>
    <row r="351" ht="10.5" customHeight="1">
      <c r="A351" s="1"/>
      <c r="B351" s="79" t="s">
        <v>57</v>
      </c>
      <c r="C351" s="495">
        <v>143.3</v>
      </c>
      <c r="D351" s="495">
        <v>131.0</v>
      </c>
      <c r="E351" s="495">
        <v>123.2</v>
      </c>
      <c r="F351" s="495">
        <v>136.5</v>
      </c>
      <c r="G351" s="1"/>
      <c r="H351" s="1"/>
      <c r="I351" s="1"/>
      <c r="J351" s="1"/>
      <c r="K351" s="1"/>
      <c r="L351" s="1"/>
      <c r="M351" s="1"/>
      <c r="N351" s="1"/>
      <c r="O351" s="1"/>
      <c r="P351" s="1"/>
      <c r="Q351" s="1"/>
      <c r="R351" s="1"/>
      <c r="S351" s="1"/>
      <c r="T351" s="1"/>
      <c r="U351" s="1"/>
      <c r="V351" s="1"/>
      <c r="W351" s="1"/>
      <c r="X351" s="1"/>
      <c r="Y351" s="1"/>
      <c r="Z351" s="1"/>
    </row>
    <row r="352" ht="10.5" customHeight="1">
      <c r="A352" s="1"/>
      <c r="B352" s="79"/>
      <c r="C352" s="495"/>
      <c r="D352" s="495"/>
      <c r="E352" s="495"/>
      <c r="F352" s="495"/>
      <c r="G352" s="1"/>
      <c r="H352" s="1"/>
      <c r="I352" s="1"/>
      <c r="J352" s="1"/>
      <c r="K352" s="1"/>
      <c r="L352" s="1"/>
      <c r="M352" s="1"/>
      <c r="N352" s="1"/>
      <c r="O352" s="1"/>
      <c r="P352" s="1"/>
      <c r="Q352" s="1"/>
      <c r="R352" s="1"/>
      <c r="S352" s="1"/>
      <c r="T352" s="1"/>
      <c r="U352" s="1"/>
      <c r="V352" s="1"/>
      <c r="W352" s="1"/>
      <c r="X352" s="1"/>
      <c r="Y352" s="1"/>
      <c r="Z352" s="1"/>
    </row>
    <row r="353" ht="10.5" customHeight="1">
      <c r="A353" s="1"/>
      <c r="B353" s="79" t="s">
        <v>58</v>
      </c>
      <c r="C353" s="495">
        <v>163.7</v>
      </c>
      <c r="D353" s="495">
        <v>123.2</v>
      </c>
      <c r="E353" s="495">
        <v>122.8</v>
      </c>
      <c r="F353" s="495">
        <v>144.2</v>
      </c>
      <c r="G353" s="1"/>
      <c r="H353" s="1"/>
      <c r="I353" s="1"/>
      <c r="J353" s="1"/>
      <c r="K353" s="1"/>
      <c r="L353" s="1"/>
      <c r="M353" s="1"/>
      <c r="N353" s="1"/>
      <c r="O353" s="1"/>
      <c r="P353" s="1"/>
      <c r="Q353" s="1"/>
      <c r="R353" s="1"/>
      <c r="S353" s="1"/>
      <c r="T353" s="1"/>
      <c r="U353" s="1"/>
      <c r="V353" s="1"/>
      <c r="W353" s="1"/>
      <c r="X353" s="1"/>
      <c r="Y353" s="1"/>
      <c r="Z353" s="1"/>
    </row>
    <row r="354" ht="10.5" customHeight="1">
      <c r="A354" s="1"/>
      <c r="B354" s="79" t="s">
        <v>59</v>
      </c>
      <c r="C354" s="495">
        <v>188.4</v>
      </c>
      <c r="D354" s="495">
        <v>166.2</v>
      </c>
      <c r="E354" s="495">
        <v>125.7</v>
      </c>
      <c r="F354" s="495">
        <v>173.3</v>
      </c>
      <c r="G354" s="1"/>
      <c r="H354" s="1"/>
      <c r="I354" s="1"/>
      <c r="J354" s="1"/>
      <c r="K354" s="1"/>
      <c r="L354" s="1"/>
      <c r="M354" s="1"/>
      <c r="N354" s="1"/>
      <c r="O354" s="1"/>
      <c r="P354" s="1"/>
      <c r="Q354" s="1"/>
      <c r="R354" s="1"/>
      <c r="S354" s="1"/>
      <c r="T354" s="1"/>
      <c r="U354" s="1"/>
      <c r="V354" s="1"/>
      <c r="W354" s="1"/>
      <c r="X354" s="1"/>
      <c r="Y354" s="1"/>
      <c r="Z354" s="1"/>
    </row>
    <row r="355" ht="10.5" customHeight="1">
      <c r="A355" s="1"/>
      <c r="B355" s="52" t="s">
        <v>60</v>
      </c>
      <c r="C355" s="499">
        <v>186.6</v>
      </c>
      <c r="D355" s="499">
        <v>141.5</v>
      </c>
      <c r="E355" s="499">
        <v>130.7</v>
      </c>
      <c r="F355" s="499">
        <v>163.7</v>
      </c>
      <c r="G355" s="1"/>
      <c r="H355" s="1"/>
      <c r="I355" s="1"/>
      <c r="J355" s="1"/>
      <c r="K355" s="1"/>
      <c r="L355" s="1"/>
      <c r="M355" s="1"/>
      <c r="N355" s="1"/>
      <c r="O355" s="1"/>
      <c r="P355" s="1"/>
      <c r="Q355" s="1"/>
      <c r="R355" s="1"/>
      <c r="S355" s="1"/>
      <c r="T355" s="1"/>
      <c r="U355" s="1"/>
      <c r="V355" s="1"/>
      <c r="W355" s="1"/>
      <c r="X355" s="1"/>
      <c r="Y355" s="1"/>
      <c r="Z355" s="1"/>
    </row>
    <row r="356" ht="6.0" customHeight="1">
      <c r="A356" s="1"/>
      <c r="B356" s="242"/>
      <c r="C356" s="497"/>
      <c r="D356" s="497"/>
      <c r="E356" s="497"/>
      <c r="F356" s="497"/>
      <c r="G356" s="1"/>
      <c r="H356" s="1"/>
      <c r="I356" s="1"/>
      <c r="J356" s="1"/>
      <c r="K356" s="1"/>
      <c r="L356" s="1"/>
      <c r="M356" s="1"/>
      <c r="N356" s="1"/>
      <c r="O356" s="1"/>
      <c r="P356" s="1"/>
      <c r="Q356" s="1"/>
      <c r="R356" s="1"/>
      <c r="S356" s="1"/>
      <c r="T356" s="1"/>
      <c r="U356" s="1"/>
      <c r="V356" s="1"/>
      <c r="W356" s="1"/>
      <c r="X356" s="1"/>
      <c r="Y356" s="1"/>
      <c r="Z356" s="1"/>
    </row>
    <row r="357" ht="10.5" customHeight="1">
      <c r="A357" s="1"/>
      <c r="B357" s="185" t="s">
        <v>1834</v>
      </c>
      <c r="C357" s="612"/>
      <c r="D357" s="612"/>
      <c r="E357" s="612"/>
      <c r="F357" s="612"/>
      <c r="G357" s="1"/>
      <c r="H357" s="1"/>
      <c r="I357" s="1"/>
      <c r="J357" s="1"/>
      <c r="K357" s="1"/>
      <c r="L357" s="1"/>
      <c r="M357" s="1"/>
      <c r="N357" s="1"/>
      <c r="O357" s="1"/>
      <c r="P357" s="1"/>
      <c r="Q357" s="1"/>
      <c r="R357" s="1"/>
      <c r="S357" s="1"/>
      <c r="T357" s="1"/>
      <c r="U357" s="1"/>
      <c r="V357" s="1"/>
      <c r="W357" s="1"/>
      <c r="X357" s="1"/>
      <c r="Y357" s="1"/>
      <c r="Z357" s="1"/>
    </row>
    <row r="358" ht="10.5" customHeight="1">
      <c r="A358" s="1"/>
      <c r="B358" s="185" t="s">
        <v>1835</v>
      </c>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0.5" customHeight="1">
      <c r="A359" s="1"/>
      <c r="B359" s="60"/>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0.5" customHeight="1">
      <c r="A360" s="1"/>
      <c r="B360" s="1"/>
      <c r="C360" s="612"/>
      <c r="D360" s="612"/>
      <c r="E360" s="612"/>
      <c r="F360" s="612"/>
      <c r="G360" s="1"/>
      <c r="H360" s="1"/>
      <c r="I360" s="1"/>
      <c r="J360" s="1"/>
      <c r="K360" s="1"/>
      <c r="L360" s="1"/>
      <c r="M360" s="1"/>
      <c r="N360" s="1"/>
      <c r="O360" s="1"/>
      <c r="P360" s="1"/>
      <c r="Q360" s="1"/>
      <c r="R360" s="1"/>
      <c r="S360" s="1"/>
      <c r="T360" s="1"/>
      <c r="U360" s="1"/>
      <c r="V360" s="1"/>
      <c r="W360" s="1"/>
      <c r="X360" s="1"/>
      <c r="Y360" s="1"/>
      <c r="Z360" s="1"/>
    </row>
    <row r="361" ht="10.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0.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0.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0.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0.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0.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0.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0.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0.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0.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0.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0.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0.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0.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0.5" customHeight="1">
      <c r="A375" s="1"/>
      <c r="B375" s="1"/>
      <c r="C375" s="1"/>
      <c r="D375" s="1"/>
      <c r="E375" s="1"/>
      <c r="F375" s="1"/>
      <c r="G375" s="1"/>
      <c r="H375" s="110">
        <v>93.0</v>
      </c>
      <c r="I375" s="1"/>
      <c r="J375" s="1"/>
      <c r="K375" s="1"/>
      <c r="L375" s="1"/>
      <c r="M375" s="1"/>
      <c r="N375" s="1"/>
      <c r="O375" s="1"/>
      <c r="P375" s="1"/>
      <c r="Q375" s="1"/>
      <c r="R375" s="1"/>
      <c r="S375" s="1"/>
      <c r="T375" s="1"/>
      <c r="U375" s="1"/>
      <c r="V375" s="1"/>
      <c r="W375" s="1"/>
      <c r="X375" s="1"/>
      <c r="Y375" s="1"/>
      <c r="Z375" s="1"/>
    </row>
    <row r="376" ht="10.5" customHeight="1">
      <c r="A376" s="1"/>
      <c r="B376" s="1"/>
      <c r="C376" s="1"/>
      <c r="D376" s="1"/>
      <c r="E376" s="1"/>
      <c r="F376" s="1"/>
      <c r="G376" s="1"/>
      <c r="H376" s="110"/>
      <c r="I376" s="1"/>
      <c r="J376" s="1"/>
      <c r="K376" s="1"/>
      <c r="L376" s="1"/>
      <c r="M376" s="1"/>
      <c r="N376" s="1"/>
      <c r="O376" s="1"/>
      <c r="P376" s="1"/>
      <c r="Q376" s="1"/>
      <c r="R376" s="1"/>
      <c r="S376" s="1"/>
      <c r="T376" s="1"/>
      <c r="U376" s="1"/>
      <c r="V376" s="1"/>
      <c r="W376" s="1"/>
      <c r="X376" s="1"/>
      <c r="Y376" s="1"/>
      <c r="Z376" s="1"/>
    </row>
    <row r="377" ht="10.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t="s">
        <v>1836</v>
      </c>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3.25" customHeight="1">
      <c r="A379" s="125"/>
      <c r="B379" s="29" t="s">
        <v>1</v>
      </c>
      <c r="C379" s="273" t="s">
        <v>1284</v>
      </c>
      <c r="D379" s="273" t="s">
        <v>1288</v>
      </c>
      <c r="E379" s="273" t="s">
        <v>1289</v>
      </c>
      <c r="F379" s="273" t="s">
        <v>1285</v>
      </c>
      <c r="G379" s="128" t="s">
        <v>1295</v>
      </c>
      <c r="H379" s="190" t="s">
        <v>1294</v>
      </c>
      <c r="I379" s="273" t="s">
        <v>1337</v>
      </c>
      <c r="J379" s="273" t="s">
        <v>1336</v>
      </c>
      <c r="K379" s="273" t="s">
        <v>1346</v>
      </c>
      <c r="L379" s="273" t="s">
        <v>1286</v>
      </c>
      <c r="M379" s="273" t="s">
        <v>1837</v>
      </c>
      <c r="N379" s="273" t="s">
        <v>1344</v>
      </c>
      <c r="O379" s="273" t="s">
        <v>1838</v>
      </c>
      <c r="P379" s="273" t="s">
        <v>1839</v>
      </c>
      <c r="Q379" s="125"/>
      <c r="R379" s="125"/>
      <c r="S379" s="125"/>
      <c r="T379" s="125"/>
      <c r="U379" s="125"/>
      <c r="V379" s="125"/>
      <c r="W379" s="125"/>
      <c r="X379" s="125"/>
      <c r="Y379" s="125"/>
      <c r="Z379" s="125"/>
    </row>
    <row r="380" ht="11.25" customHeight="1">
      <c r="A380" s="125"/>
      <c r="B380" s="6"/>
      <c r="C380" s="8" t="s">
        <v>54</v>
      </c>
      <c r="D380" s="9"/>
      <c r="E380" s="9"/>
      <c r="F380" s="9"/>
      <c r="G380" s="9"/>
      <c r="H380" s="9"/>
      <c r="I380" s="9"/>
      <c r="J380" s="9"/>
      <c r="K380" s="9"/>
      <c r="L380" s="9"/>
      <c r="M380" s="9"/>
      <c r="N380" s="10"/>
      <c r="O380" s="42"/>
      <c r="P380" s="266"/>
      <c r="Q380" s="125"/>
      <c r="R380" s="125"/>
      <c r="S380" s="125"/>
      <c r="T380" s="125"/>
      <c r="U380" s="125"/>
      <c r="V380" s="125"/>
      <c r="W380" s="125"/>
      <c r="X380" s="125"/>
      <c r="Y380" s="125"/>
      <c r="Z380" s="125"/>
    </row>
    <row r="381" ht="11.25" customHeight="1">
      <c r="A381" s="125"/>
      <c r="B381" s="512" t="s">
        <v>1704</v>
      </c>
      <c r="C381" s="134">
        <v>35.0</v>
      </c>
      <c r="D381" s="134">
        <v>11.0</v>
      </c>
      <c r="E381" s="134">
        <v>1.0</v>
      </c>
      <c r="F381" s="482">
        <v>15.0</v>
      </c>
      <c r="G381" s="134">
        <v>1.0</v>
      </c>
      <c r="H381" s="134">
        <v>4.0</v>
      </c>
      <c r="I381" s="134">
        <v>3.0</v>
      </c>
      <c r="J381" s="134">
        <v>2.0</v>
      </c>
      <c r="K381" s="134">
        <v>1.0</v>
      </c>
      <c r="L381" s="134">
        <v>4.0</v>
      </c>
      <c r="M381" s="134">
        <v>21.0</v>
      </c>
      <c r="N381" s="134">
        <v>1.0</v>
      </c>
      <c r="O381" s="42">
        <v>1.0</v>
      </c>
      <c r="P381" s="266">
        <f>SUM(C381:O381)</f>
        <v>100</v>
      </c>
      <c r="Q381" s="125"/>
      <c r="R381" s="125"/>
      <c r="S381" s="125"/>
      <c r="T381" s="125"/>
      <c r="U381" s="125"/>
      <c r="V381" s="125"/>
      <c r="W381" s="125"/>
      <c r="X381" s="125"/>
      <c r="Y381" s="125"/>
      <c r="Z381" s="125"/>
    </row>
    <row r="382" ht="10.5" customHeight="1">
      <c r="A382" s="1"/>
      <c r="B382" s="238">
        <v>1980.0</v>
      </c>
      <c r="C382" s="366">
        <v>8.1</v>
      </c>
      <c r="D382" s="366">
        <v>13.9</v>
      </c>
      <c r="E382" s="366">
        <v>6.6</v>
      </c>
      <c r="F382" s="585">
        <v>6.6</v>
      </c>
      <c r="G382" s="366">
        <v>8.0</v>
      </c>
      <c r="H382" s="366">
        <v>5.1</v>
      </c>
      <c r="I382" s="366">
        <v>6.0</v>
      </c>
      <c r="J382" s="366">
        <v>5.3</v>
      </c>
      <c r="K382" s="366">
        <v>5.0</v>
      </c>
      <c r="L382" s="366">
        <v>6.9</v>
      </c>
      <c r="M382" s="366"/>
      <c r="N382" s="1085"/>
      <c r="O382" s="1086"/>
      <c r="P382" s="366">
        <v>7.2</v>
      </c>
      <c r="Q382" s="1"/>
      <c r="R382" s="1"/>
      <c r="S382" s="1"/>
      <c r="T382" s="1"/>
      <c r="U382" s="1"/>
      <c r="V382" s="1"/>
      <c r="W382" s="1"/>
      <c r="X382" s="1"/>
      <c r="Y382" s="1"/>
      <c r="Z382" s="1"/>
    </row>
    <row r="383" ht="10.5" customHeight="1">
      <c r="A383" s="1"/>
      <c r="B383" s="238">
        <v>1981.0</v>
      </c>
      <c r="C383" s="366">
        <v>6.4</v>
      </c>
      <c r="D383" s="366">
        <v>19.3</v>
      </c>
      <c r="E383" s="366">
        <v>9.0</v>
      </c>
      <c r="F383" s="585">
        <v>8.8</v>
      </c>
      <c r="G383" s="366">
        <v>8.5</v>
      </c>
      <c r="H383" s="366">
        <v>6.1</v>
      </c>
      <c r="I383" s="366">
        <v>5.7</v>
      </c>
      <c r="J383" s="366">
        <v>5.0</v>
      </c>
      <c r="K383" s="366">
        <v>6.6</v>
      </c>
      <c r="L383" s="366">
        <v>7.4</v>
      </c>
      <c r="M383" s="366"/>
      <c r="N383" s="1085"/>
      <c r="O383" s="1086"/>
      <c r="P383" s="366">
        <v>7.5</v>
      </c>
      <c r="Q383" s="1"/>
      <c r="R383" s="1"/>
      <c r="S383" s="1"/>
      <c r="T383" s="1"/>
      <c r="U383" s="1"/>
      <c r="V383" s="1"/>
      <c r="W383" s="1"/>
      <c r="X383" s="1"/>
      <c r="Y383" s="1"/>
      <c r="Z383" s="1"/>
    </row>
    <row r="384" ht="10.5" customHeight="1">
      <c r="A384" s="1"/>
      <c r="B384" s="238">
        <v>1982.0</v>
      </c>
      <c r="C384" s="366">
        <v>9.1</v>
      </c>
      <c r="D384" s="366">
        <v>18.9</v>
      </c>
      <c r="E384" s="366">
        <v>8.9</v>
      </c>
      <c r="F384" s="585">
        <v>6.7</v>
      </c>
      <c r="G384" s="366">
        <v>9.0</v>
      </c>
      <c r="H384" s="366">
        <v>5.6</v>
      </c>
      <c r="I384" s="366">
        <v>8.3</v>
      </c>
      <c r="J384" s="366">
        <v>6.8</v>
      </c>
      <c r="K384" s="366">
        <v>7.5</v>
      </c>
      <c r="L384" s="366">
        <v>6.6</v>
      </c>
      <c r="M384" s="366"/>
      <c r="N384" s="1085"/>
      <c r="O384" s="1086"/>
      <c r="P384" s="366">
        <v>8.1</v>
      </c>
      <c r="Q384" s="1"/>
      <c r="R384" s="1"/>
      <c r="S384" s="1"/>
      <c r="T384" s="1"/>
      <c r="U384" s="1"/>
      <c r="V384" s="1"/>
      <c r="W384" s="1"/>
      <c r="X384" s="1"/>
      <c r="Y384" s="1"/>
      <c r="Z384" s="1"/>
    </row>
    <row r="385" ht="10.5" customHeight="1">
      <c r="A385" s="1"/>
      <c r="B385" s="238">
        <v>1983.0</v>
      </c>
      <c r="C385" s="366">
        <v>13.3</v>
      </c>
      <c r="D385" s="366">
        <v>16.7</v>
      </c>
      <c r="E385" s="366">
        <v>9.0</v>
      </c>
      <c r="F385" s="585">
        <v>7.8</v>
      </c>
      <c r="G385" s="366">
        <v>8.9</v>
      </c>
      <c r="H385" s="366">
        <v>7.2</v>
      </c>
      <c r="I385" s="366">
        <v>6.7</v>
      </c>
      <c r="J385" s="366">
        <v>6.3</v>
      </c>
      <c r="K385" s="366">
        <v>8.7</v>
      </c>
      <c r="L385" s="366">
        <v>8.7</v>
      </c>
      <c r="M385" s="366"/>
      <c r="N385" s="1085"/>
      <c r="O385" s="1086"/>
      <c r="P385" s="366">
        <v>10.3</v>
      </c>
      <c r="Q385" s="1"/>
      <c r="R385" s="1"/>
      <c r="S385" s="1"/>
      <c r="T385" s="1"/>
      <c r="U385" s="1"/>
      <c r="V385" s="1"/>
      <c r="W385" s="1"/>
      <c r="X385" s="1"/>
      <c r="Y385" s="1"/>
      <c r="Z385" s="1"/>
    </row>
    <row r="386" ht="10.5" customHeight="1">
      <c r="A386" s="1"/>
      <c r="B386" s="238">
        <v>1984.0</v>
      </c>
      <c r="C386" s="366">
        <v>7.2</v>
      </c>
      <c r="D386" s="366">
        <v>19.7</v>
      </c>
      <c r="E386" s="366">
        <v>8.3</v>
      </c>
      <c r="F386" s="585">
        <v>9.4</v>
      </c>
      <c r="G386" s="366">
        <v>11.6</v>
      </c>
      <c r="H386" s="366">
        <v>6.5</v>
      </c>
      <c r="I386" s="366">
        <v>7.9</v>
      </c>
      <c r="J386" s="366">
        <v>6.1</v>
      </c>
      <c r="K386" s="366">
        <v>8.4</v>
      </c>
      <c r="L386" s="366">
        <v>9.7</v>
      </c>
      <c r="M386" s="366"/>
      <c r="N386" s="1085"/>
      <c r="O386" s="1086"/>
      <c r="P386" s="366">
        <v>8.3</v>
      </c>
      <c r="Q386" s="1"/>
      <c r="R386" s="1"/>
      <c r="S386" s="1"/>
      <c r="T386" s="1"/>
      <c r="U386" s="1"/>
      <c r="V386" s="1"/>
      <c r="W386" s="1"/>
      <c r="X386" s="1"/>
      <c r="Y386" s="1"/>
      <c r="Z386" s="1"/>
    </row>
    <row r="387" ht="10.5" customHeight="1">
      <c r="A387" s="1"/>
      <c r="B387" s="238"/>
      <c r="C387" s="366"/>
      <c r="D387" s="366"/>
      <c r="E387" s="366"/>
      <c r="F387" s="585"/>
      <c r="G387" s="366"/>
      <c r="H387" s="366"/>
      <c r="I387" s="366"/>
      <c r="J387" s="366"/>
      <c r="K387" s="366"/>
      <c r="L387" s="366"/>
      <c r="M387" s="366"/>
      <c r="N387" s="1085"/>
      <c r="O387" s="1086"/>
      <c r="P387" s="366"/>
      <c r="Q387" s="1"/>
      <c r="R387" s="1"/>
      <c r="S387" s="1"/>
      <c r="T387" s="1"/>
      <c r="U387" s="1"/>
      <c r="V387" s="1"/>
      <c r="W387" s="1"/>
      <c r="X387" s="1"/>
      <c r="Y387" s="1"/>
      <c r="Z387" s="1"/>
    </row>
    <row r="388" ht="10.5" customHeight="1">
      <c r="A388" s="1"/>
      <c r="B388" s="238">
        <v>1985.0</v>
      </c>
      <c r="C388" s="366">
        <v>10.6</v>
      </c>
      <c r="D388" s="366">
        <v>17.7</v>
      </c>
      <c r="E388" s="366">
        <v>9.0</v>
      </c>
      <c r="F388" s="585">
        <v>8.4</v>
      </c>
      <c r="G388" s="366">
        <v>11.1</v>
      </c>
      <c r="H388" s="366">
        <v>6.7</v>
      </c>
      <c r="I388" s="366">
        <v>6.5</v>
      </c>
      <c r="J388" s="366">
        <v>7.8</v>
      </c>
      <c r="K388" s="366">
        <v>6.7</v>
      </c>
      <c r="L388" s="366">
        <v>8.6</v>
      </c>
      <c r="M388" s="366"/>
      <c r="N388" s="1085"/>
      <c r="O388" s="1086"/>
      <c r="P388" s="366">
        <v>9.4</v>
      </c>
      <c r="Q388" s="1"/>
      <c r="R388" s="1"/>
      <c r="S388" s="1"/>
      <c r="T388" s="1"/>
      <c r="U388" s="1"/>
      <c r="V388" s="1"/>
      <c r="W388" s="1"/>
      <c r="X388" s="1"/>
      <c r="Y388" s="1"/>
      <c r="Z388" s="1"/>
    </row>
    <row r="389" ht="10.5" customHeight="1">
      <c r="A389" s="1"/>
      <c r="B389" s="238">
        <v>1986.0</v>
      </c>
      <c r="C389" s="366">
        <v>14.2</v>
      </c>
      <c r="D389" s="366">
        <v>26.2</v>
      </c>
      <c r="E389" s="366">
        <v>10.5</v>
      </c>
      <c r="F389" s="585">
        <v>9.8</v>
      </c>
      <c r="G389" s="366">
        <v>12.1</v>
      </c>
      <c r="H389" s="366">
        <v>7.1</v>
      </c>
      <c r="I389" s="366">
        <v>7.5</v>
      </c>
      <c r="J389" s="366">
        <v>5.9</v>
      </c>
      <c r="K389" s="366">
        <v>7.3</v>
      </c>
      <c r="L389" s="366">
        <v>10.7</v>
      </c>
      <c r="M389" s="366"/>
      <c r="N389" s="1085"/>
      <c r="O389" s="1086"/>
      <c r="P389" s="366">
        <v>11.8</v>
      </c>
      <c r="Q389" s="1"/>
      <c r="R389" s="1"/>
      <c r="S389" s="1"/>
      <c r="T389" s="1"/>
      <c r="U389" s="1"/>
      <c r="V389" s="1"/>
      <c r="W389" s="1"/>
      <c r="X389" s="1"/>
      <c r="Y389" s="1"/>
      <c r="Z389" s="1"/>
    </row>
    <row r="390" ht="10.5" customHeight="1">
      <c r="A390" s="1"/>
      <c r="B390" s="238">
        <v>1987.0</v>
      </c>
      <c r="C390" s="366">
        <v>18.2</v>
      </c>
      <c r="D390" s="366">
        <v>33.8</v>
      </c>
      <c r="E390" s="366">
        <v>10.3</v>
      </c>
      <c r="F390" s="585">
        <v>14.7</v>
      </c>
      <c r="G390" s="366">
        <v>14.7</v>
      </c>
      <c r="H390" s="366">
        <v>11.7</v>
      </c>
      <c r="I390" s="366">
        <v>11.4</v>
      </c>
      <c r="J390" s="366">
        <v>11.4</v>
      </c>
      <c r="K390" s="366">
        <v>10.7</v>
      </c>
      <c r="L390" s="366">
        <v>12.0</v>
      </c>
      <c r="M390" s="366"/>
      <c r="N390" s="1085"/>
      <c r="O390" s="1086"/>
      <c r="P390" s="366">
        <v>15.9</v>
      </c>
      <c r="Q390" s="1"/>
      <c r="R390" s="1"/>
      <c r="S390" s="1"/>
      <c r="T390" s="1"/>
      <c r="U390" s="1"/>
      <c r="V390" s="1"/>
      <c r="W390" s="1"/>
      <c r="X390" s="1"/>
      <c r="Y390" s="1"/>
      <c r="Z390" s="1"/>
    </row>
    <row r="391" ht="10.5" customHeight="1">
      <c r="A391" s="1"/>
      <c r="B391" s="238">
        <v>1988.0</v>
      </c>
      <c r="C391" s="366">
        <v>19.8</v>
      </c>
      <c r="D391" s="366">
        <v>29.8</v>
      </c>
      <c r="E391" s="366">
        <v>11.9</v>
      </c>
      <c r="F391" s="585">
        <v>15.3</v>
      </c>
      <c r="G391" s="366">
        <v>17.6</v>
      </c>
      <c r="H391" s="366">
        <v>11.9</v>
      </c>
      <c r="I391" s="366">
        <v>12.8</v>
      </c>
      <c r="J391" s="366">
        <v>9.9</v>
      </c>
      <c r="K391" s="366">
        <v>10.3</v>
      </c>
      <c r="L391" s="366">
        <v>14.5</v>
      </c>
      <c r="M391" s="366"/>
      <c r="N391" s="1085"/>
      <c r="O391" s="1086"/>
      <c r="P391" s="366">
        <v>16.7</v>
      </c>
      <c r="Q391" s="1"/>
      <c r="R391" s="1"/>
      <c r="S391" s="1"/>
      <c r="T391" s="1"/>
      <c r="U391" s="1"/>
      <c r="V391" s="1"/>
      <c r="W391" s="1"/>
      <c r="X391" s="1"/>
      <c r="Y391" s="1"/>
      <c r="Z391" s="1"/>
    </row>
    <row r="392" ht="10.5" customHeight="1">
      <c r="A392" s="1"/>
      <c r="B392" s="238">
        <v>1989.0</v>
      </c>
      <c r="C392" s="366">
        <v>11.8</v>
      </c>
      <c r="D392" s="366">
        <v>36.7</v>
      </c>
      <c r="E392" s="366">
        <v>15.2</v>
      </c>
      <c r="F392" s="585">
        <v>15.2</v>
      </c>
      <c r="G392" s="366">
        <v>15.9</v>
      </c>
      <c r="H392" s="366">
        <v>12.4</v>
      </c>
      <c r="I392" s="366">
        <v>12.8</v>
      </c>
      <c r="J392" s="366">
        <v>9.9</v>
      </c>
      <c r="K392" s="366">
        <v>12.5</v>
      </c>
      <c r="L392" s="366">
        <v>12.2</v>
      </c>
      <c r="M392" s="366"/>
      <c r="N392" s="1085"/>
      <c r="O392" s="1086"/>
      <c r="P392" s="366">
        <v>13.6</v>
      </c>
      <c r="Q392" s="1"/>
      <c r="R392" s="1"/>
      <c r="S392" s="1"/>
      <c r="T392" s="1"/>
      <c r="U392" s="1"/>
      <c r="V392" s="1"/>
      <c r="W392" s="1"/>
      <c r="X392" s="1"/>
      <c r="Y392" s="1"/>
      <c r="Z392" s="1"/>
    </row>
    <row r="393" ht="10.5" customHeight="1">
      <c r="A393" s="1"/>
      <c r="B393" s="238"/>
      <c r="C393" s="366"/>
      <c r="D393" s="366"/>
      <c r="E393" s="366"/>
      <c r="F393" s="585"/>
      <c r="G393" s="366"/>
      <c r="H393" s="366"/>
      <c r="I393" s="366"/>
      <c r="J393" s="366"/>
      <c r="K393" s="366"/>
      <c r="L393" s="366"/>
      <c r="M393" s="366"/>
      <c r="N393" s="1085"/>
      <c r="O393" s="1086"/>
      <c r="P393" s="366"/>
      <c r="Q393" s="1"/>
      <c r="R393" s="1"/>
      <c r="S393" s="1"/>
      <c r="T393" s="1"/>
      <c r="U393" s="1"/>
      <c r="V393" s="1"/>
      <c r="W393" s="1"/>
      <c r="X393" s="1"/>
      <c r="Y393" s="1"/>
      <c r="Z393" s="1"/>
    </row>
    <row r="394" ht="10.5" customHeight="1">
      <c r="A394" s="1"/>
      <c r="B394" s="238">
        <v>1990.0</v>
      </c>
      <c r="C394" s="366">
        <v>18.1</v>
      </c>
      <c r="D394" s="366">
        <v>33.2</v>
      </c>
      <c r="E394" s="366">
        <v>17.8</v>
      </c>
      <c r="F394" s="585">
        <v>21.8</v>
      </c>
      <c r="G394" s="366">
        <v>17.9</v>
      </c>
      <c r="H394" s="366">
        <v>17.4</v>
      </c>
      <c r="I394" s="366">
        <v>15.9</v>
      </c>
      <c r="J394" s="366">
        <v>13.9</v>
      </c>
      <c r="K394" s="366">
        <v>15.8</v>
      </c>
      <c r="L394" s="366">
        <v>21.5</v>
      </c>
      <c r="M394" s="366"/>
      <c r="N394" s="1085"/>
      <c r="O394" s="1086"/>
      <c r="P394" s="366">
        <v>18.9</v>
      </c>
      <c r="Q394" s="1"/>
      <c r="R394" s="1"/>
      <c r="S394" s="1"/>
      <c r="T394" s="1"/>
      <c r="U394" s="1"/>
      <c r="V394" s="1"/>
      <c r="W394" s="1"/>
      <c r="X394" s="1"/>
      <c r="Y394" s="1"/>
      <c r="Z394" s="1"/>
    </row>
    <row r="395" ht="10.5" customHeight="1">
      <c r="A395" s="1"/>
      <c r="B395" s="238">
        <v>1991.0</v>
      </c>
      <c r="C395" s="366">
        <v>18.2</v>
      </c>
      <c r="D395" s="366">
        <v>33.7</v>
      </c>
      <c r="E395" s="366">
        <v>17.3</v>
      </c>
      <c r="F395" s="585">
        <v>21.8</v>
      </c>
      <c r="G395" s="366">
        <v>17.8</v>
      </c>
      <c r="H395" s="366">
        <v>45.6</v>
      </c>
      <c r="I395" s="366">
        <v>15.1</v>
      </c>
      <c r="J395" s="366">
        <v>17.0</v>
      </c>
      <c r="K395" s="366">
        <v>16.4</v>
      </c>
      <c r="L395" s="366">
        <v>14.8</v>
      </c>
      <c r="M395" s="366"/>
      <c r="N395" s="1085"/>
      <c r="O395" s="1086"/>
      <c r="P395" s="366">
        <v>19.0</v>
      </c>
      <c r="Q395" s="1"/>
      <c r="R395" s="1"/>
      <c r="S395" s="1"/>
      <c r="T395" s="1"/>
      <c r="U395" s="1"/>
      <c r="V395" s="1"/>
      <c r="W395" s="1"/>
      <c r="X395" s="1"/>
      <c r="Y395" s="1"/>
      <c r="Z395" s="1"/>
    </row>
    <row r="396" ht="10.5" customHeight="1">
      <c r="A396" s="1"/>
      <c r="B396" s="238">
        <v>1992.0</v>
      </c>
      <c r="C396" s="366">
        <v>24.9</v>
      </c>
      <c r="D396" s="366">
        <v>41.0</v>
      </c>
      <c r="E396" s="366">
        <v>21.2</v>
      </c>
      <c r="F396" s="585">
        <v>24.8</v>
      </c>
      <c r="G396" s="366">
        <v>19.9</v>
      </c>
      <c r="H396" s="366">
        <v>15.9</v>
      </c>
      <c r="I396" s="366">
        <v>18.8</v>
      </c>
      <c r="J396" s="366">
        <v>18.1</v>
      </c>
      <c r="K396" s="366">
        <v>18.1</v>
      </c>
      <c r="L396" s="366">
        <v>21.7</v>
      </c>
      <c r="M396" s="366"/>
      <c r="N396" s="1085"/>
      <c r="O396" s="1086"/>
      <c r="P396" s="366">
        <v>23.8</v>
      </c>
      <c r="Q396" s="1"/>
      <c r="R396" s="1"/>
      <c r="S396" s="1"/>
      <c r="T396" s="1"/>
      <c r="U396" s="1"/>
      <c r="V396" s="1"/>
      <c r="W396" s="1"/>
      <c r="X396" s="1"/>
      <c r="Y396" s="1"/>
      <c r="Z396" s="1"/>
    </row>
    <row r="397" ht="10.5" customHeight="1">
      <c r="A397" s="1"/>
      <c r="B397" s="238">
        <v>1993.0</v>
      </c>
      <c r="C397" s="366">
        <v>16.1</v>
      </c>
      <c r="D397" s="366">
        <v>37.0</v>
      </c>
      <c r="E397" s="366">
        <v>17.4</v>
      </c>
      <c r="F397" s="585">
        <v>22.7</v>
      </c>
      <c r="G397" s="366">
        <v>21.3</v>
      </c>
      <c r="H397" s="366">
        <v>16.8</v>
      </c>
      <c r="I397" s="366">
        <v>14.8</v>
      </c>
      <c r="J397" s="366">
        <v>15.2</v>
      </c>
      <c r="K397" s="366">
        <v>16.1</v>
      </c>
      <c r="L397" s="366">
        <v>18.7</v>
      </c>
      <c r="M397" s="366"/>
      <c r="N397" s="1085"/>
      <c r="O397" s="1086"/>
      <c r="P397" s="366">
        <v>18.4</v>
      </c>
      <c r="Q397" s="1"/>
      <c r="R397" s="1"/>
      <c r="S397" s="1"/>
      <c r="T397" s="1"/>
      <c r="U397" s="1"/>
      <c r="V397" s="1"/>
      <c r="W397" s="1"/>
      <c r="X397" s="1"/>
      <c r="Y397" s="1"/>
      <c r="Z397" s="1"/>
    </row>
    <row r="398" ht="10.5" customHeight="1">
      <c r="A398" s="1"/>
      <c r="B398" s="238">
        <v>1994.0</v>
      </c>
      <c r="C398" s="366">
        <v>15.8</v>
      </c>
      <c r="D398" s="366">
        <v>63.8</v>
      </c>
      <c r="E398" s="366">
        <v>18.5</v>
      </c>
      <c r="F398" s="585">
        <v>28.6</v>
      </c>
      <c r="G398" s="366">
        <v>25.1</v>
      </c>
      <c r="H398" s="366">
        <v>24.8</v>
      </c>
      <c r="I398" s="366">
        <v>23.2</v>
      </c>
      <c r="J398" s="366">
        <v>19.6</v>
      </c>
      <c r="K398" s="366">
        <v>18.6</v>
      </c>
      <c r="L398" s="366">
        <v>25.5</v>
      </c>
      <c r="M398" s="366"/>
      <c r="N398" s="1085"/>
      <c r="O398" s="1086"/>
      <c r="P398" s="366">
        <v>22.2</v>
      </c>
      <c r="Q398" s="1"/>
      <c r="R398" s="1"/>
      <c r="S398" s="1"/>
      <c r="T398" s="1"/>
      <c r="U398" s="1"/>
      <c r="V398" s="1"/>
      <c r="W398" s="1"/>
      <c r="X398" s="1"/>
      <c r="Y398" s="1"/>
      <c r="Z398" s="1"/>
    </row>
    <row r="399" ht="10.5" customHeight="1">
      <c r="A399" s="1"/>
      <c r="B399" s="238"/>
      <c r="C399" s="366"/>
      <c r="D399" s="366"/>
      <c r="E399" s="366"/>
      <c r="F399" s="585"/>
      <c r="G399" s="366"/>
      <c r="H399" s="366"/>
      <c r="I399" s="366"/>
      <c r="J399" s="366"/>
      <c r="K399" s="366"/>
      <c r="L399" s="366"/>
      <c r="M399" s="366"/>
      <c r="N399" s="1085"/>
      <c r="O399" s="1086"/>
      <c r="P399" s="366"/>
      <c r="Q399" s="1"/>
      <c r="R399" s="1"/>
      <c r="S399" s="1"/>
      <c r="T399" s="1"/>
      <c r="U399" s="1"/>
      <c r="V399" s="1"/>
      <c r="W399" s="1"/>
      <c r="X399" s="1"/>
      <c r="Y399" s="1"/>
      <c r="Z399" s="1"/>
    </row>
    <row r="400" ht="10.5" customHeight="1">
      <c r="A400" s="1"/>
      <c r="B400" s="238">
        <v>1995.0</v>
      </c>
      <c r="C400" s="366">
        <v>26.9</v>
      </c>
      <c r="D400" s="366">
        <v>29.8</v>
      </c>
      <c r="E400" s="366">
        <v>29.7</v>
      </c>
      <c r="F400" s="585">
        <v>29.0</v>
      </c>
      <c r="G400" s="366">
        <v>31.9</v>
      </c>
      <c r="H400" s="366">
        <v>18.8</v>
      </c>
      <c r="I400" s="366">
        <v>25.4</v>
      </c>
      <c r="J400" s="366">
        <v>17.2</v>
      </c>
      <c r="K400" s="366">
        <v>22.2</v>
      </c>
      <c r="L400" s="366">
        <v>26.6</v>
      </c>
      <c r="M400" s="366"/>
      <c r="N400" s="1085"/>
      <c r="O400" s="1086"/>
      <c r="P400" s="366">
        <v>26.1</v>
      </c>
      <c r="Q400" s="1"/>
      <c r="R400" s="1"/>
      <c r="S400" s="1"/>
      <c r="T400" s="1"/>
      <c r="U400" s="1"/>
      <c r="V400" s="1"/>
      <c r="W400" s="1"/>
      <c r="X400" s="1"/>
      <c r="Y400" s="1"/>
      <c r="Z400" s="1"/>
    </row>
    <row r="401" ht="10.5" customHeight="1">
      <c r="A401" s="1"/>
      <c r="B401" s="238">
        <v>1996.0</v>
      </c>
      <c r="C401" s="366">
        <v>24.4</v>
      </c>
      <c r="D401" s="366">
        <v>52.1</v>
      </c>
      <c r="E401" s="366">
        <v>27.4</v>
      </c>
      <c r="F401" s="585">
        <v>32.3</v>
      </c>
      <c r="G401" s="366">
        <v>31.7</v>
      </c>
      <c r="H401" s="366">
        <v>21.2</v>
      </c>
      <c r="I401" s="366">
        <v>26.0</v>
      </c>
      <c r="J401" s="366">
        <v>23.8</v>
      </c>
      <c r="K401" s="366">
        <v>23.9</v>
      </c>
      <c r="L401" s="366">
        <v>27.7</v>
      </c>
      <c r="M401" s="366"/>
      <c r="N401" s="1085"/>
      <c r="O401" s="1086"/>
      <c r="P401" s="366">
        <v>27.5</v>
      </c>
      <c r="Q401" s="1"/>
      <c r="R401" s="1"/>
      <c r="S401" s="1"/>
      <c r="T401" s="1"/>
      <c r="U401" s="1"/>
      <c r="V401" s="1"/>
      <c r="W401" s="1"/>
      <c r="X401" s="1"/>
      <c r="Y401" s="1"/>
      <c r="Z401" s="1"/>
    </row>
    <row r="402" ht="10.5" customHeight="1">
      <c r="A402" s="1"/>
      <c r="B402" s="238">
        <v>1997.0</v>
      </c>
      <c r="C402" s="366">
        <v>25.8</v>
      </c>
      <c r="D402" s="585">
        <v>50.3</v>
      </c>
      <c r="E402" s="585">
        <v>26.1</v>
      </c>
      <c r="F402" s="366">
        <v>33.3</v>
      </c>
      <c r="G402" s="366">
        <v>33.4</v>
      </c>
      <c r="H402" s="366">
        <v>25.2</v>
      </c>
      <c r="I402" s="366">
        <v>27.8</v>
      </c>
      <c r="J402" s="366">
        <v>23.3</v>
      </c>
      <c r="K402" s="366">
        <v>28.1</v>
      </c>
      <c r="L402" s="366">
        <v>28.9</v>
      </c>
      <c r="M402" s="366"/>
      <c r="N402" s="1085"/>
      <c r="O402" s="1086"/>
      <c r="P402" s="366">
        <v>28.5</v>
      </c>
      <c r="Q402" s="1"/>
      <c r="R402" s="1"/>
      <c r="S402" s="1"/>
      <c r="T402" s="1"/>
      <c r="U402" s="1"/>
      <c r="V402" s="1"/>
      <c r="W402" s="1"/>
      <c r="X402" s="1"/>
      <c r="Y402" s="1"/>
      <c r="Z402" s="1"/>
    </row>
    <row r="403" ht="10.5" customHeight="1">
      <c r="A403" s="1"/>
      <c r="B403" s="238">
        <v>1998.0</v>
      </c>
      <c r="C403" s="585">
        <v>31.5</v>
      </c>
      <c r="D403" s="585">
        <v>43.8</v>
      </c>
      <c r="E403" s="585">
        <v>35.5</v>
      </c>
      <c r="F403" s="585">
        <v>35.9</v>
      </c>
      <c r="G403" s="366">
        <v>33.9</v>
      </c>
      <c r="H403" s="366">
        <v>27.8</v>
      </c>
      <c r="I403" s="366">
        <v>34.4</v>
      </c>
      <c r="J403" s="585">
        <v>30.8</v>
      </c>
      <c r="K403" s="366">
        <v>24.4</v>
      </c>
      <c r="L403" s="585">
        <v>34.0</v>
      </c>
      <c r="M403" s="366"/>
      <c r="N403" s="704"/>
      <c r="O403" s="1086"/>
      <c r="P403" s="585">
        <v>32.3</v>
      </c>
      <c r="Q403" s="1"/>
      <c r="R403" s="1"/>
      <c r="S403" s="1"/>
      <c r="T403" s="1"/>
      <c r="U403" s="1"/>
      <c r="V403" s="1"/>
      <c r="W403" s="1"/>
      <c r="X403" s="1"/>
      <c r="Y403" s="1"/>
      <c r="Z403" s="1"/>
    </row>
    <row r="404" ht="10.5" customHeight="1">
      <c r="A404" s="1"/>
      <c r="B404" s="238">
        <v>1999.0</v>
      </c>
      <c r="C404" s="585">
        <v>27.5</v>
      </c>
      <c r="D404" s="585">
        <v>35.1</v>
      </c>
      <c r="E404" s="585">
        <v>29.3</v>
      </c>
      <c r="F404" s="585">
        <v>34.6</v>
      </c>
      <c r="G404" s="585">
        <v>34.2</v>
      </c>
      <c r="H404" s="585">
        <v>25.3</v>
      </c>
      <c r="I404" s="585">
        <v>28.2</v>
      </c>
      <c r="J404" s="585">
        <v>23.9</v>
      </c>
      <c r="K404" s="585">
        <v>26.0</v>
      </c>
      <c r="L404" s="585">
        <v>31.2</v>
      </c>
      <c r="M404" s="366"/>
      <c r="N404" s="704"/>
      <c r="O404" s="1086"/>
      <c r="P404" s="585">
        <v>28.6</v>
      </c>
      <c r="Q404" s="1"/>
      <c r="R404" s="1"/>
      <c r="S404" s="1"/>
      <c r="T404" s="1"/>
      <c r="U404" s="1"/>
      <c r="V404" s="1"/>
      <c r="W404" s="1"/>
      <c r="X404" s="1"/>
      <c r="Y404" s="1"/>
      <c r="Z404" s="1"/>
    </row>
    <row r="405" ht="10.5" customHeight="1">
      <c r="A405" s="1"/>
      <c r="B405" s="238"/>
      <c r="C405" s="585"/>
      <c r="D405" s="585"/>
      <c r="E405" s="585"/>
      <c r="F405" s="585"/>
      <c r="G405" s="585"/>
      <c r="H405" s="585"/>
      <c r="I405" s="585"/>
      <c r="J405" s="585"/>
      <c r="K405" s="585"/>
      <c r="L405" s="585"/>
      <c r="M405" s="585"/>
      <c r="N405" s="704"/>
      <c r="O405" s="1086"/>
      <c r="P405" s="585"/>
      <c r="Q405" s="1"/>
      <c r="R405" s="1"/>
      <c r="S405" s="1"/>
      <c r="T405" s="1"/>
      <c r="U405" s="1"/>
      <c r="V405" s="1"/>
      <c r="W405" s="1"/>
      <c r="X405" s="1"/>
      <c r="Y405" s="1"/>
      <c r="Z405" s="1"/>
    </row>
    <row r="406" ht="10.5" customHeight="1">
      <c r="A406" s="1"/>
      <c r="B406" s="238">
        <v>2000.0</v>
      </c>
      <c r="C406" s="585">
        <v>36.0</v>
      </c>
      <c r="D406" s="585">
        <v>91.4</v>
      </c>
      <c r="E406" s="585">
        <v>37.3</v>
      </c>
      <c r="F406" s="585">
        <v>45.8</v>
      </c>
      <c r="G406" s="585">
        <v>40.4</v>
      </c>
      <c r="H406" s="585">
        <v>33.1</v>
      </c>
      <c r="I406" s="585">
        <v>45.0</v>
      </c>
      <c r="J406" s="585">
        <v>35.0</v>
      </c>
      <c r="K406" s="585">
        <v>59.0</v>
      </c>
      <c r="L406" s="585">
        <v>44.7</v>
      </c>
      <c r="M406" s="585">
        <v>46.5</v>
      </c>
      <c r="N406" s="585"/>
      <c r="O406" s="1086"/>
      <c r="P406" s="585">
        <v>46.9</v>
      </c>
      <c r="Q406" s="1"/>
      <c r="R406" s="1"/>
      <c r="S406" s="1"/>
      <c r="T406" s="1"/>
      <c r="U406" s="1"/>
      <c r="V406" s="1"/>
      <c r="W406" s="1"/>
      <c r="X406" s="1"/>
      <c r="Y406" s="1"/>
      <c r="Z406" s="1"/>
    </row>
    <row r="407" ht="10.5" customHeight="1">
      <c r="A407" s="1"/>
      <c r="B407" s="238">
        <v>2001.0</v>
      </c>
      <c r="C407" s="585">
        <v>35.5</v>
      </c>
      <c r="D407" s="585">
        <v>58.7</v>
      </c>
      <c r="E407" s="585">
        <v>35.4</v>
      </c>
      <c r="F407" s="585">
        <v>44.5</v>
      </c>
      <c r="G407" s="585">
        <v>44.0</v>
      </c>
      <c r="H407" s="585">
        <v>31.8</v>
      </c>
      <c r="I407" s="585">
        <v>41.2</v>
      </c>
      <c r="J407" s="585">
        <v>41.9</v>
      </c>
      <c r="K407" s="585">
        <v>37.7</v>
      </c>
      <c r="L407" s="585">
        <v>34.7</v>
      </c>
      <c r="M407" s="585">
        <v>51.3</v>
      </c>
      <c r="N407" s="585"/>
      <c r="O407" s="1086"/>
      <c r="P407" s="585">
        <v>44.9</v>
      </c>
      <c r="Q407" s="1"/>
      <c r="R407" s="1"/>
      <c r="S407" s="1"/>
      <c r="T407" s="1"/>
      <c r="U407" s="1"/>
      <c r="V407" s="1"/>
      <c r="W407" s="1"/>
      <c r="X407" s="1"/>
      <c r="Y407" s="1"/>
      <c r="Z407" s="1"/>
    </row>
    <row r="408" ht="10.5" customHeight="1">
      <c r="A408" s="1"/>
      <c r="B408" s="238">
        <v>2002.0</v>
      </c>
      <c r="C408" s="585">
        <v>58.2</v>
      </c>
      <c r="D408" s="585">
        <v>83.0</v>
      </c>
      <c r="E408" s="585">
        <v>56.3</v>
      </c>
      <c r="F408" s="585">
        <v>47.0</v>
      </c>
      <c r="G408" s="585">
        <v>48.9</v>
      </c>
      <c r="H408" s="585">
        <v>39.5</v>
      </c>
      <c r="I408" s="585">
        <v>55.6</v>
      </c>
      <c r="J408" s="585">
        <v>55.5</v>
      </c>
      <c r="K408" s="585">
        <v>36.7</v>
      </c>
      <c r="L408" s="585">
        <v>56.8</v>
      </c>
      <c r="M408" s="585">
        <v>66.4</v>
      </c>
      <c r="N408" s="585"/>
      <c r="O408" s="1086"/>
      <c r="P408" s="585">
        <v>64.0</v>
      </c>
      <c r="Q408" s="1"/>
      <c r="R408" s="1"/>
      <c r="S408" s="1"/>
      <c r="T408" s="1"/>
      <c r="U408" s="1"/>
      <c r="V408" s="1"/>
      <c r="W408" s="1"/>
      <c r="X408" s="1"/>
      <c r="Y408" s="1"/>
      <c r="Z408" s="1"/>
    </row>
    <row r="409" ht="10.5" customHeight="1">
      <c r="A409" s="1"/>
      <c r="B409" s="238">
        <v>2003.0</v>
      </c>
      <c r="C409" s="585">
        <v>57.3</v>
      </c>
      <c r="D409" s="585">
        <v>81.9</v>
      </c>
      <c r="E409" s="585">
        <v>67.4</v>
      </c>
      <c r="F409" s="585">
        <v>61.9</v>
      </c>
      <c r="G409" s="585">
        <v>63.4</v>
      </c>
      <c r="H409" s="585">
        <v>40.3</v>
      </c>
      <c r="I409" s="585">
        <v>56.1</v>
      </c>
      <c r="J409" s="585">
        <v>59.8</v>
      </c>
      <c r="K409" s="585">
        <v>51.9</v>
      </c>
      <c r="L409" s="585">
        <v>49.3</v>
      </c>
      <c r="M409" s="585">
        <v>80.3</v>
      </c>
      <c r="N409" s="585"/>
      <c r="O409" s="1086"/>
      <c r="P409" s="585">
        <v>68.5</v>
      </c>
      <c r="Q409" s="1"/>
      <c r="R409" s="1"/>
      <c r="S409" s="1"/>
      <c r="T409" s="1"/>
      <c r="U409" s="1"/>
      <c r="V409" s="1"/>
      <c r="W409" s="1"/>
      <c r="X409" s="1"/>
      <c r="Y409" s="1"/>
      <c r="Z409" s="1"/>
    </row>
    <row r="410" ht="10.5" customHeight="1">
      <c r="A410" s="1"/>
      <c r="B410" s="238">
        <v>2004.0</v>
      </c>
      <c r="C410" s="585">
        <v>45.7</v>
      </c>
      <c r="D410" s="585">
        <v>62.4</v>
      </c>
      <c r="E410" s="585">
        <v>54.2</v>
      </c>
      <c r="F410" s="585">
        <v>57.4</v>
      </c>
      <c r="G410" s="585">
        <v>60.7</v>
      </c>
      <c r="H410" s="585">
        <v>34.6</v>
      </c>
      <c r="I410" s="585">
        <v>55.8</v>
      </c>
      <c r="J410" s="585">
        <v>40.8</v>
      </c>
      <c r="K410" s="585">
        <v>56.8</v>
      </c>
      <c r="L410" s="585">
        <v>47.0</v>
      </c>
      <c r="M410" s="585">
        <v>75.1</v>
      </c>
      <c r="N410" s="585"/>
      <c r="O410" s="1086"/>
      <c r="P410" s="585">
        <v>58.6</v>
      </c>
      <c r="Q410" s="1"/>
      <c r="R410" s="1"/>
      <c r="S410" s="1"/>
      <c r="T410" s="1"/>
      <c r="U410" s="1"/>
      <c r="V410" s="1"/>
      <c r="W410" s="1"/>
      <c r="X410" s="1"/>
      <c r="Y410" s="1"/>
      <c r="Z410" s="1"/>
    </row>
    <row r="411" ht="10.5" customHeight="1">
      <c r="A411" s="1"/>
      <c r="B411" s="238"/>
      <c r="C411" s="585"/>
      <c r="D411" s="585"/>
      <c r="E411" s="585"/>
      <c r="F411" s="585"/>
      <c r="G411" s="585"/>
      <c r="H411" s="585"/>
      <c r="I411" s="585"/>
      <c r="J411" s="585"/>
      <c r="K411" s="585"/>
      <c r="L411" s="585"/>
      <c r="M411" s="585"/>
      <c r="N411" s="585"/>
      <c r="O411" s="1086"/>
      <c r="P411" s="585"/>
      <c r="Q411" s="1"/>
      <c r="R411" s="1"/>
      <c r="S411" s="1"/>
      <c r="T411" s="1"/>
      <c r="U411" s="1"/>
      <c r="V411" s="1"/>
      <c r="W411" s="1"/>
      <c r="X411" s="1"/>
      <c r="Y411" s="1"/>
      <c r="Z411" s="1"/>
    </row>
    <row r="412" ht="10.5" customHeight="1">
      <c r="A412" s="1"/>
      <c r="B412" s="238">
        <v>2005.0</v>
      </c>
      <c r="C412" s="585">
        <v>52.3</v>
      </c>
      <c r="D412" s="585">
        <v>67.1</v>
      </c>
      <c r="E412" s="585">
        <v>58.7</v>
      </c>
      <c r="F412" s="585">
        <v>56.3</v>
      </c>
      <c r="G412" s="585">
        <v>65.6</v>
      </c>
      <c r="H412" s="585">
        <v>43.4</v>
      </c>
      <c r="I412" s="585">
        <v>50.4</v>
      </c>
      <c r="J412" s="585">
        <v>51.8</v>
      </c>
      <c r="K412" s="585">
        <v>47.2</v>
      </c>
      <c r="L412" s="585">
        <v>49.3</v>
      </c>
      <c r="M412" s="585">
        <v>57.6</v>
      </c>
      <c r="N412" s="585">
        <v>22.3</v>
      </c>
      <c r="O412" s="585">
        <v>169.5</v>
      </c>
      <c r="P412" s="585">
        <v>59.4</v>
      </c>
      <c r="Q412" s="1"/>
      <c r="R412" s="1"/>
      <c r="S412" s="1"/>
      <c r="T412" s="1"/>
      <c r="U412" s="1"/>
      <c r="V412" s="1"/>
      <c r="W412" s="1"/>
      <c r="X412" s="1"/>
      <c r="Y412" s="1"/>
      <c r="Z412" s="1"/>
    </row>
    <row r="413" ht="10.5" customHeight="1">
      <c r="A413" s="1"/>
      <c r="B413" s="238">
        <v>2006.0</v>
      </c>
      <c r="C413" s="585">
        <v>57.7</v>
      </c>
      <c r="D413" s="585">
        <v>65.1</v>
      </c>
      <c r="E413" s="585">
        <v>90.1</v>
      </c>
      <c r="F413" s="585">
        <v>66.0</v>
      </c>
      <c r="G413" s="585">
        <v>77.0</v>
      </c>
      <c r="H413" s="585">
        <v>51.8</v>
      </c>
      <c r="I413" s="585">
        <v>66.7</v>
      </c>
      <c r="J413" s="585">
        <v>59.6</v>
      </c>
      <c r="K413" s="585">
        <v>66.9</v>
      </c>
      <c r="L413" s="585">
        <v>65.4</v>
      </c>
      <c r="M413" s="585">
        <v>82.5</v>
      </c>
      <c r="N413" s="585">
        <v>36.0</v>
      </c>
      <c r="O413" s="585">
        <v>171.7</v>
      </c>
      <c r="P413" s="585">
        <v>67.9</v>
      </c>
      <c r="Q413" s="1"/>
      <c r="R413" s="1"/>
      <c r="S413" s="1"/>
      <c r="T413" s="1"/>
      <c r="U413" s="1"/>
      <c r="V413" s="1"/>
      <c r="W413" s="1"/>
      <c r="X413" s="1"/>
      <c r="Y413" s="1"/>
      <c r="Z413" s="1"/>
    </row>
    <row r="414" ht="10.5" customHeight="1">
      <c r="A414" s="1"/>
      <c r="B414" s="238">
        <v>2007.0</v>
      </c>
      <c r="C414" s="585">
        <v>113.2</v>
      </c>
      <c r="D414" s="585">
        <v>83.8</v>
      </c>
      <c r="E414" s="585">
        <v>102.5</v>
      </c>
      <c r="F414" s="585">
        <v>77.9</v>
      </c>
      <c r="G414" s="585">
        <v>89.0</v>
      </c>
      <c r="H414" s="585">
        <v>64.5</v>
      </c>
      <c r="I414" s="585">
        <v>77.1</v>
      </c>
      <c r="J414" s="585">
        <v>92.1</v>
      </c>
      <c r="K414" s="585">
        <v>77.8</v>
      </c>
      <c r="L414" s="585">
        <v>74.5</v>
      </c>
      <c r="M414" s="585">
        <v>74.5</v>
      </c>
      <c r="N414" s="585">
        <v>43.1</v>
      </c>
      <c r="O414" s="585">
        <v>88.8</v>
      </c>
      <c r="P414" s="585">
        <v>81.8</v>
      </c>
      <c r="Q414" s="1"/>
      <c r="R414" s="1"/>
      <c r="S414" s="1"/>
      <c r="T414" s="1"/>
      <c r="U414" s="1"/>
      <c r="V414" s="1"/>
      <c r="W414" s="1"/>
      <c r="X414" s="1"/>
      <c r="Y414" s="1"/>
      <c r="Z414" s="1"/>
    </row>
    <row r="415" ht="10.5" customHeight="1">
      <c r="A415" s="1"/>
      <c r="B415" s="238">
        <v>2008.0</v>
      </c>
      <c r="C415" s="585">
        <v>84.6</v>
      </c>
      <c r="D415" s="585">
        <v>80.1</v>
      </c>
      <c r="E415" s="585">
        <v>114.0</v>
      </c>
      <c r="F415" s="585">
        <v>80.3</v>
      </c>
      <c r="G415" s="585">
        <v>111.6</v>
      </c>
      <c r="H415" s="585">
        <v>60.2</v>
      </c>
      <c r="I415" s="585">
        <v>84.5</v>
      </c>
      <c r="J415" s="585">
        <v>78.7</v>
      </c>
      <c r="K415" s="585">
        <v>81.9</v>
      </c>
      <c r="L415" s="585">
        <v>73.6</v>
      </c>
      <c r="M415" s="585">
        <v>73.0</v>
      </c>
      <c r="N415" s="585">
        <v>43.2</v>
      </c>
      <c r="O415" s="585">
        <v>163.7</v>
      </c>
      <c r="P415" s="585">
        <v>78.9</v>
      </c>
      <c r="Q415" s="1"/>
      <c r="R415" s="1"/>
      <c r="S415" s="1"/>
      <c r="T415" s="1"/>
      <c r="U415" s="1"/>
      <c r="V415" s="1"/>
      <c r="W415" s="1"/>
      <c r="X415" s="1"/>
      <c r="Y415" s="1"/>
      <c r="Z415" s="1"/>
    </row>
    <row r="416" ht="10.5" customHeight="1">
      <c r="A416" s="1"/>
      <c r="B416" s="238">
        <v>2009.0</v>
      </c>
      <c r="C416" s="585">
        <v>122.6</v>
      </c>
      <c r="D416" s="585">
        <v>129.0</v>
      </c>
      <c r="E416" s="585">
        <v>115.0</v>
      </c>
      <c r="F416" s="585">
        <v>97.6</v>
      </c>
      <c r="G416" s="585">
        <v>102.3</v>
      </c>
      <c r="H416" s="585">
        <v>86.1</v>
      </c>
      <c r="I416" s="585">
        <v>102.9</v>
      </c>
      <c r="J416" s="585">
        <v>121.2</v>
      </c>
      <c r="K416" s="585">
        <v>90.6</v>
      </c>
      <c r="L416" s="585">
        <v>89.5</v>
      </c>
      <c r="M416" s="585">
        <v>97.6</v>
      </c>
      <c r="N416" s="585">
        <v>90.1</v>
      </c>
      <c r="O416" s="585">
        <v>89.7</v>
      </c>
      <c r="P416" s="585">
        <v>111.8</v>
      </c>
      <c r="Q416" s="1"/>
      <c r="R416" s="1"/>
      <c r="S416" s="1"/>
      <c r="T416" s="1"/>
      <c r="U416" s="1"/>
      <c r="V416" s="1"/>
      <c r="W416" s="1"/>
      <c r="X416" s="1"/>
      <c r="Y416" s="1"/>
      <c r="Z416" s="1"/>
    </row>
    <row r="417" ht="10.5" customHeight="1">
      <c r="A417" s="1"/>
      <c r="B417" s="238"/>
      <c r="C417" s="585"/>
      <c r="D417" s="585"/>
      <c r="E417" s="585"/>
      <c r="F417" s="585"/>
      <c r="G417" s="585"/>
      <c r="H417" s="585"/>
      <c r="I417" s="585"/>
      <c r="J417" s="585"/>
      <c r="K417" s="585"/>
      <c r="L417" s="585"/>
      <c r="M417" s="585"/>
      <c r="N417" s="585"/>
      <c r="O417" s="585"/>
      <c r="P417" s="585"/>
      <c r="Q417" s="1"/>
      <c r="R417" s="1"/>
      <c r="S417" s="1"/>
      <c r="T417" s="1"/>
      <c r="U417" s="1"/>
      <c r="V417" s="1"/>
      <c r="W417" s="1"/>
      <c r="X417" s="1"/>
      <c r="Y417" s="1"/>
      <c r="Z417" s="1"/>
    </row>
    <row r="418" ht="10.5" customHeight="1">
      <c r="A418" s="1"/>
      <c r="B418" s="129">
        <v>2010.0</v>
      </c>
      <c r="C418" s="585">
        <v>100.0</v>
      </c>
      <c r="D418" s="585">
        <v>100.0</v>
      </c>
      <c r="E418" s="585">
        <v>100.0</v>
      </c>
      <c r="F418" s="585">
        <v>100.0</v>
      </c>
      <c r="G418" s="585">
        <v>100.0</v>
      </c>
      <c r="H418" s="585">
        <v>100.0</v>
      </c>
      <c r="I418" s="585">
        <v>100.0</v>
      </c>
      <c r="J418" s="585">
        <v>100.0</v>
      </c>
      <c r="K418" s="585">
        <v>100.0</v>
      </c>
      <c r="L418" s="585">
        <v>100.0</v>
      </c>
      <c r="M418" s="585">
        <v>100.0</v>
      </c>
      <c r="N418" s="585">
        <v>100.0</v>
      </c>
      <c r="O418" s="585">
        <v>100.0</v>
      </c>
      <c r="P418" s="585">
        <v>100.0</v>
      </c>
      <c r="Q418" s="1"/>
      <c r="R418" s="1"/>
      <c r="S418" s="1"/>
      <c r="T418" s="1"/>
      <c r="U418" s="1"/>
      <c r="V418" s="1"/>
      <c r="W418" s="1"/>
      <c r="X418" s="1"/>
      <c r="Y418" s="1"/>
      <c r="Z418" s="1"/>
    </row>
    <row r="419" ht="10.5" customHeight="1">
      <c r="A419" s="1"/>
      <c r="B419" s="79">
        <v>2011.0</v>
      </c>
      <c r="C419" s="585">
        <v>98.7</v>
      </c>
      <c r="D419" s="585">
        <v>82.5</v>
      </c>
      <c r="E419" s="585">
        <v>164.9</v>
      </c>
      <c r="F419" s="585">
        <v>99.5</v>
      </c>
      <c r="G419" s="585">
        <v>112.5</v>
      </c>
      <c r="H419" s="585">
        <v>84.9</v>
      </c>
      <c r="I419" s="585">
        <v>112.8</v>
      </c>
      <c r="J419" s="585">
        <v>107.7</v>
      </c>
      <c r="K419" s="585">
        <v>117.6</v>
      </c>
      <c r="L419" s="585">
        <v>96.4</v>
      </c>
      <c r="M419" s="585">
        <v>116.1</v>
      </c>
      <c r="N419" s="585">
        <v>77.3</v>
      </c>
      <c r="O419" s="585">
        <v>206.3</v>
      </c>
      <c r="P419" s="585">
        <v>102.5</v>
      </c>
      <c r="Q419" s="1"/>
      <c r="R419" s="1"/>
      <c r="S419" s="1"/>
      <c r="T419" s="1"/>
      <c r="U419" s="1"/>
      <c r="V419" s="1"/>
      <c r="W419" s="1"/>
      <c r="X419" s="1"/>
      <c r="Y419" s="1"/>
      <c r="Z419" s="1"/>
    </row>
    <row r="420" ht="10.5" customHeight="1">
      <c r="A420" s="1"/>
      <c r="B420" s="79" t="s">
        <v>489</v>
      </c>
      <c r="C420" s="585">
        <v>101.0</v>
      </c>
      <c r="D420" s="585">
        <v>96.3</v>
      </c>
      <c r="E420" s="585">
        <v>203.2</v>
      </c>
      <c r="F420" s="585">
        <v>101.9</v>
      </c>
      <c r="G420" s="585">
        <v>122.1</v>
      </c>
      <c r="H420" s="585">
        <v>78.8</v>
      </c>
      <c r="I420" s="585">
        <v>109.1</v>
      </c>
      <c r="J420" s="585">
        <v>128.4</v>
      </c>
      <c r="K420" s="585">
        <v>128.5</v>
      </c>
      <c r="L420" s="585">
        <v>93.5</v>
      </c>
      <c r="M420" s="585">
        <v>138.0</v>
      </c>
      <c r="N420" s="585">
        <v>99.3</v>
      </c>
      <c r="O420" s="585">
        <v>185.6</v>
      </c>
      <c r="P420" s="585">
        <v>110.3</v>
      </c>
      <c r="Q420" s="1"/>
      <c r="R420" s="1"/>
      <c r="S420" s="1"/>
      <c r="T420" s="1"/>
      <c r="U420" s="1"/>
      <c r="V420" s="1"/>
      <c r="W420" s="1"/>
      <c r="X420" s="1"/>
      <c r="Y420" s="1"/>
      <c r="Z420" s="1"/>
    </row>
    <row r="421" ht="10.5" customHeight="1">
      <c r="A421" s="1"/>
      <c r="B421" s="79" t="s">
        <v>55</v>
      </c>
      <c r="C421" s="585">
        <v>128.9</v>
      </c>
      <c r="D421" s="585">
        <v>127.2</v>
      </c>
      <c r="E421" s="585">
        <v>142.9</v>
      </c>
      <c r="F421" s="585">
        <v>112.1</v>
      </c>
      <c r="G421" s="585">
        <v>129.4</v>
      </c>
      <c r="H421" s="585">
        <v>95.9</v>
      </c>
      <c r="I421" s="585">
        <v>125.3</v>
      </c>
      <c r="J421" s="585">
        <v>152.5</v>
      </c>
      <c r="K421" s="585">
        <v>121.3</v>
      </c>
      <c r="L421" s="585">
        <v>125.2</v>
      </c>
      <c r="M421" s="585">
        <v>85.7</v>
      </c>
      <c r="N421" s="585">
        <v>97.1</v>
      </c>
      <c r="O421" s="585">
        <v>150.7</v>
      </c>
      <c r="P421" s="585">
        <v>116.0</v>
      </c>
      <c r="Q421" s="1"/>
      <c r="R421" s="1"/>
      <c r="S421" s="1"/>
      <c r="T421" s="1"/>
      <c r="U421" s="1"/>
      <c r="V421" s="1"/>
      <c r="W421" s="1"/>
      <c r="X421" s="1"/>
      <c r="Y421" s="1"/>
      <c r="Z421" s="1"/>
    </row>
    <row r="422" ht="10.5" customHeight="1">
      <c r="A422" s="1"/>
      <c r="B422" s="79" t="s">
        <v>57</v>
      </c>
      <c r="C422" s="585">
        <v>130.8</v>
      </c>
      <c r="D422" s="585" t="s">
        <v>1840</v>
      </c>
      <c r="E422" s="585">
        <v>205.5</v>
      </c>
      <c r="F422" s="585">
        <v>131.6</v>
      </c>
      <c r="G422" s="585">
        <v>150.9</v>
      </c>
      <c r="H422" s="585">
        <v>113.8</v>
      </c>
      <c r="I422" s="585">
        <v>146.1</v>
      </c>
      <c r="J422" s="585">
        <v>169.7</v>
      </c>
      <c r="K422" s="585">
        <v>143.2</v>
      </c>
      <c r="L422" s="585">
        <v>123.5</v>
      </c>
      <c r="M422" s="585">
        <v>128.2</v>
      </c>
      <c r="N422" s="585">
        <v>115.4</v>
      </c>
      <c r="O422" s="585">
        <v>199.2</v>
      </c>
      <c r="P422" s="585">
        <v>131.8</v>
      </c>
      <c r="Q422" s="1"/>
      <c r="R422" s="1"/>
      <c r="S422" s="1"/>
      <c r="T422" s="1"/>
      <c r="U422" s="1"/>
      <c r="V422" s="1"/>
      <c r="W422" s="1"/>
      <c r="X422" s="1"/>
      <c r="Y422" s="1"/>
      <c r="Z422" s="1"/>
    </row>
    <row r="423" ht="10.5" customHeight="1">
      <c r="A423" s="1"/>
      <c r="B423" s="79"/>
      <c r="C423" s="585"/>
      <c r="D423" s="585"/>
      <c r="E423" s="585"/>
      <c r="F423" s="585"/>
      <c r="G423" s="585"/>
      <c r="H423" s="585"/>
      <c r="I423" s="585"/>
      <c r="J423" s="585"/>
      <c r="K423" s="585"/>
      <c r="L423" s="585"/>
      <c r="M423" s="585"/>
      <c r="N423" s="585"/>
      <c r="O423" s="585"/>
      <c r="P423" s="585"/>
      <c r="Q423" s="1"/>
      <c r="R423" s="1"/>
      <c r="S423" s="1"/>
      <c r="T423" s="1"/>
      <c r="U423" s="1"/>
      <c r="V423" s="1"/>
      <c r="W423" s="1"/>
      <c r="X423" s="1"/>
      <c r="Y423" s="1"/>
      <c r="Z423" s="1"/>
    </row>
    <row r="424" ht="10.5" customHeight="1">
      <c r="A424" s="1"/>
      <c r="B424" s="79" t="s">
        <v>58</v>
      </c>
      <c r="C424" s="585" t="s">
        <v>1731</v>
      </c>
      <c r="D424" s="585">
        <v>104.0</v>
      </c>
      <c r="E424" s="585">
        <v>189.9</v>
      </c>
      <c r="F424" s="585">
        <v>144.3</v>
      </c>
      <c r="G424" s="585">
        <v>143.4</v>
      </c>
      <c r="H424" s="585">
        <v>90.7</v>
      </c>
      <c r="I424" s="585">
        <v>117.1</v>
      </c>
      <c r="J424" s="585">
        <v>154.4</v>
      </c>
      <c r="K424" s="585">
        <v>153.8</v>
      </c>
      <c r="L424" s="585">
        <v>107.5</v>
      </c>
      <c r="M424" s="585">
        <v>140.7</v>
      </c>
      <c r="N424" s="585">
        <v>111.3</v>
      </c>
      <c r="O424" s="585">
        <v>219.2</v>
      </c>
      <c r="P424" s="585">
        <v>123.5</v>
      </c>
      <c r="Q424" s="1"/>
      <c r="R424" s="1"/>
      <c r="S424" s="1"/>
      <c r="T424" s="1"/>
      <c r="U424" s="1"/>
      <c r="V424" s="1"/>
      <c r="W424" s="1"/>
      <c r="X424" s="1"/>
      <c r="Y424" s="1"/>
      <c r="Z424" s="1"/>
    </row>
    <row r="425" ht="10.5" customHeight="1">
      <c r="A425" s="1"/>
      <c r="B425" s="79" t="s">
        <v>59</v>
      </c>
      <c r="C425" s="585">
        <v>181.6</v>
      </c>
      <c r="D425" s="585">
        <v>168.7</v>
      </c>
      <c r="E425" s="585">
        <v>245.8</v>
      </c>
      <c r="F425" s="585">
        <v>137.0</v>
      </c>
      <c r="G425" s="585">
        <v>164.9</v>
      </c>
      <c r="H425" s="585">
        <v>115.4</v>
      </c>
      <c r="I425" s="585">
        <v>165.9</v>
      </c>
      <c r="J425" s="585">
        <v>179.0</v>
      </c>
      <c r="K425" s="585">
        <v>170.6</v>
      </c>
      <c r="L425" s="585">
        <v>161.6</v>
      </c>
      <c r="M425" s="585">
        <v>168.5</v>
      </c>
      <c r="N425" s="585">
        <v>111.1</v>
      </c>
      <c r="O425" s="585">
        <v>274.9</v>
      </c>
      <c r="P425" s="585">
        <v>167.0</v>
      </c>
      <c r="Q425" s="1"/>
      <c r="R425" s="1"/>
      <c r="S425" s="1"/>
      <c r="T425" s="1"/>
      <c r="U425" s="1"/>
      <c r="V425" s="1"/>
      <c r="W425" s="1"/>
      <c r="X425" s="1"/>
      <c r="Y425" s="1"/>
      <c r="Z425" s="1"/>
    </row>
    <row r="426" ht="10.5" customHeight="1">
      <c r="A426" s="1"/>
      <c r="B426" s="52" t="s">
        <v>60</v>
      </c>
      <c r="C426" s="730">
        <v>132.8</v>
      </c>
      <c r="D426" s="730">
        <v>121.4</v>
      </c>
      <c r="E426" s="730">
        <v>203.0</v>
      </c>
      <c r="F426" s="730">
        <v>142.2</v>
      </c>
      <c r="G426" s="730">
        <v>176.6</v>
      </c>
      <c r="H426" s="730">
        <v>110.8</v>
      </c>
      <c r="I426" s="730">
        <v>153.5</v>
      </c>
      <c r="J426" s="730">
        <v>183.9</v>
      </c>
      <c r="K426" s="730">
        <v>181.5</v>
      </c>
      <c r="L426" s="730">
        <v>152.9</v>
      </c>
      <c r="M426" s="730">
        <v>156.8</v>
      </c>
      <c r="N426" s="730">
        <v>117.9</v>
      </c>
      <c r="O426" s="730">
        <v>238.5</v>
      </c>
      <c r="P426" s="730">
        <v>142.0</v>
      </c>
      <c r="Q426" s="1"/>
      <c r="R426" s="1"/>
      <c r="S426" s="1"/>
      <c r="T426" s="1"/>
      <c r="U426" s="1"/>
      <c r="V426" s="1"/>
      <c r="W426" s="1"/>
      <c r="X426" s="1"/>
      <c r="Y426" s="1"/>
      <c r="Z426" s="1"/>
    </row>
    <row r="427" ht="6.0" customHeight="1">
      <c r="A427" s="1"/>
      <c r="B427" s="242"/>
      <c r="C427" s="732"/>
      <c r="D427" s="732"/>
      <c r="E427" s="732"/>
      <c r="F427" s="732"/>
      <c r="G427" s="732"/>
      <c r="H427" s="732"/>
      <c r="I427" s="732"/>
      <c r="J427" s="732"/>
      <c r="K427" s="732"/>
      <c r="L427" s="732"/>
      <c r="M427" s="732"/>
      <c r="N427" s="732"/>
      <c r="O427" s="732"/>
      <c r="P427" s="732"/>
      <c r="Q427" s="1"/>
      <c r="R427" s="1"/>
      <c r="S427" s="1"/>
      <c r="T427" s="1"/>
      <c r="U427" s="1"/>
      <c r="V427" s="1"/>
      <c r="W427" s="1"/>
      <c r="X427" s="1"/>
      <c r="Y427" s="1"/>
      <c r="Z427" s="1"/>
    </row>
    <row r="428" ht="10.5" customHeight="1">
      <c r="A428" s="1"/>
      <c r="B428" s="185" t="s">
        <v>1841</v>
      </c>
      <c r="C428" s="761"/>
      <c r="D428" s="761"/>
      <c r="E428" s="761"/>
      <c r="F428" s="761"/>
      <c r="G428" s="761"/>
      <c r="H428" s="761"/>
      <c r="I428" s="1"/>
      <c r="J428" s="1"/>
      <c r="K428" s="1"/>
      <c r="L428" s="1"/>
      <c r="M428" s="612"/>
      <c r="N428" s="1"/>
      <c r="O428" s="1"/>
      <c r="P428" s="1"/>
      <c r="Q428" s="1"/>
      <c r="R428" s="1"/>
      <c r="S428" s="1"/>
      <c r="T428" s="1"/>
      <c r="U428" s="1"/>
      <c r="V428" s="1"/>
      <c r="W428" s="1"/>
      <c r="X428" s="1"/>
      <c r="Y428" s="1"/>
      <c r="Z428" s="1"/>
    </row>
    <row r="429" ht="10.5" customHeight="1">
      <c r="A429" s="1"/>
      <c r="B429" s="185" t="s">
        <v>1842</v>
      </c>
      <c r="C429" s="817"/>
      <c r="D429" s="817"/>
      <c r="E429" s="817"/>
      <c r="F429" s="817"/>
      <c r="G429" s="817"/>
      <c r="H429" s="817"/>
      <c r="I429" s="817"/>
      <c r="J429" s="817"/>
      <c r="K429" s="817"/>
      <c r="L429" s="817"/>
      <c r="M429" s="817"/>
      <c r="N429" s="817"/>
      <c r="O429" s="1"/>
      <c r="P429" s="1"/>
      <c r="Q429" s="1"/>
      <c r="R429" s="1"/>
      <c r="S429" s="1"/>
      <c r="T429" s="1"/>
      <c r="U429" s="1"/>
      <c r="V429" s="1"/>
      <c r="W429" s="1"/>
      <c r="X429" s="1"/>
      <c r="Y429" s="1"/>
      <c r="Z429" s="1"/>
    </row>
    <row r="430" ht="10.5" customHeight="1">
      <c r="A430" s="1"/>
      <c r="B430" s="1"/>
      <c r="C430" s="817"/>
      <c r="D430" s="817"/>
      <c r="E430" s="817"/>
      <c r="F430" s="817"/>
      <c r="G430" s="817"/>
      <c r="H430" s="817"/>
      <c r="I430" s="817"/>
      <c r="J430" s="817"/>
      <c r="K430" s="817"/>
      <c r="L430" s="817"/>
      <c r="M430" s="817"/>
      <c r="N430" s="817"/>
      <c r="O430" s="817"/>
      <c r="P430" s="817"/>
      <c r="Q430" s="1"/>
      <c r="R430" s="1"/>
      <c r="S430" s="1"/>
      <c r="T430" s="1"/>
      <c r="U430" s="1"/>
      <c r="V430" s="1"/>
      <c r="W430" s="1"/>
      <c r="X430" s="1"/>
      <c r="Y430" s="1"/>
      <c r="Z430" s="1"/>
    </row>
    <row r="431" ht="10.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0.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0.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0.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0.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0.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0.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0.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0.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0.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0.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0.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0.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0.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0.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0.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0.5" customHeight="1">
      <c r="A447" s="1"/>
      <c r="B447" s="1"/>
      <c r="C447" s="1"/>
      <c r="D447" s="1"/>
      <c r="E447" s="1"/>
      <c r="F447" s="1"/>
      <c r="G447" s="1"/>
      <c r="H447" s="110">
        <v>94.0</v>
      </c>
      <c r="I447" s="1"/>
      <c r="J447" s="1"/>
      <c r="K447" s="1"/>
      <c r="L447" s="1"/>
      <c r="M447" s="1"/>
      <c r="N447" s="1"/>
      <c r="O447" s="1"/>
      <c r="P447" s="1"/>
      <c r="Q447" s="1"/>
      <c r="R447" s="1"/>
      <c r="S447" s="1"/>
      <c r="T447" s="1"/>
      <c r="U447" s="1"/>
      <c r="V447" s="1"/>
      <c r="W447" s="1"/>
      <c r="X447" s="1"/>
      <c r="Y447" s="1"/>
      <c r="Z447" s="1"/>
    </row>
    <row r="448" ht="10.5" customHeight="1">
      <c r="A448" s="1"/>
      <c r="B448" s="1"/>
      <c r="C448" s="1"/>
      <c r="D448" s="1"/>
      <c r="E448" s="1"/>
      <c r="F448" s="1"/>
      <c r="G448" s="1"/>
      <c r="H448" s="110"/>
      <c r="I448" s="1"/>
      <c r="J448" s="1"/>
      <c r="K448" s="1"/>
      <c r="L448" s="1"/>
      <c r="M448" s="1"/>
      <c r="N448" s="1"/>
      <c r="O448" s="1"/>
      <c r="P448" s="1"/>
      <c r="Q448" s="1"/>
      <c r="R448" s="1"/>
      <c r="S448" s="1"/>
      <c r="T448" s="1"/>
      <c r="U448" s="1"/>
      <c r="V448" s="1"/>
      <c r="W448" s="1"/>
      <c r="X448" s="1"/>
      <c r="Y448" s="1"/>
      <c r="Z448" s="1"/>
    </row>
    <row r="449" ht="10.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t="s">
        <v>1843</v>
      </c>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35.25" customHeight="1">
      <c r="A451" s="1"/>
      <c r="B451" s="189" t="s">
        <v>1</v>
      </c>
      <c r="C451" s="273" t="s">
        <v>1844</v>
      </c>
      <c r="D451" s="273" t="s">
        <v>1845</v>
      </c>
      <c r="E451" s="273" t="s">
        <v>1846</v>
      </c>
      <c r="F451" s="273" t="s">
        <v>1847</v>
      </c>
      <c r="G451" s="273" t="s">
        <v>1803</v>
      </c>
      <c r="H451" s="1"/>
      <c r="I451" s="1"/>
      <c r="J451" s="1"/>
      <c r="K451" s="1"/>
      <c r="L451" s="1"/>
      <c r="M451" s="1"/>
      <c r="N451" s="1"/>
      <c r="O451" s="1"/>
      <c r="P451" s="1"/>
      <c r="Q451" s="1"/>
      <c r="R451" s="1"/>
      <c r="S451" s="1"/>
      <c r="T451" s="1"/>
      <c r="U451" s="1"/>
      <c r="V451" s="1"/>
      <c r="W451" s="1"/>
      <c r="X451" s="1"/>
      <c r="Y451" s="1"/>
      <c r="Z451" s="1"/>
    </row>
    <row r="452" ht="11.25" customHeight="1">
      <c r="A452" s="1"/>
      <c r="B452" s="6"/>
      <c r="C452" s="8" t="s">
        <v>54</v>
      </c>
      <c r="D452" s="9"/>
      <c r="E452" s="9"/>
      <c r="F452" s="9"/>
      <c r="G452" s="10"/>
      <c r="H452" s="1"/>
      <c r="I452" s="1"/>
      <c r="J452" s="1"/>
      <c r="K452" s="1"/>
      <c r="L452" s="1"/>
      <c r="M452" s="1"/>
      <c r="N452" s="1"/>
      <c r="O452" s="1"/>
      <c r="P452" s="1"/>
      <c r="Q452" s="1"/>
      <c r="R452" s="1"/>
      <c r="S452" s="1"/>
      <c r="T452" s="1"/>
      <c r="U452" s="1"/>
      <c r="V452" s="1"/>
      <c r="W452" s="1"/>
      <c r="X452" s="1"/>
      <c r="Y452" s="1"/>
      <c r="Z452" s="1"/>
    </row>
    <row r="453" ht="11.25" customHeight="1">
      <c r="A453" s="1"/>
      <c r="B453" s="512" t="s">
        <v>1704</v>
      </c>
      <c r="C453" s="735">
        <v>2.5</v>
      </c>
      <c r="D453" s="134">
        <v>34.2</v>
      </c>
      <c r="E453" s="134">
        <v>14.2</v>
      </c>
      <c r="F453" s="134">
        <v>49.1</v>
      </c>
      <c r="G453" s="40">
        <f>SUM(C453:F453)</f>
        <v>100</v>
      </c>
      <c r="H453" s="1"/>
      <c r="I453" s="1"/>
      <c r="J453" s="1"/>
      <c r="K453" s="1"/>
      <c r="L453" s="1"/>
      <c r="M453" s="1"/>
      <c r="N453" s="1"/>
      <c r="O453" s="1"/>
      <c r="P453" s="1"/>
      <c r="Q453" s="1"/>
      <c r="R453" s="1"/>
      <c r="S453" s="1"/>
      <c r="T453" s="1"/>
      <c r="U453" s="1"/>
      <c r="V453" s="1"/>
      <c r="W453" s="1"/>
      <c r="X453" s="1"/>
      <c r="Y453" s="1"/>
      <c r="Z453" s="1"/>
    </row>
    <row r="454" ht="10.5" customHeight="1">
      <c r="A454" s="1"/>
      <c r="B454" s="238">
        <v>1980.0</v>
      </c>
      <c r="C454" s="467">
        <v>7.0</v>
      </c>
      <c r="D454" s="364">
        <v>9.0</v>
      </c>
      <c r="E454" s="364">
        <v>7.3</v>
      </c>
      <c r="F454" s="364">
        <v>8.6</v>
      </c>
      <c r="G454" s="1087">
        <v>7.3</v>
      </c>
      <c r="H454" s="1"/>
      <c r="I454" s="1"/>
      <c r="J454" s="1"/>
      <c r="K454" s="1"/>
      <c r="L454" s="1"/>
      <c r="M454" s="1"/>
      <c r="N454" s="1"/>
      <c r="O454" s="1"/>
      <c r="P454" s="1"/>
      <c r="Q454" s="1"/>
      <c r="R454" s="1"/>
      <c r="S454" s="1"/>
      <c r="T454" s="1"/>
      <c r="U454" s="1"/>
      <c r="V454" s="1"/>
      <c r="W454" s="1"/>
      <c r="X454" s="1"/>
      <c r="Y454" s="1"/>
      <c r="Z454" s="1"/>
    </row>
    <row r="455" ht="10.5" customHeight="1">
      <c r="A455" s="1"/>
      <c r="B455" s="238">
        <v>1981.0</v>
      </c>
      <c r="C455" s="467">
        <v>8.1</v>
      </c>
      <c r="D455" s="364">
        <v>10.9</v>
      </c>
      <c r="E455" s="364">
        <v>8.5</v>
      </c>
      <c r="F455" s="364">
        <v>10.3</v>
      </c>
      <c r="G455" s="1087">
        <v>9.1</v>
      </c>
      <c r="H455" s="1"/>
      <c r="I455" s="1"/>
      <c r="J455" s="1"/>
      <c r="K455" s="1"/>
      <c r="L455" s="1"/>
      <c r="M455" s="1"/>
      <c r="N455" s="1"/>
      <c r="O455" s="1"/>
      <c r="P455" s="1"/>
      <c r="Q455" s="1"/>
      <c r="R455" s="1"/>
      <c r="S455" s="1"/>
      <c r="T455" s="1"/>
      <c r="U455" s="1"/>
      <c r="V455" s="1"/>
      <c r="W455" s="1"/>
      <c r="X455" s="1"/>
      <c r="Y455" s="1"/>
      <c r="Z455" s="1"/>
    </row>
    <row r="456" ht="10.5" customHeight="1">
      <c r="A456" s="1"/>
      <c r="B456" s="238">
        <v>1982.0</v>
      </c>
      <c r="C456" s="467">
        <v>8.7</v>
      </c>
      <c r="D456" s="364">
        <v>9.3</v>
      </c>
      <c r="E456" s="364">
        <v>9.9</v>
      </c>
      <c r="F456" s="364">
        <v>10.1</v>
      </c>
      <c r="G456" s="1087">
        <v>9.0</v>
      </c>
      <c r="H456" s="1"/>
      <c r="I456" s="1"/>
      <c r="J456" s="1"/>
      <c r="K456" s="1"/>
      <c r="L456" s="1"/>
      <c r="M456" s="1"/>
      <c r="N456" s="1"/>
      <c r="O456" s="1"/>
      <c r="P456" s="1"/>
      <c r="Q456" s="1"/>
      <c r="R456" s="1"/>
      <c r="S456" s="1"/>
      <c r="T456" s="1"/>
      <c r="U456" s="1"/>
      <c r="V456" s="1"/>
      <c r="W456" s="1"/>
      <c r="X456" s="1"/>
      <c r="Y456" s="1"/>
      <c r="Z456" s="1"/>
    </row>
    <row r="457" ht="10.5" customHeight="1">
      <c r="A457" s="1"/>
      <c r="B457" s="238">
        <v>1983.0</v>
      </c>
      <c r="C457" s="467">
        <v>10.4</v>
      </c>
      <c r="D457" s="364">
        <v>9.6</v>
      </c>
      <c r="E457" s="364">
        <v>10.4</v>
      </c>
      <c r="F457" s="364">
        <v>10.8</v>
      </c>
      <c r="G457" s="1087">
        <v>8.8</v>
      </c>
      <c r="H457" s="1"/>
      <c r="I457" s="1"/>
      <c r="J457" s="1"/>
      <c r="K457" s="1"/>
      <c r="L457" s="1"/>
      <c r="M457" s="1"/>
      <c r="N457" s="1"/>
      <c r="O457" s="1"/>
      <c r="P457" s="1"/>
      <c r="Q457" s="1"/>
      <c r="R457" s="1"/>
      <c r="S457" s="1"/>
      <c r="T457" s="1"/>
      <c r="U457" s="1"/>
      <c r="V457" s="1"/>
      <c r="W457" s="1"/>
      <c r="X457" s="1"/>
      <c r="Y457" s="1"/>
      <c r="Z457" s="1"/>
    </row>
    <row r="458" ht="10.5" customHeight="1">
      <c r="A458" s="1"/>
      <c r="B458" s="238">
        <v>1984.0</v>
      </c>
      <c r="C458" s="467">
        <v>13.3</v>
      </c>
      <c r="D458" s="364">
        <v>13.9</v>
      </c>
      <c r="E458" s="364">
        <v>11.3</v>
      </c>
      <c r="F458" s="364">
        <v>12.2</v>
      </c>
      <c r="G458" s="1087">
        <v>11.1</v>
      </c>
      <c r="H458" s="1"/>
      <c r="I458" s="1"/>
      <c r="J458" s="1"/>
      <c r="K458" s="1"/>
      <c r="L458" s="1"/>
      <c r="M458" s="1"/>
      <c r="N458" s="1"/>
      <c r="O458" s="1"/>
      <c r="P458" s="1"/>
      <c r="Q458" s="1"/>
      <c r="R458" s="1"/>
      <c r="S458" s="1"/>
      <c r="T458" s="1"/>
      <c r="U458" s="1"/>
      <c r="V458" s="1"/>
      <c r="W458" s="1"/>
      <c r="X458" s="1"/>
      <c r="Y458" s="1"/>
      <c r="Z458" s="1"/>
    </row>
    <row r="459" ht="10.5" customHeight="1">
      <c r="A459" s="1"/>
      <c r="B459" s="238"/>
      <c r="C459" s="467"/>
      <c r="D459" s="364"/>
      <c r="E459" s="364"/>
      <c r="F459" s="364"/>
      <c r="G459" s="1087"/>
      <c r="H459" s="1"/>
      <c r="I459" s="1"/>
      <c r="J459" s="1"/>
      <c r="K459" s="1"/>
      <c r="L459" s="1"/>
      <c r="M459" s="1"/>
      <c r="N459" s="1"/>
      <c r="O459" s="1"/>
      <c r="P459" s="1"/>
      <c r="Q459" s="1"/>
      <c r="R459" s="1"/>
      <c r="S459" s="1"/>
      <c r="T459" s="1"/>
      <c r="U459" s="1"/>
      <c r="V459" s="1"/>
      <c r="W459" s="1"/>
      <c r="X459" s="1"/>
      <c r="Y459" s="1"/>
      <c r="Z459" s="1"/>
    </row>
    <row r="460" ht="10.5" customHeight="1">
      <c r="A460" s="1"/>
      <c r="B460" s="238">
        <v>1985.0</v>
      </c>
      <c r="C460" s="467">
        <v>17.4</v>
      </c>
      <c r="D460" s="364">
        <v>12.8</v>
      </c>
      <c r="E460" s="364">
        <v>12.2</v>
      </c>
      <c r="F460" s="364">
        <v>13.5</v>
      </c>
      <c r="G460" s="1087">
        <v>12.3</v>
      </c>
      <c r="H460" s="1"/>
      <c r="I460" s="1"/>
      <c r="J460" s="1"/>
      <c r="K460" s="1"/>
      <c r="L460" s="1"/>
      <c r="M460" s="1"/>
      <c r="N460" s="1"/>
      <c r="O460" s="1"/>
      <c r="P460" s="1"/>
      <c r="Q460" s="1"/>
      <c r="R460" s="1"/>
      <c r="S460" s="1"/>
      <c r="T460" s="1"/>
      <c r="U460" s="1"/>
      <c r="V460" s="1"/>
      <c r="W460" s="1"/>
      <c r="X460" s="1"/>
      <c r="Y460" s="1"/>
      <c r="Z460" s="1"/>
    </row>
    <row r="461" ht="10.5" customHeight="1">
      <c r="A461" s="1"/>
      <c r="B461" s="238">
        <v>1986.0</v>
      </c>
      <c r="C461" s="467">
        <v>15.5</v>
      </c>
      <c r="D461" s="364">
        <v>16.4</v>
      </c>
      <c r="E461" s="364">
        <v>12.9</v>
      </c>
      <c r="F461" s="364">
        <v>16.1</v>
      </c>
      <c r="G461" s="1087">
        <v>14.1</v>
      </c>
      <c r="H461" s="1"/>
      <c r="I461" s="1"/>
      <c r="J461" s="1"/>
      <c r="K461" s="1"/>
      <c r="L461" s="1"/>
      <c r="M461" s="1"/>
      <c r="N461" s="1"/>
      <c r="O461" s="1"/>
      <c r="P461" s="1"/>
      <c r="Q461" s="1"/>
      <c r="R461" s="1"/>
      <c r="S461" s="1"/>
      <c r="T461" s="1"/>
      <c r="U461" s="1"/>
      <c r="V461" s="1"/>
      <c r="W461" s="1"/>
      <c r="X461" s="1"/>
      <c r="Y461" s="1"/>
      <c r="Z461" s="1"/>
    </row>
    <row r="462" ht="10.5" customHeight="1">
      <c r="A462" s="1"/>
      <c r="B462" s="238">
        <v>1987.0</v>
      </c>
      <c r="C462" s="467">
        <v>18.4</v>
      </c>
      <c r="D462" s="364">
        <v>19.6</v>
      </c>
      <c r="E462" s="364">
        <v>14.9</v>
      </c>
      <c r="F462" s="364">
        <v>20.1</v>
      </c>
      <c r="G462" s="1087">
        <v>17.6</v>
      </c>
      <c r="H462" s="1"/>
      <c r="I462" s="1"/>
      <c r="J462" s="1"/>
      <c r="K462" s="1"/>
      <c r="L462" s="1"/>
      <c r="M462" s="1"/>
      <c r="N462" s="1"/>
      <c r="O462" s="1"/>
      <c r="P462" s="1"/>
      <c r="Q462" s="1"/>
      <c r="R462" s="1"/>
      <c r="S462" s="1"/>
      <c r="T462" s="1"/>
      <c r="U462" s="1"/>
      <c r="V462" s="1"/>
      <c r="W462" s="1"/>
      <c r="X462" s="1"/>
      <c r="Y462" s="1"/>
      <c r="Z462" s="1"/>
    </row>
    <row r="463" ht="10.5" customHeight="1">
      <c r="A463" s="1"/>
      <c r="B463" s="238">
        <v>1988.0</v>
      </c>
      <c r="C463" s="467">
        <v>28.6</v>
      </c>
      <c r="D463" s="364">
        <v>21.9</v>
      </c>
      <c r="E463" s="364">
        <v>16.9</v>
      </c>
      <c r="F463" s="364">
        <v>22.5</v>
      </c>
      <c r="G463" s="1087">
        <v>21.0</v>
      </c>
      <c r="H463" s="1"/>
      <c r="I463" s="1"/>
      <c r="J463" s="1"/>
      <c r="K463" s="1"/>
      <c r="L463" s="1"/>
      <c r="M463" s="1"/>
      <c r="N463" s="1"/>
      <c r="O463" s="1"/>
      <c r="P463" s="1"/>
      <c r="Q463" s="1"/>
      <c r="R463" s="1"/>
      <c r="S463" s="1"/>
      <c r="T463" s="1"/>
      <c r="U463" s="1"/>
      <c r="V463" s="1"/>
      <c r="W463" s="1"/>
      <c r="X463" s="1"/>
      <c r="Y463" s="1"/>
      <c r="Z463" s="1"/>
    </row>
    <row r="464" ht="10.5" customHeight="1">
      <c r="A464" s="1"/>
      <c r="B464" s="238">
        <v>1989.0</v>
      </c>
      <c r="C464" s="467">
        <v>27.9</v>
      </c>
      <c r="D464" s="364">
        <v>22.4</v>
      </c>
      <c r="E464" s="364">
        <v>19.5</v>
      </c>
      <c r="F464" s="364">
        <v>23.7</v>
      </c>
      <c r="G464" s="1087">
        <v>21.8</v>
      </c>
      <c r="H464" s="1"/>
      <c r="I464" s="1"/>
      <c r="J464" s="1"/>
      <c r="K464" s="1"/>
      <c r="L464" s="1"/>
      <c r="M464" s="1"/>
      <c r="N464" s="1"/>
      <c r="O464" s="1"/>
      <c r="P464" s="1"/>
      <c r="Q464" s="1"/>
      <c r="R464" s="1"/>
      <c r="S464" s="1"/>
      <c r="T464" s="1"/>
      <c r="U464" s="1"/>
      <c r="V464" s="1"/>
      <c r="W464" s="1"/>
      <c r="X464" s="1"/>
      <c r="Y464" s="1"/>
      <c r="Z464" s="1"/>
    </row>
    <row r="465" ht="10.5" customHeight="1">
      <c r="A465" s="1"/>
      <c r="B465" s="238"/>
      <c r="C465" s="467"/>
      <c r="D465" s="364"/>
      <c r="E465" s="364"/>
      <c r="F465" s="364"/>
      <c r="G465" s="1087"/>
      <c r="H465" s="1"/>
      <c r="I465" s="1"/>
      <c r="J465" s="1"/>
      <c r="K465" s="1"/>
      <c r="L465" s="1"/>
      <c r="M465" s="1"/>
      <c r="N465" s="1"/>
      <c r="O465" s="1"/>
      <c r="P465" s="1"/>
      <c r="Q465" s="1"/>
      <c r="R465" s="1"/>
      <c r="S465" s="1"/>
      <c r="T465" s="1"/>
      <c r="U465" s="1"/>
      <c r="V465" s="1"/>
      <c r="W465" s="1"/>
      <c r="X465" s="1"/>
      <c r="Y465" s="1"/>
      <c r="Z465" s="1"/>
    </row>
    <row r="466" ht="10.5" customHeight="1">
      <c r="A466" s="1"/>
      <c r="B466" s="238">
        <v>1990.0</v>
      </c>
      <c r="C466" s="467">
        <v>23.0</v>
      </c>
      <c r="D466" s="364">
        <v>19.9</v>
      </c>
      <c r="E466" s="364">
        <v>21.5</v>
      </c>
      <c r="F466" s="364">
        <v>26.3</v>
      </c>
      <c r="G466" s="1087">
        <v>22.2</v>
      </c>
      <c r="H466" s="1"/>
      <c r="I466" s="1"/>
      <c r="J466" s="1"/>
      <c r="K466" s="1"/>
      <c r="L466" s="1"/>
      <c r="M466" s="1"/>
      <c r="N466" s="1"/>
      <c r="O466" s="1"/>
      <c r="P466" s="1"/>
      <c r="Q466" s="1"/>
      <c r="R466" s="1"/>
      <c r="S466" s="1"/>
      <c r="T466" s="1"/>
      <c r="U466" s="1"/>
      <c r="V466" s="1"/>
      <c r="W466" s="1"/>
      <c r="X466" s="1"/>
      <c r="Y466" s="1"/>
      <c r="Z466" s="1"/>
    </row>
    <row r="467" ht="10.5" customHeight="1">
      <c r="A467" s="1"/>
      <c r="B467" s="238">
        <v>1991.0</v>
      </c>
      <c r="C467" s="467">
        <v>17.7</v>
      </c>
      <c r="D467" s="364">
        <v>24.3</v>
      </c>
      <c r="E467" s="364">
        <v>20.8</v>
      </c>
      <c r="F467" s="364">
        <v>28.9</v>
      </c>
      <c r="G467" s="1087">
        <v>23.0</v>
      </c>
      <c r="H467" s="1"/>
      <c r="I467" s="1"/>
      <c r="J467" s="1"/>
      <c r="K467" s="1"/>
      <c r="L467" s="1"/>
      <c r="M467" s="1"/>
      <c r="N467" s="1"/>
      <c r="O467" s="1"/>
      <c r="P467" s="1"/>
      <c r="Q467" s="1"/>
      <c r="R467" s="1"/>
      <c r="S467" s="1"/>
      <c r="T467" s="1"/>
      <c r="U467" s="1"/>
      <c r="V467" s="1"/>
      <c r="W467" s="1"/>
      <c r="X467" s="1"/>
      <c r="Y467" s="1"/>
      <c r="Z467" s="1"/>
    </row>
    <row r="468" ht="10.5" customHeight="1">
      <c r="A468" s="1"/>
      <c r="B468" s="238">
        <v>1992.0</v>
      </c>
      <c r="C468" s="467">
        <v>18.7</v>
      </c>
      <c r="D468" s="364">
        <v>27.9</v>
      </c>
      <c r="E468" s="364">
        <v>25.5</v>
      </c>
      <c r="F468" s="364">
        <v>31.4</v>
      </c>
      <c r="G468" s="1087">
        <v>25.1</v>
      </c>
      <c r="H468" s="1"/>
      <c r="I468" s="1"/>
      <c r="J468" s="1"/>
      <c r="K468" s="1"/>
      <c r="L468" s="1"/>
      <c r="M468" s="1"/>
      <c r="N468" s="1"/>
      <c r="O468" s="1"/>
      <c r="P468" s="1"/>
      <c r="Q468" s="1"/>
      <c r="R468" s="1"/>
      <c r="S468" s="1"/>
      <c r="T468" s="1"/>
      <c r="U468" s="1"/>
      <c r="V468" s="1"/>
      <c r="W468" s="1"/>
      <c r="X468" s="1"/>
      <c r="Y468" s="1"/>
      <c r="Z468" s="1"/>
    </row>
    <row r="469" ht="10.5" customHeight="1">
      <c r="A469" s="1"/>
      <c r="B469" s="238">
        <v>1993.0</v>
      </c>
      <c r="C469" s="467">
        <v>15.5</v>
      </c>
      <c r="D469" s="364">
        <v>28.7</v>
      </c>
      <c r="E469" s="364">
        <v>26.9</v>
      </c>
      <c r="F469" s="364">
        <v>35.3</v>
      </c>
      <c r="G469" s="1087">
        <v>27.1</v>
      </c>
      <c r="H469" s="1"/>
      <c r="I469" s="1"/>
      <c r="J469" s="1"/>
      <c r="K469" s="1"/>
      <c r="L469" s="1"/>
      <c r="M469" s="1"/>
      <c r="N469" s="1"/>
      <c r="O469" s="1"/>
      <c r="P469" s="1"/>
      <c r="Q469" s="1"/>
      <c r="R469" s="1"/>
      <c r="S469" s="1"/>
      <c r="T469" s="1"/>
      <c r="U469" s="1"/>
      <c r="V469" s="1"/>
      <c r="W469" s="1"/>
      <c r="X469" s="1"/>
      <c r="Y469" s="1"/>
      <c r="Z469" s="1"/>
    </row>
    <row r="470" ht="10.5" customHeight="1">
      <c r="A470" s="1"/>
      <c r="B470" s="238">
        <v>1994.0</v>
      </c>
      <c r="C470" s="467">
        <v>26.0</v>
      </c>
      <c r="D470" s="364">
        <v>37.1</v>
      </c>
      <c r="E470" s="364">
        <v>28.1</v>
      </c>
      <c r="F470" s="364">
        <v>41.3</v>
      </c>
      <c r="G470" s="1087">
        <v>34.3</v>
      </c>
      <c r="H470" s="1"/>
      <c r="I470" s="1"/>
      <c r="J470" s="1"/>
      <c r="K470" s="1"/>
      <c r="L470" s="1"/>
      <c r="M470" s="1"/>
      <c r="N470" s="1"/>
      <c r="O470" s="1"/>
      <c r="P470" s="1"/>
      <c r="Q470" s="1"/>
      <c r="R470" s="1"/>
      <c r="S470" s="1"/>
      <c r="T470" s="1"/>
      <c r="U470" s="1"/>
      <c r="V470" s="1"/>
      <c r="W470" s="1"/>
      <c r="X470" s="1"/>
      <c r="Y470" s="1"/>
      <c r="Z470" s="1"/>
    </row>
    <row r="471" ht="10.5" customHeight="1">
      <c r="A471" s="1"/>
      <c r="B471" s="238"/>
      <c r="C471" s="467"/>
      <c r="D471" s="364"/>
      <c r="E471" s="364"/>
      <c r="F471" s="364"/>
      <c r="G471" s="1087"/>
      <c r="H471" s="1"/>
      <c r="I471" s="1"/>
      <c r="J471" s="1"/>
      <c r="K471" s="1"/>
      <c r="L471" s="1"/>
      <c r="M471" s="1"/>
      <c r="N471" s="1"/>
      <c r="O471" s="1"/>
      <c r="P471" s="1"/>
      <c r="Q471" s="1"/>
      <c r="R471" s="1"/>
      <c r="S471" s="1"/>
      <c r="T471" s="1"/>
      <c r="U471" s="1"/>
      <c r="V471" s="1"/>
      <c r="W471" s="1"/>
      <c r="X471" s="1"/>
      <c r="Y471" s="1"/>
      <c r="Z471" s="1"/>
    </row>
    <row r="472" ht="10.5" customHeight="1">
      <c r="A472" s="1"/>
      <c r="B472" s="238">
        <v>1995.0</v>
      </c>
      <c r="C472" s="467">
        <v>32.5</v>
      </c>
      <c r="D472" s="364">
        <v>34.7</v>
      </c>
      <c r="E472" s="364">
        <v>30.7</v>
      </c>
      <c r="F472" s="364">
        <v>42.4</v>
      </c>
      <c r="G472" s="1087">
        <v>36.2</v>
      </c>
      <c r="H472" s="1"/>
      <c r="I472" s="1"/>
      <c r="J472" s="1"/>
      <c r="K472" s="1"/>
      <c r="L472" s="1"/>
      <c r="M472" s="1"/>
      <c r="N472" s="1"/>
      <c r="O472" s="1"/>
      <c r="P472" s="1"/>
      <c r="Q472" s="1"/>
      <c r="R472" s="1"/>
      <c r="S472" s="1"/>
      <c r="T472" s="1"/>
      <c r="U472" s="1"/>
      <c r="V472" s="1"/>
      <c r="W472" s="1"/>
      <c r="X472" s="1"/>
      <c r="Y472" s="1"/>
      <c r="Z472" s="1"/>
    </row>
    <row r="473" ht="10.5" customHeight="1">
      <c r="A473" s="1"/>
      <c r="B473" s="238">
        <v>1996.0</v>
      </c>
      <c r="C473" s="467">
        <v>30.9</v>
      </c>
      <c r="D473" s="364">
        <v>35.9</v>
      </c>
      <c r="E473" s="364">
        <v>33.5</v>
      </c>
      <c r="F473" s="364">
        <v>44.0</v>
      </c>
      <c r="G473" s="1087">
        <v>38.0</v>
      </c>
      <c r="H473" s="1"/>
      <c r="I473" s="1"/>
      <c r="J473" s="1"/>
      <c r="K473" s="1"/>
      <c r="L473" s="1"/>
      <c r="M473" s="1"/>
      <c r="N473" s="1"/>
      <c r="O473" s="1"/>
      <c r="P473" s="1"/>
      <c r="Q473" s="1"/>
      <c r="R473" s="1"/>
      <c r="S473" s="1"/>
      <c r="T473" s="1"/>
      <c r="U473" s="1"/>
      <c r="V473" s="1"/>
      <c r="W473" s="1"/>
      <c r="X473" s="1"/>
      <c r="Y473" s="1"/>
      <c r="Z473" s="1"/>
    </row>
    <row r="474" ht="10.5" customHeight="1">
      <c r="A474" s="1"/>
      <c r="B474" s="238">
        <v>1997.0</v>
      </c>
      <c r="C474" s="467">
        <v>35.7</v>
      </c>
      <c r="D474" s="364">
        <v>45.8</v>
      </c>
      <c r="E474" s="364">
        <v>43.1</v>
      </c>
      <c r="F474" s="364">
        <v>49.3</v>
      </c>
      <c r="G474" s="1087">
        <v>43.4</v>
      </c>
      <c r="H474" s="1"/>
      <c r="I474" s="1"/>
      <c r="J474" s="1"/>
      <c r="K474" s="1"/>
      <c r="L474" s="1"/>
      <c r="M474" s="1"/>
      <c r="N474" s="1"/>
      <c r="O474" s="1"/>
      <c r="P474" s="1"/>
      <c r="Q474" s="1"/>
      <c r="R474" s="1"/>
      <c r="S474" s="1"/>
      <c r="T474" s="1"/>
      <c r="U474" s="1"/>
      <c r="V474" s="1"/>
      <c r="W474" s="1"/>
      <c r="X474" s="1"/>
      <c r="Y474" s="1"/>
      <c r="Z474" s="1"/>
    </row>
    <row r="475" ht="10.5" customHeight="1">
      <c r="A475" s="1"/>
      <c r="B475" s="238">
        <v>1998.0</v>
      </c>
      <c r="C475" s="467">
        <v>29.8</v>
      </c>
      <c r="D475" s="364">
        <v>45.8</v>
      </c>
      <c r="E475" s="364">
        <v>40.5</v>
      </c>
      <c r="F475" s="364">
        <v>49.5</v>
      </c>
      <c r="G475" s="1087">
        <v>42.0</v>
      </c>
      <c r="H475" s="1"/>
      <c r="I475" s="1"/>
      <c r="J475" s="1"/>
      <c r="K475" s="1"/>
      <c r="L475" s="1"/>
      <c r="M475" s="1"/>
      <c r="N475" s="1"/>
      <c r="O475" s="1"/>
      <c r="P475" s="1"/>
      <c r="Q475" s="1"/>
      <c r="R475" s="1"/>
      <c r="S475" s="1"/>
      <c r="T475" s="1"/>
      <c r="U475" s="1"/>
      <c r="V475" s="1"/>
      <c r="W475" s="1"/>
      <c r="X475" s="1"/>
      <c r="Y475" s="1"/>
      <c r="Z475" s="1"/>
    </row>
    <row r="476" ht="10.5" customHeight="1">
      <c r="A476" s="1"/>
      <c r="B476" s="238">
        <v>1999.0</v>
      </c>
      <c r="C476" s="467">
        <v>29.4</v>
      </c>
      <c r="D476" s="364">
        <v>44.3</v>
      </c>
      <c r="E476" s="364">
        <v>38.4</v>
      </c>
      <c r="F476" s="364">
        <v>45.9</v>
      </c>
      <c r="G476" s="1087">
        <v>40.3</v>
      </c>
      <c r="H476" s="1"/>
      <c r="I476" s="1"/>
      <c r="J476" s="1"/>
      <c r="K476" s="1"/>
      <c r="L476" s="1"/>
      <c r="M476" s="1"/>
      <c r="N476" s="1"/>
      <c r="O476" s="1"/>
      <c r="P476" s="1"/>
      <c r="Q476" s="1"/>
      <c r="R476" s="1"/>
      <c r="S476" s="1"/>
      <c r="T476" s="1"/>
      <c r="U476" s="1"/>
      <c r="V476" s="1"/>
      <c r="W476" s="1"/>
      <c r="X476" s="1"/>
      <c r="Y476" s="1"/>
      <c r="Z476" s="1"/>
    </row>
    <row r="477" ht="10.5" customHeight="1">
      <c r="A477" s="1"/>
      <c r="B477" s="238"/>
      <c r="C477" s="467"/>
      <c r="D477" s="364"/>
      <c r="E477" s="364"/>
      <c r="F477" s="364"/>
      <c r="G477" s="364"/>
      <c r="H477" s="1"/>
      <c r="I477" s="1"/>
      <c r="J477" s="1"/>
      <c r="K477" s="1"/>
      <c r="L477" s="1"/>
      <c r="M477" s="1"/>
      <c r="N477" s="1"/>
      <c r="O477" s="1"/>
      <c r="P477" s="1"/>
      <c r="Q477" s="1"/>
      <c r="R477" s="1"/>
      <c r="S477" s="1"/>
      <c r="T477" s="1"/>
      <c r="U477" s="1"/>
      <c r="V477" s="1"/>
      <c r="W477" s="1"/>
      <c r="X477" s="1"/>
      <c r="Y477" s="1"/>
      <c r="Z477" s="1"/>
    </row>
    <row r="478" ht="10.5" customHeight="1">
      <c r="A478" s="1"/>
      <c r="B478" s="238">
        <v>2000.0</v>
      </c>
      <c r="C478" s="467">
        <v>41.4</v>
      </c>
      <c r="D478" s="364">
        <v>39.8</v>
      </c>
      <c r="E478" s="364">
        <v>41.4</v>
      </c>
      <c r="F478" s="364">
        <v>47.5</v>
      </c>
      <c r="G478" s="364">
        <v>43.4</v>
      </c>
      <c r="H478" s="1"/>
      <c r="I478" s="1"/>
      <c r="J478" s="1"/>
      <c r="K478" s="1"/>
      <c r="L478" s="1"/>
      <c r="M478" s="1"/>
      <c r="N478" s="1"/>
      <c r="O478" s="1"/>
      <c r="P478" s="1"/>
      <c r="Q478" s="1"/>
      <c r="R478" s="1"/>
      <c r="S478" s="1"/>
      <c r="T478" s="1"/>
      <c r="U478" s="1"/>
      <c r="V478" s="1"/>
      <c r="W478" s="1"/>
      <c r="X478" s="1"/>
      <c r="Y478" s="1"/>
      <c r="Z478" s="1"/>
    </row>
    <row r="479" ht="10.5" customHeight="1">
      <c r="A479" s="1"/>
      <c r="B479" s="238">
        <v>2001.0</v>
      </c>
      <c r="C479" s="467">
        <v>48.4</v>
      </c>
      <c r="D479" s="364">
        <v>41.5</v>
      </c>
      <c r="E479" s="364">
        <v>46.6</v>
      </c>
      <c r="F479" s="364">
        <v>54.0</v>
      </c>
      <c r="G479" s="364">
        <v>48.1</v>
      </c>
      <c r="H479" s="1"/>
      <c r="I479" s="1"/>
      <c r="J479" s="1"/>
      <c r="K479" s="1"/>
      <c r="L479" s="1"/>
      <c r="M479" s="1"/>
      <c r="N479" s="1"/>
      <c r="O479" s="1"/>
      <c r="P479" s="1"/>
      <c r="Q479" s="1"/>
      <c r="R479" s="1"/>
      <c r="S479" s="1"/>
      <c r="T479" s="1"/>
      <c r="U479" s="1"/>
      <c r="V479" s="1"/>
      <c r="W479" s="1"/>
      <c r="X479" s="1"/>
      <c r="Y479" s="1"/>
      <c r="Z479" s="1"/>
    </row>
    <row r="480" ht="10.5" customHeight="1">
      <c r="A480" s="1"/>
      <c r="B480" s="238">
        <v>2002.0</v>
      </c>
      <c r="C480" s="467">
        <v>77.2</v>
      </c>
      <c r="D480" s="364">
        <v>53.5</v>
      </c>
      <c r="E480" s="364">
        <v>55.9</v>
      </c>
      <c r="F480" s="364">
        <v>63.1</v>
      </c>
      <c r="G480" s="364">
        <v>59.1</v>
      </c>
      <c r="H480" s="1"/>
      <c r="I480" s="1"/>
      <c r="J480" s="1"/>
      <c r="K480" s="1"/>
      <c r="L480" s="1"/>
      <c r="M480" s="1"/>
      <c r="N480" s="1"/>
      <c r="O480" s="1"/>
      <c r="P480" s="1"/>
      <c r="Q480" s="1"/>
      <c r="R480" s="1"/>
      <c r="S480" s="1"/>
      <c r="T480" s="1"/>
      <c r="U480" s="1"/>
      <c r="V480" s="1"/>
      <c r="W480" s="1"/>
      <c r="X480" s="1"/>
      <c r="Y480" s="1"/>
      <c r="Z480" s="1"/>
    </row>
    <row r="481" ht="10.5" customHeight="1">
      <c r="A481" s="1"/>
      <c r="B481" s="238">
        <v>2003.0</v>
      </c>
      <c r="C481" s="467">
        <v>63.8</v>
      </c>
      <c r="D481" s="467">
        <v>56.8</v>
      </c>
      <c r="E481" s="467">
        <v>63.5</v>
      </c>
      <c r="F481" s="467">
        <v>66.5</v>
      </c>
      <c r="G481" s="467">
        <v>62.5</v>
      </c>
      <c r="H481" s="1"/>
      <c r="I481" s="1"/>
      <c r="J481" s="1"/>
      <c r="K481" s="1"/>
      <c r="L481" s="1"/>
      <c r="M481" s="1"/>
      <c r="N481" s="1"/>
      <c r="O481" s="1"/>
      <c r="P481" s="1"/>
      <c r="Q481" s="1"/>
      <c r="R481" s="1"/>
      <c r="S481" s="1"/>
      <c r="T481" s="1"/>
      <c r="U481" s="1"/>
      <c r="V481" s="1"/>
      <c r="W481" s="1"/>
      <c r="X481" s="1"/>
      <c r="Y481" s="1"/>
      <c r="Z481" s="1"/>
    </row>
    <row r="482" ht="10.5" customHeight="1">
      <c r="A482" s="1"/>
      <c r="B482" s="238">
        <v>2004.0</v>
      </c>
      <c r="C482" s="467">
        <v>53.9</v>
      </c>
      <c r="D482" s="467">
        <v>61.8</v>
      </c>
      <c r="E482" s="467">
        <v>61.2</v>
      </c>
      <c r="F482" s="467">
        <v>66.9</v>
      </c>
      <c r="G482" s="467">
        <v>63.5</v>
      </c>
      <c r="H482" s="1"/>
      <c r="I482" s="1"/>
      <c r="J482" s="1"/>
      <c r="K482" s="1"/>
      <c r="L482" s="1"/>
      <c r="M482" s="1"/>
      <c r="N482" s="1"/>
      <c r="O482" s="1"/>
      <c r="P482" s="1"/>
      <c r="Q482" s="1"/>
      <c r="R482" s="1"/>
      <c r="S482" s="1"/>
      <c r="T482" s="1"/>
      <c r="U482" s="1"/>
      <c r="V482" s="1"/>
      <c r="W482" s="1"/>
      <c r="X482" s="1"/>
      <c r="Y482" s="1"/>
      <c r="Z482" s="1"/>
    </row>
    <row r="483" ht="10.5" customHeight="1">
      <c r="A483" s="1"/>
      <c r="B483" s="238"/>
      <c r="C483" s="467"/>
      <c r="D483" s="467"/>
      <c r="E483" s="467"/>
      <c r="F483" s="467"/>
      <c r="G483" s="467"/>
      <c r="H483" s="1"/>
      <c r="I483" s="1"/>
      <c r="J483" s="1"/>
      <c r="K483" s="1"/>
      <c r="L483" s="1"/>
      <c r="M483" s="1"/>
      <c r="N483" s="1"/>
      <c r="O483" s="1"/>
      <c r="P483" s="1"/>
      <c r="Q483" s="1"/>
      <c r="R483" s="1"/>
      <c r="S483" s="1"/>
      <c r="T483" s="1"/>
      <c r="U483" s="1"/>
      <c r="V483" s="1"/>
      <c r="W483" s="1"/>
      <c r="X483" s="1"/>
      <c r="Y483" s="1"/>
      <c r="Z483" s="1"/>
    </row>
    <row r="484" ht="10.5" customHeight="1">
      <c r="A484" s="1"/>
      <c r="B484" s="238">
        <v>2005.0</v>
      </c>
      <c r="C484" s="467">
        <v>53.4</v>
      </c>
      <c r="D484" s="467">
        <v>64.8</v>
      </c>
      <c r="E484" s="467">
        <v>59.9</v>
      </c>
      <c r="F484" s="467">
        <v>67.0</v>
      </c>
      <c r="G484" s="467">
        <v>64.5</v>
      </c>
      <c r="H484" s="1"/>
      <c r="I484" s="1"/>
      <c r="J484" s="1"/>
      <c r="K484" s="1"/>
      <c r="L484" s="1"/>
      <c r="M484" s="1"/>
      <c r="N484" s="1"/>
      <c r="O484" s="1"/>
      <c r="P484" s="1"/>
      <c r="Q484" s="1"/>
      <c r="R484" s="1"/>
      <c r="S484" s="1"/>
      <c r="T484" s="1"/>
      <c r="U484" s="1"/>
      <c r="V484" s="1"/>
      <c r="W484" s="1"/>
      <c r="X484" s="1"/>
      <c r="Y484" s="1"/>
      <c r="Z484" s="1"/>
    </row>
    <row r="485" ht="10.5" customHeight="1">
      <c r="A485" s="1"/>
      <c r="B485" s="238">
        <v>2006.0</v>
      </c>
      <c r="C485" s="467">
        <v>64.0</v>
      </c>
      <c r="D485" s="467">
        <v>79.5</v>
      </c>
      <c r="E485" s="467">
        <v>63.6</v>
      </c>
      <c r="F485" s="467">
        <v>73.0</v>
      </c>
      <c r="G485" s="467">
        <v>73.1</v>
      </c>
      <c r="H485" s="1"/>
      <c r="I485" s="1"/>
      <c r="J485" s="1"/>
      <c r="K485" s="1"/>
      <c r="L485" s="1"/>
      <c r="M485" s="1"/>
      <c r="N485" s="1"/>
      <c r="O485" s="1"/>
      <c r="P485" s="1"/>
      <c r="Q485" s="1"/>
      <c r="R485" s="1"/>
      <c r="S485" s="1"/>
      <c r="T485" s="1"/>
      <c r="U485" s="1"/>
      <c r="V485" s="1"/>
      <c r="W485" s="1"/>
      <c r="X485" s="1"/>
      <c r="Y485" s="1"/>
      <c r="Z485" s="1"/>
    </row>
    <row r="486" ht="10.5" customHeight="1">
      <c r="A486" s="1"/>
      <c r="B486" s="238">
        <v>2007.0</v>
      </c>
      <c r="C486" s="467">
        <v>87.1</v>
      </c>
      <c r="D486" s="467">
        <v>85.1</v>
      </c>
      <c r="E486" s="467">
        <v>85.2</v>
      </c>
      <c r="F486" s="467">
        <v>81.3</v>
      </c>
      <c r="G486" s="467">
        <v>83.3</v>
      </c>
      <c r="H486" s="1"/>
      <c r="I486" s="1"/>
      <c r="J486" s="1"/>
      <c r="K486" s="1"/>
      <c r="L486" s="1"/>
      <c r="M486" s="1"/>
      <c r="N486" s="1"/>
      <c r="O486" s="1"/>
      <c r="P486" s="1"/>
      <c r="Q486" s="1"/>
      <c r="R486" s="1"/>
      <c r="S486" s="1"/>
      <c r="T486" s="1"/>
      <c r="U486" s="1"/>
      <c r="V486" s="1"/>
      <c r="W486" s="1"/>
      <c r="X486" s="1"/>
      <c r="Y486" s="1"/>
      <c r="Z486" s="1"/>
    </row>
    <row r="487" ht="10.5" customHeight="1">
      <c r="A487" s="1"/>
      <c r="B487" s="238">
        <v>2008.0</v>
      </c>
      <c r="C487" s="467">
        <v>86.8</v>
      </c>
      <c r="D487" s="467">
        <v>92.8</v>
      </c>
      <c r="E487" s="467">
        <v>104.1</v>
      </c>
      <c r="F487" s="467">
        <v>89.2</v>
      </c>
      <c r="G487" s="467">
        <v>92.8</v>
      </c>
      <c r="H487" s="1"/>
      <c r="I487" s="1"/>
      <c r="J487" s="1"/>
      <c r="K487" s="1"/>
      <c r="L487" s="1"/>
      <c r="M487" s="1"/>
      <c r="N487" s="1"/>
      <c r="O487" s="1"/>
      <c r="P487" s="1"/>
      <c r="Q487" s="1"/>
      <c r="R487" s="1"/>
      <c r="S487" s="1"/>
      <c r="T487" s="1"/>
      <c r="U487" s="1"/>
      <c r="V487" s="1"/>
      <c r="W487" s="1"/>
      <c r="X487" s="1"/>
      <c r="Y487" s="1"/>
      <c r="Z487" s="1"/>
    </row>
    <row r="488" ht="10.5" customHeight="1">
      <c r="A488" s="1"/>
      <c r="B488" s="238">
        <v>2009.0</v>
      </c>
      <c r="C488" s="467">
        <v>82.9</v>
      </c>
      <c r="D488" s="467">
        <v>96.2</v>
      </c>
      <c r="E488" s="467">
        <v>101.5</v>
      </c>
      <c r="F488" s="467">
        <v>101.6</v>
      </c>
      <c r="G488" s="467">
        <v>99.1</v>
      </c>
      <c r="H488" s="1"/>
      <c r="I488" s="1"/>
      <c r="J488" s="1"/>
      <c r="K488" s="1"/>
      <c r="L488" s="1"/>
      <c r="M488" s="1"/>
      <c r="N488" s="1"/>
      <c r="O488" s="1"/>
      <c r="P488" s="1"/>
      <c r="Q488" s="1"/>
      <c r="R488" s="1"/>
      <c r="S488" s="1"/>
      <c r="T488" s="1"/>
      <c r="U488" s="1"/>
      <c r="V488" s="1"/>
      <c r="W488" s="1"/>
      <c r="X488" s="1"/>
      <c r="Y488" s="1"/>
      <c r="Z488" s="1"/>
    </row>
    <row r="489" ht="10.5" customHeight="1">
      <c r="A489" s="1"/>
      <c r="B489" s="238"/>
      <c r="C489" s="467"/>
      <c r="D489" s="467"/>
      <c r="E489" s="467"/>
      <c r="F489" s="467"/>
      <c r="G489" s="467"/>
      <c r="H489" s="1"/>
      <c r="I489" s="1"/>
      <c r="J489" s="1"/>
      <c r="K489" s="1"/>
      <c r="L489" s="1"/>
      <c r="M489" s="1"/>
      <c r="N489" s="1"/>
      <c r="O489" s="1"/>
      <c r="P489" s="1"/>
      <c r="Q489" s="1"/>
      <c r="R489" s="1"/>
      <c r="S489" s="1"/>
      <c r="T489" s="1"/>
      <c r="U489" s="1"/>
      <c r="V489" s="1"/>
      <c r="W489" s="1"/>
      <c r="X489" s="1"/>
      <c r="Y489" s="1"/>
      <c r="Z489" s="1"/>
    </row>
    <row r="490" ht="10.5" customHeight="1">
      <c r="A490" s="1"/>
      <c r="B490" s="129">
        <v>2010.0</v>
      </c>
      <c r="C490" s="467">
        <v>100.0</v>
      </c>
      <c r="D490" s="467">
        <v>100.0</v>
      </c>
      <c r="E490" s="467">
        <v>100.0</v>
      </c>
      <c r="F490" s="467">
        <v>100.0</v>
      </c>
      <c r="G490" s="467">
        <v>100.0</v>
      </c>
      <c r="H490" s="1"/>
      <c r="I490" s="1"/>
      <c r="J490" s="1"/>
      <c r="K490" s="1"/>
      <c r="L490" s="1"/>
      <c r="M490" s="1"/>
      <c r="N490" s="1"/>
      <c r="O490" s="1"/>
      <c r="P490" s="1"/>
      <c r="Q490" s="1"/>
      <c r="R490" s="1"/>
      <c r="S490" s="1"/>
      <c r="T490" s="1"/>
      <c r="U490" s="1"/>
      <c r="V490" s="1"/>
      <c r="W490" s="1"/>
      <c r="X490" s="1"/>
      <c r="Y490" s="1"/>
      <c r="Z490" s="1"/>
    </row>
    <row r="491" ht="10.5" customHeight="1">
      <c r="A491" s="1"/>
      <c r="B491" s="79">
        <v>2011.0</v>
      </c>
      <c r="C491" s="467">
        <v>141.6</v>
      </c>
      <c r="D491" s="467">
        <v>121.2</v>
      </c>
      <c r="E491" s="467">
        <v>98.2</v>
      </c>
      <c r="F491" s="467">
        <v>105.3</v>
      </c>
      <c r="G491" s="467">
        <v>110.6</v>
      </c>
      <c r="H491" s="1"/>
      <c r="I491" s="1"/>
      <c r="J491" s="1"/>
      <c r="K491" s="1"/>
      <c r="L491" s="1"/>
      <c r="M491" s="1"/>
      <c r="N491" s="1"/>
      <c r="O491" s="1"/>
      <c r="P491" s="1"/>
      <c r="Q491" s="1"/>
      <c r="R491" s="1"/>
      <c r="S491" s="1"/>
      <c r="T491" s="1"/>
      <c r="U491" s="1"/>
      <c r="V491" s="1"/>
      <c r="W491" s="1"/>
      <c r="X491" s="1"/>
      <c r="Y491" s="1"/>
      <c r="Z491" s="1"/>
    </row>
    <row r="492" ht="10.5" customHeight="1">
      <c r="A492" s="1"/>
      <c r="B492" s="79" t="s">
        <v>489</v>
      </c>
      <c r="C492" s="467">
        <v>144.6</v>
      </c>
      <c r="D492" s="467">
        <v>123.8</v>
      </c>
      <c r="E492" s="467">
        <v>115.6</v>
      </c>
      <c r="F492" s="467">
        <v>113.1</v>
      </c>
      <c r="G492" s="467">
        <v>117.9</v>
      </c>
      <c r="H492" s="1"/>
      <c r="I492" s="1"/>
      <c r="J492" s="1"/>
      <c r="K492" s="1"/>
      <c r="L492" s="1"/>
      <c r="M492" s="1"/>
      <c r="N492" s="1"/>
      <c r="O492" s="1"/>
      <c r="P492" s="1"/>
      <c r="Q492" s="1"/>
      <c r="R492" s="1"/>
      <c r="S492" s="1"/>
      <c r="T492" s="1"/>
      <c r="U492" s="1"/>
      <c r="V492" s="1"/>
      <c r="W492" s="1"/>
      <c r="X492" s="1"/>
      <c r="Y492" s="1"/>
      <c r="Z492" s="1"/>
    </row>
    <row r="493" ht="10.5" customHeight="1">
      <c r="A493" s="1"/>
      <c r="B493" s="79" t="s">
        <v>55</v>
      </c>
      <c r="C493" s="467">
        <v>164.7</v>
      </c>
      <c r="D493" s="467">
        <v>121.7</v>
      </c>
      <c r="E493" s="467">
        <v>121.5</v>
      </c>
      <c r="F493" s="467">
        <v>124.9</v>
      </c>
      <c r="G493" s="467">
        <v>124.3</v>
      </c>
      <c r="H493" s="1"/>
      <c r="I493" s="1"/>
      <c r="J493" s="1"/>
      <c r="K493" s="1"/>
      <c r="L493" s="1"/>
      <c r="M493" s="1"/>
      <c r="N493" s="1"/>
      <c r="O493" s="1"/>
      <c r="P493" s="1"/>
      <c r="Q493" s="1"/>
      <c r="R493" s="1"/>
      <c r="S493" s="1"/>
      <c r="T493" s="1"/>
      <c r="U493" s="1"/>
      <c r="V493" s="1"/>
      <c r="W493" s="1"/>
      <c r="X493" s="1"/>
      <c r="Y493" s="1"/>
      <c r="Z493" s="1"/>
    </row>
    <row r="494" ht="10.5" customHeight="1">
      <c r="A494" s="1"/>
      <c r="B494" s="79" t="s">
        <v>57</v>
      </c>
      <c r="C494" s="467">
        <v>172.5</v>
      </c>
      <c r="D494" s="467">
        <v>137.5</v>
      </c>
      <c r="E494" s="467">
        <v>142.9</v>
      </c>
      <c r="F494" s="467">
        <v>136.0</v>
      </c>
      <c r="G494" s="467">
        <v>138.4</v>
      </c>
      <c r="H494" s="1"/>
      <c r="I494" s="1"/>
      <c r="J494" s="1"/>
      <c r="K494" s="1"/>
      <c r="L494" s="1"/>
      <c r="M494" s="1"/>
      <c r="N494" s="1"/>
      <c r="O494" s="1"/>
      <c r="P494" s="1"/>
      <c r="Q494" s="1"/>
      <c r="R494" s="1"/>
      <c r="S494" s="1"/>
      <c r="T494" s="1"/>
      <c r="U494" s="1"/>
      <c r="V494" s="1"/>
      <c r="W494" s="1"/>
      <c r="X494" s="1"/>
      <c r="Y494" s="1"/>
      <c r="Z494" s="1"/>
    </row>
    <row r="495" ht="10.5" customHeight="1">
      <c r="A495" s="1"/>
      <c r="B495" s="79"/>
      <c r="C495" s="467"/>
      <c r="D495" s="467"/>
      <c r="E495" s="467"/>
      <c r="F495" s="467"/>
      <c r="G495" s="467"/>
      <c r="H495" s="1"/>
      <c r="I495" s="1"/>
      <c r="J495" s="1"/>
      <c r="K495" s="1"/>
      <c r="L495" s="1"/>
      <c r="M495" s="1"/>
      <c r="N495" s="1"/>
      <c r="O495" s="1"/>
      <c r="P495" s="1"/>
      <c r="Q495" s="1"/>
      <c r="R495" s="1"/>
      <c r="S495" s="1"/>
      <c r="T495" s="1"/>
      <c r="U495" s="1"/>
      <c r="V495" s="1"/>
      <c r="W495" s="1"/>
      <c r="X495" s="1"/>
      <c r="Y495" s="1"/>
      <c r="Z495" s="1"/>
    </row>
    <row r="496" ht="10.5" customHeight="1">
      <c r="A496" s="1"/>
      <c r="B496" s="79" t="s">
        <v>58</v>
      </c>
      <c r="C496" s="467">
        <v>194.8</v>
      </c>
      <c r="D496" s="467">
        <v>146.3</v>
      </c>
      <c r="E496" s="467">
        <v>140.2</v>
      </c>
      <c r="F496" s="467">
        <v>146.6</v>
      </c>
      <c r="G496" s="467">
        <v>146.8</v>
      </c>
      <c r="H496" s="1"/>
      <c r="I496" s="1"/>
      <c r="J496" s="1"/>
      <c r="K496" s="1"/>
      <c r="L496" s="1"/>
      <c r="M496" s="1"/>
      <c r="N496" s="1"/>
      <c r="O496" s="1"/>
      <c r="P496" s="1"/>
      <c r="Q496" s="1"/>
      <c r="R496" s="1"/>
      <c r="S496" s="1"/>
      <c r="T496" s="1"/>
      <c r="U496" s="1"/>
      <c r="V496" s="1"/>
      <c r="W496" s="1"/>
      <c r="X496" s="1"/>
      <c r="Y496" s="1"/>
      <c r="Z496" s="1"/>
    </row>
    <row r="497" ht="10.5" customHeight="1">
      <c r="A497" s="1"/>
      <c r="B497" s="79" t="s">
        <v>59</v>
      </c>
      <c r="C497" s="467">
        <v>243.1</v>
      </c>
      <c r="D497" s="467">
        <v>159.6</v>
      </c>
      <c r="E497" s="467">
        <v>151.2</v>
      </c>
      <c r="F497" s="467">
        <v>148.5</v>
      </c>
      <c r="G497" s="467">
        <v>155.1</v>
      </c>
      <c r="H497" s="1"/>
      <c r="I497" s="1"/>
      <c r="J497" s="1"/>
      <c r="K497" s="1"/>
      <c r="L497" s="1"/>
      <c r="M497" s="1"/>
      <c r="N497" s="1"/>
      <c r="O497" s="1"/>
      <c r="P497" s="1"/>
      <c r="Q497" s="1"/>
      <c r="R497" s="1"/>
      <c r="S497" s="1"/>
      <c r="T497" s="1"/>
      <c r="U497" s="1"/>
      <c r="V497" s="1"/>
      <c r="W497" s="1"/>
      <c r="X497" s="1"/>
      <c r="Y497" s="1"/>
      <c r="Z497" s="1"/>
    </row>
    <row r="498" ht="10.5" customHeight="1">
      <c r="A498" s="1"/>
      <c r="B498" s="52" t="s">
        <v>60</v>
      </c>
      <c r="C498" s="471">
        <v>268.0</v>
      </c>
      <c r="D498" s="471">
        <v>192.7</v>
      </c>
      <c r="E498" s="471">
        <v>164.6</v>
      </c>
      <c r="F498" s="471">
        <v>177.9</v>
      </c>
      <c r="G498" s="471">
        <v>183.3</v>
      </c>
      <c r="H498" s="1"/>
      <c r="I498" s="1"/>
      <c r="J498" s="1"/>
      <c r="K498" s="1"/>
      <c r="L498" s="1"/>
      <c r="M498" s="1"/>
      <c r="N498" s="1"/>
      <c r="O498" s="1"/>
      <c r="P498" s="1"/>
      <c r="Q498" s="1"/>
      <c r="R498" s="1"/>
      <c r="S498" s="1"/>
      <c r="T498" s="1"/>
      <c r="U498" s="1"/>
      <c r="V498" s="1"/>
      <c r="W498" s="1"/>
      <c r="X498" s="1"/>
      <c r="Y498" s="1"/>
      <c r="Z498" s="1"/>
    </row>
    <row r="499" ht="6.0" customHeight="1">
      <c r="A499" s="1"/>
      <c r="B499" s="242"/>
      <c r="C499" s="473"/>
      <c r="D499" s="473"/>
      <c r="E499" s="473"/>
      <c r="F499" s="473"/>
      <c r="G499" s="473"/>
      <c r="H499" s="1"/>
      <c r="I499" s="1"/>
      <c r="J499" s="1"/>
      <c r="K499" s="1"/>
      <c r="L499" s="1"/>
      <c r="M499" s="1"/>
      <c r="N499" s="1"/>
      <c r="O499" s="1"/>
      <c r="P499" s="1"/>
      <c r="Q499" s="1"/>
      <c r="R499" s="1"/>
      <c r="S499" s="1"/>
      <c r="T499" s="1"/>
      <c r="U499" s="1"/>
      <c r="V499" s="1"/>
      <c r="W499" s="1"/>
      <c r="X499" s="1"/>
      <c r="Y499" s="1"/>
      <c r="Z499" s="1"/>
    </row>
    <row r="500" ht="10.5" customHeight="1">
      <c r="A500" s="1"/>
      <c r="B500" s="185" t="s">
        <v>1848</v>
      </c>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0.5" customHeight="1">
      <c r="A501" s="1"/>
      <c r="B501" s="185" t="s">
        <v>1849</v>
      </c>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0.5" customHeight="1">
      <c r="A502" s="1"/>
      <c r="B502" s="185" t="s">
        <v>1850</v>
      </c>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0.5" customHeight="1">
      <c r="A503" s="1"/>
      <c r="B503" s="185" t="s">
        <v>1851</v>
      </c>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0.5" customHeight="1">
      <c r="A504" s="1"/>
      <c r="B504" s="185" t="s">
        <v>1852</v>
      </c>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0.5" customHeight="1">
      <c r="A505" s="1"/>
      <c r="B505" s="1"/>
      <c r="C505" s="612"/>
      <c r="D505" s="612"/>
      <c r="E505" s="612"/>
      <c r="F505" s="612"/>
      <c r="G505" s="612"/>
      <c r="H505" s="1"/>
      <c r="I505" s="1"/>
      <c r="J505" s="1"/>
      <c r="K505" s="1"/>
      <c r="L505" s="1"/>
      <c r="M505" s="1"/>
      <c r="N505" s="1"/>
      <c r="O505" s="1"/>
      <c r="P505" s="1"/>
      <c r="Q505" s="1"/>
      <c r="R505" s="1"/>
      <c r="S505" s="1"/>
      <c r="T505" s="1"/>
      <c r="U505" s="1"/>
      <c r="V505" s="1"/>
      <c r="W505" s="1"/>
      <c r="X505" s="1"/>
      <c r="Y505" s="1"/>
      <c r="Z505" s="1"/>
    </row>
    <row r="506" ht="10.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0.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0.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0.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0.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0.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0.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0.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0.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0.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0.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0.5" customHeight="1">
      <c r="A517" s="1"/>
      <c r="B517" s="1"/>
      <c r="C517" s="1"/>
      <c r="D517" s="1"/>
      <c r="E517" s="1"/>
      <c r="F517" s="1"/>
      <c r="G517" s="1"/>
      <c r="H517" s="110">
        <v>95.0</v>
      </c>
      <c r="I517" s="1"/>
      <c r="J517" s="1"/>
      <c r="K517" s="1"/>
      <c r="L517" s="1"/>
      <c r="M517" s="1"/>
      <c r="N517" s="1"/>
      <c r="O517" s="1"/>
      <c r="P517" s="1"/>
      <c r="Q517" s="1"/>
      <c r="R517" s="1"/>
      <c r="S517" s="1"/>
      <c r="T517" s="1"/>
      <c r="U517" s="1"/>
      <c r="V517" s="1"/>
      <c r="W517" s="1"/>
      <c r="X517" s="1"/>
      <c r="Y517" s="1"/>
      <c r="Z517" s="1"/>
    </row>
    <row r="518" ht="10.5" customHeight="1">
      <c r="A518" s="1"/>
      <c r="B518" s="1"/>
      <c r="C518" s="1"/>
      <c r="D518" s="1"/>
      <c r="E518" s="1"/>
      <c r="F518" s="1"/>
      <c r="G518" s="1"/>
      <c r="H518" s="110"/>
      <c r="I518" s="1"/>
      <c r="J518" s="1"/>
      <c r="K518" s="1"/>
      <c r="L518" s="1"/>
      <c r="M518" s="1"/>
      <c r="N518" s="1"/>
      <c r="O518" s="1"/>
      <c r="P518" s="1"/>
      <c r="Q518" s="1"/>
      <c r="R518" s="1"/>
      <c r="S518" s="1"/>
      <c r="T518" s="1"/>
      <c r="U518" s="1"/>
      <c r="V518" s="1"/>
      <c r="W518" s="1"/>
      <c r="X518" s="1"/>
      <c r="Y518" s="1"/>
      <c r="Z518" s="1"/>
    </row>
    <row r="519" ht="10.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t="s">
        <v>1853</v>
      </c>
      <c r="C520" s="1"/>
      <c r="D520" s="1"/>
      <c r="E520" s="1"/>
      <c r="F520" s="1"/>
      <c r="G520" s="817"/>
      <c r="H520" s="1"/>
      <c r="I520" s="1"/>
      <c r="J520" s="1"/>
      <c r="K520" s="1"/>
      <c r="L520" s="1"/>
      <c r="M520" s="1"/>
      <c r="N520" s="1"/>
      <c r="O520" s="1"/>
      <c r="P520" s="1"/>
      <c r="Q520" s="1"/>
      <c r="R520" s="1"/>
      <c r="S520" s="1"/>
      <c r="T520" s="1"/>
      <c r="U520" s="1"/>
      <c r="V520" s="1"/>
      <c r="W520" s="1"/>
      <c r="X520" s="1"/>
      <c r="Y520" s="1"/>
      <c r="Z520" s="1"/>
    </row>
    <row r="521" ht="11.25" customHeight="1">
      <c r="A521" s="1"/>
      <c r="B521" s="189" t="s">
        <v>1</v>
      </c>
      <c r="C521" s="8" t="s">
        <v>1854</v>
      </c>
      <c r="D521" s="9"/>
      <c r="E521" s="10"/>
      <c r="F521" s="31" t="s">
        <v>1601</v>
      </c>
      <c r="G521" s="31" t="s">
        <v>1508</v>
      </c>
      <c r="H521" s="1"/>
      <c r="I521" s="1"/>
      <c r="J521" s="1"/>
      <c r="K521" s="1"/>
      <c r="L521" s="1"/>
      <c r="M521" s="1"/>
      <c r="N521" s="1"/>
      <c r="O521" s="1"/>
      <c r="P521" s="1"/>
      <c r="Q521" s="1"/>
      <c r="R521" s="1"/>
      <c r="S521" s="1"/>
      <c r="T521" s="1"/>
      <c r="U521" s="1"/>
      <c r="V521" s="1"/>
      <c r="W521" s="1"/>
      <c r="X521" s="1"/>
      <c r="Y521" s="1"/>
      <c r="Z521" s="1"/>
    </row>
    <row r="522" ht="11.25" customHeight="1">
      <c r="A522" s="1"/>
      <c r="B522" s="5"/>
      <c r="C522" s="134" t="s">
        <v>943</v>
      </c>
      <c r="D522" s="134" t="s">
        <v>1362</v>
      </c>
      <c r="E522" s="134" t="s">
        <v>1367</v>
      </c>
      <c r="F522" s="6"/>
      <c r="G522" s="6"/>
      <c r="H522" s="1"/>
      <c r="I522" s="1"/>
      <c r="J522" s="1"/>
      <c r="K522" s="1"/>
      <c r="L522" s="1"/>
      <c r="M522" s="1"/>
      <c r="N522" s="1"/>
      <c r="O522" s="1"/>
      <c r="P522" s="1"/>
      <c r="Q522" s="1"/>
      <c r="R522" s="1"/>
      <c r="S522" s="1"/>
      <c r="T522" s="1"/>
      <c r="U522" s="1"/>
      <c r="V522" s="1"/>
      <c r="W522" s="1"/>
      <c r="X522" s="1"/>
      <c r="Y522" s="1"/>
      <c r="Z522" s="1"/>
    </row>
    <row r="523" ht="11.25" customHeight="1">
      <c r="A523" s="1"/>
      <c r="B523" s="6"/>
      <c r="C523" s="8" t="s">
        <v>54</v>
      </c>
      <c r="D523" s="9"/>
      <c r="E523" s="9"/>
      <c r="F523" s="9"/>
      <c r="G523" s="10"/>
      <c r="H523" s="1"/>
      <c r="I523" s="1"/>
      <c r="J523" s="1"/>
      <c r="K523" s="1"/>
      <c r="L523" s="1"/>
      <c r="M523" s="1"/>
      <c r="N523" s="1"/>
      <c r="O523" s="1"/>
      <c r="P523" s="1"/>
      <c r="Q523" s="1"/>
      <c r="R523" s="1"/>
      <c r="S523" s="1"/>
      <c r="T523" s="1"/>
      <c r="U523" s="1"/>
      <c r="V523" s="1"/>
      <c r="W523" s="1"/>
      <c r="X523" s="1"/>
      <c r="Y523" s="1"/>
      <c r="Z523" s="1"/>
    </row>
    <row r="524" ht="10.5" customHeight="1">
      <c r="A524" s="1"/>
      <c r="B524" s="238">
        <v>1980.0</v>
      </c>
      <c r="C524" s="364">
        <v>6.8</v>
      </c>
      <c r="D524" s="364">
        <v>4.7</v>
      </c>
      <c r="E524" s="364">
        <v>9.7</v>
      </c>
      <c r="F524" s="364">
        <v>6.9</v>
      </c>
      <c r="G524" s="364">
        <v>7.4</v>
      </c>
      <c r="H524" s="1"/>
      <c r="I524" s="1"/>
      <c r="J524" s="1"/>
      <c r="K524" s="1"/>
      <c r="L524" s="1"/>
      <c r="M524" s="1"/>
      <c r="N524" s="1"/>
      <c r="O524" s="1"/>
      <c r="P524" s="1"/>
      <c r="Q524" s="1"/>
      <c r="R524" s="1"/>
      <c r="S524" s="1"/>
      <c r="T524" s="1"/>
      <c r="U524" s="1"/>
      <c r="V524" s="1"/>
      <c r="W524" s="1"/>
      <c r="X524" s="1"/>
      <c r="Y524" s="1"/>
      <c r="Z524" s="1"/>
    </row>
    <row r="525" ht="10.5" customHeight="1">
      <c r="A525" s="1"/>
      <c r="B525" s="238">
        <v>1981.0</v>
      </c>
      <c r="C525" s="364">
        <v>9.0</v>
      </c>
      <c r="D525" s="364">
        <v>6.4</v>
      </c>
      <c r="E525" s="364">
        <v>11.8</v>
      </c>
      <c r="F525" s="364">
        <v>8.1</v>
      </c>
      <c r="G525" s="364">
        <v>8.7</v>
      </c>
      <c r="H525" s="1"/>
      <c r="I525" s="1"/>
      <c r="J525" s="1"/>
      <c r="K525" s="1"/>
      <c r="L525" s="1"/>
      <c r="M525" s="1"/>
      <c r="N525" s="1"/>
      <c r="O525" s="1"/>
      <c r="P525" s="1"/>
      <c r="Q525" s="1"/>
      <c r="R525" s="1"/>
      <c r="S525" s="1"/>
      <c r="T525" s="1"/>
      <c r="U525" s="1"/>
      <c r="V525" s="1"/>
      <c r="W525" s="1"/>
      <c r="X525" s="1"/>
      <c r="Y525" s="1"/>
      <c r="Z525" s="1"/>
    </row>
    <row r="526" ht="10.5" customHeight="1">
      <c r="A526" s="1"/>
      <c r="B526" s="238">
        <v>1982.0</v>
      </c>
      <c r="C526" s="364">
        <v>8.4</v>
      </c>
      <c r="D526" s="364">
        <v>6.3</v>
      </c>
      <c r="E526" s="364">
        <v>10.1</v>
      </c>
      <c r="F526" s="364">
        <v>9.2</v>
      </c>
      <c r="G526" s="364">
        <v>10.2</v>
      </c>
      <c r="H526" s="1"/>
      <c r="I526" s="1"/>
      <c r="J526" s="1"/>
      <c r="K526" s="1"/>
      <c r="L526" s="1"/>
      <c r="M526" s="1"/>
      <c r="N526" s="1"/>
      <c r="O526" s="1"/>
      <c r="P526" s="1"/>
      <c r="Q526" s="1"/>
      <c r="R526" s="1"/>
      <c r="S526" s="1"/>
      <c r="T526" s="1"/>
      <c r="U526" s="1"/>
      <c r="V526" s="1"/>
      <c r="W526" s="1"/>
      <c r="X526" s="1"/>
      <c r="Y526" s="1"/>
      <c r="Z526" s="1"/>
    </row>
    <row r="527" ht="10.5" customHeight="1">
      <c r="A527" s="1"/>
      <c r="B527" s="238">
        <v>1983.0</v>
      </c>
      <c r="C527" s="364">
        <v>8.5</v>
      </c>
      <c r="D527" s="364">
        <v>6.5</v>
      </c>
      <c r="E527" s="364">
        <v>10.4</v>
      </c>
      <c r="F527" s="364">
        <v>9.0</v>
      </c>
      <c r="G527" s="364">
        <v>10.4</v>
      </c>
      <c r="H527" s="1"/>
      <c r="I527" s="1"/>
      <c r="J527" s="1"/>
      <c r="K527" s="1"/>
      <c r="L527" s="1"/>
      <c r="M527" s="1"/>
      <c r="N527" s="1"/>
      <c r="O527" s="1"/>
      <c r="P527" s="1"/>
      <c r="Q527" s="1"/>
      <c r="R527" s="1"/>
      <c r="S527" s="1"/>
      <c r="T527" s="1"/>
      <c r="U527" s="1"/>
      <c r="V527" s="1"/>
      <c r="W527" s="1"/>
      <c r="X527" s="1"/>
      <c r="Y527" s="1"/>
      <c r="Z527" s="1"/>
    </row>
    <row r="528" ht="10.5" customHeight="1">
      <c r="A528" s="1"/>
      <c r="B528" s="238">
        <v>1984.0</v>
      </c>
      <c r="C528" s="364">
        <v>9.8</v>
      </c>
      <c r="D528" s="364">
        <v>7.9</v>
      </c>
      <c r="E528" s="364">
        <v>15.0</v>
      </c>
      <c r="F528" s="364">
        <v>11.6</v>
      </c>
      <c r="G528" s="364">
        <v>11.2</v>
      </c>
      <c r="H528" s="1"/>
      <c r="I528" s="1"/>
      <c r="J528" s="1"/>
      <c r="K528" s="1"/>
      <c r="L528" s="1"/>
      <c r="M528" s="1"/>
      <c r="N528" s="1"/>
      <c r="O528" s="1"/>
      <c r="P528" s="1"/>
      <c r="Q528" s="1"/>
      <c r="R528" s="1"/>
      <c r="S528" s="1"/>
      <c r="T528" s="1"/>
      <c r="U528" s="1"/>
      <c r="V528" s="1"/>
      <c r="W528" s="1"/>
      <c r="X528" s="1"/>
      <c r="Y528" s="1"/>
      <c r="Z528" s="1"/>
    </row>
    <row r="529" ht="10.5" customHeight="1">
      <c r="A529" s="1"/>
      <c r="B529" s="238"/>
      <c r="C529" s="364"/>
      <c r="D529" s="364"/>
      <c r="E529" s="364"/>
      <c r="F529" s="364"/>
      <c r="G529" s="364"/>
      <c r="H529" s="1"/>
      <c r="I529" s="1"/>
      <c r="J529" s="1"/>
      <c r="K529" s="1"/>
      <c r="L529" s="1"/>
      <c r="M529" s="1"/>
      <c r="N529" s="1"/>
      <c r="O529" s="1"/>
      <c r="P529" s="1"/>
      <c r="Q529" s="1"/>
      <c r="R529" s="1"/>
      <c r="S529" s="1"/>
      <c r="T529" s="1"/>
      <c r="U529" s="1"/>
      <c r="V529" s="1"/>
      <c r="W529" s="1"/>
      <c r="X529" s="1"/>
      <c r="Y529" s="1"/>
      <c r="Z529" s="1"/>
    </row>
    <row r="530" ht="10.5" customHeight="1">
      <c r="A530" s="1"/>
      <c r="B530" s="238">
        <v>1985.0</v>
      </c>
      <c r="C530" s="364">
        <v>10.5</v>
      </c>
      <c r="D530" s="364">
        <v>9.3</v>
      </c>
      <c r="E530" s="364">
        <v>13.8</v>
      </c>
      <c r="F530" s="364">
        <v>15.6</v>
      </c>
      <c r="G530" s="364">
        <v>12.0</v>
      </c>
      <c r="H530" s="1"/>
      <c r="I530" s="1"/>
      <c r="J530" s="1"/>
      <c r="K530" s="1"/>
      <c r="L530" s="1"/>
      <c r="M530" s="1"/>
      <c r="N530" s="1"/>
      <c r="O530" s="1"/>
      <c r="P530" s="1"/>
      <c r="Q530" s="1"/>
      <c r="R530" s="1"/>
      <c r="S530" s="1"/>
      <c r="T530" s="1"/>
      <c r="U530" s="1"/>
      <c r="V530" s="1"/>
      <c r="W530" s="1"/>
      <c r="X530" s="1"/>
      <c r="Y530" s="1"/>
      <c r="Z530" s="1"/>
    </row>
    <row r="531" ht="10.5" customHeight="1">
      <c r="A531" s="1"/>
      <c r="B531" s="238">
        <v>1986.0</v>
      </c>
      <c r="C531" s="364">
        <v>12.6</v>
      </c>
      <c r="D531" s="364">
        <v>11.4</v>
      </c>
      <c r="E531" s="364">
        <v>17.7</v>
      </c>
      <c r="F531" s="364">
        <v>15.1</v>
      </c>
      <c r="G531" s="364">
        <v>13.1</v>
      </c>
      <c r="H531" s="1"/>
      <c r="I531" s="1"/>
      <c r="J531" s="1"/>
      <c r="K531" s="1"/>
      <c r="L531" s="1"/>
      <c r="M531" s="1"/>
      <c r="N531" s="1"/>
      <c r="O531" s="1"/>
      <c r="P531" s="1"/>
      <c r="Q531" s="1"/>
      <c r="R531" s="1"/>
      <c r="S531" s="1"/>
      <c r="T531" s="1"/>
      <c r="U531" s="1"/>
      <c r="V531" s="1"/>
      <c r="W531" s="1"/>
      <c r="X531" s="1"/>
      <c r="Y531" s="1"/>
      <c r="Z531" s="1"/>
    </row>
    <row r="532" ht="10.5" customHeight="1">
      <c r="A532" s="1"/>
      <c r="B532" s="238">
        <v>1987.0</v>
      </c>
      <c r="C532" s="364">
        <v>17.2</v>
      </c>
      <c r="D532" s="364">
        <v>13.2</v>
      </c>
      <c r="E532" s="364">
        <v>21.2</v>
      </c>
      <c r="F532" s="364">
        <v>20.3</v>
      </c>
      <c r="G532" s="364">
        <v>15.8</v>
      </c>
      <c r="H532" s="1"/>
      <c r="I532" s="1"/>
      <c r="J532" s="1"/>
      <c r="K532" s="1"/>
      <c r="L532" s="1"/>
      <c r="M532" s="1"/>
      <c r="N532" s="1"/>
      <c r="O532" s="1"/>
      <c r="P532" s="1"/>
      <c r="Q532" s="1"/>
      <c r="R532" s="1"/>
      <c r="S532" s="1"/>
      <c r="T532" s="1"/>
      <c r="U532" s="1"/>
      <c r="V532" s="1"/>
      <c r="W532" s="1"/>
      <c r="X532" s="1"/>
      <c r="Y532" s="1"/>
      <c r="Z532" s="1"/>
    </row>
    <row r="533" ht="10.5" customHeight="1">
      <c r="A533" s="1"/>
      <c r="B533" s="238">
        <v>1988.0</v>
      </c>
      <c r="C533" s="364">
        <v>20.1</v>
      </c>
      <c r="D533" s="364">
        <v>13.5</v>
      </c>
      <c r="E533" s="364">
        <v>23.7</v>
      </c>
      <c r="F533" s="364">
        <v>34.5</v>
      </c>
      <c r="G533" s="364">
        <v>16.9</v>
      </c>
      <c r="H533" s="1"/>
      <c r="I533" s="1"/>
      <c r="J533" s="1"/>
      <c r="K533" s="1"/>
      <c r="L533" s="1"/>
      <c r="M533" s="1"/>
      <c r="N533" s="1"/>
      <c r="O533" s="1"/>
      <c r="P533" s="1"/>
      <c r="Q533" s="1"/>
      <c r="R533" s="1"/>
      <c r="S533" s="1"/>
      <c r="T533" s="1"/>
      <c r="U533" s="1"/>
      <c r="V533" s="1"/>
      <c r="W533" s="1"/>
      <c r="X533" s="1"/>
      <c r="Y533" s="1"/>
      <c r="Z533" s="1"/>
    </row>
    <row r="534" ht="10.5" customHeight="1">
      <c r="A534" s="1"/>
      <c r="B534" s="238">
        <v>1989.0</v>
      </c>
      <c r="C534" s="364">
        <v>20.1</v>
      </c>
      <c r="D534" s="364">
        <v>17.3</v>
      </c>
      <c r="E534" s="364">
        <v>24.2</v>
      </c>
      <c r="F534" s="364">
        <v>33.8</v>
      </c>
      <c r="G534" s="364">
        <v>19.5</v>
      </c>
      <c r="H534" s="1"/>
      <c r="I534" s="1"/>
      <c r="J534" s="1"/>
      <c r="K534" s="1"/>
      <c r="L534" s="1"/>
      <c r="M534" s="1"/>
      <c r="N534" s="1"/>
      <c r="O534" s="1"/>
      <c r="P534" s="1"/>
      <c r="Q534" s="1"/>
      <c r="R534" s="1"/>
      <c r="S534" s="1"/>
      <c r="T534" s="1"/>
      <c r="U534" s="1"/>
      <c r="V534" s="1"/>
      <c r="W534" s="1"/>
      <c r="X534" s="1"/>
      <c r="Y534" s="1"/>
      <c r="Z534" s="1"/>
    </row>
    <row r="535" ht="10.5" customHeight="1">
      <c r="A535" s="1"/>
      <c r="B535" s="238"/>
      <c r="C535" s="364"/>
      <c r="D535" s="364"/>
      <c r="E535" s="364"/>
      <c r="F535" s="364"/>
      <c r="G535" s="364"/>
      <c r="H535" s="1"/>
      <c r="I535" s="1"/>
      <c r="J535" s="1"/>
      <c r="K535" s="1"/>
      <c r="L535" s="1"/>
      <c r="M535" s="1"/>
      <c r="N535" s="1"/>
      <c r="O535" s="1"/>
      <c r="P535" s="1"/>
      <c r="Q535" s="1"/>
      <c r="R535" s="1"/>
      <c r="S535" s="1"/>
      <c r="T535" s="1"/>
      <c r="U535" s="1"/>
      <c r="V535" s="1"/>
      <c r="W535" s="1"/>
      <c r="X535" s="1"/>
      <c r="Y535" s="1"/>
      <c r="Z535" s="1"/>
    </row>
    <row r="536" ht="10.5" customHeight="1">
      <c r="A536" s="1"/>
      <c r="B536" s="238">
        <v>1990.0</v>
      </c>
      <c r="C536" s="364">
        <v>19.9</v>
      </c>
      <c r="D536" s="364">
        <v>15.9</v>
      </c>
      <c r="E536" s="364">
        <v>21.6</v>
      </c>
      <c r="F536" s="364">
        <v>27.9</v>
      </c>
      <c r="G536" s="364">
        <v>21.5</v>
      </c>
      <c r="H536" s="1"/>
      <c r="I536" s="1"/>
      <c r="J536" s="1"/>
      <c r="K536" s="1"/>
      <c r="L536" s="1"/>
      <c r="M536" s="1"/>
      <c r="N536" s="1"/>
      <c r="O536" s="1"/>
      <c r="P536" s="1"/>
      <c r="Q536" s="1"/>
      <c r="R536" s="1"/>
      <c r="S536" s="1"/>
      <c r="T536" s="1"/>
      <c r="U536" s="1"/>
      <c r="V536" s="1"/>
      <c r="W536" s="1"/>
      <c r="X536" s="1"/>
      <c r="Y536" s="1"/>
      <c r="Z536" s="1"/>
    </row>
    <row r="537" ht="10.5" customHeight="1">
      <c r="A537" s="1"/>
      <c r="B537" s="238">
        <v>1991.0</v>
      </c>
      <c r="C537" s="364">
        <v>21.1</v>
      </c>
      <c r="D537" s="364">
        <v>16.3</v>
      </c>
      <c r="E537" s="364">
        <v>26.2</v>
      </c>
      <c r="F537" s="364">
        <v>19.5</v>
      </c>
      <c r="G537" s="364">
        <v>20.8</v>
      </c>
      <c r="H537" s="1"/>
      <c r="I537" s="1"/>
      <c r="J537" s="1"/>
      <c r="K537" s="1"/>
      <c r="L537" s="1"/>
      <c r="M537" s="1"/>
      <c r="N537" s="1"/>
      <c r="O537" s="1"/>
      <c r="P537" s="1"/>
      <c r="Q537" s="1"/>
      <c r="R537" s="1"/>
      <c r="S537" s="1"/>
      <c r="T537" s="1"/>
      <c r="U537" s="1"/>
      <c r="V537" s="1"/>
      <c r="W537" s="1"/>
      <c r="X537" s="1"/>
      <c r="Y537" s="1"/>
      <c r="Z537" s="1"/>
    </row>
    <row r="538" ht="10.5" customHeight="1">
      <c r="A538" s="1"/>
      <c r="B538" s="238">
        <v>1992.0</v>
      </c>
      <c r="C538" s="364">
        <v>21.3</v>
      </c>
      <c r="D538" s="364">
        <v>18.5</v>
      </c>
      <c r="E538" s="364">
        <v>30.2</v>
      </c>
      <c r="F538" s="364">
        <v>21.0</v>
      </c>
      <c r="G538" s="364">
        <v>25.5</v>
      </c>
      <c r="H538" s="1"/>
      <c r="I538" s="1"/>
      <c r="J538" s="1"/>
      <c r="K538" s="1"/>
      <c r="L538" s="1"/>
      <c r="M538" s="1"/>
      <c r="N538" s="1"/>
      <c r="O538" s="1"/>
      <c r="P538" s="1"/>
      <c r="Q538" s="1"/>
      <c r="R538" s="1"/>
      <c r="S538" s="1"/>
      <c r="T538" s="1"/>
      <c r="U538" s="1"/>
      <c r="V538" s="1"/>
      <c r="W538" s="1"/>
      <c r="X538" s="1"/>
      <c r="Y538" s="1"/>
      <c r="Z538" s="1"/>
    </row>
    <row r="539" ht="10.5" customHeight="1">
      <c r="A539" s="1"/>
      <c r="B539" s="238">
        <v>1993.0</v>
      </c>
      <c r="C539" s="364">
        <v>22.6</v>
      </c>
      <c r="D539" s="364">
        <v>21.5</v>
      </c>
      <c r="E539" s="364">
        <v>31.1</v>
      </c>
      <c r="F539" s="364">
        <v>16.8</v>
      </c>
      <c r="G539" s="364">
        <v>27.0</v>
      </c>
      <c r="H539" s="1"/>
      <c r="I539" s="1"/>
      <c r="J539" s="1"/>
      <c r="K539" s="1"/>
      <c r="L539" s="1"/>
      <c r="M539" s="1"/>
      <c r="N539" s="1"/>
      <c r="O539" s="1"/>
      <c r="P539" s="1"/>
      <c r="Q539" s="1"/>
      <c r="R539" s="1"/>
      <c r="S539" s="1"/>
      <c r="T539" s="1"/>
      <c r="U539" s="1"/>
      <c r="V539" s="1"/>
      <c r="W539" s="1"/>
      <c r="X539" s="1"/>
      <c r="Y539" s="1"/>
      <c r="Z539" s="1"/>
    </row>
    <row r="540" ht="10.5" customHeight="1">
      <c r="A540" s="1"/>
      <c r="B540" s="238">
        <v>1994.0</v>
      </c>
      <c r="C540" s="364">
        <v>32.7</v>
      </c>
      <c r="D540" s="364">
        <v>30.2</v>
      </c>
      <c r="E540" s="364">
        <v>40.1</v>
      </c>
      <c r="F540" s="364">
        <v>25.8</v>
      </c>
      <c r="G540" s="364">
        <v>28.1</v>
      </c>
      <c r="H540" s="1"/>
      <c r="I540" s="1"/>
      <c r="J540" s="1"/>
      <c r="K540" s="1"/>
      <c r="L540" s="1"/>
      <c r="M540" s="1"/>
      <c r="N540" s="1"/>
      <c r="O540" s="1"/>
      <c r="P540" s="1"/>
      <c r="Q540" s="1"/>
      <c r="R540" s="1"/>
      <c r="S540" s="1"/>
      <c r="T540" s="1"/>
      <c r="U540" s="1"/>
      <c r="V540" s="1"/>
      <c r="W540" s="1"/>
      <c r="X540" s="1"/>
      <c r="Y540" s="1"/>
      <c r="Z540" s="1"/>
    </row>
    <row r="541" ht="10.5" customHeight="1">
      <c r="A541" s="1"/>
      <c r="B541" s="238"/>
      <c r="C541" s="364"/>
      <c r="D541" s="364"/>
      <c r="E541" s="364"/>
      <c r="F541" s="364"/>
      <c r="G541" s="364"/>
      <c r="H541" s="1"/>
      <c r="I541" s="1"/>
      <c r="J541" s="1"/>
      <c r="K541" s="1"/>
      <c r="L541" s="1"/>
      <c r="M541" s="1"/>
      <c r="N541" s="1"/>
      <c r="O541" s="1"/>
      <c r="P541" s="1"/>
      <c r="Q541" s="1"/>
      <c r="R541" s="1"/>
      <c r="S541" s="1"/>
      <c r="T541" s="1"/>
      <c r="U541" s="1"/>
      <c r="V541" s="1"/>
      <c r="W541" s="1"/>
      <c r="X541" s="1"/>
      <c r="Y541" s="1"/>
      <c r="Z541" s="1"/>
    </row>
    <row r="542" ht="10.5" customHeight="1">
      <c r="A542" s="1"/>
      <c r="B542" s="238">
        <v>1995.0</v>
      </c>
      <c r="C542" s="364">
        <v>33.1</v>
      </c>
      <c r="D542" s="364">
        <v>30.3</v>
      </c>
      <c r="E542" s="364">
        <v>37.5</v>
      </c>
      <c r="F542" s="364">
        <v>32.5</v>
      </c>
      <c r="G542" s="364">
        <v>30.8</v>
      </c>
      <c r="H542" s="1"/>
      <c r="I542" s="1"/>
      <c r="J542" s="1"/>
      <c r="K542" s="1"/>
      <c r="L542" s="1"/>
      <c r="M542" s="1"/>
      <c r="N542" s="1"/>
      <c r="O542" s="1"/>
      <c r="P542" s="1"/>
      <c r="Q542" s="1"/>
      <c r="R542" s="1"/>
      <c r="S542" s="1"/>
      <c r="T542" s="1"/>
      <c r="U542" s="1"/>
      <c r="V542" s="1"/>
      <c r="W542" s="1"/>
      <c r="X542" s="1"/>
      <c r="Y542" s="1"/>
      <c r="Z542" s="1"/>
    </row>
    <row r="543" ht="10.5" customHeight="1">
      <c r="A543" s="1"/>
      <c r="B543" s="238">
        <v>1996.0</v>
      </c>
      <c r="C543" s="364">
        <v>35.2</v>
      </c>
      <c r="D543" s="364">
        <v>31.9</v>
      </c>
      <c r="E543" s="364">
        <v>38.4</v>
      </c>
      <c r="F543" s="364">
        <v>31.0</v>
      </c>
      <c r="G543" s="364">
        <v>33.5</v>
      </c>
      <c r="H543" s="1"/>
      <c r="I543" s="1"/>
      <c r="J543" s="1"/>
      <c r="K543" s="1"/>
      <c r="L543" s="1"/>
      <c r="M543" s="1"/>
      <c r="N543" s="1"/>
      <c r="O543" s="1"/>
      <c r="P543" s="1"/>
      <c r="Q543" s="1"/>
      <c r="R543" s="1"/>
      <c r="S543" s="1"/>
      <c r="T543" s="1"/>
      <c r="U543" s="1"/>
      <c r="V543" s="1"/>
      <c r="W543" s="1"/>
      <c r="X543" s="1"/>
      <c r="Y543" s="1"/>
      <c r="Z543" s="1"/>
    </row>
    <row r="544" ht="10.5" customHeight="1">
      <c r="A544" s="1"/>
      <c r="B544" s="238">
        <v>1997.0</v>
      </c>
      <c r="C544" s="364">
        <v>36.5</v>
      </c>
      <c r="D544" s="364">
        <v>35.4</v>
      </c>
      <c r="E544" s="364">
        <v>49.5</v>
      </c>
      <c r="F544" s="364">
        <v>37.6</v>
      </c>
      <c r="G544" s="364">
        <v>43.1</v>
      </c>
      <c r="H544" s="1"/>
      <c r="I544" s="1"/>
      <c r="J544" s="1"/>
      <c r="K544" s="1"/>
      <c r="L544" s="1"/>
      <c r="M544" s="1"/>
      <c r="N544" s="1"/>
      <c r="O544" s="1"/>
      <c r="P544" s="1"/>
      <c r="Q544" s="1"/>
      <c r="R544" s="1"/>
      <c r="S544" s="1"/>
      <c r="T544" s="1"/>
      <c r="U544" s="1"/>
      <c r="V544" s="1"/>
      <c r="W544" s="1"/>
      <c r="X544" s="1"/>
      <c r="Y544" s="1"/>
      <c r="Z544" s="1"/>
    </row>
    <row r="545" ht="10.5" customHeight="1">
      <c r="A545" s="1"/>
      <c r="B545" s="238">
        <v>1998.0</v>
      </c>
      <c r="C545" s="364">
        <v>34.6</v>
      </c>
      <c r="D545" s="364">
        <v>34.0</v>
      </c>
      <c r="E545" s="364">
        <v>49.5</v>
      </c>
      <c r="F545" s="364">
        <v>31.8</v>
      </c>
      <c r="G545" s="364">
        <v>40.5</v>
      </c>
      <c r="H545" s="1"/>
      <c r="I545" s="1"/>
      <c r="J545" s="1"/>
      <c r="K545" s="1"/>
      <c r="L545" s="1"/>
      <c r="M545" s="1"/>
      <c r="N545" s="1"/>
      <c r="O545" s="1"/>
      <c r="P545" s="1"/>
      <c r="Q545" s="1"/>
      <c r="R545" s="1"/>
      <c r="S545" s="1"/>
      <c r="T545" s="1"/>
      <c r="U545" s="1"/>
      <c r="V545" s="1"/>
      <c r="W545" s="1"/>
      <c r="X545" s="1"/>
      <c r="Y545" s="1"/>
      <c r="Z545" s="1"/>
    </row>
    <row r="546" ht="10.5" customHeight="1">
      <c r="A546" s="1"/>
      <c r="B546" s="238">
        <v>1999.0</v>
      </c>
      <c r="C546" s="364">
        <v>35.4</v>
      </c>
      <c r="D546" s="364">
        <v>34.1</v>
      </c>
      <c r="E546" s="364">
        <v>47.9</v>
      </c>
      <c r="F546" s="364">
        <v>30.3</v>
      </c>
      <c r="G546" s="364">
        <v>38.4</v>
      </c>
      <c r="H546" s="1"/>
      <c r="I546" s="1"/>
      <c r="J546" s="1"/>
      <c r="K546" s="1"/>
      <c r="L546" s="1"/>
      <c r="M546" s="1"/>
      <c r="N546" s="1"/>
      <c r="O546" s="1"/>
      <c r="P546" s="1"/>
      <c r="Q546" s="1"/>
      <c r="R546" s="1"/>
      <c r="S546" s="1"/>
      <c r="T546" s="1"/>
      <c r="U546" s="1"/>
      <c r="V546" s="1"/>
      <c r="W546" s="1"/>
      <c r="X546" s="1"/>
      <c r="Y546" s="1"/>
      <c r="Z546" s="1"/>
    </row>
    <row r="547" ht="10.5" customHeight="1">
      <c r="A547" s="1"/>
      <c r="B547" s="238"/>
      <c r="C547" s="364"/>
      <c r="D547" s="364"/>
      <c r="E547" s="364"/>
      <c r="F547" s="364"/>
      <c r="G547" s="1087"/>
      <c r="H547" s="1"/>
      <c r="I547" s="1"/>
      <c r="J547" s="1"/>
      <c r="K547" s="1"/>
      <c r="L547" s="1"/>
      <c r="M547" s="1"/>
      <c r="N547" s="1"/>
      <c r="O547" s="1"/>
      <c r="P547" s="1"/>
      <c r="Q547" s="1"/>
      <c r="R547" s="1"/>
      <c r="S547" s="1"/>
      <c r="T547" s="1"/>
      <c r="U547" s="1"/>
      <c r="V547" s="1"/>
      <c r="W547" s="1"/>
      <c r="X547" s="1"/>
      <c r="Y547" s="1"/>
      <c r="Z547" s="1"/>
    </row>
    <row r="548" ht="10.5" customHeight="1">
      <c r="A548" s="1"/>
      <c r="B548" s="238">
        <v>2000.0</v>
      </c>
      <c r="C548" s="364">
        <v>37.2</v>
      </c>
      <c r="D548" s="364">
        <v>39.3</v>
      </c>
      <c r="E548" s="364">
        <v>57.2</v>
      </c>
      <c r="F548" s="364">
        <v>40.5</v>
      </c>
      <c r="G548" s="1087">
        <v>43.6</v>
      </c>
      <c r="H548" s="1"/>
      <c r="I548" s="1"/>
      <c r="J548" s="1"/>
      <c r="K548" s="1"/>
      <c r="L548" s="1"/>
      <c r="M548" s="1"/>
      <c r="N548" s="1"/>
      <c r="O548" s="1"/>
      <c r="P548" s="1"/>
      <c r="Q548" s="1"/>
      <c r="R548" s="1"/>
      <c r="S548" s="1"/>
      <c r="T548" s="1"/>
      <c r="U548" s="1"/>
      <c r="V548" s="1"/>
      <c r="W548" s="1"/>
      <c r="X548" s="1"/>
      <c r="Y548" s="1"/>
      <c r="Z548" s="1"/>
    </row>
    <row r="549" ht="10.5" customHeight="1">
      <c r="A549" s="1"/>
      <c r="B549" s="238">
        <v>2001.0</v>
      </c>
      <c r="C549" s="364">
        <v>39.2</v>
      </c>
      <c r="D549" s="364">
        <v>40.2</v>
      </c>
      <c r="E549" s="364">
        <v>59.3</v>
      </c>
      <c r="F549" s="364">
        <v>49.2</v>
      </c>
      <c r="G549" s="1087">
        <v>49.5</v>
      </c>
      <c r="H549" s="1"/>
      <c r="I549" s="1"/>
      <c r="J549" s="1"/>
      <c r="K549" s="1"/>
      <c r="L549" s="1"/>
      <c r="M549" s="1"/>
      <c r="N549" s="1"/>
      <c r="O549" s="1"/>
      <c r="P549" s="1"/>
      <c r="Q549" s="1"/>
      <c r="R549" s="1"/>
      <c r="S549" s="1"/>
      <c r="T549" s="1"/>
      <c r="U549" s="1"/>
      <c r="V549" s="1"/>
      <c r="W549" s="1"/>
      <c r="X549" s="1"/>
      <c r="Y549" s="1"/>
      <c r="Z549" s="1"/>
    </row>
    <row r="550" ht="10.5" customHeight="1">
      <c r="A550" s="1"/>
      <c r="B550" s="238">
        <v>2002.0</v>
      </c>
      <c r="C550" s="364">
        <v>51.6</v>
      </c>
      <c r="D550" s="364">
        <v>47.3</v>
      </c>
      <c r="E550" s="364">
        <v>76.7</v>
      </c>
      <c r="F550" s="364">
        <v>85.8</v>
      </c>
      <c r="G550" s="1087">
        <v>59.3</v>
      </c>
      <c r="H550" s="1"/>
      <c r="I550" s="1"/>
      <c r="J550" s="1"/>
      <c r="K550" s="1"/>
      <c r="L550" s="1"/>
      <c r="M550" s="1"/>
      <c r="N550" s="1"/>
      <c r="O550" s="1"/>
      <c r="P550" s="1"/>
      <c r="Q550" s="1"/>
      <c r="R550" s="1"/>
      <c r="S550" s="1"/>
      <c r="T550" s="1"/>
      <c r="U550" s="1"/>
      <c r="V550" s="1"/>
      <c r="W550" s="1"/>
      <c r="X550" s="1"/>
      <c r="Y550" s="1"/>
      <c r="Z550" s="1"/>
    </row>
    <row r="551" ht="10.5" customHeight="1">
      <c r="A551" s="1"/>
      <c r="B551" s="238">
        <v>2003.0</v>
      </c>
      <c r="C551" s="467">
        <v>55.0</v>
      </c>
      <c r="D551" s="467">
        <v>53.3</v>
      </c>
      <c r="E551" s="467">
        <v>72.3</v>
      </c>
      <c r="F551" s="467">
        <v>72.4</v>
      </c>
      <c r="G551" s="518">
        <v>67.3</v>
      </c>
      <c r="H551" s="1"/>
      <c r="I551" s="1"/>
      <c r="J551" s="1"/>
      <c r="K551" s="1"/>
      <c r="L551" s="1"/>
      <c r="M551" s="1"/>
      <c r="N551" s="1"/>
      <c r="O551" s="1"/>
      <c r="P551" s="1"/>
      <c r="Q551" s="1"/>
      <c r="R551" s="1"/>
      <c r="S551" s="1"/>
      <c r="T551" s="1"/>
      <c r="U551" s="1"/>
      <c r="V551" s="1"/>
      <c r="W551" s="1"/>
      <c r="X551" s="1"/>
      <c r="Y551" s="1"/>
      <c r="Z551" s="1"/>
    </row>
    <row r="552" ht="10.5" customHeight="1">
      <c r="A552" s="1"/>
      <c r="B552" s="238">
        <v>2004.0</v>
      </c>
      <c r="C552" s="467">
        <v>61.0</v>
      </c>
      <c r="D552" s="467">
        <v>57.0</v>
      </c>
      <c r="E552" s="467">
        <v>72.0</v>
      </c>
      <c r="F552" s="467">
        <v>57.8</v>
      </c>
      <c r="G552" s="518">
        <v>64.9</v>
      </c>
      <c r="H552" s="1"/>
      <c r="I552" s="1"/>
      <c r="J552" s="1"/>
      <c r="K552" s="1"/>
      <c r="L552" s="1"/>
      <c r="M552" s="1"/>
      <c r="N552" s="1"/>
      <c r="O552" s="1"/>
      <c r="P552" s="1"/>
      <c r="Q552" s="1"/>
      <c r="R552" s="1"/>
      <c r="S552" s="1"/>
      <c r="T552" s="1"/>
      <c r="U552" s="1"/>
      <c r="V552" s="1"/>
      <c r="W552" s="1"/>
      <c r="X552" s="1"/>
      <c r="Y552" s="1"/>
      <c r="Z552" s="1"/>
    </row>
    <row r="553" ht="10.5" customHeight="1">
      <c r="A553" s="1"/>
      <c r="B553" s="238"/>
      <c r="C553" s="467"/>
      <c r="D553" s="467"/>
      <c r="E553" s="467"/>
      <c r="F553" s="467"/>
      <c r="G553" s="518"/>
      <c r="H553" s="1"/>
      <c r="I553" s="1"/>
      <c r="J553" s="1"/>
      <c r="K553" s="1"/>
      <c r="L553" s="1"/>
      <c r="M553" s="1"/>
      <c r="N553" s="1"/>
      <c r="O553" s="1"/>
      <c r="P553" s="1"/>
      <c r="Q553" s="1"/>
      <c r="R553" s="1"/>
      <c r="S553" s="1"/>
      <c r="T553" s="1"/>
      <c r="U553" s="1"/>
      <c r="V553" s="1"/>
      <c r="W553" s="1"/>
      <c r="X553" s="1"/>
      <c r="Y553" s="1"/>
      <c r="Z553" s="1"/>
    </row>
    <row r="554" ht="10.5" customHeight="1">
      <c r="A554" s="1"/>
      <c r="B554" s="238">
        <v>2005.0</v>
      </c>
      <c r="C554" s="467">
        <v>65.0</v>
      </c>
      <c r="D554" s="467">
        <v>60.2</v>
      </c>
      <c r="E554" s="467">
        <v>70.0</v>
      </c>
      <c r="F554" s="467">
        <v>51.5</v>
      </c>
      <c r="G554" s="518">
        <v>60.7</v>
      </c>
      <c r="H554" s="1"/>
      <c r="I554" s="1"/>
      <c r="J554" s="1"/>
      <c r="K554" s="1"/>
      <c r="L554" s="1"/>
      <c r="M554" s="1"/>
      <c r="N554" s="1"/>
      <c r="O554" s="1"/>
      <c r="P554" s="1"/>
      <c r="Q554" s="1"/>
      <c r="R554" s="1"/>
      <c r="S554" s="1"/>
      <c r="T554" s="1"/>
      <c r="U554" s="1"/>
      <c r="V554" s="1"/>
      <c r="W554" s="1"/>
      <c r="X554" s="1"/>
      <c r="Y554" s="1"/>
      <c r="Z554" s="1"/>
    </row>
    <row r="555" ht="10.5" customHeight="1">
      <c r="A555" s="1"/>
      <c r="B555" s="238">
        <v>2006.0</v>
      </c>
      <c r="C555" s="467">
        <v>82.3</v>
      </c>
      <c r="D555" s="467">
        <v>72.0</v>
      </c>
      <c r="E555" s="467">
        <v>73.1</v>
      </c>
      <c r="F555" s="467">
        <v>58.6</v>
      </c>
      <c r="G555" s="518">
        <v>63.6</v>
      </c>
      <c r="H555" s="1"/>
      <c r="I555" s="1"/>
      <c r="J555" s="1"/>
      <c r="K555" s="1"/>
      <c r="L555" s="1"/>
      <c r="M555" s="1"/>
      <c r="N555" s="1"/>
      <c r="O555" s="1"/>
      <c r="P555" s="1"/>
      <c r="Q555" s="1"/>
      <c r="R555" s="1"/>
      <c r="S555" s="1"/>
      <c r="T555" s="1"/>
      <c r="U555" s="1"/>
      <c r="V555" s="1"/>
      <c r="W555" s="1"/>
      <c r="X555" s="1"/>
      <c r="Y555" s="1"/>
      <c r="Z555" s="1"/>
    </row>
    <row r="556" ht="10.5" customHeight="1">
      <c r="A556" s="1"/>
      <c r="B556" s="238">
        <v>2007.0</v>
      </c>
      <c r="C556" s="467">
        <v>86.2</v>
      </c>
      <c r="D556" s="467">
        <v>77.8</v>
      </c>
      <c r="E556" s="467">
        <v>87.7</v>
      </c>
      <c r="F556" s="467">
        <v>89.0</v>
      </c>
      <c r="G556" s="518">
        <v>85.2</v>
      </c>
      <c r="H556" s="1"/>
      <c r="I556" s="1"/>
      <c r="J556" s="1"/>
      <c r="K556" s="1"/>
      <c r="L556" s="1"/>
      <c r="M556" s="1"/>
      <c r="N556" s="1"/>
      <c r="O556" s="1"/>
      <c r="P556" s="1"/>
      <c r="Q556" s="1"/>
      <c r="R556" s="1"/>
      <c r="S556" s="1"/>
      <c r="T556" s="1"/>
      <c r="U556" s="1"/>
      <c r="V556" s="1"/>
      <c r="W556" s="1"/>
      <c r="X556" s="1"/>
      <c r="Y556" s="1"/>
      <c r="Z556" s="1"/>
    </row>
    <row r="557" ht="10.5" customHeight="1">
      <c r="A557" s="1"/>
      <c r="B557" s="238">
        <v>2008.0</v>
      </c>
      <c r="C557" s="467">
        <v>93.2</v>
      </c>
      <c r="D557" s="467">
        <v>83.8</v>
      </c>
      <c r="E557" s="467">
        <v>101.9</v>
      </c>
      <c r="F557" s="467">
        <v>91.9</v>
      </c>
      <c r="G557" s="518">
        <v>104.1</v>
      </c>
      <c r="H557" s="1"/>
      <c r="I557" s="1"/>
      <c r="J557" s="1"/>
      <c r="K557" s="1"/>
      <c r="L557" s="1"/>
      <c r="M557" s="1"/>
      <c r="N557" s="1"/>
      <c r="O557" s="1"/>
      <c r="P557" s="1"/>
      <c r="Q557" s="1"/>
      <c r="R557" s="1"/>
      <c r="S557" s="1"/>
      <c r="T557" s="1"/>
      <c r="U557" s="1"/>
      <c r="V557" s="1"/>
      <c r="W557" s="1"/>
      <c r="X557" s="1"/>
      <c r="Y557" s="1"/>
      <c r="Z557" s="1"/>
    </row>
    <row r="558" ht="10.5" customHeight="1">
      <c r="A558" s="1"/>
      <c r="B558" s="238">
        <v>2009.0</v>
      </c>
      <c r="C558" s="467">
        <v>97.0</v>
      </c>
      <c r="D558" s="467">
        <v>85.4</v>
      </c>
      <c r="E558" s="467">
        <v>105.8</v>
      </c>
      <c r="F558" s="467">
        <v>83.1</v>
      </c>
      <c r="G558" s="518">
        <v>101.5</v>
      </c>
      <c r="H558" s="1"/>
      <c r="I558" s="1"/>
      <c r="J558" s="1"/>
      <c r="K558" s="1"/>
      <c r="L558" s="1"/>
      <c r="M558" s="1"/>
      <c r="N558" s="1"/>
      <c r="O558" s="1"/>
      <c r="P558" s="1"/>
      <c r="Q558" s="1"/>
      <c r="R558" s="1"/>
      <c r="S558" s="1"/>
      <c r="T558" s="1"/>
      <c r="U558" s="1"/>
      <c r="V558" s="1"/>
      <c r="W558" s="1"/>
      <c r="X558" s="1"/>
      <c r="Y558" s="1"/>
      <c r="Z558" s="1"/>
    </row>
    <row r="559" ht="10.5" customHeight="1">
      <c r="A559" s="1"/>
      <c r="B559" s="238"/>
      <c r="C559" s="467"/>
      <c r="D559" s="467"/>
      <c r="E559" s="467"/>
      <c r="F559" s="467"/>
      <c r="G559" s="518"/>
      <c r="H559" s="1"/>
      <c r="I559" s="1"/>
      <c r="J559" s="1"/>
      <c r="K559" s="1"/>
      <c r="L559" s="1"/>
      <c r="M559" s="1"/>
      <c r="N559" s="1"/>
      <c r="O559" s="1"/>
      <c r="P559" s="1"/>
      <c r="Q559" s="1"/>
      <c r="R559" s="1"/>
      <c r="S559" s="1"/>
      <c r="T559" s="1"/>
      <c r="U559" s="1"/>
      <c r="V559" s="1"/>
      <c r="W559" s="1"/>
      <c r="X559" s="1"/>
      <c r="Y559" s="1"/>
      <c r="Z559" s="1"/>
    </row>
    <row r="560" ht="10.5" customHeight="1">
      <c r="A560" s="1"/>
      <c r="B560" s="129">
        <v>2010.0</v>
      </c>
      <c r="C560" s="467">
        <v>100.0</v>
      </c>
      <c r="D560" s="467">
        <v>100.0</v>
      </c>
      <c r="E560" s="467">
        <v>100.0</v>
      </c>
      <c r="F560" s="467">
        <v>100.0</v>
      </c>
      <c r="G560" s="467">
        <v>100.0</v>
      </c>
      <c r="H560" s="1"/>
      <c r="I560" s="1"/>
      <c r="J560" s="1"/>
      <c r="K560" s="1"/>
      <c r="L560" s="1"/>
      <c r="M560" s="1"/>
      <c r="N560" s="1"/>
      <c r="O560" s="1"/>
      <c r="P560" s="1"/>
      <c r="Q560" s="1"/>
      <c r="R560" s="1"/>
      <c r="S560" s="1"/>
      <c r="T560" s="1"/>
      <c r="U560" s="1"/>
      <c r="V560" s="1"/>
      <c r="W560" s="1"/>
      <c r="X560" s="1"/>
      <c r="Y560" s="1"/>
      <c r="Z560" s="1"/>
    </row>
    <row r="561" ht="10.5" customHeight="1">
      <c r="A561" s="1"/>
      <c r="B561" s="79">
        <v>2011.0</v>
      </c>
      <c r="C561" s="467">
        <v>121.6</v>
      </c>
      <c r="D561" s="467">
        <v>126.6</v>
      </c>
      <c r="E561" s="467">
        <v>112.4</v>
      </c>
      <c r="F561" s="467">
        <v>148.2</v>
      </c>
      <c r="G561" s="467">
        <v>98.2</v>
      </c>
      <c r="H561" s="1"/>
      <c r="I561" s="1"/>
      <c r="J561" s="1"/>
      <c r="K561" s="1"/>
      <c r="L561" s="1"/>
      <c r="M561" s="1"/>
      <c r="N561" s="1"/>
      <c r="O561" s="1"/>
      <c r="P561" s="1"/>
      <c r="Q561" s="1"/>
      <c r="R561" s="1"/>
      <c r="S561" s="1"/>
      <c r="T561" s="1"/>
      <c r="U561" s="1"/>
      <c r="V561" s="1"/>
      <c r="W561" s="1"/>
      <c r="X561" s="1"/>
      <c r="Y561" s="1"/>
      <c r="Z561" s="1"/>
    </row>
    <row r="562" ht="10.5" customHeight="1">
      <c r="A562" s="1"/>
      <c r="B562" s="79" t="s">
        <v>489</v>
      </c>
      <c r="C562" s="467">
        <v>124.9</v>
      </c>
      <c r="D562" s="467">
        <v>120.0</v>
      </c>
      <c r="E562" s="467">
        <v>123.1</v>
      </c>
      <c r="F562" s="467">
        <v>151.9</v>
      </c>
      <c r="G562" s="467">
        <v>115.6</v>
      </c>
      <c r="H562" s="1"/>
      <c r="I562" s="1"/>
      <c r="J562" s="1"/>
      <c r="K562" s="1"/>
      <c r="L562" s="1"/>
      <c r="M562" s="1"/>
      <c r="N562" s="1"/>
      <c r="O562" s="1"/>
      <c r="P562" s="1"/>
      <c r="Q562" s="1"/>
      <c r="R562" s="1"/>
      <c r="S562" s="1"/>
      <c r="T562" s="1"/>
      <c r="U562" s="1"/>
      <c r="V562" s="1"/>
      <c r="W562" s="1"/>
      <c r="X562" s="1"/>
      <c r="Y562" s="1"/>
      <c r="Z562" s="1"/>
    </row>
    <row r="563" ht="10.5" customHeight="1">
      <c r="A563" s="1"/>
      <c r="B563" s="79" t="s">
        <v>55</v>
      </c>
      <c r="C563" s="467">
        <v>122.6</v>
      </c>
      <c r="D563" s="467">
        <v>112.8</v>
      </c>
      <c r="E563" s="467">
        <v>128.4</v>
      </c>
      <c r="F563" s="467">
        <v>173.1</v>
      </c>
      <c r="G563" s="467">
        <v>121.5</v>
      </c>
      <c r="H563" s="1"/>
      <c r="I563" s="1"/>
      <c r="J563" s="1"/>
      <c r="K563" s="1"/>
      <c r="L563" s="1"/>
      <c r="M563" s="1"/>
      <c r="N563" s="1"/>
      <c r="O563" s="1"/>
      <c r="P563" s="1"/>
      <c r="Q563" s="1"/>
      <c r="R563" s="1"/>
      <c r="S563" s="1"/>
      <c r="T563" s="1"/>
      <c r="U563" s="1"/>
      <c r="V563" s="1"/>
      <c r="W563" s="1"/>
      <c r="X563" s="1"/>
      <c r="Y563" s="1"/>
      <c r="Z563" s="1"/>
    </row>
    <row r="564" ht="10.5" customHeight="1">
      <c r="A564" s="1"/>
      <c r="B564" s="79" t="s">
        <v>57</v>
      </c>
      <c r="C564" s="467">
        <v>137.4</v>
      </c>
      <c r="D564" s="467">
        <v>134.0</v>
      </c>
      <c r="E564" s="467">
        <v>142.3</v>
      </c>
      <c r="F564" s="467">
        <v>174.2</v>
      </c>
      <c r="G564" s="467">
        <v>142.9</v>
      </c>
      <c r="H564" s="1"/>
      <c r="I564" s="1"/>
      <c r="J564" s="1"/>
      <c r="K564" s="1"/>
      <c r="L564" s="1"/>
      <c r="M564" s="1"/>
      <c r="N564" s="1"/>
      <c r="O564" s="1"/>
      <c r="P564" s="1"/>
      <c r="Q564" s="1"/>
      <c r="R564" s="1"/>
      <c r="S564" s="1"/>
      <c r="T564" s="1"/>
      <c r="U564" s="1"/>
      <c r="V564" s="1"/>
      <c r="W564" s="1"/>
      <c r="X564" s="1"/>
      <c r="Y564" s="1"/>
      <c r="Z564" s="1"/>
    </row>
    <row r="565" ht="10.5" customHeight="1">
      <c r="A565" s="1"/>
      <c r="B565" s="79"/>
      <c r="C565" s="467"/>
      <c r="D565" s="467"/>
      <c r="E565" s="467"/>
      <c r="F565" s="467"/>
      <c r="G565" s="467"/>
      <c r="H565" s="1"/>
      <c r="I565" s="1"/>
      <c r="J565" s="1"/>
      <c r="K565" s="1"/>
      <c r="L565" s="1"/>
      <c r="M565" s="1"/>
      <c r="N565" s="1"/>
      <c r="O565" s="1"/>
      <c r="P565" s="1"/>
      <c r="Q565" s="1"/>
      <c r="R565" s="1"/>
      <c r="S565" s="1"/>
      <c r="T565" s="1"/>
      <c r="U565" s="1"/>
      <c r="V565" s="1"/>
      <c r="W565" s="1"/>
      <c r="X565" s="1"/>
      <c r="Y565" s="1"/>
      <c r="Z565" s="1"/>
    </row>
    <row r="566" ht="10.5" customHeight="1">
      <c r="A566" s="1"/>
      <c r="B566" s="79" t="s">
        <v>58</v>
      </c>
      <c r="C566" s="467">
        <v>145.9</v>
      </c>
      <c r="D566" s="467">
        <v>143.2</v>
      </c>
      <c r="E566" s="467">
        <v>151.9</v>
      </c>
      <c r="F566" s="467">
        <v>190.9</v>
      </c>
      <c r="G566" s="467">
        <v>140.2</v>
      </c>
      <c r="H566" s="1"/>
      <c r="I566" s="1"/>
      <c r="J566" s="1"/>
      <c r="K566" s="1"/>
      <c r="L566" s="1"/>
      <c r="M566" s="1"/>
      <c r="N566" s="1"/>
      <c r="O566" s="1"/>
      <c r="P566" s="1"/>
      <c r="Q566" s="1"/>
      <c r="R566" s="1"/>
      <c r="S566" s="1"/>
      <c r="T566" s="1"/>
      <c r="U566" s="1"/>
      <c r="V566" s="1"/>
      <c r="W566" s="1"/>
      <c r="X566" s="1"/>
      <c r="Y566" s="1"/>
      <c r="Z566" s="1"/>
    </row>
    <row r="567" ht="10.5" customHeight="1">
      <c r="A567" s="1"/>
      <c r="B567" s="79" t="s">
        <v>59</v>
      </c>
      <c r="C567" s="467">
        <v>160.2</v>
      </c>
      <c r="D567" s="467">
        <v>157.4</v>
      </c>
      <c r="E567" s="467">
        <v>158.9</v>
      </c>
      <c r="F567" s="467">
        <v>241.8</v>
      </c>
      <c r="G567" s="467">
        <v>151.2</v>
      </c>
      <c r="H567" s="1"/>
      <c r="I567" s="1"/>
      <c r="J567" s="1"/>
      <c r="K567" s="1"/>
      <c r="L567" s="1"/>
      <c r="M567" s="1"/>
      <c r="N567" s="1"/>
      <c r="O567" s="1"/>
      <c r="P567" s="1"/>
      <c r="Q567" s="1"/>
      <c r="R567" s="1"/>
      <c r="S567" s="1"/>
      <c r="T567" s="1"/>
      <c r="U567" s="1"/>
      <c r="V567" s="1"/>
      <c r="W567" s="1"/>
      <c r="X567" s="1"/>
      <c r="Y567" s="1"/>
      <c r="Z567" s="1"/>
    </row>
    <row r="568" ht="10.5" customHeight="1">
      <c r="A568" s="1"/>
      <c r="B568" s="52" t="s">
        <v>60</v>
      </c>
      <c r="C568" s="471">
        <v>194.8</v>
      </c>
      <c r="D568" s="471">
        <v>194.1</v>
      </c>
      <c r="E568" s="471">
        <v>179.1</v>
      </c>
      <c r="F568" s="471">
        <v>272.4</v>
      </c>
      <c r="G568" s="471">
        <v>164.6</v>
      </c>
      <c r="H568" s="612"/>
      <c r="I568" s="1"/>
      <c r="J568" s="1"/>
      <c r="K568" s="1"/>
      <c r="L568" s="1"/>
      <c r="M568" s="1"/>
      <c r="N568" s="1"/>
      <c r="O568" s="1"/>
      <c r="P568" s="1"/>
      <c r="Q568" s="1"/>
      <c r="R568" s="1"/>
      <c r="S568" s="1"/>
      <c r="T568" s="1"/>
      <c r="U568" s="1"/>
      <c r="V568" s="1"/>
      <c r="W568" s="1"/>
      <c r="X568" s="1"/>
      <c r="Y568" s="1"/>
      <c r="Z568" s="1"/>
    </row>
    <row r="569" ht="10.5" customHeight="1">
      <c r="A569" s="1"/>
      <c r="B569" s="92"/>
      <c r="C569" s="503"/>
      <c r="D569" s="503"/>
      <c r="E569" s="503"/>
      <c r="F569" s="503"/>
      <c r="G569" s="817"/>
      <c r="H569" s="612"/>
      <c r="I569" s="1"/>
      <c r="J569" s="1"/>
      <c r="K569" s="1"/>
      <c r="L569" s="1"/>
      <c r="M569" s="1"/>
      <c r="N569" s="1"/>
      <c r="O569" s="1"/>
      <c r="P569" s="1"/>
      <c r="Q569" s="1"/>
      <c r="R569" s="1"/>
      <c r="S569" s="1"/>
      <c r="T569" s="1"/>
      <c r="U569" s="1"/>
      <c r="V569" s="1"/>
      <c r="W569" s="1"/>
      <c r="X569" s="1"/>
      <c r="Y569" s="1"/>
      <c r="Z569" s="1"/>
    </row>
    <row r="570" ht="10.5" customHeight="1">
      <c r="A570" s="1"/>
      <c r="B570" s="92"/>
      <c r="C570" s="503"/>
      <c r="D570" s="503"/>
      <c r="E570" s="503"/>
      <c r="F570" s="503"/>
      <c r="G570" s="503"/>
      <c r="H570" s="612"/>
      <c r="I570" s="1"/>
      <c r="J570" s="1"/>
      <c r="K570" s="1"/>
      <c r="L570" s="1"/>
      <c r="M570" s="1"/>
      <c r="N570" s="1"/>
      <c r="O570" s="1"/>
      <c r="P570" s="1"/>
      <c r="Q570" s="1"/>
      <c r="R570" s="1"/>
      <c r="S570" s="1"/>
      <c r="T570" s="1"/>
      <c r="U570" s="1"/>
      <c r="V570" s="1"/>
      <c r="W570" s="1"/>
      <c r="X570" s="1"/>
      <c r="Y570" s="1"/>
      <c r="Z570" s="1"/>
    </row>
    <row r="571" ht="10.5" customHeight="1">
      <c r="A571" s="1"/>
      <c r="B571" s="92"/>
      <c r="C571" s="503"/>
      <c r="D571" s="503"/>
      <c r="E571" s="503"/>
      <c r="F571" s="503"/>
      <c r="G571" s="817"/>
      <c r="H571" s="612"/>
      <c r="I571" s="1"/>
      <c r="J571" s="1"/>
      <c r="K571" s="1"/>
      <c r="L571" s="1"/>
      <c r="M571" s="1"/>
      <c r="N571" s="1"/>
      <c r="O571" s="1"/>
      <c r="P571" s="1"/>
      <c r="Q571" s="1"/>
      <c r="R571" s="1"/>
      <c r="S571" s="1"/>
      <c r="T571" s="1"/>
      <c r="U571" s="1"/>
      <c r="V571" s="1"/>
      <c r="W571" s="1"/>
      <c r="X571" s="1"/>
      <c r="Y571" s="1"/>
      <c r="Z571" s="1"/>
    </row>
    <row r="572" ht="10.5" customHeight="1">
      <c r="A572" s="1"/>
      <c r="B572" s="92"/>
      <c r="C572" s="503"/>
      <c r="D572" s="503"/>
      <c r="E572" s="503"/>
      <c r="F572" s="503"/>
      <c r="G572" s="817"/>
      <c r="H572" s="612"/>
      <c r="I572" s="1"/>
      <c r="J572" s="1"/>
      <c r="K572" s="1"/>
      <c r="L572" s="1"/>
      <c r="M572" s="1"/>
      <c r="N572" s="1"/>
      <c r="O572" s="1"/>
      <c r="P572" s="1"/>
      <c r="Q572" s="1"/>
      <c r="R572" s="1"/>
      <c r="S572" s="1"/>
      <c r="T572" s="1"/>
      <c r="U572" s="1"/>
      <c r="V572" s="1"/>
      <c r="W572" s="1"/>
      <c r="X572" s="1"/>
      <c r="Y572" s="1"/>
      <c r="Z572" s="1"/>
    </row>
    <row r="573" ht="10.5" customHeight="1">
      <c r="A573" s="1"/>
      <c r="B573" s="92"/>
      <c r="C573" s="503"/>
      <c r="D573" s="503"/>
      <c r="E573" s="503"/>
      <c r="F573" s="503"/>
      <c r="G573" s="817"/>
      <c r="H573" s="612"/>
      <c r="I573" s="1"/>
      <c r="J573" s="1"/>
      <c r="K573" s="1"/>
      <c r="L573" s="1"/>
      <c r="M573" s="1"/>
      <c r="N573" s="1"/>
      <c r="O573" s="1"/>
      <c r="P573" s="1"/>
      <c r="Q573" s="1"/>
      <c r="R573" s="1"/>
      <c r="S573" s="1"/>
      <c r="T573" s="1"/>
      <c r="U573" s="1"/>
      <c r="V573" s="1"/>
      <c r="W573" s="1"/>
      <c r="X573" s="1"/>
      <c r="Y573" s="1"/>
      <c r="Z573" s="1"/>
    </row>
    <row r="574" ht="10.5" customHeight="1">
      <c r="A574" s="1"/>
      <c r="B574" s="92"/>
      <c r="C574" s="503"/>
      <c r="D574" s="503"/>
      <c r="E574" s="503"/>
      <c r="F574" s="503"/>
      <c r="G574" s="817"/>
      <c r="H574" s="612"/>
      <c r="I574" s="1"/>
      <c r="J574" s="1"/>
      <c r="K574" s="1"/>
      <c r="L574" s="1"/>
      <c r="M574" s="1"/>
      <c r="N574" s="1"/>
      <c r="O574" s="1"/>
      <c r="P574" s="1"/>
      <c r="Q574" s="1"/>
      <c r="R574" s="1"/>
      <c r="S574" s="1"/>
      <c r="T574" s="1"/>
      <c r="U574" s="1"/>
      <c r="V574" s="1"/>
      <c r="W574" s="1"/>
      <c r="X574" s="1"/>
      <c r="Y574" s="1"/>
      <c r="Z574" s="1"/>
    </row>
    <row r="575" ht="10.5" customHeight="1">
      <c r="A575" s="1"/>
      <c r="B575" s="92"/>
      <c r="C575" s="503"/>
      <c r="D575" s="503"/>
      <c r="E575" s="503"/>
      <c r="F575" s="503"/>
      <c r="G575" s="817"/>
      <c r="H575" s="612"/>
      <c r="I575" s="1"/>
      <c r="J575" s="1"/>
      <c r="K575" s="1"/>
      <c r="L575" s="1"/>
      <c r="M575" s="1"/>
      <c r="N575" s="1"/>
      <c r="O575" s="1"/>
      <c r="P575" s="1"/>
      <c r="Q575" s="1"/>
      <c r="R575" s="1"/>
      <c r="S575" s="1"/>
      <c r="T575" s="1"/>
      <c r="U575" s="1"/>
      <c r="V575" s="1"/>
      <c r="W575" s="1"/>
      <c r="X575" s="1"/>
      <c r="Y575" s="1"/>
      <c r="Z575" s="1"/>
    </row>
    <row r="576" ht="10.5" customHeight="1">
      <c r="A576" s="1"/>
      <c r="B576" s="92"/>
      <c r="C576" s="503"/>
      <c r="D576" s="503"/>
      <c r="E576" s="503"/>
      <c r="F576" s="503"/>
      <c r="G576" s="817"/>
      <c r="H576" s="612"/>
      <c r="I576" s="1"/>
      <c r="J576" s="1"/>
      <c r="K576" s="1"/>
      <c r="L576" s="1"/>
      <c r="M576" s="1"/>
      <c r="N576" s="1"/>
      <c r="O576" s="1"/>
      <c r="P576" s="1"/>
      <c r="Q576" s="1"/>
      <c r="R576" s="1"/>
      <c r="S576" s="1"/>
      <c r="T576" s="1"/>
      <c r="U576" s="1"/>
      <c r="V576" s="1"/>
      <c r="W576" s="1"/>
      <c r="X576" s="1"/>
      <c r="Y576" s="1"/>
      <c r="Z576" s="1"/>
    </row>
    <row r="577" ht="10.5" customHeight="1">
      <c r="A577" s="1"/>
      <c r="B577" s="92"/>
      <c r="C577" s="503"/>
      <c r="D577" s="503"/>
      <c r="E577" s="503"/>
      <c r="F577" s="503"/>
      <c r="G577" s="817"/>
      <c r="H577" s="612"/>
      <c r="I577" s="1"/>
      <c r="J577" s="1"/>
      <c r="K577" s="1"/>
      <c r="L577" s="1"/>
      <c r="M577" s="1"/>
      <c r="N577" s="1"/>
      <c r="O577" s="1"/>
      <c r="P577" s="1"/>
      <c r="Q577" s="1"/>
      <c r="R577" s="1"/>
      <c r="S577" s="1"/>
      <c r="T577" s="1"/>
      <c r="U577" s="1"/>
      <c r="V577" s="1"/>
      <c r="W577" s="1"/>
      <c r="X577" s="1"/>
      <c r="Y577" s="1"/>
      <c r="Z577" s="1"/>
    </row>
    <row r="578" ht="10.5" customHeight="1">
      <c r="A578" s="1"/>
      <c r="B578" s="92"/>
      <c r="C578" s="503"/>
      <c r="D578" s="503"/>
      <c r="E578" s="503"/>
      <c r="F578" s="503"/>
      <c r="G578" s="817"/>
      <c r="H578" s="612"/>
      <c r="I578" s="1"/>
      <c r="J578" s="1"/>
      <c r="K578" s="1"/>
      <c r="L578" s="1"/>
      <c r="M578" s="1"/>
      <c r="N578" s="1"/>
      <c r="O578" s="1"/>
      <c r="P578" s="1"/>
      <c r="Q578" s="1"/>
      <c r="R578" s="1"/>
      <c r="S578" s="1"/>
      <c r="T578" s="1"/>
      <c r="U578" s="1"/>
      <c r="V578" s="1"/>
      <c r="W578" s="1"/>
      <c r="X578" s="1"/>
      <c r="Y578" s="1"/>
      <c r="Z578" s="1"/>
    </row>
    <row r="579" ht="10.5" customHeight="1">
      <c r="A579" s="1"/>
      <c r="B579" s="92"/>
      <c r="C579" s="503"/>
      <c r="D579" s="503"/>
      <c r="E579" s="503"/>
      <c r="F579" s="503"/>
      <c r="G579" s="817"/>
      <c r="H579" s="612"/>
      <c r="I579" s="1"/>
      <c r="J579" s="1"/>
      <c r="K579" s="1"/>
      <c r="L579" s="1"/>
      <c r="M579" s="1"/>
      <c r="N579" s="1"/>
      <c r="O579" s="1"/>
      <c r="P579" s="1"/>
      <c r="Q579" s="1"/>
      <c r="R579" s="1"/>
      <c r="S579" s="1"/>
      <c r="T579" s="1"/>
      <c r="U579" s="1"/>
      <c r="V579" s="1"/>
      <c r="W579" s="1"/>
      <c r="X579" s="1"/>
      <c r="Y579" s="1"/>
      <c r="Z579" s="1"/>
    </row>
    <row r="580" ht="10.5" customHeight="1">
      <c r="A580" s="1"/>
      <c r="B580" s="92"/>
      <c r="C580" s="503"/>
      <c r="D580" s="503"/>
      <c r="E580" s="503"/>
      <c r="F580" s="503"/>
      <c r="G580" s="817"/>
      <c r="H580" s="612"/>
      <c r="I580" s="1"/>
      <c r="J580" s="1"/>
      <c r="K580" s="1"/>
      <c r="L580" s="1"/>
      <c r="M580" s="1"/>
      <c r="N580" s="1"/>
      <c r="O580" s="1"/>
      <c r="P580" s="1"/>
      <c r="Q580" s="1"/>
      <c r="R580" s="1"/>
      <c r="S580" s="1"/>
      <c r="T580" s="1"/>
      <c r="U580" s="1"/>
      <c r="V580" s="1"/>
      <c r="W580" s="1"/>
      <c r="X580" s="1"/>
      <c r="Y580" s="1"/>
      <c r="Z580" s="1"/>
    </row>
    <row r="581" ht="10.5" customHeight="1">
      <c r="A581" s="1"/>
      <c r="B581" s="92"/>
      <c r="C581" s="503"/>
      <c r="D581" s="503"/>
      <c r="E581" s="503"/>
      <c r="F581" s="503"/>
      <c r="G581" s="817"/>
      <c r="H581" s="612"/>
      <c r="I581" s="1"/>
      <c r="J581" s="1"/>
      <c r="K581" s="1"/>
      <c r="L581" s="1"/>
      <c r="M581" s="1"/>
      <c r="N581" s="1"/>
      <c r="O581" s="1"/>
      <c r="P581" s="1"/>
      <c r="Q581" s="1"/>
      <c r="R581" s="1"/>
      <c r="S581" s="1"/>
      <c r="T581" s="1"/>
      <c r="U581" s="1"/>
      <c r="V581" s="1"/>
      <c r="W581" s="1"/>
      <c r="X581" s="1"/>
      <c r="Y581" s="1"/>
      <c r="Z581" s="1"/>
    </row>
    <row r="582" ht="10.5" customHeight="1">
      <c r="A582" s="1"/>
      <c r="B582" s="92"/>
      <c r="C582" s="503"/>
      <c r="D582" s="503"/>
      <c r="E582" s="503"/>
      <c r="F582" s="503"/>
      <c r="G582" s="817"/>
      <c r="H582" s="612"/>
      <c r="I582" s="1"/>
      <c r="J582" s="1"/>
      <c r="K582" s="1"/>
      <c r="L582" s="1"/>
      <c r="M582" s="1"/>
      <c r="N582" s="1"/>
      <c r="O582" s="1"/>
      <c r="P582" s="1"/>
      <c r="Q582" s="1"/>
      <c r="R582" s="1"/>
      <c r="S582" s="1"/>
      <c r="T582" s="1"/>
      <c r="U582" s="1"/>
      <c r="V582" s="1"/>
      <c r="W582" s="1"/>
      <c r="X582" s="1"/>
      <c r="Y582" s="1"/>
      <c r="Z582" s="1"/>
    </row>
    <row r="583" ht="10.5" customHeight="1">
      <c r="A583" s="1"/>
      <c r="B583" s="92"/>
      <c r="C583" s="503"/>
      <c r="D583" s="503"/>
      <c r="E583" s="503"/>
      <c r="F583" s="503"/>
      <c r="G583" s="817"/>
      <c r="H583" s="612"/>
      <c r="I583" s="1"/>
      <c r="J583" s="1"/>
      <c r="K583" s="1"/>
      <c r="L583" s="1"/>
      <c r="M583" s="1"/>
      <c r="N583" s="1"/>
      <c r="O583" s="1"/>
      <c r="P583" s="1"/>
      <c r="Q583" s="1"/>
      <c r="R583" s="1"/>
      <c r="S583" s="1"/>
      <c r="T583" s="1"/>
      <c r="U583" s="1"/>
      <c r="V583" s="1"/>
      <c r="W583" s="1"/>
      <c r="X583" s="1"/>
      <c r="Y583" s="1"/>
      <c r="Z583" s="1"/>
    </row>
    <row r="584" ht="10.5" customHeight="1">
      <c r="A584" s="1"/>
      <c r="B584" s="92"/>
      <c r="C584" s="503"/>
      <c r="D584" s="503"/>
      <c r="E584" s="503"/>
      <c r="F584" s="503"/>
      <c r="G584" s="817"/>
      <c r="H584" s="612"/>
      <c r="I584" s="1"/>
      <c r="J584" s="1"/>
      <c r="K584" s="1"/>
      <c r="L584" s="1"/>
      <c r="M584" s="1"/>
      <c r="N584" s="1"/>
      <c r="O584" s="1"/>
      <c r="P584" s="1"/>
      <c r="Q584" s="1"/>
      <c r="R584" s="1"/>
      <c r="S584" s="1"/>
      <c r="T584" s="1"/>
      <c r="U584" s="1"/>
      <c r="V584" s="1"/>
      <c r="W584" s="1"/>
      <c r="X584" s="1"/>
      <c r="Y584" s="1"/>
      <c r="Z584" s="1"/>
    </row>
    <row r="585" ht="10.5" customHeight="1">
      <c r="A585" s="1"/>
      <c r="B585" s="92"/>
      <c r="C585" s="503"/>
      <c r="D585" s="503"/>
      <c r="E585" s="503"/>
      <c r="F585" s="503"/>
      <c r="G585" s="817"/>
      <c r="H585" s="612"/>
      <c r="I585" s="1"/>
      <c r="J585" s="1"/>
      <c r="K585" s="1"/>
      <c r="L585" s="1"/>
      <c r="M585" s="1"/>
      <c r="N585" s="1"/>
      <c r="O585" s="1"/>
      <c r="P585" s="1"/>
      <c r="Q585" s="1"/>
      <c r="R585" s="1"/>
      <c r="S585" s="1"/>
      <c r="T585" s="1"/>
      <c r="U585" s="1"/>
      <c r="V585" s="1"/>
      <c r="W585" s="1"/>
      <c r="X585" s="1"/>
      <c r="Y585" s="1"/>
      <c r="Z585" s="1"/>
    </row>
    <row r="586" ht="10.5" customHeight="1">
      <c r="A586" s="1"/>
      <c r="B586" s="92"/>
      <c r="C586" s="503"/>
      <c r="D586" s="503"/>
      <c r="E586" s="503"/>
      <c r="F586" s="503"/>
      <c r="G586" s="817"/>
      <c r="H586" s="612"/>
      <c r="I586" s="1"/>
      <c r="J586" s="1"/>
      <c r="K586" s="1"/>
      <c r="L586" s="1"/>
      <c r="M586" s="1"/>
      <c r="N586" s="1"/>
      <c r="O586" s="1"/>
      <c r="P586" s="1"/>
      <c r="Q586" s="1"/>
      <c r="R586" s="1"/>
      <c r="S586" s="1"/>
      <c r="T586" s="1"/>
      <c r="U586" s="1"/>
      <c r="V586" s="1"/>
      <c r="W586" s="1"/>
      <c r="X586" s="1"/>
      <c r="Y586" s="1"/>
      <c r="Z586" s="1"/>
    </row>
    <row r="587" ht="10.5" customHeight="1">
      <c r="A587" s="1"/>
      <c r="B587" s="92"/>
      <c r="C587" s="503"/>
      <c r="D587" s="503"/>
      <c r="E587" s="503"/>
      <c r="F587" s="503"/>
      <c r="G587" s="817"/>
      <c r="H587" s="612"/>
      <c r="I587" s="1"/>
      <c r="J587" s="1"/>
      <c r="K587" s="1"/>
      <c r="L587" s="1"/>
      <c r="M587" s="1"/>
      <c r="N587" s="1"/>
      <c r="O587" s="1"/>
      <c r="P587" s="1"/>
      <c r="Q587" s="1"/>
      <c r="R587" s="1"/>
      <c r="S587" s="1"/>
      <c r="T587" s="1"/>
      <c r="U587" s="1"/>
      <c r="V587" s="1"/>
      <c r="W587" s="1"/>
      <c r="X587" s="1"/>
      <c r="Y587" s="1"/>
      <c r="Z587" s="1"/>
    </row>
    <row r="588" ht="10.5" customHeight="1">
      <c r="A588" s="1"/>
      <c r="B588" s="92"/>
      <c r="C588" s="503"/>
      <c r="D588" s="503"/>
      <c r="E588" s="503"/>
      <c r="F588" s="503"/>
      <c r="G588" s="817"/>
      <c r="H588" s="612"/>
      <c r="I588" s="1"/>
      <c r="J588" s="1"/>
      <c r="K588" s="1"/>
      <c r="L588" s="1"/>
      <c r="M588" s="1"/>
      <c r="N588" s="1"/>
      <c r="O588" s="1"/>
      <c r="P588" s="1"/>
      <c r="Q588" s="1"/>
      <c r="R588" s="1"/>
      <c r="S588" s="1"/>
      <c r="T588" s="1"/>
      <c r="U588" s="1"/>
      <c r="V588" s="1"/>
      <c r="W588" s="1"/>
      <c r="X588" s="1"/>
      <c r="Y588" s="1"/>
      <c r="Z588" s="1"/>
    </row>
    <row r="589" ht="10.5" customHeight="1">
      <c r="A589" s="1"/>
      <c r="B589" s="1"/>
      <c r="C589" s="612"/>
      <c r="D589" s="612"/>
      <c r="E589" s="612"/>
      <c r="F589" s="612"/>
      <c r="G589" s="817"/>
      <c r="H589" s="110">
        <v>96.0</v>
      </c>
      <c r="I589" s="1"/>
      <c r="J589" s="1"/>
      <c r="K589" s="1"/>
      <c r="L589" s="1"/>
      <c r="M589" s="1"/>
      <c r="N589" s="1"/>
      <c r="O589" s="1"/>
      <c r="P589" s="1"/>
      <c r="Q589" s="1"/>
      <c r="R589" s="1"/>
      <c r="S589" s="1"/>
      <c r="T589" s="1"/>
      <c r="U589" s="1"/>
      <c r="V589" s="1"/>
      <c r="W589" s="1"/>
      <c r="X589" s="1"/>
      <c r="Y589" s="1"/>
      <c r="Z589" s="1"/>
    </row>
    <row r="590" ht="10.5" customHeight="1">
      <c r="A590" s="1"/>
      <c r="B590" s="1"/>
      <c r="C590" s="612"/>
      <c r="D590" s="612"/>
      <c r="E590" s="612"/>
      <c r="F590" s="612"/>
      <c r="G590" s="817"/>
      <c r="H590" s="110"/>
      <c r="I590" s="1"/>
      <c r="J590" s="1"/>
      <c r="K590" s="1"/>
      <c r="L590" s="1"/>
      <c r="M590" s="1"/>
      <c r="N590" s="1"/>
      <c r="O590" s="1"/>
      <c r="P590" s="1"/>
      <c r="Q590" s="1"/>
      <c r="R590" s="1"/>
      <c r="S590" s="1"/>
      <c r="T590" s="1"/>
      <c r="U590" s="1"/>
      <c r="V590" s="1"/>
      <c r="W590" s="1"/>
      <c r="X590" s="1"/>
      <c r="Y590" s="1"/>
      <c r="Z590" s="1"/>
    </row>
    <row r="591" ht="10.5" customHeight="1">
      <c r="A591" s="1"/>
      <c r="B591" s="1"/>
      <c r="C591" s="612"/>
      <c r="D591" s="612"/>
      <c r="E591" s="612"/>
      <c r="F591" s="612"/>
      <c r="G591" s="612"/>
      <c r="H591" s="612"/>
      <c r="I591" s="1"/>
      <c r="J591" s="1"/>
      <c r="K591" s="1"/>
      <c r="L591" s="1"/>
      <c r="M591" s="1"/>
      <c r="N591" s="1"/>
      <c r="O591" s="1"/>
      <c r="P591" s="1"/>
      <c r="Q591" s="1"/>
      <c r="R591" s="1"/>
      <c r="S591" s="1"/>
      <c r="T591" s="1"/>
      <c r="U591" s="1"/>
      <c r="V591" s="1"/>
      <c r="W591" s="1"/>
      <c r="X591" s="1"/>
      <c r="Y591" s="1"/>
      <c r="Z591" s="1"/>
    </row>
    <row r="592" ht="11.25" customHeight="1">
      <c r="A592" s="1"/>
      <c r="B592" s="1" t="s">
        <v>1855</v>
      </c>
      <c r="C592" s="612"/>
      <c r="D592" s="612"/>
      <c r="E592" s="612"/>
      <c r="F592" s="612"/>
      <c r="G592" s="612"/>
      <c r="H592" s="612"/>
      <c r="I592" s="1"/>
      <c r="J592" s="1"/>
      <c r="K592" s="1"/>
      <c r="L592" s="1"/>
      <c r="M592" s="1"/>
      <c r="N592" s="1"/>
      <c r="O592" s="1"/>
      <c r="P592" s="1"/>
      <c r="Q592" s="1"/>
      <c r="R592" s="1"/>
      <c r="S592" s="1"/>
      <c r="T592" s="1"/>
      <c r="U592" s="1"/>
      <c r="V592" s="1"/>
      <c r="W592" s="1"/>
      <c r="X592" s="1"/>
      <c r="Y592" s="1"/>
      <c r="Z592" s="1"/>
    </row>
    <row r="593" ht="35.25" customHeight="1">
      <c r="A593" s="1"/>
      <c r="B593" s="189" t="s">
        <v>1</v>
      </c>
      <c r="C593" s="1057" t="s">
        <v>1856</v>
      </c>
      <c r="D593" s="1057" t="s">
        <v>1857</v>
      </c>
      <c r="E593" s="1057" t="s">
        <v>1791</v>
      </c>
      <c r="F593" s="1057" t="s">
        <v>1858</v>
      </c>
      <c r="G593" s="1057" t="s">
        <v>1859</v>
      </c>
      <c r="H593" s="1057" t="s">
        <v>1592</v>
      </c>
      <c r="I593" s="1"/>
      <c r="J593" s="1"/>
      <c r="K593" s="1"/>
      <c r="L593" s="1"/>
      <c r="M593" s="1"/>
      <c r="N593" s="1"/>
      <c r="O593" s="1"/>
      <c r="P593" s="1"/>
      <c r="Q593" s="1"/>
      <c r="R593" s="1"/>
      <c r="S593" s="1"/>
      <c r="T593" s="1"/>
      <c r="U593" s="1"/>
      <c r="V593" s="1"/>
      <c r="W593" s="1"/>
      <c r="X593" s="1"/>
      <c r="Y593" s="1"/>
      <c r="Z593" s="1"/>
    </row>
    <row r="594" ht="11.25" customHeight="1">
      <c r="A594" s="1"/>
      <c r="B594" s="6"/>
      <c r="C594" s="1058" t="s">
        <v>54</v>
      </c>
      <c r="D594" s="9"/>
      <c r="E594" s="9"/>
      <c r="F594" s="9"/>
      <c r="G594" s="9"/>
      <c r="H594" s="10"/>
      <c r="I594" s="1"/>
      <c r="J594" s="1"/>
      <c r="K594" s="1"/>
      <c r="L594" s="1"/>
      <c r="M594" s="1"/>
      <c r="N594" s="1"/>
      <c r="O594" s="1"/>
      <c r="P594" s="1"/>
      <c r="Q594" s="1"/>
      <c r="R594" s="1"/>
      <c r="S594" s="1"/>
      <c r="T594" s="1"/>
      <c r="U594" s="1"/>
      <c r="V594" s="1"/>
      <c r="W594" s="1"/>
      <c r="X594" s="1"/>
      <c r="Y594" s="1"/>
      <c r="Z594" s="1"/>
    </row>
    <row r="595" ht="10.5" customHeight="1">
      <c r="A595" s="1"/>
      <c r="B595" s="238">
        <v>1980.0</v>
      </c>
      <c r="C595" s="366">
        <v>6.0</v>
      </c>
      <c r="D595" s="366">
        <v>4.1</v>
      </c>
      <c r="E595" s="366">
        <v>3.9</v>
      </c>
      <c r="F595" s="366">
        <v>4.3</v>
      </c>
      <c r="G595" s="366">
        <v>4.2</v>
      </c>
      <c r="H595" s="366">
        <v>3.7</v>
      </c>
      <c r="I595" s="612"/>
      <c r="J595" s="1"/>
      <c r="K595" s="1"/>
      <c r="L595" s="1"/>
      <c r="M595" s="1"/>
      <c r="N595" s="1"/>
      <c r="O595" s="1"/>
      <c r="P595" s="1"/>
      <c r="Q595" s="1"/>
      <c r="R595" s="1"/>
      <c r="S595" s="1"/>
      <c r="T595" s="1"/>
      <c r="U595" s="1"/>
      <c r="V595" s="1"/>
      <c r="W595" s="1"/>
      <c r="X595" s="1"/>
      <c r="Y595" s="1"/>
      <c r="Z595" s="1"/>
    </row>
    <row r="596" ht="10.5" customHeight="1">
      <c r="A596" s="1"/>
      <c r="B596" s="238">
        <v>1981.0</v>
      </c>
      <c r="C596" s="366">
        <v>6.9</v>
      </c>
      <c r="D596" s="366">
        <v>5.1</v>
      </c>
      <c r="E596" s="366">
        <v>5.3</v>
      </c>
      <c r="F596" s="366">
        <v>5.1</v>
      </c>
      <c r="G596" s="366">
        <v>4.7</v>
      </c>
      <c r="H596" s="366">
        <v>4.2</v>
      </c>
      <c r="I596" s="612"/>
      <c r="J596" s="1"/>
      <c r="K596" s="1"/>
      <c r="L596" s="1"/>
      <c r="M596" s="1"/>
      <c r="N596" s="1"/>
      <c r="O596" s="1"/>
      <c r="P596" s="1"/>
      <c r="Q596" s="1"/>
      <c r="R596" s="1"/>
      <c r="S596" s="1"/>
      <c r="T596" s="1"/>
      <c r="U596" s="1"/>
      <c r="V596" s="1"/>
      <c r="W596" s="1"/>
      <c r="X596" s="1"/>
      <c r="Y596" s="1"/>
      <c r="Z596" s="1"/>
    </row>
    <row r="597" ht="10.5" customHeight="1">
      <c r="A597" s="1"/>
      <c r="B597" s="238">
        <v>1982.0</v>
      </c>
      <c r="C597" s="366">
        <v>8.0</v>
      </c>
      <c r="D597" s="366">
        <v>5.6</v>
      </c>
      <c r="E597" s="366">
        <v>5.6</v>
      </c>
      <c r="F597" s="366">
        <v>6.2</v>
      </c>
      <c r="G597" s="366">
        <v>5.7</v>
      </c>
      <c r="H597" s="366">
        <v>4.8</v>
      </c>
      <c r="I597" s="612"/>
      <c r="J597" s="1"/>
      <c r="K597" s="1"/>
      <c r="L597" s="1"/>
      <c r="M597" s="1"/>
      <c r="N597" s="1"/>
      <c r="O597" s="1"/>
      <c r="P597" s="1"/>
      <c r="Q597" s="1"/>
      <c r="R597" s="1"/>
      <c r="S597" s="1"/>
      <c r="T597" s="1"/>
      <c r="U597" s="1"/>
      <c r="V597" s="1"/>
      <c r="W597" s="1"/>
      <c r="X597" s="1"/>
      <c r="Y597" s="1"/>
      <c r="Z597" s="1"/>
    </row>
    <row r="598" ht="10.5" customHeight="1">
      <c r="A598" s="1"/>
      <c r="B598" s="238">
        <v>1983.0</v>
      </c>
      <c r="C598" s="366">
        <v>8.9</v>
      </c>
      <c r="D598" s="366">
        <v>6.3</v>
      </c>
      <c r="E598" s="366">
        <v>5.8</v>
      </c>
      <c r="F598" s="366">
        <v>7.2</v>
      </c>
      <c r="G598" s="366">
        <v>6.5</v>
      </c>
      <c r="H598" s="366">
        <v>6.1</v>
      </c>
      <c r="I598" s="612"/>
      <c r="J598" s="1"/>
      <c r="K598" s="1"/>
      <c r="L598" s="1"/>
      <c r="M598" s="1"/>
      <c r="N598" s="1"/>
      <c r="O598" s="1"/>
      <c r="P598" s="1"/>
      <c r="Q598" s="1"/>
      <c r="R598" s="1"/>
      <c r="S598" s="1"/>
      <c r="T598" s="1"/>
      <c r="U598" s="1"/>
      <c r="V598" s="1"/>
      <c r="W598" s="1"/>
      <c r="X598" s="1"/>
      <c r="Y598" s="1"/>
      <c r="Z598" s="1"/>
    </row>
    <row r="599" ht="10.5" customHeight="1">
      <c r="A599" s="1"/>
      <c r="B599" s="238">
        <v>1984.0</v>
      </c>
      <c r="C599" s="366">
        <v>10.0</v>
      </c>
      <c r="D599" s="366">
        <v>7.0</v>
      </c>
      <c r="E599" s="366">
        <v>6.4</v>
      </c>
      <c r="F599" s="366">
        <v>8.2</v>
      </c>
      <c r="G599" s="366">
        <v>7.1</v>
      </c>
      <c r="H599" s="366">
        <v>6.0</v>
      </c>
      <c r="I599" s="612"/>
      <c r="J599" s="1"/>
      <c r="K599" s="1"/>
      <c r="L599" s="1"/>
      <c r="M599" s="1"/>
      <c r="N599" s="1"/>
      <c r="O599" s="1"/>
      <c r="P599" s="1"/>
      <c r="Q599" s="1"/>
      <c r="R599" s="1"/>
      <c r="S599" s="1"/>
      <c r="T599" s="1"/>
      <c r="U599" s="1"/>
      <c r="V599" s="1"/>
      <c r="W599" s="1"/>
      <c r="X599" s="1"/>
      <c r="Y599" s="1"/>
      <c r="Z599" s="1"/>
    </row>
    <row r="600" ht="10.5" customHeight="1">
      <c r="A600" s="1"/>
      <c r="B600" s="238"/>
      <c r="C600" s="366"/>
      <c r="D600" s="366"/>
      <c r="E600" s="366"/>
      <c r="F600" s="366"/>
      <c r="G600" s="366"/>
      <c r="H600" s="366"/>
      <c r="I600" s="612"/>
      <c r="J600" s="1"/>
      <c r="K600" s="1"/>
      <c r="L600" s="1"/>
      <c r="M600" s="1"/>
      <c r="N600" s="1"/>
      <c r="O600" s="1"/>
      <c r="P600" s="1"/>
      <c r="Q600" s="1"/>
      <c r="R600" s="1"/>
      <c r="S600" s="1"/>
      <c r="T600" s="1"/>
      <c r="U600" s="1"/>
      <c r="V600" s="1"/>
      <c r="W600" s="1"/>
      <c r="X600" s="1"/>
      <c r="Y600" s="1"/>
      <c r="Z600" s="1"/>
    </row>
    <row r="601" ht="10.5" customHeight="1">
      <c r="A601" s="1"/>
      <c r="B601" s="238">
        <v>1985.0</v>
      </c>
      <c r="C601" s="366">
        <v>11.7</v>
      </c>
      <c r="D601" s="366">
        <v>7.9</v>
      </c>
      <c r="E601" s="366">
        <v>7.1</v>
      </c>
      <c r="F601" s="366">
        <v>9.6</v>
      </c>
      <c r="G601" s="366">
        <v>7.8</v>
      </c>
      <c r="H601" s="366">
        <v>6.1</v>
      </c>
      <c r="I601" s="612"/>
      <c r="J601" s="1"/>
      <c r="K601" s="1"/>
      <c r="L601" s="1"/>
      <c r="M601" s="1"/>
      <c r="N601" s="1"/>
      <c r="O601" s="1"/>
      <c r="P601" s="1"/>
      <c r="Q601" s="1"/>
      <c r="R601" s="1"/>
      <c r="S601" s="1"/>
      <c r="T601" s="1"/>
      <c r="U601" s="1"/>
      <c r="V601" s="1"/>
      <c r="W601" s="1"/>
      <c r="X601" s="1"/>
      <c r="Y601" s="1"/>
      <c r="Z601" s="1"/>
    </row>
    <row r="602" ht="10.5" customHeight="1">
      <c r="A602" s="1"/>
      <c r="B602" s="238">
        <v>1986.0</v>
      </c>
      <c r="C602" s="366">
        <v>13.8</v>
      </c>
      <c r="D602" s="366">
        <v>9.5</v>
      </c>
      <c r="E602" s="366">
        <v>9.1</v>
      </c>
      <c r="F602" s="366">
        <v>11.0</v>
      </c>
      <c r="G602" s="366">
        <v>9.1</v>
      </c>
      <c r="H602" s="366">
        <v>6.9</v>
      </c>
      <c r="I602" s="612"/>
      <c r="J602" s="1"/>
      <c r="K602" s="1"/>
      <c r="L602" s="1"/>
      <c r="M602" s="1"/>
      <c r="N602" s="1"/>
      <c r="O602" s="1"/>
      <c r="P602" s="1"/>
      <c r="Q602" s="1"/>
      <c r="R602" s="1"/>
      <c r="S602" s="1"/>
      <c r="T602" s="1"/>
      <c r="U602" s="1"/>
      <c r="V602" s="1"/>
      <c r="W602" s="1"/>
      <c r="X602" s="1"/>
      <c r="Y602" s="1"/>
      <c r="Z602" s="1"/>
    </row>
    <row r="603" ht="10.5" customHeight="1">
      <c r="A603" s="1"/>
      <c r="B603" s="238">
        <v>1987.0</v>
      </c>
      <c r="C603" s="366">
        <v>16.0</v>
      </c>
      <c r="D603" s="366">
        <v>11.6</v>
      </c>
      <c r="E603" s="366">
        <v>11.9</v>
      </c>
      <c r="F603" s="366">
        <v>12.4</v>
      </c>
      <c r="G603" s="366">
        <v>10.9</v>
      </c>
      <c r="H603" s="366">
        <v>8.9</v>
      </c>
      <c r="I603" s="612"/>
      <c r="J603" s="1"/>
      <c r="K603" s="1"/>
      <c r="L603" s="1"/>
      <c r="M603" s="1"/>
      <c r="N603" s="1"/>
      <c r="O603" s="1"/>
      <c r="P603" s="1"/>
      <c r="Q603" s="1"/>
      <c r="R603" s="1"/>
      <c r="S603" s="1"/>
      <c r="T603" s="1"/>
      <c r="U603" s="1"/>
      <c r="V603" s="1"/>
      <c r="W603" s="1"/>
      <c r="X603" s="1"/>
      <c r="Y603" s="1"/>
      <c r="Z603" s="1"/>
    </row>
    <row r="604" ht="10.5" customHeight="1">
      <c r="A604" s="1"/>
      <c r="B604" s="238">
        <v>1988.0</v>
      </c>
      <c r="C604" s="366">
        <v>18.2</v>
      </c>
      <c r="D604" s="366">
        <v>13.4</v>
      </c>
      <c r="E604" s="366">
        <v>14.6</v>
      </c>
      <c r="F604" s="366">
        <v>13.9</v>
      </c>
      <c r="G604" s="366">
        <v>12.3</v>
      </c>
      <c r="H604" s="366">
        <v>10.1</v>
      </c>
      <c r="I604" s="612"/>
      <c r="J604" s="1"/>
      <c r="K604" s="1"/>
      <c r="L604" s="1"/>
      <c r="M604" s="1"/>
      <c r="N604" s="1"/>
      <c r="O604" s="1"/>
      <c r="P604" s="1"/>
      <c r="Q604" s="1"/>
      <c r="R604" s="1"/>
      <c r="S604" s="1"/>
      <c r="T604" s="1"/>
      <c r="U604" s="1"/>
      <c r="V604" s="1"/>
      <c r="W604" s="1"/>
      <c r="X604" s="1"/>
      <c r="Y604" s="1"/>
      <c r="Z604" s="1"/>
    </row>
    <row r="605" ht="10.5" customHeight="1">
      <c r="A605" s="1"/>
      <c r="B605" s="238">
        <v>1989.0</v>
      </c>
      <c r="C605" s="366">
        <v>20.7</v>
      </c>
      <c r="D605" s="366">
        <v>14.9</v>
      </c>
      <c r="E605" s="366">
        <v>16.0</v>
      </c>
      <c r="F605" s="366">
        <v>15.7</v>
      </c>
      <c r="G605" s="366">
        <v>14.1</v>
      </c>
      <c r="H605" s="366">
        <v>10.5</v>
      </c>
      <c r="I605" s="612"/>
      <c r="J605" s="1"/>
      <c r="K605" s="1"/>
      <c r="L605" s="1"/>
      <c r="M605" s="1"/>
      <c r="N605" s="1"/>
      <c r="O605" s="1"/>
      <c r="P605" s="1"/>
      <c r="Q605" s="1"/>
      <c r="R605" s="1"/>
      <c r="S605" s="1"/>
      <c r="T605" s="1"/>
      <c r="U605" s="1"/>
      <c r="V605" s="1"/>
      <c r="W605" s="1"/>
      <c r="X605" s="1"/>
      <c r="Y605" s="1"/>
      <c r="Z605" s="1"/>
    </row>
    <row r="606" ht="10.5" customHeight="1">
      <c r="A606" s="1"/>
      <c r="B606" s="238"/>
      <c r="C606" s="366"/>
      <c r="D606" s="366"/>
      <c r="E606" s="366"/>
      <c r="F606" s="366"/>
      <c r="G606" s="366"/>
      <c r="H606" s="366"/>
      <c r="I606" s="612"/>
      <c r="J606" s="1"/>
      <c r="K606" s="1"/>
      <c r="L606" s="1"/>
      <c r="M606" s="1"/>
      <c r="N606" s="1"/>
      <c r="O606" s="1"/>
      <c r="P606" s="1"/>
      <c r="Q606" s="1"/>
      <c r="R606" s="1"/>
      <c r="S606" s="1"/>
      <c r="T606" s="1"/>
      <c r="U606" s="1"/>
      <c r="V606" s="1"/>
      <c r="W606" s="1"/>
      <c r="X606" s="1"/>
      <c r="Y606" s="1"/>
      <c r="Z606" s="1"/>
    </row>
    <row r="607" ht="10.5" customHeight="1">
      <c r="A607" s="1"/>
      <c r="B607" s="238">
        <v>1990.0</v>
      </c>
      <c r="C607" s="366">
        <v>23.7</v>
      </c>
      <c r="D607" s="366">
        <v>17.3</v>
      </c>
      <c r="E607" s="366">
        <v>17.5</v>
      </c>
      <c r="F607" s="366">
        <v>18.3</v>
      </c>
      <c r="G607" s="366">
        <v>17.0</v>
      </c>
      <c r="H607" s="366">
        <v>13.8</v>
      </c>
      <c r="I607" s="612"/>
      <c r="J607" s="1"/>
      <c r="K607" s="1"/>
      <c r="L607" s="1"/>
      <c r="M607" s="1"/>
      <c r="N607" s="1"/>
      <c r="O607" s="1"/>
      <c r="P607" s="1"/>
      <c r="Q607" s="1"/>
      <c r="R607" s="1"/>
      <c r="S607" s="1"/>
      <c r="T607" s="1"/>
      <c r="U607" s="1"/>
      <c r="V607" s="1"/>
      <c r="W607" s="1"/>
      <c r="X607" s="1"/>
      <c r="Y607" s="1"/>
      <c r="Z607" s="1"/>
    </row>
    <row r="608" ht="10.5" customHeight="1">
      <c r="A608" s="1"/>
      <c r="B608" s="238">
        <v>1991.0</v>
      </c>
      <c r="C608" s="366">
        <v>27.3</v>
      </c>
      <c r="D608" s="366">
        <v>20.7</v>
      </c>
      <c r="E608" s="366">
        <v>20.9</v>
      </c>
      <c r="F608" s="366">
        <v>21.6</v>
      </c>
      <c r="G608" s="366">
        <v>20.1</v>
      </c>
      <c r="H608" s="366">
        <v>16.0</v>
      </c>
      <c r="I608" s="612"/>
      <c r="J608" s="1"/>
      <c r="K608" s="1"/>
      <c r="L608" s="1"/>
      <c r="M608" s="1"/>
      <c r="N608" s="1"/>
      <c r="O608" s="1"/>
      <c r="P608" s="1"/>
      <c r="Q608" s="1"/>
      <c r="R608" s="1"/>
      <c r="S608" s="1"/>
      <c r="T608" s="1"/>
      <c r="U608" s="1"/>
      <c r="V608" s="1"/>
      <c r="W608" s="1"/>
      <c r="X608" s="1"/>
      <c r="Y608" s="1"/>
      <c r="Z608" s="1"/>
    </row>
    <row r="609" ht="10.5" customHeight="1">
      <c r="A609" s="1"/>
      <c r="B609" s="238">
        <v>1992.0</v>
      </c>
      <c r="C609" s="366">
        <v>31.0</v>
      </c>
      <c r="D609" s="366">
        <v>25.9</v>
      </c>
      <c r="E609" s="366">
        <v>25.3</v>
      </c>
      <c r="F609" s="366">
        <v>25.5</v>
      </c>
      <c r="G609" s="366">
        <v>24.4</v>
      </c>
      <c r="H609" s="366">
        <v>25.7</v>
      </c>
      <c r="I609" s="612"/>
      <c r="J609" s="1"/>
      <c r="K609" s="1"/>
      <c r="L609" s="1"/>
      <c r="M609" s="1"/>
      <c r="N609" s="1"/>
      <c r="O609" s="1"/>
      <c r="P609" s="1"/>
      <c r="Q609" s="1"/>
      <c r="R609" s="1"/>
      <c r="S609" s="1"/>
      <c r="T609" s="1"/>
      <c r="U609" s="1"/>
      <c r="V609" s="1"/>
      <c r="W609" s="1"/>
      <c r="X609" s="1"/>
      <c r="Y609" s="1"/>
      <c r="Z609" s="1"/>
    </row>
    <row r="610" ht="10.5" customHeight="1">
      <c r="A610" s="1"/>
      <c r="B610" s="238">
        <v>1993.0</v>
      </c>
      <c r="C610" s="366">
        <v>34.2</v>
      </c>
      <c r="D610" s="366">
        <v>27.6</v>
      </c>
      <c r="E610" s="366">
        <v>27.4</v>
      </c>
      <c r="F610" s="366">
        <v>28.3</v>
      </c>
      <c r="G610" s="366">
        <v>28.1</v>
      </c>
      <c r="H610" s="366">
        <v>23.6</v>
      </c>
      <c r="I610" s="612"/>
      <c r="J610" s="1"/>
      <c r="K610" s="1"/>
      <c r="L610" s="1"/>
      <c r="M610" s="1"/>
      <c r="N610" s="1"/>
      <c r="O610" s="1"/>
      <c r="P610" s="1"/>
      <c r="Q610" s="1"/>
      <c r="R610" s="1"/>
      <c r="S610" s="1"/>
      <c r="T610" s="1"/>
      <c r="U610" s="1"/>
      <c r="V610" s="1"/>
      <c r="W610" s="1"/>
      <c r="X610" s="1"/>
      <c r="Y610" s="1"/>
      <c r="Z610" s="1"/>
    </row>
    <row r="611" ht="10.5" customHeight="1">
      <c r="A611" s="1"/>
      <c r="B611" s="238">
        <v>1994.0</v>
      </c>
      <c r="C611" s="366">
        <v>37.2</v>
      </c>
      <c r="D611" s="366">
        <v>31.5</v>
      </c>
      <c r="E611" s="366">
        <v>33.8</v>
      </c>
      <c r="F611" s="366">
        <v>30.7</v>
      </c>
      <c r="G611" s="366">
        <v>27.5</v>
      </c>
      <c r="H611" s="366">
        <v>28.0</v>
      </c>
      <c r="I611" s="612"/>
      <c r="J611" s="1"/>
      <c r="K611" s="1"/>
      <c r="L611" s="1"/>
      <c r="M611" s="1"/>
      <c r="N611" s="1"/>
      <c r="O611" s="1"/>
      <c r="P611" s="1"/>
      <c r="Q611" s="1"/>
      <c r="R611" s="1"/>
      <c r="S611" s="1"/>
      <c r="T611" s="1"/>
      <c r="U611" s="1"/>
      <c r="V611" s="1"/>
      <c r="W611" s="1"/>
      <c r="X611" s="1"/>
      <c r="Y611" s="1"/>
      <c r="Z611" s="1"/>
    </row>
    <row r="612" ht="10.5" customHeight="1">
      <c r="A612" s="1"/>
      <c r="B612" s="238"/>
      <c r="C612" s="366"/>
      <c r="D612" s="366"/>
      <c r="E612" s="366"/>
      <c r="F612" s="366"/>
      <c r="G612" s="366"/>
      <c r="H612" s="366"/>
      <c r="I612" s="612"/>
      <c r="J612" s="1"/>
      <c r="K612" s="1"/>
      <c r="L612" s="1"/>
      <c r="M612" s="1"/>
      <c r="N612" s="1"/>
      <c r="O612" s="1"/>
      <c r="P612" s="1"/>
      <c r="Q612" s="1"/>
      <c r="R612" s="1"/>
      <c r="S612" s="1"/>
      <c r="T612" s="1"/>
      <c r="U612" s="1"/>
      <c r="V612" s="1"/>
      <c r="W612" s="1"/>
      <c r="X612" s="1"/>
      <c r="Y612" s="1"/>
      <c r="Z612" s="1"/>
    </row>
    <row r="613" ht="10.5" customHeight="1">
      <c r="A613" s="1"/>
      <c r="B613" s="238">
        <v>1995.0</v>
      </c>
      <c r="C613" s="366">
        <v>40.4</v>
      </c>
      <c r="D613" s="366">
        <v>34.1</v>
      </c>
      <c r="E613" s="366">
        <v>37.2</v>
      </c>
      <c r="F613" s="366">
        <v>32.7</v>
      </c>
      <c r="G613" s="366">
        <v>29.4</v>
      </c>
      <c r="H613" s="366">
        <v>29.2</v>
      </c>
      <c r="I613" s="612"/>
      <c r="J613" s="1"/>
      <c r="K613" s="1"/>
      <c r="L613" s="1"/>
      <c r="M613" s="1"/>
      <c r="N613" s="1"/>
      <c r="O613" s="1"/>
      <c r="P613" s="1"/>
      <c r="Q613" s="1"/>
      <c r="R613" s="1"/>
      <c r="S613" s="1"/>
      <c r="T613" s="1"/>
      <c r="U613" s="1"/>
      <c r="V613" s="1"/>
      <c r="W613" s="1"/>
      <c r="X613" s="1"/>
      <c r="Y613" s="1"/>
      <c r="Z613" s="1"/>
    </row>
    <row r="614" ht="10.5" customHeight="1">
      <c r="A614" s="1"/>
      <c r="B614" s="238">
        <v>1996.0</v>
      </c>
      <c r="C614" s="366">
        <v>43.4</v>
      </c>
      <c r="D614" s="366">
        <v>36.2</v>
      </c>
      <c r="E614" s="366">
        <v>37.6</v>
      </c>
      <c r="F614" s="366">
        <v>36.7</v>
      </c>
      <c r="G614" s="366">
        <v>31.7</v>
      </c>
      <c r="H614" s="366">
        <v>31.9</v>
      </c>
      <c r="I614" s="612"/>
      <c r="J614" s="1"/>
      <c r="K614" s="1"/>
      <c r="L614" s="1"/>
      <c r="M614" s="1"/>
      <c r="N614" s="1"/>
      <c r="O614" s="1"/>
      <c r="P614" s="1"/>
      <c r="Q614" s="1"/>
      <c r="R614" s="1"/>
      <c r="S614" s="1"/>
      <c r="T614" s="1"/>
      <c r="U614" s="1"/>
      <c r="V614" s="1"/>
      <c r="W614" s="1"/>
      <c r="X614" s="1"/>
      <c r="Y614" s="1"/>
      <c r="Z614" s="1"/>
    </row>
    <row r="615" ht="10.5" customHeight="1">
      <c r="A615" s="1"/>
      <c r="B615" s="238">
        <v>1997.0</v>
      </c>
      <c r="C615" s="366">
        <v>47.1</v>
      </c>
      <c r="D615" s="366">
        <v>39.7</v>
      </c>
      <c r="E615" s="366">
        <v>42.0</v>
      </c>
      <c r="F615" s="366">
        <v>39.4</v>
      </c>
      <c r="G615" s="366">
        <v>35.8</v>
      </c>
      <c r="H615" s="366">
        <v>36.1</v>
      </c>
      <c r="I615" s="612"/>
      <c r="J615" s="1"/>
      <c r="K615" s="1"/>
      <c r="L615" s="1"/>
      <c r="M615" s="1"/>
      <c r="N615" s="1"/>
      <c r="O615" s="1"/>
      <c r="P615" s="1"/>
      <c r="Q615" s="1"/>
      <c r="R615" s="1"/>
      <c r="S615" s="1"/>
      <c r="T615" s="1"/>
      <c r="U615" s="1"/>
      <c r="V615" s="1"/>
      <c r="W615" s="1"/>
      <c r="X615" s="1"/>
      <c r="Y615" s="1"/>
      <c r="Z615" s="1"/>
    </row>
    <row r="616" ht="10.5" customHeight="1">
      <c r="A616" s="1"/>
      <c r="B616" s="238">
        <v>1998.0</v>
      </c>
      <c r="C616" s="366">
        <v>50.4</v>
      </c>
      <c r="D616" s="366">
        <v>42.2</v>
      </c>
      <c r="E616" s="366">
        <v>43.2</v>
      </c>
      <c r="F616" s="366">
        <v>42.1</v>
      </c>
      <c r="G616" s="366">
        <v>38.1</v>
      </c>
      <c r="H616" s="366">
        <v>39.0</v>
      </c>
      <c r="I616" s="612"/>
      <c r="J616" s="1"/>
      <c r="K616" s="1"/>
      <c r="L616" s="1"/>
      <c r="M616" s="1"/>
      <c r="N616" s="1"/>
      <c r="O616" s="1"/>
      <c r="P616" s="1"/>
      <c r="Q616" s="1"/>
      <c r="R616" s="1"/>
      <c r="S616" s="1"/>
      <c r="T616" s="1"/>
      <c r="U616" s="1"/>
      <c r="V616" s="1"/>
      <c r="W616" s="1"/>
      <c r="X616" s="1"/>
      <c r="Y616" s="1"/>
      <c r="Z616" s="1"/>
    </row>
    <row r="617" ht="10.5" customHeight="1">
      <c r="A617" s="1"/>
      <c r="B617" s="238">
        <v>1999.0</v>
      </c>
      <c r="C617" s="366">
        <v>53.0</v>
      </c>
      <c r="D617" s="366">
        <v>44.1</v>
      </c>
      <c r="E617" s="366">
        <v>44.0</v>
      </c>
      <c r="F617" s="366">
        <v>44.5</v>
      </c>
      <c r="G617" s="366">
        <v>39.7</v>
      </c>
      <c r="H617" s="366">
        <v>39.5</v>
      </c>
      <c r="I617" s="612"/>
      <c r="J617" s="1"/>
      <c r="K617" s="1"/>
      <c r="L617" s="1"/>
      <c r="M617" s="1"/>
      <c r="N617" s="1"/>
      <c r="O617" s="1"/>
      <c r="P617" s="1"/>
      <c r="Q617" s="1"/>
      <c r="R617" s="1"/>
      <c r="S617" s="1"/>
      <c r="T617" s="1"/>
      <c r="U617" s="1"/>
      <c r="V617" s="1"/>
      <c r="W617" s="1"/>
      <c r="X617" s="1"/>
      <c r="Y617" s="1"/>
      <c r="Z617" s="1"/>
    </row>
    <row r="618" ht="10.5" customHeight="1">
      <c r="A618" s="1"/>
      <c r="B618" s="238"/>
      <c r="C618" s="366"/>
      <c r="D618" s="366"/>
      <c r="E618" s="366"/>
      <c r="F618" s="366"/>
      <c r="G618" s="366"/>
      <c r="H618" s="366"/>
      <c r="I618" s="612"/>
      <c r="J618" s="1"/>
      <c r="K618" s="1"/>
      <c r="L618" s="1"/>
      <c r="M618" s="1"/>
      <c r="N618" s="1"/>
      <c r="O618" s="1"/>
      <c r="P618" s="1"/>
      <c r="Q618" s="1"/>
      <c r="R618" s="1"/>
      <c r="S618" s="1"/>
      <c r="T618" s="1"/>
      <c r="U618" s="1"/>
      <c r="V618" s="1"/>
      <c r="W618" s="1"/>
      <c r="X618" s="1"/>
      <c r="Y618" s="1"/>
      <c r="Z618" s="1"/>
    </row>
    <row r="619" ht="10.5" customHeight="1">
      <c r="A619" s="1"/>
      <c r="B619" s="238">
        <v>2000.0</v>
      </c>
      <c r="C619" s="366">
        <v>55.8</v>
      </c>
      <c r="D619" s="366">
        <v>47.6</v>
      </c>
      <c r="E619" s="366">
        <v>47.6</v>
      </c>
      <c r="F619" s="366">
        <v>46.9</v>
      </c>
      <c r="G619" s="366">
        <v>42.1</v>
      </c>
      <c r="H619" s="366">
        <v>46.5</v>
      </c>
      <c r="I619" s="612"/>
      <c r="J619" s="1"/>
      <c r="K619" s="1"/>
      <c r="L619" s="1"/>
      <c r="M619" s="1"/>
      <c r="N619" s="1"/>
      <c r="O619" s="1"/>
      <c r="P619" s="1"/>
      <c r="Q619" s="1"/>
      <c r="R619" s="1"/>
      <c r="S619" s="1"/>
      <c r="T619" s="1"/>
      <c r="U619" s="1"/>
      <c r="V619" s="1"/>
      <c r="W619" s="1"/>
      <c r="X619" s="1"/>
      <c r="Y619" s="1"/>
      <c r="Z619" s="1"/>
    </row>
    <row r="620" ht="10.5" customHeight="1">
      <c r="A620" s="1"/>
      <c r="B620" s="238">
        <v>2001.0</v>
      </c>
      <c r="C620" s="366">
        <v>59.0</v>
      </c>
      <c r="D620" s="366">
        <v>50.2</v>
      </c>
      <c r="E620" s="366">
        <v>50.7</v>
      </c>
      <c r="F620" s="366">
        <v>48.7</v>
      </c>
      <c r="G620" s="366">
        <v>46.8</v>
      </c>
      <c r="H620" s="366">
        <v>45.8</v>
      </c>
      <c r="I620" s="612"/>
      <c r="J620" s="1"/>
      <c r="K620" s="1"/>
      <c r="L620" s="1"/>
      <c r="M620" s="1"/>
      <c r="N620" s="1"/>
      <c r="O620" s="1"/>
      <c r="P620" s="1"/>
      <c r="Q620" s="1"/>
      <c r="R620" s="1"/>
      <c r="S620" s="1"/>
      <c r="T620" s="1"/>
      <c r="U620" s="1"/>
      <c r="V620" s="1"/>
      <c r="W620" s="1"/>
      <c r="X620" s="1"/>
      <c r="Y620" s="1"/>
      <c r="Z620" s="1"/>
    </row>
    <row r="621" ht="10.5" customHeight="1">
      <c r="A621" s="1"/>
      <c r="B621" s="238">
        <v>2002.0</v>
      </c>
      <c r="C621" s="366">
        <v>64.4</v>
      </c>
      <c r="D621" s="366">
        <v>58.1</v>
      </c>
      <c r="E621" s="366">
        <v>59.7</v>
      </c>
      <c r="F621" s="366">
        <v>57.1</v>
      </c>
      <c r="G621" s="366">
        <v>54.3</v>
      </c>
      <c r="H621" s="366">
        <v>55.4</v>
      </c>
      <c r="I621" s="612"/>
      <c r="J621" s="1"/>
      <c r="K621" s="1"/>
      <c r="L621" s="1"/>
      <c r="M621" s="1"/>
      <c r="N621" s="1"/>
      <c r="O621" s="1"/>
      <c r="P621" s="1"/>
      <c r="Q621" s="1"/>
      <c r="R621" s="1"/>
      <c r="S621" s="1"/>
      <c r="T621" s="1"/>
      <c r="U621" s="1"/>
      <c r="V621" s="1"/>
      <c r="W621" s="1"/>
      <c r="X621" s="1"/>
      <c r="Y621" s="1"/>
      <c r="Z621" s="1"/>
    </row>
    <row r="622" ht="10.5" customHeight="1">
      <c r="A622" s="1"/>
      <c r="B622" s="238">
        <v>2003.0</v>
      </c>
      <c r="C622" s="585">
        <v>68.2</v>
      </c>
      <c r="D622" s="585">
        <v>62.8</v>
      </c>
      <c r="E622" s="585">
        <v>63.2</v>
      </c>
      <c r="F622" s="585">
        <v>61.5</v>
      </c>
      <c r="G622" s="585">
        <v>60.4</v>
      </c>
      <c r="H622" s="585">
        <v>60.1</v>
      </c>
      <c r="I622" s="612"/>
      <c r="J622" s="1"/>
      <c r="K622" s="1"/>
      <c r="L622" s="1"/>
      <c r="M622" s="1"/>
      <c r="N622" s="1"/>
      <c r="O622" s="1"/>
      <c r="P622" s="1"/>
      <c r="Q622" s="1"/>
      <c r="R622" s="1"/>
      <c r="S622" s="1"/>
      <c r="T622" s="1"/>
      <c r="U622" s="1"/>
      <c r="V622" s="1"/>
      <c r="W622" s="1"/>
      <c r="X622" s="1"/>
      <c r="Y622" s="1"/>
      <c r="Z622" s="1"/>
    </row>
    <row r="623" ht="10.5" customHeight="1">
      <c r="A623" s="1"/>
      <c r="B623" s="238">
        <v>2004.0</v>
      </c>
      <c r="C623" s="585">
        <v>69.1</v>
      </c>
      <c r="D623" s="585">
        <v>64.2</v>
      </c>
      <c r="E623" s="585">
        <v>64.7</v>
      </c>
      <c r="F623" s="585">
        <v>61.2</v>
      </c>
      <c r="G623" s="585">
        <v>61.9</v>
      </c>
      <c r="H623" s="585">
        <v>61.7</v>
      </c>
      <c r="I623" s="612"/>
      <c r="J623" s="1"/>
      <c r="K623" s="1"/>
      <c r="L623" s="1"/>
      <c r="M623" s="1"/>
      <c r="N623" s="1"/>
      <c r="O623" s="1"/>
      <c r="P623" s="1"/>
      <c r="Q623" s="1"/>
      <c r="R623" s="1"/>
      <c r="S623" s="1"/>
      <c r="T623" s="1"/>
      <c r="U623" s="1"/>
      <c r="V623" s="1"/>
      <c r="W623" s="1"/>
      <c r="X623" s="1"/>
      <c r="Y623" s="1"/>
      <c r="Z623" s="1"/>
    </row>
    <row r="624" ht="10.5" customHeight="1">
      <c r="A624" s="1"/>
      <c r="B624" s="238"/>
      <c r="C624" s="585"/>
      <c r="D624" s="585"/>
      <c r="E624" s="585"/>
      <c r="F624" s="585"/>
      <c r="G624" s="585"/>
      <c r="H624" s="585"/>
      <c r="I624" s="612"/>
      <c r="J624" s="1"/>
      <c r="K624" s="1"/>
      <c r="L624" s="1"/>
      <c r="M624" s="1"/>
      <c r="N624" s="1"/>
      <c r="O624" s="1"/>
      <c r="P624" s="1"/>
      <c r="Q624" s="1"/>
      <c r="R624" s="1"/>
      <c r="S624" s="1"/>
      <c r="T624" s="1"/>
      <c r="U624" s="1"/>
      <c r="V624" s="1"/>
      <c r="W624" s="1"/>
      <c r="X624" s="1"/>
      <c r="Y624" s="1"/>
      <c r="Z624" s="1"/>
    </row>
    <row r="625" ht="10.5" customHeight="1">
      <c r="A625" s="1"/>
      <c r="B625" s="238">
        <v>2005.0</v>
      </c>
      <c r="C625" s="585">
        <v>71.5</v>
      </c>
      <c r="D625" s="585">
        <v>65.7</v>
      </c>
      <c r="E625" s="585">
        <v>67.1</v>
      </c>
      <c r="F625" s="585">
        <v>61.3</v>
      </c>
      <c r="G625" s="585">
        <v>63.3</v>
      </c>
      <c r="H625" s="585">
        <v>63.4</v>
      </c>
      <c r="I625" s="612"/>
      <c r="J625" s="1"/>
      <c r="K625" s="1"/>
      <c r="L625" s="1"/>
      <c r="M625" s="1"/>
      <c r="N625" s="1"/>
      <c r="O625" s="1"/>
      <c r="P625" s="1"/>
      <c r="Q625" s="1"/>
      <c r="R625" s="1"/>
      <c r="S625" s="1"/>
      <c r="T625" s="1"/>
      <c r="U625" s="1"/>
      <c r="V625" s="1"/>
      <c r="W625" s="1"/>
      <c r="X625" s="1"/>
      <c r="Y625" s="1"/>
      <c r="Z625" s="1"/>
    </row>
    <row r="626" ht="10.5" customHeight="1">
      <c r="A626" s="1"/>
      <c r="B626" s="238">
        <v>2006.0</v>
      </c>
      <c r="C626" s="585">
        <v>74.8</v>
      </c>
      <c r="D626" s="585">
        <v>70.4</v>
      </c>
      <c r="E626" s="585">
        <v>77.4</v>
      </c>
      <c r="F626" s="585">
        <v>64.0</v>
      </c>
      <c r="G626" s="585">
        <v>66.8</v>
      </c>
      <c r="H626" s="585">
        <v>68.0</v>
      </c>
      <c r="I626" s="612"/>
      <c r="J626" s="1"/>
      <c r="K626" s="1"/>
      <c r="L626" s="1"/>
      <c r="M626" s="1"/>
      <c r="N626" s="1"/>
      <c r="O626" s="1"/>
      <c r="P626" s="1"/>
      <c r="Q626" s="1"/>
      <c r="R626" s="1"/>
      <c r="S626" s="1"/>
      <c r="T626" s="1"/>
      <c r="U626" s="1"/>
      <c r="V626" s="1"/>
      <c r="W626" s="1"/>
      <c r="X626" s="1"/>
      <c r="Y626" s="1"/>
      <c r="Z626" s="1"/>
    </row>
    <row r="627" ht="10.5" customHeight="1">
      <c r="A627" s="1"/>
      <c r="B627" s="238">
        <v>2007.0</v>
      </c>
      <c r="C627" s="585">
        <v>80.1</v>
      </c>
      <c r="D627" s="585">
        <v>77.7</v>
      </c>
      <c r="E627" s="585">
        <v>85.3</v>
      </c>
      <c r="F627" s="585">
        <v>72.5</v>
      </c>
      <c r="G627" s="585">
        <v>74.0</v>
      </c>
      <c r="H627" s="585">
        <v>76.3</v>
      </c>
      <c r="I627" s="612"/>
      <c r="J627" s="1"/>
      <c r="K627" s="1"/>
      <c r="L627" s="1"/>
      <c r="M627" s="1"/>
      <c r="N627" s="1"/>
      <c r="O627" s="1"/>
      <c r="P627" s="1"/>
      <c r="Q627" s="1"/>
      <c r="R627" s="1"/>
      <c r="S627" s="1"/>
      <c r="T627" s="1"/>
      <c r="U627" s="1"/>
      <c r="V627" s="1"/>
      <c r="W627" s="1"/>
      <c r="X627" s="1"/>
      <c r="Y627" s="1"/>
      <c r="Z627" s="1"/>
    </row>
    <row r="628" ht="10.5" customHeight="1">
      <c r="A628" s="1"/>
      <c r="B628" s="238">
        <v>2008.0</v>
      </c>
      <c r="C628" s="585">
        <v>89.3</v>
      </c>
      <c r="D628" s="585">
        <v>90.8</v>
      </c>
      <c r="E628" s="585">
        <v>93.1</v>
      </c>
      <c r="F628" s="585">
        <v>94.9</v>
      </c>
      <c r="G628" s="585">
        <v>88.4</v>
      </c>
      <c r="H628" s="585">
        <v>84.9</v>
      </c>
      <c r="I628" s="612"/>
      <c r="J628" s="1"/>
      <c r="K628" s="1"/>
      <c r="L628" s="1"/>
      <c r="M628" s="1"/>
      <c r="N628" s="1"/>
      <c r="O628" s="1"/>
      <c r="P628" s="1"/>
      <c r="Q628" s="1"/>
      <c r="R628" s="1"/>
      <c r="S628" s="1"/>
      <c r="T628" s="1"/>
      <c r="U628" s="1"/>
      <c r="V628" s="1"/>
      <c r="W628" s="1"/>
      <c r="X628" s="1"/>
      <c r="Y628" s="1"/>
      <c r="Z628" s="1"/>
    </row>
    <row r="629" ht="10.5" customHeight="1">
      <c r="A629" s="1"/>
      <c r="B629" s="238">
        <v>2009.0</v>
      </c>
      <c r="C629" s="585">
        <v>95.9</v>
      </c>
      <c r="D629" s="585">
        <v>99.1</v>
      </c>
      <c r="E629" s="585">
        <v>99.5</v>
      </c>
      <c r="F629" s="585">
        <v>101.8</v>
      </c>
      <c r="G629" s="585">
        <v>98.2</v>
      </c>
      <c r="H629" s="585">
        <v>98.1</v>
      </c>
      <c r="I629" s="612"/>
      <c r="J629" s="1"/>
      <c r="K629" s="1"/>
      <c r="L629" s="1"/>
      <c r="M629" s="1"/>
      <c r="N629" s="1"/>
      <c r="O629" s="1"/>
      <c r="P629" s="1"/>
      <c r="Q629" s="1"/>
      <c r="R629" s="1"/>
      <c r="S629" s="1"/>
      <c r="T629" s="1"/>
      <c r="U629" s="1"/>
      <c r="V629" s="1"/>
      <c r="W629" s="1"/>
      <c r="X629" s="1"/>
      <c r="Y629" s="1"/>
      <c r="Z629" s="1"/>
    </row>
    <row r="630" ht="10.5" customHeight="1">
      <c r="A630" s="1"/>
      <c r="B630" s="238"/>
      <c r="C630" s="585"/>
      <c r="D630" s="585"/>
      <c r="E630" s="585"/>
      <c r="F630" s="585"/>
      <c r="G630" s="585"/>
      <c r="H630" s="585"/>
      <c r="I630" s="612"/>
      <c r="J630" s="1"/>
      <c r="K630" s="1"/>
      <c r="L630" s="1"/>
      <c r="M630" s="1"/>
      <c r="N630" s="1"/>
      <c r="O630" s="1"/>
      <c r="P630" s="1"/>
      <c r="Q630" s="1"/>
      <c r="R630" s="1"/>
      <c r="S630" s="1"/>
      <c r="T630" s="1"/>
      <c r="U630" s="1"/>
      <c r="V630" s="1"/>
      <c r="W630" s="1"/>
      <c r="X630" s="1"/>
      <c r="Y630" s="1"/>
      <c r="Z630" s="1"/>
    </row>
    <row r="631" ht="10.5" customHeight="1">
      <c r="A631" s="1"/>
      <c r="B631" s="129">
        <v>2010.0</v>
      </c>
      <c r="C631" s="585">
        <v>100.0</v>
      </c>
      <c r="D631" s="585">
        <v>100.0</v>
      </c>
      <c r="E631" s="585">
        <v>100.0</v>
      </c>
      <c r="F631" s="585">
        <v>100.0</v>
      </c>
      <c r="G631" s="585">
        <v>100.0</v>
      </c>
      <c r="H631" s="585">
        <v>100.0</v>
      </c>
      <c r="I631" s="612"/>
      <c r="J631" s="1"/>
      <c r="K631" s="1"/>
      <c r="L631" s="1"/>
      <c r="M631" s="1"/>
      <c r="N631" s="1"/>
      <c r="O631" s="1"/>
      <c r="P631" s="1"/>
      <c r="Q631" s="1"/>
      <c r="R631" s="1"/>
      <c r="S631" s="1"/>
      <c r="T631" s="1"/>
      <c r="U631" s="1"/>
      <c r="V631" s="1"/>
      <c r="W631" s="1"/>
      <c r="X631" s="1"/>
      <c r="Y631" s="1"/>
      <c r="Z631" s="1"/>
    </row>
    <row r="632" ht="10.5" customHeight="1">
      <c r="A632" s="1"/>
      <c r="B632" s="79">
        <v>2011.0</v>
      </c>
      <c r="C632" s="585">
        <v>105.0</v>
      </c>
      <c r="D632" s="585">
        <v>107.2</v>
      </c>
      <c r="E632" s="585">
        <v>110.5</v>
      </c>
      <c r="F632" s="585">
        <v>106.6</v>
      </c>
      <c r="G632" s="585">
        <v>101.0</v>
      </c>
      <c r="H632" s="585">
        <v>103.9</v>
      </c>
      <c r="I632" s="612"/>
      <c r="J632" s="1"/>
      <c r="K632" s="1"/>
      <c r="L632" s="1"/>
      <c r="M632" s="1"/>
      <c r="N632" s="1"/>
      <c r="O632" s="1"/>
      <c r="P632" s="1"/>
      <c r="Q632" s="1"/>
      <c r="R632" s="1"/>
      <c r="S632" s="1"/>
      <c r="T632" s="1"/>
      <c r="U632" s="1"/>
      <c r="V632" s="1"/>
      <c r="W632" s="1"/>
      <c r="X632" s="1"/>
      <c r="Y632" s="1"/>
      <c r="Z632" s="1"/>
    </row>
    <row r="633" ht="10.5" customHeight="1">
      <c r="A633" s="1"/>
      <c r="B633" s="79" t="s">
        <v>489</v>
      </c>
      <c r="C633" s="585">
        <v>110.9</v>
      </c>
      <c r="D633" s="585">
        <v>115.1</v>
      </c>
      <c r="E633" s="585">
        <v>118.9</v>
      </c>
      <c r="F633" s="585">
        <v>115.1</v>
      </c>
      <c r="G633" s="585">
        <v>109.1</v>
      </c>
      <c r="H633" s="585">
        <v>108.3</v>
      </c>
      <c r="I633" s="612"/>
      <c r="J633" s="1"/>
      <c r="K633" s="1"/>
      <c r="L633" s="1"/>
      <c r="M633" s="1"/>
      <c r="N633" s="1"/>
      <c r="O633" s="1"/>
      <c r="P633" s="1"/>
      <c r="Q633" s="1"/>
      <c r="R633" s="1"/>
      <c r="S633" s="1"/>
      <c r="T633" s="1"/>
      <c r="U633" s="1"/>
      <c r="V633" s="1"/>
      <c r="W633" s="1"/>
      <c r="X633" s="1"/>
      <c r="Y633" s="1"/>
      <c r="Z633" s="1"/>
    </row>
    <row r="634" ht="10.5" customHeight="1">
      <c r="A634" s="1"/>
      <c r="B634" s="79" t="s">
        <v>55</v>
      </c>
      <c r="C634" s="585">
        <v>117.3</v>
      </c>
      <c r="D634" s="585">
        <v>121.8</v>
      </c>
      <c r="E634" s="585">
        <v>122.7</v>
      </c>
      <c r="F634" s="585">
        <v>122.2</v>
      </c>
      <c r="G634" s="585">
        <v>117.3</v>
      </c>
      <c r="H634" s="585">
        <v>119.9</v>
      </c>
      <c r="I634" s="612"/>
      <c r="J634" s="1"/>
      <c r="K634" s="1"/>
      <c r="L634" s="1"/>
      <c r="M634" s="1"/>
      <c r="N634" s="1"/>
      <c r="O634" s="1"/>
      <c r="P634" s="1"/>
      <c r="Q634" s="1"/>
      <c r="R634" s="1"/>
      <c r="S634" s="1"/>
      <c r="T634" s="1"/>
      <c r="U634" s="1"/>
      <c r="V634" s="1"/>
      <c r="W634" s="1"/>
      <c r="X634" s="1"/>
      <c r="Y634" s="1"/>
      <c r="Z634" s="1"/>
    </row>
    <row r="635" ht="10.5" customHeight="1">
      <c r="A635" s="1"/>
      <c r="B635" s="79" t="s">
        <v>57</v>
      </c>
      <c r="C635" s="585">
        <v>124.5</v>
      </c>
      <c r="D635" s="585">
        <v>131.4</v>
      </c>
      <c r="E635" s="585">
        <v>131.8</v>
      </c>
      <c r="F635" s="585">
        <v>131.6</v>
      </c>
      <c r="G635" s="585">
        <v>129.5</v>
      </c>
      <c r="H635" s="585">
        <v>131.9</v>
      </c>
      <c r="I635" s="612"/>
      <c r="J635" s="1"/>
      <c r="K635" s="1"/>
      <c r="L635" s="1"/>
      <c r="M635" s="1"/>
      <c r="N635" s="1"/>
      <c r="O635" s="1"/>
      <c r="P635" s="1"/>
      <c r="Q635" s="1"/>
      <c r="R635" s="1"/>
      <c r="S635" s="1"/>
      <c r="T635" s="1"/>
      <c r="U635" s="1"/>
      <c r="V635" s="1"/>
      <c r="W635" s="1"/>
      <c r="X635" s="1"/>
      <c r="Y635" s="1"/>
      <c r="Z635" s="1"/>
    </row>
    <row r="636" ht="10.5" customHeight="1">
      <c r="A636" s="1"/>
      <c r="B636" s="79"/>
      <c r="C636" s="585"/>
      <c r="D636" s="585"/>
      <c r="E636" s="585"/>
      <c r="F636" s="585"/>
      <c r="G636" s="585"/>
      <c r="H636" s="585"/>
      <c r="I636" s="612"/>
      <c r="J636" s="1"/>
      <c r="K636" s="1"/>
      <c r="L636" s="1"/>
      <c r="M636" s="1"/>
      <c r="N636" s="1"/>
      <c r="O636" s="1"/>
      <c r="P636" s="1"/>
      <c r="Q636" s="1"/>
      <c r="R636" s="1"/>
      <c r="S636" s="1"/>
      <c r="T636" s="1"/>
      <c r="U636" s="1"/>
      <c r="V636" s="1"/>
      <c r="W636" s="1"/>
      <c r="X636" s="1"/>
      <c r="Y636" s="1"/>
      <c r="Z636" s="1"/>
    </row>
    <row r="637" ht="10.5" customHeight="1">
      <c r="A637" s="1"/>
      <c r="B637" s="79" t="s">
        <v>58</v>
      </c>
      <c r="C637" s="585">
        <v>130.2</v>
      </c>
      <c r="D637" s="585">
        <v>138.0</v>
      </c>
      <c r="E637" s="585">
        <v>139.5</v>
      </c>
      <c r="F637" s="585">
        <v>138.3</v>
      </c>
      <c r="G637" s="585">
        <v>137.4</v>
      </c>
      <c r="H637" s="585">
        <v>132.9</v>
      </c>
      <c r="I637" s="612"/>
      <c r="J637" s="1"/>
      <c r="K637" s="1"/>
      <c r="L637" s="1"/>
      <c r="M637" s="1"/>
      <c r="N637" s="1"/>
      <c r="O637" s="1"/>
      <c r="P637" s="1"/>
      <c r="Q637" s="1"/>
      <c r="R637" s="1"/>
      <c r="S637" s="1"/>
      <c r="T637" s="1"/>
      <c r="U637" s="1"/>
      <c r="V637" s="1"/>
      <c r="W637" s="1"/>
      <c r="X637" s="1"/>
      <c r="Y637" s="1"/>
      <c r="Z637" s="1"/>
    </row>
    <row r="638" ht="10.5" customHeight="1">
      <c r="A638" s="1"/>
      <c r="B638" s="79" t="s">
        <v>59</v>
      </c>
      <c r="C638" s="585">
        <v>138.3</v>
      </c>
      <c r="D638" s="585">
        <v>152.8</v>
      </c>
      <c r="E638" s="585">
        <v>147.6</v>
      </c>
      <c r="F638" s="585">
        <v>158.5</v>
      </c>
      <c r="G638" s="585">
        <v>147.6</v>
      </c>
      <c r="H638" s="585">
        <v>154.8</v>
      </c>
      <c r="I638" s="612"/>
      <c r="J638" s="1"/>
      <c r="K638" s="1"/>
      <c r="L638" s="1"/>
      <c r="M638" s="1"/>
      <c r="N638" s="1"/>
      <c r="O638" s="1"/>
      <c r="P638" s="1"/>
      <c r="Q638" s="1"/>
      <c r="R638" s="1"/>
      <c r="S638" s="1"/>
      <c r="T638" s="1"/>
      <c r="U638" s="1"/>
      <c r="V638" s="1"/>
      <c r="W638" s="1"/>
      <c r="X638" s="1"/>
      <c r="Y638" s="1"/>
      <c r="Z638" s="1"/>
    </row>
    <row r="639" ht="10.5" customHeight="1">
      <c r="A639" s="1"/>
      <c r="B639" s="52" t="s">
        <v>60</v>
      </c>
      <c r="C639" s="730">
        <v>145.6</v>
      </c>
      <c r="D639" s="730">
        <v>163.4</v>
      </c>
      <c r="E639" s="730">
        <v>166.5</v>
      </c>
      <c r="F639" s="730">
        <v>162.6</v>
      </c>
      <c r="G639" s="730">
        <v>155.7</v>
      </c>
      <c r="H639" s="730">
        <v>154.7</v>
      </c>
      <c r="I639" s="612"/>
      <c r="J639" s="1"/>
      <c r="K639" s="1"/>
      <c r="L639" s="1"/>
      <c r="M639" s="1"/>
      <c r="N639" s="1"/>
      <c r="O639" s="1"/>
      <c r="P639" s="1"/>
      <c r="Q639" s="1"/>
      <c r="R639" s="1"/>
      <c r="S639" s="1"/>
      <c r="T639" s="1"/>
      <c r="U639" s="1"/>
      <c r="V639" s="1"/>
      <c r="W639" s="1"/>
      <c r="X639" s="1"/>
      <c r="Y639" s="1"/>
      <c r="Z639" s="1"/>
    </row>
    <row r="640" ht="12.0" customHeight="1">
      <c r="A640" s="1"/>
      <c r="B640" s="60" t="s">
        <v>282</v>
      </c>
      <c r="C640" s="612"/>
      <c r="D640" s="612"/>
      <c r="E640" s="612"/>
      <c r="F640" s="612"/>
      <c r="G640" s="612"/>
      <c r="H640" s="612"/>
      <c r="I640" s="612"/>
      <c r="J640" s="1"/>
      <c r="K640" s="1"/>
      <c r="L640" s="1"/>
      <c r="M640" s="1"/>
      <c r="N640" s="1"/>
      <c r="O640" s="1"/>
      <c r="P640" s="1"/>
      <c r="Q640" s="1"/>
      <c r="R640" s="1"/>
      <c r="S640" s="1"/>
      <c r="T640" s="1"/>
      <c r="U640" s="1"/>
      <c r="V640" s="1"/>
      <c r="W640" s="1"/>
      <c r="X640" s="1"/>
      <c r="Y640" s="1"/>
      <c r="Z640" s="1"/>
    </row>
    <row r="641" ht="10.5" customHeight="1">
      <c r="A641" s="1"/>
      <c r="B641" s="1"/>
      <c r="C641" s="612"/>
      <c r="D641" s="612"/>
      <c r="E641" s="612"/>
      <c r="F641" s="612"/>
      <c r="G641" s="612"/>
      <c r="H641" s="612"/>
      <c r="I641" s="612"/>
      <c r="J641" s="1"/>
      <c r="K641" s="1"/>
      <c r="L641" s="1"/>
      <c r="M641" s="1"/>
      <c r="N641" s="1"/>
      <c r="O641" s="1"/>
      <c r="P641" s="1"/>
      <c r="Q641" s="1"/>
      <c r="R641" s="1"/>
      <c r="S641" s="1"/>
      <c r="T641" s="1"/>
      <c r="U641" s="1"/>
      <c r="V641" s="1"/>
      <c r="W641" s="1"/>
      <c r="X641" s="1"/>
      <c r="Y641" s="1"/>
      <c r="Z641" s="1"/>
    </row>
    <row r="642" ht="10.5" customHeight="1">
      <c r="A642" s="1"/>
      <c r="B642" s="1"/>
      <c r="C642" s="612"/>
      <c r="D642" s="612"/>
      <c r="E642" s="612"/>
      <c r="F642" s="612"/>
      <c r="G642" s="612"/>
      <c r="H642" s="612"/>
      <c r="I642" s="612"/>
      <c r="J642" s="1"/>
      <c r="K642" s="1"/>
      <c r="L642" s="1"/>
      <c r="M642" s="1"/>
      <c r="N642" s="1"/>
      <c r="O642" s="1"/>
      <c r="P642" s="1"/>
      <c r="Q642" s="1"/>
      <c r="R642" s="1"/>
      <c r="S642" s="1"/>
      <c r="T642" s="1"/>
      <c r="U642" s="1"/>
      <c r="V642" s="1"/>
      <c r="W642" s="1"/>
      <c r="X642" s="1"/>
      <c r="Y642" s="1"/>
      <c r="Z642" s="1"/>
    </row>
    <row r="643" ht="10.5" customHeight="1">
      <c r="A643" s="1"/>
      <c r="B643" s="1"/>
      <c r="C643" s="612"/>
      <c r="D643" s="612"/>
      <c r="E643" s="612"/>
      <c r="F643" s="612"/>
      <c r="G643" s="612"/>
      <c r="H643" s="612"/>
      <c r="I643" s="612"/>
      <c r="J643" s="1"/>
      <c r="K643" s="1"/>
      <c r="L643" s="1"/>
      <c r="M643" s="1"/>
      <c r="N643" s="1"/>
      <c r="O643" s="1"/>
      <c r="P643" s="1"/>
      <c r="Q643" s="1"/>
      <c r="R643" s="1"/>
      <c r="S643" s="1"/>
      <c r="T643" s="1"/>
      <c r="U643" s="1"/>
      <c r="V643" s="1"/>
      <c r="W643" s="1"/>
      <c r="X643" s="1"/>
      <c r="Y643" s="1"/>
      <c r="Z643" s="1"/>
    </row>
    <row r="644" ht="10.5" customHeight="1">
      <c r="A644" s="1"/>
      <c r="B644" s="1"/>
      <c r="C644" s="612"/>
      <c r="D644" s="612"/>
      <c r="E644" s="612"/>
      <c r="F644" s="612"/>
      <c r="G644" s="612"/>
      <c r="H644" s="612"/>
      <c r="I644" s="612"/>
      <c r="J644" s="1"/>
      <c r="K644" s="1"/>
      <c r="L644" s="1"/>
      <c r="M644" s="1"/>
      <c r="N644" s="1"/>
      <c r="O644" s="1"/>
      <c r="P644" s="1"/>
      <c r="Q644" s="1"/>
      <c r="R644" s="1"/>
      <c r="S644" s="1"/>
      <c r="T644" s="1"/>
      <c r="U644" s="1"/>
      <c r="V644" s="1"/>
      <c r="W644" s="1"/>
      <c r="X644" s="1"/>
      <c r="Y644" s="1"/>
      <c r="Z644" s="1"/>
    </row>
    <row r="645" ht="10.5" customHeight="1">
      <c r="A645" s="1"/>
      <c r="B645" s="1"/>
      <c r="C645" s="612"/>
      <c r="D645" s="612"/>
      <c r="E645" s="612"/>
      <c r="F645" s="612"/>
      <c r="G645" s="612"/>
      <c r="H645" s="612"/>
      <c r="I645" s="612"/>
      <c r="J645" s="1"/>
      <c r="K645" s="1"/>
      <c r="L645" s="1"/>
      <c r="M645" s="1"/>
      <c r="N645" s="1"/>
      <c r="O645" s="1"/>
      <c r="P645" s="1"/>
      <c r="Q645" s="1"/>
      <c r="R645" s="1"/>
      <c r="S645" s="1"/>
      <c r="T645" s="1"/>
      <c r="U645" s="1"/>
      <c r="V645" s="1"/>
      <c r="W645" s="1"/>
      <c r="X645" s="1"/>
      <c r="Y645" s="1"/>
      <c r="Z645" s="1"/>
    </row>
    <row r="646" ht="10.5" customHeight="1">
      <c r="A646" s="1"/>
      <c r="B646" s="1"/>
      <c r="C646" s="612"/>
      <c r="D646" s="612"/>
      <c r="E646" s="612"/>
      <c r="F646" s="612"/>
      <c r="G646" s="612"/>
      <c r="H646" s="612"/>
      <c r="I646" s="612"/>
      <c r="J646" s="1"/>
      <c r="K646" s="1"/>
      <c r="L646" s="1"/>
      <c r="M646" s="1"/>
      <c r="N646" s="1"/>
      <c r="O646" s="1"/>
      <c r="P646" s="1"/>
      <c r="Q646" s="1"/>
      <c r="R646" s="1"/>
      <c r="S646" s="1"/>
      <c r="T646" s="1"/>
      <c r="U646" s="1"/>
      <c r="V646" s="1"/>
      <c r="W646" s="1"/>
      <c r="X646" s="1"/>
      <c r="Y646" s="1"/>
      <c r="Z646" s="1"/>
    </row>
    <row r="647" ht="10.5" customHeight="1">
      <c r="A647" s="1"/>
      <c r="B647" s="1"/>
      <c r="C647" s="612"/>
      <c r="D647" s="612"/>
      <c r="E647" s="612"/>
      <c r="F647" s="612"/>
      <c r="G647" s="612"/>
      <c r="H647" s="612"/>
      <c r="I647" s="612"/>
      <c r="J647" s="1"/>
      <c r="K647" s="1"/>
      <c r="L647" s="1"/>
      <c r="M647" s="1"/>
      <c r="N647" s="1"/>
      <c r="O647" s="1"/>
      <c r="P647" s="1"/>
      <c r="Q647" s="1"/>
      <c r="R647" s="1"/>
      <c r="S647" s="1"/>
      <c r="T647" s="1"/>
      <c r="U647" s="1"/>
      <c r="V647" s="1"/>
      <c r="W647" s="1"/>
      <c r="X647" s="1"/>
      <c r="Y647" s="1"/>
      <c r="Z647" s="1"/>
    </row>
    <row r="648" ht="10.5" customHeight="1">
      <c r="A648" s="1"/>
      <c r="B648" s="1"/>
      <c r="C648" s="612"/>
      <c r="D648" s="612"/>
      <c r="E648" s="612"/>
      <c r="F648" s="612"/>
      <c r="G648" s="612"/>
      <c r="H648" s="612"/>
      <c r="I648" s="612"/>
      <c r="J648" s="1"/>
      <c r="K648" s="1"/>
      <c r="L648" s="1"/>
      <c r="M648" s="1"/>
      <c r="N648" s="1"/>
      <c r="O648" s="1"/>
      <c r="P648" s="1"/>
      <c r="Q648" s="1"/>
      <c r="R648" s="1"/>
      <c r="S648" s="1"/>
      <c r="T648" s="1"/>
      <c r="U648" s="1"/>
      <c r="V648" s="1"/>
      <c r="W648" s="1"/>
      <c r="X648" s="1"/>
      <c r="Y648" s="1"/>
      <c r="Z648" s="1"/>
    </row>
    <row r="649" ht="10.5" customHeight="1">
      <c r="A649" s="1"/>
      <c r="B649" s="1"/>
      <c r="C649" s="612"/>
      <c r="D649" s="612"/>
      <c r="E649" s="612"/>
      <c r="F649" s="612"/>
      <c r="G649" s="612"/>
      <c r="H649" s="612"/>
      <c r="I649" s="612"/>
      <c r="J649" s="1"/>
      <c r="K649" s="1"/>
      <c r="L649" s="1"/>
      <c r="M649" s="1"/>
      <c r="N649" s="1"/>
      <c r="O649" s="1"/>
      <c r="P649" s="1"/>
      <c r="Q649" s="1"/>
      <c r="R649" s="1"/>
      <c r="S649" s="1"/>
      <c r="T649" s="1"/>
      <c r="U649" s="1"/>
      <c r="V649" s="1"/>
      <c r="W649" s="1"/>
      <c r="X649" s="1"/>
      <c r="Y649" s="1"/>
      <c r="Z649" s="1"/>
    </row>
    <row r="650" ht="10.5" customHeight="1">
      <c r="A650" s="1"/>
      <c r="B650" s="1"/>
      <c r="C650" s="612"/>
      <c r="D650" s="612"/>
      <c r="E650" s="612"/>
      <c r="F650" s="612"/>
      <c r="G650" s="612"/>
      <c r="H650" s="612"/>
      <c r="I650" s="612"/>
      <c r="J650" s="1"/>
      <c r="K650" s="1"/>
      <c r="L650" s="1"/>
      <c r="M650" s="1"/>
      <c r="N650" s="1"/>
      <c r="O650" s="1"/>
      <c r="P650" s="1"/>
      <c r="Q650" s="1"/>
      <c r="R650" s="1"/>
      <c r="S650" s="1"/>
      <c r="T650" s="1"/>
      <c r="U650" s="1"/>
      <c r="V650" s="1"/>
      <c r="W650" s="1"/>
      <c r="X650" s="1"/>
      <c r="Y650" s="1"/>
      <c r="Z650" s="1"/>
    </row>
    <row r="651" ht="10.5" customHeight="1">
      <c r="A651" s="1"/>
      <c r="B651" s="1"/>
      <c r="C651" s="612"/>
      <c r="D651" s="612"/>
      <c r="E651" s="612"/>
      <c r="F651" s="612"/>
      <c r="G651" s="612"/>
      <c r="H651" s="612"/>
      <c r="I651" s="612"/>
      <c r="J651" s="1"/>
      <c r="K651" s="1"/>
      <c r="L651" s="1"/>
      <c r="M651" s="1"/>
      <c r="N651" s="1"/>
      <c r="O651" s="1"/>
      <c r="P651" s="1"/>
      <c r="Q651" s="1"/>
      <c r="R651" s="1"/>
      <c r="S651" s="1"/>
      <c r="T651" s="1"/>
      <c r="U651" s="1"/>
      <c r="V651" s="1"/>
      <c r="W651" s="1"/>
      <c r="X651" s="1"/>
      <c r="Y651" s="1"/>
      <c r="Z651" s="1"/>
    </row>
    <row r="652" ht="10.5" customHeight="1">
      <c r="A652" s="1"/>
      <c r="B652" s="1"/>
      <c r="C652" s="612"/>
      <c r="D652" s="612"/>
      <c r="E652" s="612"/>
      <c r="F652" s="612"/>
      <c r="G652" s="612"/>
      <c r="H652" s="612"/>
      <c r="I652" s="612"/>
      <c r="J652" s="1"/>
      <c r="K652" s="1"/>
      <c r="L652" s="1"/>
      <c r="M652" s="1"/>
      <c r="N652" s="1"/>
      <c r="O652" s="1"/>
      <c r="P652" s="1"/>
      <c r="Q652" s="1"/>
      <c r="R652" s="1"/>
      <c r="S652" s="1"/>
      <c r="T652" s="1"/>
      <c r="U652" s="1"/>
      <c r="V652" s="1"/>
      <c r="W652" s="1"/>
      <c r="X652" s="1"/>
      <c r="Y652" s="1"/>
      <c r="Z652" s="1"/>
    </row>
    <row r="653" ht="10.5" customHeight="1">
      <c r="A653" s="1"/>
      <c r="B653" s="1"/>
      <c r="C653" s="612"/>
      <c r="D653" s="612"/>
      <c r="E653" s="612"/>
      <c r="F653" s="612"/>
      <c r="G653" s="612"/>
      <c r="H653" s="612"/>
      <c r="I653" s="612"/>
      <c r="J653" s="1"/>
      <c r="K653" s="1"/>
      <c r="L653" s="1"/>
      <c r="M653" s="1"/>
      <c r="N653" s="1"/>
      <c r="O653" s="1"/>
      <c r="P653" s="1"/>
      <c r="Q653" s="1"/>
      <c r="R653" s="1"/>
      <c r="S653" s="1"/>
      <c r="T653" s="1"/>
      <c r="U653" s="1"/>
      <c r="V653" s="1"/>
      <c r="W653" s="1"/>
      <c r="X653" s="1"/>
      <c r="Y653" s="1"/>
      <c r="Z653" s="1"/>
    </row>
    <row r="654" ht="10.5" customHeight="1">
      <c r="A654" s="1"/>
      <c r="B654" s="1"/>
      <c r="C654" s="612"/>
      <c r="D654" s="612"/>
      <c r="E654" s="612"/>
      <c r="F654" s="612"/>
      <c r="G654" s="612"/>
      <c r="H654" s="612"/>
      <c r="I654" s="612"/>
      <c r="J654" s="1"/>
      <c r="K654" s="1"/>
      <c r="L654" s="1"/>
      <c r="M654" s="1"/>
      <c r="N654" s="1"/>
      <c r="O654" s="1"/>
      <c r="P654" s="1"/>
      <c r="Q654" s="1"/>
      <c r="R654" s="1"/>
      <c r="S654" s="1"/>
      <c r="T654" s="1"/>
      <c r="U654" s="1"/>
      <c r="V654" s="1"/>
      <c r="W654" s="1"/>
      <c r="X654" s="1"/>
      <c r="Y654" s="1"/>
      <c r="Z654" s="1"/>
    </row>
    <row r="655" ht="10.5" customHeight="1">
      <c r="A655" s="1"/>
      <c r="B655" s="1"/>
      <c r="C655" s="612"/>
      <c r="D655" s="612"/>
      <c r="E655" s="612"/>
      <c r="F655" s="612"/>
      <c r="G655" s="612"/>
      <c r="H655" s="612"/>
      <c r="I655" s="612"/>
      <c r="J655" s="1"/>
      <c r="K655" s="1"/>
      <c r="L655" s="1"/>
      <c r="M655" s="1"/>
      <c r="N655" s="1"/>
      <c r="O655" s="1"/>
      <c r="P655" s="1"/>
      <c r="Q655" s="1"/>
      <c r="R655" s="1"/>
      <c r="S655" s="1"/>
      <c r="T655" s="1"/>
      <c r="U655" s="1"/>
      <c r="V655" s="1"/>
      <c r="W655" s="1"/>
      <c r="X655" s="1"/>
      <c r="Y655" s="1"/>
      <c r="Z655" s="1"/>
    </row>
    <row r="656" ht="10.5" customHeight="1">
      <c r="A656" s="1"/>
      <c r="B656" s="1"/>
      <c r="C656" s="612"/>
      <c r="D656" s="612"/>
      <c r="E656" s="612"/>
      <c r="F656" s="612"/>
      <c r="G656" s="612"/>
      <c r="H656" s="612"/>
      <c r="I656" s="612"/>
      <c r="J656" s="1"/>
      <c r="K656" s="1"/>
      <c r="L656" s="1"/>
      <c r="M656" s="1"/>
      <c r="N656" s="1"/>
      <c r="O656" s="1"/>
      <c r="P656" s="1"/>
      <c r="Q656" s="1"/>
      <c r="R656" s="1"/>
      <c r="S656" s="1"/>
      <c r="T656" s="1"/>
      <c r="U656" s="1"/>
      <c r="V656" s="1"/>
      <c r="W656" s="1"/>
      <c r="X656" s="1"/>
      <c r="Y656" s="1"/>
      <c r="Z656" s="1"/>
    </row>
    <row r="657" ht="10.5" customHeight="1">
      <c r="A657" s="1"/>
      <c r="B657" s="1"/>
      <c r="C657" s="612"/>
      <c r="D657" s="612"/>
      <c r="E657" s="612"/>
      <c r="F657" s="612"/>
      <c r="G657" s="612"/>
      <c r="H657" s="612"/>
      <c r="I657" s="612"/>
      <c r="J657" s="1"/>
      <c r="K657" s="1"/>
      <c r="L657" s="1"/>
      <c r="M657" s="1"/>
      <c r="N657" s="1"/>
      <c r="O657" s="1"/>
      <c r="P657" s="1"/>
      <c r="Q657" s="1"/>
      <c r="R657" s="1"/>
      <c r="S657" s="1"/>
      <c r="T657" s="1"/>
      <c r="U657" s="1"/>
      <c r="V657" s="1"/>
      <c r="W657" s="1"/>
      <c r="X657" s="1"/>
      <c r="Y657" s="1"/>
      <c r="Z657" s="1"/>
    </row>
    <row r="658" ht="10.5" customHeight="1">
      <c r="A658" s="1"/>
      <c r="B658" s="1"/>
      <c r="C658" s="612"/>
      <c r="D658" s="612"/>
      <c r="E658" s="612"/>
      <c r="F658" s="612"/>
      <c r="G658" s="612"/>
      <c r="H658" s="612"/>
      <c r="I658" s="612"/>
      <c r="J658" s="1"/>
      <c r="K658" s="1"/>
      <c r="L658" s="1"/>
      <c r="M658" s="1"/>
      <c r="N658" s="1"/>
      <c r="O658" s="1"/>
      <c r="P658" s="1"/>
      <c r="Q658" s="1"/>
      <c r="R658" s="1"/>
      <c r="S658" s="1"/>
      <c r="T658" s="1"/>
      <c r="U658" s="1"/>
      <c r="V658" s="1"/>
      <c r="W658" s="1"/>
      <c r="X658" s="1"/>
      <c r="Y658" s="1"/>
      <c r="Z658" s="1"/>
    </row>
    <row r="659" ht="10.5" customHeight="1">
      <c r="A659" s="1"/>
      <c r="B659" s="1"/>
      <c r="C659" s="612"/>
      <c r="D659" s="612"/>
      <c r="E659" s="612"/>
      <c r="F659" s="612"/>
      <c r="G659" s="612"/>
      <c r="H659" s="110">
        <v>97.0</v>
      </c>
      <c r="I659" s="612"/>
      <c r="J659" s="1"/>
      <c r="K659" s="1"/>
      <c r="L659" s="1"/>
      <c r="M659" s="1"/>
      <c r="N659" s="1"/>
      <c r="O659" s="1"/>
      <c r="P659" s="1"/>
      <c r="Q659" s="1"/>
      <c r="R659" s="1"/>
      <c r="S659" s="1"/>
      <c r="T659" s="1"/>
      <c r="U659" s="1"/>
      <c r="V659" s="1"/>
      <c r="W659" s="1"/>
      <c r="X659" s="1"/>
      <c r="Y659" s="1"/>
      <c r="Z659" s="1"/>
    </row>
    <row r="660" ht="10.5" customHeight="1">
      <c r="A660" s="1"/>
      <c r="B660" s="1"/>
      <c r="C660" s="612"/>
      <c r="D660" s="612"/>
      <c r="E660" s="612"/>
      <c r="F660" s="612"/>
      <c r="G660" s="612"/>
      <c r="H660" s="110"/>
      <c r="I660" s="612"/>
      <c r="J660" s="1"/>
      <c r="K660" s="1"/>
      <c r="L660" s="1"/>
      <c r="M660" s="1"/>
      <c r="N660" s="1"/>
      <c r="O660" s="1"/>
      <c r="P660" s="1"/>
      <c r="Q660" s="1"/>
      <c r="R660" s="1"/>
      <c r="S660" s="1"/>
      <c r="T660" s="1"/>
      <c r="U660" s="1"/>
      <c r="V660" s="1"/>
      <c r="W660" s="1"/>
      <c r="X660" s="1"/>
      <c r="Y660" s="1"/>
      <c r="Z660" s="1"/>
    </row>
    <row r="661" ht="10.5" customHeight="1">
      <c r="A661" s="1"/>
      <c r="B661" s="1"/>
      <c r="C661" s="612"/>
      <c r="D661" s="612"/>
      <c r="E661" s="612"/>
      <c r="F661" s="612"/>
      <c r="G661" s="612"/>
      <c r="H661" s="110"/>
      <c r="I661" s="612"/>
      <c r="J661" s="1"/>
      <c r="K661" s="1"/>
      <c r="L661" s="1"/>
      <c r="M661" s="1"/>
      <c r="N661" s="1"/>
      <c r="O661" s="1"/>
      <c r="P661" s="1"/>
      <c r="Q661" s="1"/>
      <c r="R661" s="1"/>
      <c r="S661" s="1"/>
      <c r="T661" s="1"/>
      <c r="U661" s="1"/>
      <c r="V661" s="1"/>
      <c r="W661" s="1"/>
      <c r="X661" s="1"/>
      <c r="Y661" s="1"/>
      <c r="Z661" s="1"/>
    </row>
    <row r="662" ht="11.25" customHeight="1">
      <c r="A662" s="1"/>
      <c r="B662" s="1" t="s">
        <v>1860</v>
      </c>
      <c r="C662" s="612"/>
      <c r="D662" s="612"/>
      <c r="E662" s="612"/>
      <c r="F662" s="612"/>
      <c r="G662" s="612"/>
      <c r="H662" s="612"/>
      <c r="I662" s="612"/>
      <c r="J662" s="1"/>
      <c r="K662" s="1"/>
      <c r="L662" s="1"/>
      <c r="M662" s="1"/>
      <c r="N662" s="1"/>
      <c r="O662" s="1"/>
      <c r="P662" s="1"/>
      <c r="Q662" s="1"/>
      <c r="R662" s="1"/>
      <c r="S662" s="1"/>
      <c r="T662" s="1"/>
      <c r="U662" s="1"/>
      <c r="V662" s="1"/>
      <c r="W662" s="1"/>
      <c r="X662" s="1"/>
      <c r="Y662" s="1"/>
      <c r="Z662" s="1"/>
    </row>
    <row r="663" ht="47.25" customHeight="1">
      <c r="A663" s="1"/>
      <c r="B663" s="189" t="s">
        <v>1</v>
      </c>
      <c r="C663" s="1057" t="s">
        <v>1861</v>
      </c>
      <c r="D663" s="1057" t="s">
        <v>1862</v>
      </c>
      <c r="E663" s="1057" t="s">
        <v>1863</v>
      </c>
      <c r="F663" s="1057" t="s">
        <v>1864</v>
      </c>
      <c r="G663" s="612"/>
      <c r="H663" s="612"/>
      <c r="I663" s="612"/>
      <c r="J663" s="1"/>
      <c r="K663" s="1"/>
      <c r="L663" s="1"/>
      <c r="M663" s="1"/>
      <c r="N663" s="1"/>
      <c r="O663" s="1"/>
      <c r="P663" s="1"/>
      <c r="Q663" s="1"/>
      <c r="R663" s="1"/>
      <c r="S663" s="1"/>
      <c r="T663" s="1"/>
      <c r="U663" s="1"/>
      <c r="V663" s="1"/>
      <c r="W663" s="1"/>
      <c r="X663" s="1"/>
      <c r="Y663" s="1"/>
      <c r="Z663" s="1"/>
    </row>
    <row r="664" ht="11.25" customHeight="1">
      <c r="A664" s="1"/>
      <c r="B664" s="6"/>
      <c r="C664" s="1058" t="s">
        <v>54</v>
      </c>
      <c r="D664" s="9"/>
      <c r="E664" s="9"/>
      <c r="F664" s="10"/>
      <c r="G664" s="612"/>
      <c r="H664" s="612"/>
      <c r="I664" s="612"/>
      <c r="J664" s="1"/>
      <c r="K664" s="1"/>
      <c r="L664" s="1"/>
      <c r="M664" s="1"/>
      <c r="N664" s="1"/>
      <c r="O664" s="1"/>
      <c r="P664" s="1"/>
      <c r="Q664" s="1"/>
      <c r="R664" s="1"/>
      <c r="S664" s="1"/>
      <c r="T664" s="1"/>
      <c r="U664" s="1"/>
      <c r="V664" s="1"/>
      <c r="W664" s="1"/>
      <c r="X664" s="1"/>
      <c r="Y664" s="1"/>
      <c r="Z664" s="1"/>
    </row>
    <row r="665" ht="11.25" customHeight="1">
      <c r="A665" s="1"/>
      <c r="B665" s="512" t="s">
        <v>1704</v>
      </c>
      <c r="C665" s="1088">
        <v>12.0</v>
      </c>
      <c r="D665" s="1088">
        <v>5.0</v>
      </c>
      <c r="E665" s="1088">
        <v>83.0</v>
      </c>
      <c r="F665" s="1088">
        <f>SUM(C665:E665)</f>
        <v>100</v>
      </c>
      <c r="G665" s="612"/>
      <c r="H665" s="612"/>
      <c r="I665" s="612"/>
      <c r="J665" s="1"/>
      <c r="K665" s="1"/>
      <c r="L665" s="1"/>
      <c r="M665" s="1"/>
      <c r="N665" s="1"/>
      <c r="O665" s="1"/>
      <c r="P665" s="1"/>
      <c r="Q665" s="1"/>
      <c r="R665" s="1"/>
      <c r="S665" s="1"/>
      <c r="T665" s="1"/>
      <c r="U665" s="1"/>
      <c r="V665" s="1"/>
      <c r="W665" s="1"/>
      <c r="X665" s="1"/>
      <c r="Y665" s="1"/>
      <c r="Z665" s="1"/>
    </row>
    <row r="666" ht="10.5" customHeight="1">
      <c r="A666" s="1"/>
      <c r="B666" s="238">
        <v>1980.0</v>
      </c>
      <c r="C666" s="1089">
        <v>3.7</v>
      </c>
      <c r="D666" s="366">
        <v>5.0</v>
      </c>
      <c r="E666" s="366">
        <v>4.8</v>
      </c>
      <c r="F666" s="366">
        <v>4.3</v>
      </c>
      <c r="G666" s="612"/>
      <c r="H666" s="612"/>
      <c r="I666" s="1"/>
      <c r="J666" s="1"/>
      <c r="K666" s="1"/>
      <c r="L666" s="1"/>
      <c r="M666" s="1"/>
      <c r="N666" s="1"/>
      <c r="O666" s="1"/>
      <c r="P666" s="1"/>
      <c r="Q666" s="1"/>
      <c r="R666" s="1"/>
      <c r="S666" s="1"/>
      <c r="T666" s="1"/>
      <c r="U666" s="1"/>
      <c r="V666" s="1"/>
      <c r="W666" s="1"/>
      <c r="X666" s="1"/>
      <c r="Y666" s="1"/>
      <c r="Z666" s="1"/>
    </row>
    <row r="667" ht="10.5" customHeight="1">
      <c r="A667" s="1"/>
      <c r="B667" s="238">
        <v>1981.0</v>
      </c>
      <c r="C667" s="1089">
        <v>4.2</v>
      </c>
      <c r="D667" s="366">
        <v>5.6</v>
      </c>
      <c r="E667" s="366">
        <v>5.3</v>
      </c>
      <c r="F667" s="366">
        <v>4.8</v>
      </c>
      <c r="G667" s="612"/>
      <c r="H667" s="612"/>
      <c r="I667" s="1"/>
      <c r="J667" s="1"/>
      <c r="K667" s="1"/>
      <c r="L667" s="1"/>
      <c r="M667" s="1"/>
      <c r="N667" s="1"/>
      <c r="O667" s="1"/>
      <c r="P667" s="1"/>
      <c r="Q667" s="1"/>
      <c r="R667" s="1"/>
      <c r="S667" s="1"/>
      <c r="T667" s="1"/>
      <c r="U667" s="1"/>
      <c r="V667" s="1"/>
      <c r="W667" s="1"/>
      <c r="X667" s="1"/>
      <c r="Y667" s="1"/>
      <c r="Z667" s="1"/>
    </row>
    <row r="668" ht="10.5" customHeight="1">
      <c r="A668" s="1"/>
      <c r="B668" s="238">
        <v>1982.0</v>
      </c>
      <c r="C668" s="1089">
        <v>4.9</v>
      </c>
      <c r="D668" s="366">
        <v>6.3</v>
      </c>
      <c r="E668" s="366">
        <v>6.1</v>
      </c>
      <c r="F668" s="366">
        <v>5.5</v>
      </c>
      <c r="G668" s="612"/>
      <c r="H668" s="612"/>
      <c r="I668" s="1"/>
      <c r="J668" s="1"/>
      <c r="K668" s="1"/>
      <c r="L668" s="1"/>
      <c r="M668" s="1"/>
      <c r="N668" s="1"/>
      <c r="O668" s="1"/>
      <c r="P668" s="1"/>
      <c r="Q668" s="1"/>
      <c r="R668" s="1"/>
      <c r="S668" s="1"/>
      <c r="T668" s="1"/>
      <c r="U668" s="1"/>
      <c r="V668" s="1"/>
      <c r="W668" s="1"/>
      <c r="X668" s="1"/>
      <c r="Y668" s="1"/>
      <c r="Z668" s="1"/>
    </row>
    <row r="669" ht="10.5" customHeight="1">
      <c r="A669" s="1"/>
      <c r="B669" s="238">
        <v>1983.0</v>
      </c>
      <c r="C669" s="1089">
        <v>5.6</v>
      </c>
      <c r="D669" s="366">
        <v>7.4</v>
      </c>
      <c r="E669" s="366">
        <v>6.9</v>
      </c>
      <c r="F669" s="366">
        <v>6.3</v>
      </c>
      <c r="G669" s="612"/>
      <c r="H669" s="612"/>
      <c r="I669" s="1"/>
      <c r="J669" s="1"/>
      <c r="K669" s="1"/>
      <c r="L669" s="1"/>
      <c r="M669" s="1"/>
      <c r="N669" s="1"/>
      <c r="O669" s="1"/>
      <c r="P669" s="1"/>
      <c r="Q669" s="1"/>
      <c r="R669" s="1"/>
      <c r="S669" s="1"/>
      <c r="T669" s="1"/>
      <c r="U669" s="1"/>
      <c r="V669" s="1"/>
      <c r="W669" s="1"/>
      <c r="X669" s="1"/>
      <c r="Y669" s="1"/>
      <c r="Z669" s="1"/>
    </row>
    <row r="670" ht="10.5" customHeight="1">
      <c r="A670" s="1"/>
      <c r="B670" s="238">
        <v>1984.0</v>
      </c>
      <c r="C670" s="1089">
        <v>6.4</v>
      </c>
      <c r="D670" s="366">
        <v>8.4</v>
      </c>
      <c r="E670" s="366">
        <v>7.2</v>
      </c>
      <c r="F670" s="366">
        <v>6.8</v>
      </c>
      <c r="G670" s="612"/>
      <c r="H670" s="612"/>
      <c r="I670" s="1"/>
      <c r="J670" s="1"/>
      <c r="K670" s="1"/>
      <c r="L670" s="1"/>
      <c r="M670" s="1"/>
      <c r="N670" s="1"/>
      <c r="O670" s="1"/>
      <c r="P670" s="1"/>
      <c r="Q670" s="1"/>
      <c r="R670" s="1"/>
      <c r="S670" s="1"/>
      <c r="T670" s="1"/>
      <c r="U670" s="1"/>
      <c r="V670" s="1"/>
      <c r="W670" s="1"/>
      <c r="X670" s="1"/>
      <c r="Y670" s="1"/>
      <c r="Z670" s="1"/>
    </row>
    <row r="671" ht="10.5" customHeight="1">
      <c r="A671" s="1"/>
      <c r="B671" s="238"/>
      <c r="C671" s="1089"/>
      <c r="D671" s="366"/>
      <c r="E671" s="366"/>
      <c r="F671" s="366"/>
      <c r="G671" s="612"/>
      <c r="H671" s="612"/>
      <c r="I671" s="1"/>
      <c r="J671" s="1"/>
      <c r="K671" s="1"/>
      <c r="L671" s="1"/>
      <c r="M671" s="1"/>
      <c r="N671" s="1"/>
      <c r="O671" s="1"/>
      <c r="P671" s="1"/>
      <c r="Q671" s="1"/>
      <c r="R671" s="1"/>
      <c r="S671" s="1"/>
      <c r="T671" s="1"/>
      <c r="U671" s="1"/>
      <c r="V671" s="1"/>
      <c r="W671" s="1"/>
      <c r="X671" s="1"/>
      <c r="Y671" s="1"/>
      <c r="Z671" s="1"/>
    </row>
    <row r="672" ht="10.5" customHeight="1">
      <c r="A672" s="1"/>
      <c r="B672" s="238">
        <v>1985.0</v>
      </c>
      <c r="C672" s="1089">
        <v>7.9</v>
      </c>
      <c r="D672" s="366">
        <v>9.9</v>
      </c>
      <c r="E672" s="366">
        <v>8.6</v>
      </c>
      <c r="F672" s="366">
        <v>8.1</v>
      </c>
      <c r="G672" s="612"/>
      <c r="H672" s="612"/>
      <c r="I672" s="1"/>
      <c r="J672" s="1"/>
      <c r="K672" s="1"/>
      <c r="L672" s="1"/>
      <c r="M672" s="1"/>
      <c r="N672" s="1"/>
      <c r="O672" s="1"/>
      <c r="P672" s="1"/>
      <c r="Q672" s="1"/>
      <c r="R672" s="1"/>
      <c r="S672" s="1"/>
      <c r="T672" s="1"/>
      <c r="U672" s="1"/>
      <c r="V672" s="1"/>
      <c r="W672" s="1"/>
      <c r="X672" s="1"/>
      <c r="Y672" s="1"/>
      <c r="Z672" s="1"/>
    </row>
    <row r="673" ht="10.5" customHeight="1">
      <c r="A673" s="1"/>
      <c r="B673" s="238">
        <v>1986.0</v>
      </c>
      <c r="C673" s="1089">
        <v>10.1</v>
      </c>
      <c r="D673" s="366">
        <v>12.2</v>
      </c>
      <c r="E673" s="366">
        <v>9.9</v>
      </c>
      <c r="F673" s="366">
        <v>9.7</v>
      </c>
      <c r="G673" s="612"/>
      <c r="H673" s="612"/>
      <c r="I673" s="1"/>
      <c r="J673" s="1"/>
      <c r="K673" s="1"/>
      <c r="L673" s="1"/>
      <c r="M673" s="1"/>
      <c r="N673" s="1"/>
      <c r="O673" s="1"/>
      <c r="P673" s="1"/>
      <c r="Q673" s="1"/>
      <c r="R673" s="1"/>
      <c r="S673" s="1"/>
      <c r="T673" s="1"/>
      <c r="U673" s="1"/>
      <c r="V673" s="1"/>
      <c r="W673" s="1"/>
      <c r="X673" s="1"/>
      <c r="Y673" s="1"/>
      <c r="Z673" s="1"/>
    </row>
    <row r="674" ht="10.5" customHeight="1">
      <c r="A674" s="1"/>
      <c r="B674" s="238">
        <v>1987.0</v>
      </c>
      <c r="C674" s="1089">
        <v>11.9</v>
      </c>
      <c r="D674" s="366">
        <v>13.9</v>
      </c>
      <c r="E674" s="366">
        <v>10.3</v>
      </c>
      <c r="F674" s="366">
        <v>10.6</v>
      </c>
      <c r="G674" s="612"/>
      <c r="H674" s="612"/>
      <c r="I674" s="1"/>
      <c r="J674" s="1"/>
      <c r="K674" s="1"/>
      <c r="L674" s="1"/>
      <c r="M674" s="1"/>
      <c r="N674" s="1"/>
      <c r="O674" s="1"/>
      <c r="P674" s="1"/>
      <c r="Q674" s="1"/>
      <c r="R674" s="1"/>
      <c r="S674" s="1"/>
      <c r="T674" s="1"/>
      <c r="U674" s="1"/>
      <c r="V674" s="1"/>
      <c r="W674" s="1"/>
      <c r="X674" s="1"/>
      <c r="Y674" s="1"/>
      <c r="Z674" s="1"/>
    </row>
    <row r="675" ht="10.5" customHeight="1">
      <c r="A675" s="1"/>
      <c r="B675" s="238">
        <v>1988.0</v>
      </c>
      <c r="C675" s="1089">
        <v>13.8</v>
      </c>
      <c r="D675" s="366">
        <v>15.7</v>
      </c>
      <c r="E675" s="366">
        <v>11.5</v>
      </c>
      <c r="F675" s="366">
        <v>12.0</v>
      </c>
      <c r="G675" s="612"/>
      <c r="H675" s="612"/>
      <c r="I675" s="1"/>
      <c r="J675" s="1"/>
      <c r="K675" s="1"/>
      <c r="L675" s="1"/>
      <c r="M675" s="1"/>
      <c r="N675" s="1"/>
      <c r="O675" s="1"/>
      <c r="P675" s="1"/>
      <c r="Q675" s="1"/>
      <c r="R675" s="1"/>
      <c r="S675" s="1"/>
      <c r="T675" s="1"/>
      <c r="U675" s="1"/>
      <c r="V675" s="1"/>
      <c r="W675" s="1"/>
      <c r="X675" s="1"/>
      <c r="Y675" s="1"/>
      <c r="Z675" s="1"/>
    </row>
    <row r="676" ht="10.5" customHeight="1">
      <c r="A676" s="1"/>
      <c r="B676" s="238">
        <v>1989.0</v>
      </c>
      <c r="C676" s="1089">
        <v>16.8</v>
      </c>
      <c r="D676" s="366">
        <v>18.4</v>
      </c>
      <c r="E676" s="366">
        <v>13.9</v>
      </c>
      <c r="F676" s="366">
        <v>14.4</v>
      </c>
      <c r="G676" s="612"/>
      <c r="H676" s="612"/>
      <c r="I676" s="1"/>
      <c r="J676" s="1"/>
      <c r="K676" s="1"/>
      <c r="L676" s="1"/>
      <c r="M676" s="1"/>
      <c r="N676" s="1"/>
      <c r="O676" s="1"/>
      <c r="P676" s="1"/>
      <c r="Q676" s="1"/>
      <c r="R676" s="1"/>
      <c r="S676" s="1"/>
      <c r="T676" s="1"/>
      <c r="U676" s="1"/>
      <c r="V676" s="1"/>
      <c r="W676" s="1"/>
      <c r="X676" s="1"/>
      <c r="Y676" s="1"/>
      <c r="Z676" s="1"/>
    </row>
    <row r="677" ht="10.5" customHeight="1">
      <c r="A677" s="1"/>
      <c r="B677" s="238"/>
      <c r="C677" s="1089"/>
      <c r="D677" s="366"/>
      <c r="E677" s="366"/>
      <c r="F677" s="366"/>
      <c r="G677" s="612"/>
      <c r="H677" s="612"/>
      <c r="I677" s="1"/>
      <c r="J677" s="1"/>
      <c r="K677" s="1"/>
      <c r="L677" s="1"/>
      <c r="M677" s="1"/>
      <c r="N677" s="1"/>
      <c r="O677" s="1"/>
      <c r="P677" s="1"/>
      <c r="Q677" s="1"/>
      <c r="R677" s="1"/>
      <c r="S677" s="1"/>
      <c r="T677" s="1"/>
      <c r="U677" s="1"/>
      <c r="V677" s="1"/>
      <c r="W677" s="1"/>
      <c r="X677" s="1"/>
      <c r="Y677" s="1"/>
      <c r="Z677" s="1"/>
    </row>
    <row r="678" ht="10.5" customHeight="1">
      <c r="A678" s="1"/>
      <c r="B678" s="238">
        <v>1990.0</v>
      </c>
      <c r="C678" s="1090">
        <v>18.6</v>
      </c>
      <c r="D678" s="366">
        <v>14.2</v>
      </c>
      <c r="E678" s="366">
        <v>15.5</v>
      </c>
      <c r="F678" s="366">
        <v>16.0</v>
      </c>
      <c r="G678" s="612"/>
      <c r="H678" s="612"/>
      <c r="I678" s="1"/>
      <c r="J678" s="1"/>
      <c r="K678" s="1"/>
      <c r="L678" s="1"/>
      <c r="M678" s="1"/>
      <c r="N678" s="1"/>
      <c r="O678" s="1"/>
      <c r="P678" s="1"/>
      <c r="Q678" s="1"/>
      <c r="R678" s="1"/>
      <c r="S678" s="1"/>
      <c r="T678" s="1"/>
      <c r="U678" s="1"/>
      <c r="V678" s="1"/>
      <c r="W678" s="1"/>
      <c r="X678" s="1"/>
      <c r="Y678" s="1"/>
      <c r="Z678" s="1"/>
    </row>
    <row r="679" ht="10.5" customHeight="1">
      <c r="A679" s="1"/>
      <c r="B679" s="238">
        <v>1991.0</v>
      </c>
      <c r="C679" s="1090">
        <v>20.3</v>
      </c>
      <c r="D679" s="366">
        <v>23.2</v>
      </c>
      <c r="E679" s="366">
        <v>17.5</v>
      </c>
      <c r="F679" s="366">
        <v>18.0</v>
      </c>
      <c r="G679" s="612"/>
      <c r="H679" s="612"/>
      <c r="I679" s="1"/>
      <c r="J679" s="1"/>
      <c r="K679" s="1"/>
      <c r="L679" s="1"/>
      <c r="M679" s="1"/>
      <c r="N679" s="1"/>
      <c r="O679" s="1"/>
      <c r="P679" s="1"/>
      <c r="Q679" s="1"/>
      <c r="R679" s="1"/>
      <c r="S679" s="1"/>
      <c r="T679" s="1"/>
      <c r="U679" s="1"/>
      <c r="V679" s="1"/>
      <c r="W679" s="1"/>
      <c r="X679" s="1"/>
      <c r="Y679" s="1"/>
      <c r="Z679" s="1"/>
    </row>
    <row r="680" ht="10.5" customHeight="1">
      <c r="A680" s="1"/>
      <c r="B680" s="238">
        <v>1992.0</v>
      </c>
      <c r="C680" s="1090">
        <v>21.4</v>
      </c>
      <c r="D680" s="366">
        <v>24.5</v>
      </c>
      <c r="E680" s="366">
        <v>18.6</v>
      </c>
      <c r="F680" s="366">
        <v>19.1</v>
      </c>
      <c r="G680" s="612"/>
      <c r="H680" s="612"/>
      <c r="I680" s="1"/>
      <c r="J680" s="1"/>
      <c r="K680" s="1"/>
      <c r="L680" s="1"/>
      <c r="M680" s="1"/>
      <c r="N680" s="1"/>
      <c r="O680" s="1"/>
      <c r="P680" s="1"/>
      <c r="Q680" s="1"/>
      <c r="R680" s="1"/>
      <c r="S680" s="1"/>
      <c r="T680" s="1"/>
      <c r="U680" s="1"/>
      <c r="V680" s="1"/>
      <c r="W680" s="1"/>
      <c r="X680" s="1"/>
      <c r="Y680" s="1"/>
      <c r="Z680" s="1"/>
    </row>
    <row r="681" ht="10.5" customHeight="1">
      <c r="A681" s="1"/>
      <c r="B681" s="238">
        <v>1993.0</v>
      </c>
      <c r="C681" s="1090">
        <v>24.2</v>
      </c>
      <c r="D681" s="366">
        <v>26.3</v>
      </c>
      <c r="E681" s="366">
        <v>20.4</v>
      </c>
      <c r="F681" s="366">
        <v>20.9</v>
      </c>
      <c r="G681" s="612"/>
      <c r="H681" s="612"/>
      <c r="I681" s="1"/>
      <c r="J681" s="1"/>
      <c r="K681" s="1"/>
      <c r="L681" s="1"/>
      <c r="M681" s="1"/>
      <c r="N681" s="1"/>
      <c r="O681" s="1"/>
      <c r="P681" s="1"/>
      <c r="Q681" s="1"/>
      <c r="R681" s="1"/>
      <c r="S681" s="1"/>
      <c r="T681" s="1"/>
      <c r="U681" s="1"/>
      <c r="V681" s="1"/>
      <c r="W681" s="1"/>
      <c r="X681" s="1"/>
      <c r="Y681" s="1"/>
      <c r="Z681" s="1"/>
    </row>
    <row r="682" ht="10.5" customHeight="1">
      <c r="A682" s="1"/>
      <c r="B682" s="238">
        <v>1994.0</v>
      </c>
      <c r="C682" s="1090">
        <v>26.6</v>
      </c>
      <c r="D682" s="366">
        <v>27.8</v>
      </c>
      <c r="E682" s="366">
        <v>21.9</v>
      </c>
      <c r="F682" s="366">
        <v>22.5</v>
      </c>
      <c r="G682" s="612"/>
      <c r="H682" s="612"/>
      <c r="I682" s="1"/>
      <c r="J682" s="1"/>
      <c r="K682" s="1"/>
      <c r="L682" s="1"/>
      <c r="M682" s="1"/>
      <c r="N682" s="1"/>
      <c r="O682" s="1"/>
      <c r="P682" s="1"/>
      <c r="Q682" s="1"/>
      <c r="R682" s="1"/>
      <c r="S682" s="1"/>
      <c r="T682" s="1"/>
      <c r="U682" s="1"/>
      <c r="V682" s="1"/>
      <c r="W682" s="1"/>
      <c r="X682" s="1"/>
      <c r="Y682" s="1"/>
      <c r="Z682" s="1"/>
    </row>
    <row r="683" ht="10.5" customHeight="1">
      <c r="A683" s="1"/>
      <c r="B683" s="238"/>
      <c r="C683" s="1090"/>
      <c r="D683" s="366"/>
      <c r="E683" s="366"/>
      <c r="F683" s="366"/>
      <c r="G683" s="612"/>
      <c r="H683" s="612"/>
      <c r="I683" s="1"/>
      <c r="J683" s="1"/>
      <c r="K683" s="1"/>
      <c r="L683" s="1"/>
      <c r="M683" s="1"/>
      <c r="N683" s="1"/>
      <c r="O683" s="1"/>
      <c r="P683" s="1"/>
      <c r="Q683" s="1"/>
      <c r="R683" s="1"/>
      <c r="S683" s="1"/>
      <c r="T683" s="1"/>
      <c r="U683" s="1"/>
      <c r="V683" s="1"/>
      <c r="W683" s="1"/>
      <c r="X683" s="1"/>
      <c r="Y683" s="1"/>
      <c r="Z683" s="1"/>
    </row>
    <row r="684" ht="10.5" customHeight="1">
      <c r="A684" s="1"/>
      <c r="B684" s="238">
        <v>1995.0</v>
      </c>
      <c r="C684" s="1090">
        <v>29.4</v>
      </c>
      <c r="D684" s="366">
        <v>30.3</v>
      </c>
      <c r="E684" s="366">
        <v>23.8</v>
      </c>
      <c r="F684" s="366">
        <v>24.5</v>
      </c>
      <c r="G684" s="612"/>
      <c r="H684" s="612"/>
      <c r="I684" s="1"/>
      <c r="J684" s="1"/>
      <c r="K684" s="1"/>
      <c r="L684" s="1"/>
      <c r="M684" s="1"/>
      <c r="N684" s="1"/>
      <c r="O684" s="1"/>
      <c r="P684" s="1"/>
      <c r="Q684" s="1"/>
      <c r="R684" s="1"/>
      <c r="S684" s="1"/>
      <c r="T684" s="1"/>
      <c r="U684" s="1"/>
      <c r="V684" s="1"/>
      <c r="W684" s="1"/>
      <c r="X684" s="1"/>
      <c r="Y684" s="1"/>
      <c r="Z684" s="1"/>
    </row>
    <row r="685" ht="10.5" customHeight="1">
      <c r="A685" s="1"/>
      <c r="B685" s="238">
        <v>1996.0</v>
      </c>
      <c r="C685" s="1090">
        <v>31.3</v>
      </c>
      <c r="D685" s="366">
        <v>32.9</v>
      </c>
      <c r="E685" s="366">
        <v>27.5</v>
      </c>
      <c r="F685" s="366">
        <v>27.6</v>
      </c>
      <c r="G685" s="612"/>
      <c r="H685" s="612"/>
      <c r="I685" s="1"/>
      <c r="J685" s="1"/>
      <c r="K685" s="1"/>
      <c r="L685" s="1"/>
      <c r="M685" s="1"/>
      <c r="N685" s="1"/>
      <c r="O685" s="1"/>
      <c r="P685" s="1"/>
      <c r="Q685" s="1"/>
      <c r="R685" s="1"/>
      <c r="S685" s="1"/>
      <c r="T685" s="1"/>
      <c r="U685" s="1"/>
      <c r="V685" s="1"/>
      <c r="W685" s="1"/>
      <c r="X685" s="1"/>
      <c r="Y685" s="1"/>
      <c r="Z685" s="1"/>
    </row>
    <row r="686" ht="10.5" customHeight="1">
      <c r="A686" s="1"/>
      <c r="B686" s="238">
        <v>1997.0</v>
      </c>
      <c r="C686" s="1090">
        <v>34.0</v>
      </c>
      <c r="D686" s="366">
        <v>36.6</v>
      </c>
      <c r="E686" s="366">
        <v>29.6</v>
      </c>
      <c r="F686" s="366">
        <v>30.3</v>
      </c>
      <c r="G686" s="612"/>
      <c r="H686" s="612"/>
      <c r="I686" s="1"/>
      <c r="J686" s="1"/>
      <c r="K686" s="1"/>
      <c r="L686" s="1"/>
      <c r="M686" s="1"/>
      <c r="N686" s="1"/>
      <c r="O686" s="1"/>
      <c r="P686" s="1"/>
      <c r="Q686" s="1"/>
      <c r="R686" s="1"/>
      <c r="S686" s="1"/>
      <c r="T686" s="1"/>
      <c r="U686" s="1"/>
      <c r="V686" s="1"/>
      <c r="W686" s="1"/>
      <c r="X686" s="1"/>
      <c r="Y686" s="1"/>
      <c r="Z686" s="1"/>
    </row>
    <row r="687" ht="10.5" customHeight="1">
      <c r="A687" s="1"/>
      <c r="B687" s="238">
        <v>1998.0</v>
      </c>
      <c r="C687" s="1090">
        <v>36.7</v>
      </c>
      <c r="D687" s="366">
        <v>39.4</v>
      </c>
      <c r="E687" s="366">
        <v>29.8</v>
      </c>
      <c r="F687" s="366">
        <v>30.9</v>
      </c>
      <c r="G687" s="612"/>
      <c r="H687" s="612"/>
      <c r="I687" s="1"/>
      <c r="J687" s="1"/>
      <c r="K687" s="1"/>
      <c r="L687" s="1"/>
      <c r="M687" s="1"/>
      <c r="N687" s="1"/>
      <c r="O687" s="1"/>
      <c r="P687" s="1"/>
      <c r="Q687" s="1"/>
      <c r="R687" s="1"/>
      <c r="S687" s="1"/>
      <c r="T687" s="1"/>
      <c r="U687" s="1"/>
      <c r="V687" s="1"/>
      <c r="W687" s="1"/>
      <c r="X687" s="1"/>
      <c r="Y687" s="1"/>
      <c r="Z687" s="1"/>
    </row>
    <row r="688" ht="10.5" customHeight="1">
      <c r="A688" s="1"/>
      <c r="B688" s="238">
        <v>1999.0</v>
      </c>
      <c r="C688" s="1090">
        <v>39.7</v>
      </c>
      <c r="D688" s="366">
        <v>41.3</v>
      </c>
      <c r="E688" s="366">
        <v>31.2</v>
      </c>
      <c r="F688" s="366">
        <v>32.4</v>
      </c>
      <c r="G688" s="612"/>
      <c r="H688" s="612"/>
      <c r="I688" s="1"/>
      <c r="J688" s="1"/>
      <c r="K688" s="1"/>
      <c r="L688" s="1"/>
      <c r="M688" s="1"/>
      <c r="N688" s="1"/>
      <c r="O688" s="1"/>
      <c r="P688" s="1"/>
      <c r="Q688" s="1"/>
      <c r="R688" s="1"/>
      <c r="S688" s="1"/>
      <c r="T688" s="1"/>
      <c r="U688" s="1"/>
      <c r="V688" s="1"/>
      <c r="W688" s="1"/>
      <c r="X688" s="1"/>
      <c r="Y688" s="1"/>
      <c r="Z688" s="1"/>
    </row>
    <row r="689" ht="10.5" customHeight="1">
      <c r="A689" s="1"/>
      <c r="B689" s="238"/>
      <c r="C689" s="1090"/>
      <c r="D689" s="366"/>
      <c r="E689" s="366"/>
      <c r="F689" s="366"/>
      <c r="G689" s="612"/>
      <c r="H689" s="612"/>
      <c r="I689" s="1"/>
      <c r="J689" s="1"/>
      <c r="K689" s="1"/>
      <c r="L689" s="1"/>
      <c r="M689" s="1"/>
      <c r="N689" s="1"/>
      <c r="O689" s="1"/>
      <c r="P689" s="1"/>
      <c r="Q689" s="1"/>
      <c r="R689" s="1"/>
      <c r="S689" s="1"/>
      <c r="T689" s="1"/>
      <c r="U689" s="1"/>
      <c r="V689" s="1"/>
      <c r="W689" s="1"/>
      <c r="X689" s="1"/>
      <c r="Y689" s="1"/>
      <c r="Z689" s="1"/>
    </row>
    <row r="690" ht="10.5" customHeight="1">
      <c r="A690" s="1"/>
      <c r="B690" s="238">
        <v>2000.0</v>
      </c>
      <c r="C690" s="1090">
        <v>46.3</v>
      </c>
      <c r="D690" s="366">
        <v>44.0</v>
      </c>
      <c r="E690" s="366">
        <v>39.5</v>
      </c>
      <c r="F690" s="366">
        <v>40.5</v>
      </c>
      <c r="G690" s="612"/>
      <c r="H690" s="612"/>
      <c r="I690" s="1"/>
      <c r="J690" s="1"/>
      <c r="K690" s="1"/>
      <c r="L690" s="1"/>
      <c r="M690" s="1"/>
      <c r="N690" s="1"/>
      <c r="O690" s="1"/>
      <c r="P690" s="1"/>
      <c r="Q690" s="1"/>
      <c r="R690" s="1"/>
      <c r="S690" s="1"/>
      <c r="T690" s="1"/>
      <c r="U690" s="1"/>
      <c r="V690" s="1"/>
      <c r="W690" s="1"/>
      <c r="X690" s="1"/>
      <c r="Y690" s="1"/>
      <c r="Z690" s="1"/>
    </row>
    <row r="691" ht="10.5" customHeight="1">
      <c r="A691" s="1"/>
      <c r="B691" s="238">
        <v>2001.0</v>
      </c>
      <c r="C691" s="1090">
        <v>52.1</v>
      </c>
      <c r="D691" s="366">
        <v>46.9</v>
      </c>
      <c r="E691" s="366">
        <v>43.7</v>
      </c>
      <c r="F691" s="366">
        <v>44.8</v>
      </c>
      <c r="G691" s="612"/>
      <c r="H691" s="612"/>
      <c r="I691" s="1"/>
      <c r="J691" s="1"/>
      <c r="K691" s="1"/>
      <c r="L691" s="1"/>
      <c r="M691" s="1"/>
      <c r="N691" s="1"/>
      <c r="O691" s="1"/>
      <c r="P691" s="1"/>
      <c r="Q691" s="1"/>
      <c r="R691" s="1"/>
      <c r="S691" s="1"/>
      <c r="T691" s="1"/>
      <c r="U691" s="1"/>
      <c r="V691" s="1"/>
      <c r="W691" s="1"/>
      <c r="X691" s="1"/>
      <c r="Y691" s="1"/>
      <c r="Z691" s="1"/>
    </row>
    <row r="692" ht="10.5" customHeight="1">
      <c r="A692" s="1"/>
      <c r="B692" s="238">
        <v>2002.0</v>
      </c>
      <c r="C692" s="1090">
        <v>64.4</v>
      </c>
      <c r="D692" s="366">
        <v>53.0</v>
      </c>
      <c r="E692" s="366">
        <v>50.9</v>
      </c>
      <c r="F692" s="366">
        <v>52.5</v>
      </c>
      <c r="G692" s="612"/>
      <c r="H692" s="612"/>
      <c r="I692" s="1"/>
      <c r="J692" s="1"/>
      <c r="K692" s="1"/>
      <c r="L692" s="1"/>
      <c r="M692" s="1"/>
      <c r="N692" s="1"/>
      <c r="O692" s="1"/>
      <c r="P692" s="1"/>
      <c r="Q692" s="1"/>
      <c r="R692" s="1"/>
      <c r="S692" s="1"/>
      <c r="T692" s="1"/>
      <c r="U692" s="1"/>
      <c r="V692" s="1"/>
      <c r="W692" s="1"/>
      <c r="X692" s="1"/>
      <c r="Y692" s="1"/>
      <c r="Z692" s="1"/>
    </row>
    <row r="693" ht="10.5" customHeight="1">
      <c r="A693" s="1"/>
      <c r="B693" s="238">
        <v>2003.0</v>
      </c>
      <c r="C693" s="1090">
        <v>68.2</v>
      </c>
      <c r="D693" s="366">
        <v>59.6</v>
      </c>
      <c r="E693" s="585">
        <v>53.1</v>
      </c>
      <c r="F693" s="585">
        <v>55.2</v>
      </c>
      <c r="G693" s="612"/>
      <c r="H693" s="612"/>
      <c r="I693" s="1"/>
      <c r="J693" s="1"/>
      <c r="K693" s="1"/>
      <c r="L693" s="1"/>
      <c r="M693" s="1"/>
      <c r="N693" s="1"/>
      <c r="O693" s="1"/>
      <c r="P693" s="1"/>
      <c r="Q693" s="1"/>
      <c r="R693" s="1"/>
      <c r="S693" s="1"/>
      <c r="T693" s="1"/>
      <c r="U693" s="1"/>
      <c r="V693" s="1"/>
      <c r="W693" s="1"/>
      <c r="X693" s="1"/>
      <c r="Y693" s="1"/>
      <c r="Z693" s="1"/>
    </row>
    <row r="694" ht="10.5" customHeight="1">
      <c r="A694" s="1"/>
      <c r="B694" s="238">
        <v>2004.0</v>
      </c>
      <c r="C694" s="713">
        <v>67.8</v>
      </c>
      <c r="D694" s="585">
        <v>62.9</v>
      </c>
      <c r="E694" s="585">
        <v>54.1</v>
      </c>
      <c r="F694" s="585">
        <v>56.1</v>
      </c>
      <c r="G694" s="612"/>
      <c r="H694" s="612"/>
      <c r="I694" s="1"/>
      <c r="J694" s="1"/>
      <c r="K694" s="1"/>
      <c r="L694" s="1"/>
      <c r="M694" s="1"/>
      <c r="N694" s="1"/>
      <c r="O694" s="1"/>
      <c r="P694" s="1"/>
      <c r="Q694" s="1"/>
      <c r="R694" s="1"/>
      <c r="S694" s="1"/>
      <c r="T694" s="1"/>
      <c r="U694" s="1"/>
      <c r="V694" s="1"/>
      <c r="W694" s="1"/>
      <c r="X694" s="1"/>
      <c r="Y694" s="1"/>
      <c r="Z694" s="1"/>
    </row>
    <row r="695" ht="10.5" customHeight="1">
      <c r="A695" s="1"/>
      <c r="B695" s="238"/>
      <c r="C695" s="713"/>
      <c r="D695" s="585"/>
      <c r="E695" s="585"/>
      <c r="F695" s="585"/>
      <c r="G695" s="612"/>
      <c r="H695" s="612"/>
      <c r="I695" s="1"/>
      <c r="J695" s="1"/>
      <c r="K695" s="1"/>
      <c r="L695" s="1"/>
      <c r="M695" s="1"/>
      <c r="N695" s="1"/>
      <c r="O695" s="1"/>
      <c r="P695" s="1"/>
      <c r="Q695" s="1"/>
      <c r="R695" s="1"/>
      <c r="S695" s="1"/>
      <c r="T695" s="1"/>
      <c r="U695" s="1"/>
      <c r="V695" s="1"/>
      <c r="W695" s="1"/>
      <c r="X695" s="1"/>
      <c r="Y695" s="1"/>
      <c r="Z695" s="1"/>
    </row>
    <row r="696" ht="10.5" customHeight="1">
      <c r="A696" s="1"/>
      <c r="B696" s="238">
        <v>2005.0</v>
      </c>
      <c r="C696" s="713">
        <v>67.2</v>
      </c>
      <c r="D696" s="585">
        <v>68.6</v>
      </c>
      <c r="E696" s="585">
        <v>54.5</v>
      </c>
      <c r="F696" s="585">
        <v>56.7</v>
      </c>
      <c r="G696" s="612"/>
      <c r="H696" s="612"/>
      <c r="I696" s="612"/>
      <c r="J696" s="1"/>
      <c r="K696" s="1"/>
      <c r="L696" s="1"/>
      <c r="M696" s="1"/>
      <c r="N696" s="1"/>
      <c r="O696" s="1"/>
      <c r="P696" s="1"/>
      <c r="Q696" s="1"/>
      <c r="R696" s="1"/>
      <c r="S696" s="1"/>
      <c r="T696" s="1"/>
      <c r="U696" s="1"/>
      <c r="V696" s="1"/>
      <c r="W696" s="1"/>
      <c r="X696" s="1"/>
      <c r="Y696" s="1"/>
      <c r="Z696" s="1"/>
    </row>
    <row r="697" ht="10.5" customHeight="1">
      <c r="A697" s="1"/>
      <c r="B697" s="238">
        <v>2006.0</v>
      </c>
      <c r="C697" s="713">
        <v>67.9</v>
      </c>
      <c r="D697" s="585">
        <v>69.3</v>
      </c>
      <c r="E697" s="585">
        <v>57.8</v>
      </c>
      <c r="F697" s="585">
        <v>60.1</v>
      </c>
      <c r="G697" s="612"/>
      <c r="H697" s="612"/>
      <c r="I697" s="612"/>
      <c r="J697" s="1"/>
      <c r="K697" s="1"/>
      <c r="L697" s="1"/>
      <c r="M697" s="1"/>
      <c r="N697" s="1"/>
      <c r="O697" s="1"/>
      <c r="P697" s="1"/>
      <c r="Q697" s="1"/>
      <c r="R697" s="1"/>
      <c r="S697" s="1"/>
      <c r="T697" s="1"/>
      <c r="U697" s="1"/>
      <c r="V697" s="1"/>
      <c r="W697" s="1"/>
      <c r="X697" s="1"/>
      <c r="Y697" s="1"/>
      <c r="Z697" s="1"/>
    </row>
    <row r="698" ht="10.5" customHeight="1">
      <c r="A698" s="1"/>
      <c r="B698" s="238">
        <v>2007.0</v>
      </c>
      <c r="C698" s="713">
        <v>68.4</v>
      </c>
      <c r="D698" s="585">
        <v>82.0</v>
      </c>
      <c r="E698" s="585">
        <v>64.2</v>
      </c>
      <c r="F698" s="585">
        <v>65.6</v>
      </c>
      <c r="G698" s="612"/>
      <c r="H698" s="612"/>
      <c r="I698" s="612"/>
      <c r="J698" s="1"/>
      <c r="K698" s="1"/>
      <c r="L698" s="1"/>
      <c r="M698" s="1"/>
      <c r="N698" s="1"/>
      <c r="O698" s="1"/>
      <c r="P698" s="1"/>
      <c r="Q698" s="1"/>
      <c r="R698" s="1"/>
      <c r="S698" s="1"/>
      <c r="T698" s="1"/>
      <c r="U698" s="1"/>
      <c r="V698" s="1"/>
      <c r="W698" s="1"/>
      <c r="X698" s="1"/>
      <c r="Y698" s="1"/>
      <c r="Z698" s="1"/>
    </row>
    <row r="699" ht="10.5" customHeight="1">
      <c r="A699" s="1"/>
      <c r="B699" s="238">
        <v>2008.0</v>
      </c>
      <c r="C699" s="713">
        <v>77.9</v>
      </c>
      <c r="D699" s="585">
        <v>90.7</v>
      </c>
      <c r="E699" s="585">
        <v>79.6</v>
      </c>
      <c r="F699" s="585">
        <v>79.8</v>
      </c>
      <c r="G699" s="612"/>
      <c r="H699" s="612"/>
      <c r="I699" s="612"/>
      <c r="J699" s="1"/>
      <c r="K699" s="1"/>
      <c r="L699" s="1"/>
      <c r="M699" s="1"/>
      <c r="N699" s="1"/>
      <c r="O699" s="1"/>
      <c r="P699" s="1"/>
      <c r="Q699" s="1"/>
      <c r="R699" s="1"/>
      <c r="S699" s="1"/>
      <c r="T699" s="1"/>
      <c r="U699" s="1"/>
      <c r="V699" s="1"/>
      <c r="W699" s="1"/>
      <c r="X699" s="1"/>
      <c r="Y699" s="1"/>
      <c r="Z699" s="1"/>
    </row>
    <row r="700" ht="10.5" customHeight="1">
      <c r="A700" s="1"/>
      <c r="B700" s="238">
        <v>2009.0</v>
      </c>
      <c r="C700" s="713">
        <v>87.6</v>
      </c>
      <c r="D700" s="585">
        <v>97.9</v>
      </c>
      <c r="E700" s="585">
        <v>88.2</v>
      </c>
      <c r="F700" s="585">
        <v>88.6</v>
      </c>
      <c r="G700" s="612"/>
      <c r="H700" s="612"/>
      <c r="I700" s="612"/>
      <c r="J700" s="1"/>
      <c r="K700" s="1"/>
      <c r="L700" s="1"/>
      <c r="M700" s="1"/>
      <c r="N700" s="1"/>
      <c r="O700" s="1"/>
      <c r="P700" s="1"/>
      <c r="Q700" s="1"/>
      <c r="R700" s="1"/>
      <c r="S700" s="1"/>
      <c r="T700" s="1"/>
      <c r="U700" s="1"/>
      <c r="V700" s="1"/>
      <c r="W700" s="1"/>
      <c r="X700" s="1"/>
      <c r="Y700" s="1"/>
      <c r="Z700" s="1"/>
    </row>
    <row r="701" ht="10.5" customHeight="1">
      <c r="A701" s="1"/>
      <c r="B701" s="238"/>
      <c r="C701" s="713"/>
      <c r="D701" s="585"/>
      <c r="E701" s="585"/>
      <c r="F701" s="585"/>
      <c r="G701" s="612"/>
      <c r="H701" s="612"/>
      <c r="I701" s="612"/>
      <c r="J701" s="1"/>
      <c r="K701" s="1"/>
      <c r="L701" s="1"/>
      <c r="M701" s="1"/>
      <c r="N701" s="1"/>
      <c r="O701" s="1"/>
      <c r="P701" s="1"/>
      <c r="Q701" s="1"/>
      <c r="R701" s="1"/>
      <c r="S701" s="1"/>
      <c r="T701" s="1"/>
      <c r="U701" s="1"/>
      <c r="V701" s="1"/>
      <c r="W701" s="1"/>
      <c r="X701" s="1"/>
      <c r="Y701" s="1"/>
      <c r="Z701" s="1"/>
    </row>
    <row r="702" ht="10.5" customHeight="1">
      <c r="A702" s="1"/>
      <c r="B702" s="238">
        <v>2010.0</v>
      </c>
      <c r="C702" s="713">
        <v>100.0</v>
      </c>
      <c r="D702" s="585">
        <v>100.0</v>
      </c>
      <c r="E702" s="585">
        <v>100.0</v>
      </c>
      <c r="F702" s="585">
        <v>100.0</v>
      </c>
      <c r="G702" s="612"/>
      <c r="H702" s="612"/>
      <c r="I702" s="612"/>
      <c r="J702" s="1"/>
      <c r="K702" s="1"/>
      <c r="L702" s="1"/>
      <c r="M702" s="1"/>
      <c r="N702" s="1"/>
      <c r="O702" s="1"/>
      <c r="P702" s="1"/>
      <c r="Q702" s="1"/>
      <c r="R702" s="1"/>
      <c r="S702" s="1"/>
      <c r="T702" s="1"/>
      <c r="U702" s="1"/>
      <c r="V702" s="1"/>
      <c r="W702" s="1"/>
      <c r="X702" s="1"/>
      <c r="Y702" s="1"/>
      <c r="Z702" s="1"/>
    </row>
    <row r="703" ht="10.5" customHeight="1">
      <c r="A703" s="1"/>
      <c r="B703" s="11">
        <v>2011.0</v>
      </c>
      <c r="C703" s="713">
        <v>110.8</v>
      </c>
      <c r="D703" s="585">
        <v>105.8</v>
      </c>
      <c r="E703" s="585">
        <v>110.9</v>
      </c>
      <c r="F703" s="585">
        <v>110.6</v>
      </c>
      <c r="G703" s="612"/>
      <c r="H703" s="612"/>
      <c r="I703" s="612"/>
      <c r="J703" s="1"/>
      <c r="K703" s="1"/>
      <c r="L703" s="1"/>
      <c r="M703" s="1"/>
      <c r="N703" s="1"/>
      <c r="O703" s="1"/>
      <c r="P703" s="1"/>
      <c r="Q703" s="1"/>
      <c r="R703" s="1"/>
      <c r="S703" s="1"/>
      <c r="T703" s="1"/>
      <c r="U703" s="1"/>
      <c r="V703" s="1"/>
      <c r="W703" s="1"/>
      <c r="X703" s="1"/>
      <c r="Y703" s="1"/>
      <c r="Z703" s="1"/>
    </row>
    <row r="704" ht="10.5" customHeight="1">
      <c r="A704" s="1"/>
      <c r="B704" s="11" t="s">
        <v>489</v>
      </c>
      <c r="C704" s="713">
        <v>123.0</v>
      </c>
      <c r="D704" s="585">
        <v>115.5</v>
      </c>
      <c r="E704" s="585">
        <v>126.3</v>
      </c>
      <c r="F704" s="585">
        <v>125.4</v>
      </c>
      <c r="G704" s="612"/>
      <c r="H704" s="612"/>
      <c r="I704" s="612"/>
      <c r="J704" s="1"/>
      <c r="K704" s="1"/>
      <c r="L704" s="1"/>
      <c r="M704" s="1"/>
      <c r="N704" s="1"/>
      <c r="O704" s="1"/>
      <c r="P704" s="1"/>
      <c r="Q704" s="1"/>
      <c r="R704" s="1"/>
      <c r="S704" s="1"/>
      <c r="T704" s="1"/>
      <c r="U704" s="1"/>
      <c r="V704" s="1"/>
      <c r="W704" s="1"/>
      <c r="X704" s="1"/>
      <c r="Y704" s="1"/>
      <c r="Z704" s="1"/>
    </row>
    <row r="705" ht="10.5" customHeight="1">
      <c r="A705" s="1"/>
      <c r="B705" s="11" t="s">
        <v>55</v>
      </c>
      <c r="C705" s="713">
        <v>132.2</v>
      </c>
      <c r="D705" s="585">
        <v>122.5</v>
      </c>
      <c r="E705" s="585">
        <v>134.9</v>
      </c>
      <c r="F705" s="585">
        <v>134.0</v>
      </c>
      <c r="G705" s="612"/>
      <c r="H705" s="612"/>
      <c r="I705" s="612"/>
      <c r="J705" s="1"/>
      <c r="K705" s="1"/>
      <c r="L705" s="1"/>
      <c r="M705" s="1"/>
      <c r="N705" s="1"/>
      <c r="O705" s="1"/>
      <c r="P705" s="1"/>
      <c r="Q705" s="1"/>
      <c r="R705" s="1"/>
      <c r="S705" s="1"/>
      <c r="T705" s="1"/>
      <c r="U705" s="1"/>
      <c r="V705" s="1"/>
      <c r="W705" s="1"/>
      <c r="X705" s="1"/>
      <c r="Y705" s="1"/>
      <c r="Z705" s="1"/>
    </row>
    <row r="706" ht="10.5" customHeight="1">
      <c r="A706" s="1"/>
      <c r="B706" s="11" t="s">
        <v>57</v>
      </c>
      <c r="C706" s="1090">
        <v>142.5</v>
      </c>
      <c r="D706" s="366">
        <v>129.5</v>
      </c>
      <c r="E706" s="585">
        <v>142.9</v>
      </c>
      <c r="F706" s="585">
        <v>142.3</v>
      </c>
      <c r="G706" s="612"/>
      <c r="H706" s="612"/>
      <c r="I706" s="612"/>
      <c r="J706" s="1"/>
      <c r="K706" s="1"/>
      <c r="L706" s="1"/>
      <c r="M706" s="1"/>
      <c r="N706" s="1"/>
      <c r="O706" s="1"/>
      <c r="P706" s="1"/>
      <c r="Q706" s="1"/>
      <c r="R706" s="1"/>
      <c r="S706" s="1"/>
      <c r="T706" s="1"/>
      <c r="U706" s="1"/>
      <c r="V706" s="1"/>
      <c r="W706" s="1"/>
      <c r="X706" s="1"/>
      <c r="Y706" s="1"/>
      <c r="Z706" s="1"/>
    </row>
    <row r="707" ht="10.5" customHeight="1">
      <c r="A707" s="1"/>
      <c r="B707" s="11"/>
      <c r="C707" s="1090"/>
      <c r="D707" s="366"/>
      <c r="E707" s="585"/>
      <c r="F707" s="585"/>
      <c r="G707" s="612"/>
      <c r="H707" s="612"/>
      <c r="I707" s="612"/>
      <c r="J707" s="1"/>
      <c r="K707" s="1"/>
      <c r="L707" s="1"/>
      <c r="M707" s="1"/>
      <c r="N707" s="1"/>
      <c r="O707" s="1"/>
      <c r="P707" s="1"/>
      <c r="Q707" s="1"/>
      <c r="R707" s="1"/>
      <c r="S707" s="1"/>
      <c r="T707" s="1"/>
      <c r="U707" s="1"/>
      <c r="V707" s="1"/>
      <c r="W707" s="1"/>
      <c r="X707" s="1"/>
      <c r="Y707" s="1"/>
      <c r="Z707" s="1"/>
    </row>
    <row r="708" ht="10.5" customHeight="1">
      <c r="A708" s="1"/>
      <c r="B708" s="11" t="s">
        <v>58</v>
      </c>
      <c r="C708" s="1090">
        <v>150.2</v>
      </c>
      <c r="D708" s="366">
        <v>138.9</v>
      </c>
      <c r="E708" s="585">
        <v>147.4</v>
      </c>
      <c r="F708" s="585">
        <v>147.3</v>
      </c>
      <c r="G708" s="612"/>
      <c r="H708" s="612"/>
      <c r="I708" s="612"/>
      <c r="J708" s="1"/>
      <c r="K708" s="1"/>
      <c r="L708" s="1"/>
      <c r="M708" s="1"/>
      <c r="N708" s="1"/>
      <c r="O708" s="1"/>
      <c r="P708" s="1"/>
      <c r="Q708" s="1"/>
      <c r="R708" s="1"/>
      <c r="S708" s="1"/>
      <c r="T708" s="1"/>
      <c r="U708" s="1"/>
      <c r="V708" s="1"/>
      <c r="W708" s="1"/>
      <c r="X708" s="1"/>
      <c r="Y708" s="1"/>
      <c r="Z708" s="1"/>
    </row>
    <row r="709" ht="10.5" customHeight="1">
      <c r="A709" s="1"/>
      <c r="B709" s="11" t="s">
        <v>59</v>
      </c>
      <c r="C709" s="1090">
        <v>162.6</v>
      </c>
      <c r="D709" s="366">
        <v>149.1</v>
      </c>
      <c r="E709" s="585">
        <v>155.7</v>
      </c>
      <c r="F709" s="585">
        <v>156.2</v>
      </c>
      <c r="G709" s="612"/>
      <c r="H709" s="612"/>
      <c r="I709" s="612"/>
      <c r="J709" s="1"/>
      <c r="K709" s="1"/>
      <c r="L709" s="1"/>
      <c r="M709" s="1"/>
      <c r="N709" s="1"/>
      <c r="O709" s="1"/>
      <c r="P709" s="1"/>
      <c r="Q709" s="1"/>
      <c r="R709" s="1"/>
      <c r="S709" s="1"/>
      <c r="T709" s="1"/>
      <c r="U709" s="1"/>
      <c r="V709" s="1"/>
      <c r="W709" s="1"/>
      <c r="X709" s="1"/>
      <c r="Y709" s="1"/>
      <c r="Z709" s="1"/>
    </row>
    <row r="710" ht="10.5" customHeight="1">
      <c r="A710" s="1"/>
      <c r="B710" s="52" t="s">
        <v>60</v>
      </c>
      <c r="C710" s="712">
        <v>168.8</v>
      </c>
      <c r="D710" s="406">
        <v>155.6</v>
      </c>
      <c r="E710" s="730">
        <v>162.6</v>
      </c>
      <c r="F710" s="730">
        <v>163.0</v>
      </c>
      <c r="G710" s="612"/>
      <c r="H710" s="612"/>
      <c r="I710" s="612"/>
      <c r="J710" s="1"/>
      <c r="K710" s="1"/>
      <c r="L710" s="1"/>
      <c r="M710" s="1"/>
      <c r="N710" s="1"/>
      <c r="O710" s="1"/>
      <c r="P710" s="1"/>
      <c r="Q710" s="1"/>
      <c r="R710" s="1"/>
      <c r="S710" s="1"/>
      <c r="T710" s="1"/>
      <c r="U710" s="1"/>
      <c r="V710" s="1"/>
      <c r="W710" s="1"/>
      <c r="X710" s="1"/>
      <c r="Y710" s="1"/>
      <c r="Z710" s="1"/>
    </row>
    <row r="711" ht="6.0" customHeight="1">
      <c r="A711" s="1"/>
      <c r="B711" s="658"/>
      <c r="C711" s="713"/>
      <c r="D711" s="732"/>
      <c r="E711" s="732"/>
      <c r="F711" s="732"/>
      <c r="G711" s="612"/>
      <c r="H711" s="612"/>
      <c r="I711" s="612"/>
      <c r="J711" s="1"/>
      <c r="K711" s="1"/>
      <c r="L711" s="1"/>
      <c r="M711" s="1"/>
      <c r="N711" s="1"/>
      <c r="O711" s="1"/>
      <c r="P711" s="1"/>
      <c r="Q711" s="1"/>
      <c r="R711" s="1"/>
      <c r="S711" s="1"/>
      <c r="T711" s="1"/>
      <c r="U711" s="1"/>
      <c r="V711" s="1"/>
      <c r="W711" s="1"/>
      <c r="X711" s="1"/>
      <c r="Y711" s="1"/>
      <c r="Z711" s="1"/>
    </row>
    <row r="712" ht="10.5" customHeight="1">
      <c r="A712" s="1"/>
      <c r="B712" s="185" t="s">
        <v>1865</v>
      </c>
      <c r="C712" s="774"/>
      <c r="D712" s="612"/>
      <c r="E712" s="612"/>
      <c r="F712" s="612"/>
      <c r="G712" s="612"/>
      <c r="H712" s="612"/>
      <c r="I712" s="612"/>
      <c r="J712" s="1"/>
      <c r="K712" s="1"/>
      <c r="L712" s="1"/>
      <c r="M712" s="1"/>
      <c r="N712" s="1"/>
      <c r="O712" s="1"/>
      <c r="P712" s="1"/>
      <c r="Q712" s="1"/>
      <c r="R712" s="1"/>
      <c r="S712" s="1"/>
      <c r="T712" s="1"/>
      <c r="U712" s="1"/>
      <c r="V712" s="1"/>
      <c r="W712" s="1"/>
      <c r="X712" s="1"/>
      <c r="Y712" s="1"/>
      <c r="Z712" s="1"/>
    </row>
    <row r="713" ht="10.5" customHeight="1">
      <c r="A713" s="1"/>
      <c r="B713" s="185" t="s">
        <v>1866</v>
      </c>
      <c r="C713" s="612"/>
      <c r="D713" s="612"/>
      <c r="E713" s="612"/>
      <c r="F713" s="612"/>
      <c r="G713" s="612"/>
      <c r="H713" s="612"/>
      <c r="I713" s="612"/>
      <c r="J713" s="1"/>
      <c r="K713" s="1"/>
      <c r="L713" s="1"/>
      <c r="M713" s="1"/>
      <c r="N713" s="1"/>
      <c r="O713" s="1"/>
      <c r="P713" s="1"/>
      <c r="Q713" s="1"/>
      <c r="R713" s="1"/>
      <c r="S713" s="1"/>
      <c r="T713" s="1"/>
      <c r="U713" s="1"/>
      <c r="V713" s="1"/>
      <c r="W713" s="1"/>
      <c r="X713" s="1"/>
      <c r="Y713" s="1"/>
      <c r="Z713" s="1"/>
    </row>
    <row r="714" ht="10.5" customHeight="1">
      <c r="A714" s="1"/>
      <c r="B714" s="185" t="s">
        <v>1867</v>
      </c>
      <c r="C714" s="612"/>
      <c r="D714" s="612"/>
      <c r="E714" s="612"/>
      <c r="F714" s="612"/>
      <c r="G714" s="612"/>
      <c r="H714" s="612"/>
      <c r="I714" s="612"/>
      <c r="J714" s="1"/>
      <c r="K714" s="1"/>
      <c r="L714" s="1"/>
      <c r="M714" s="1"/>
      <c r="N714" s="1"/>
      <c r="O714" s="1"/>
      <c r="P714" s="1"/>
      <c r="Q714" s="1"/>
      <c r="R714" s="1"/>
      <c r="S714" s="1"/>
      <c r="T714" s="1"/>
      <c r="U714" s="1"/>
      <c r="V714" s="1"/>
      <c r="W714" s="1"/>
      <c r="X714" s="1"/>
      <c r="Y714" s="1"/>
      <c r="Z714" s="1"/>
    </row>
    <row r="715" ht="10.5" customHeight="1">
      <c r="A715" s="1"/>
      <c r="B715" s="1"/>
      <c r="C715" s="612"/>
      <c r="D715" s="612"/>
      <c r="E715" s="612"/>
      <c r="F715" s="612"/>
      <c r="G715" s="612"/>
      <c r="H715" s="612"/>
      <c r="I715" s="612"/>
      <c r="J715" s="1"/>
      <c r="K715" s="1"/>
      <c r="L715" s="1"/>
      <c r="M715" s="1"/>
      <c r="N715" s="1"/>
      <c r="O715" s="1"/>
      <c r="P715" s="1"/>
      <c r="Q715" s="1"/>
      <c r="R715" s="1"/>
      <c r="S715" s="1"/>
      <c r="T715" s="1"/>
      <c r="U715" s="1"/>
      <c r="V715" s="1"/>
      <c r="W715" s="1"/>
      <c r="X715" s="1"/>
      <c r="Y715" s="1"/>
      <c r="Z715" s="1"/>
    </row>
    <row r="716" ht="10.5" customHeight="1">
      <c r="A716" s="1"/>
      <c r="B716" s="1"/>
      <c r="C716" s="612"/>
      <c r="D716" s="612"/>
      <c r="E716" s="612"/>
      <c r="F716" s="612"/>
      <c r="G716" s="612"/>
      <c r="H716" s="612"/>
      <c r="I716" s="612"/>
      <c r="J716" s="1"/>
      <c r="K716" s="1"/>
      <c r="L716" s="1"/>
      <c r="M716" s="1"/>
      <c r="N716" s="1"/>
      <c r="O716" s="1"/>
      <c r="P716" s="1"/>
      <c r="Q716" s="1"/>
      <c r="R716" s="1"/>
      <c r="S716" s="1"/>
      <c r="T716" s="1"/>
      <c r="U716" s="1"/>
      <c r="V716" s="1"/>
      <c r="W716" s="1"/>
      <c r="X716" s="1"/>
      <c r="Y716" s="1"/>
      <c r="Z716" s="1"/>
    </row>
    <row r="717" ht="10.5" customHeight="1">
      <c r="A717" s="1"/>
      <c r="B717" s="1"/>
      <c r="C717" s="612"/>
      <c r="D717" s="612"/>
      <c r="E717" s="612"/>
      <c r="F717" s="612"/>
      <c r="G717" s="612"/>
      <c r="H717" s="612"/>
      <c r="I717" s="612"/>
      <c r="J717" s="1"/>
      <c r="K717" s="1"/>
      <c r="L717" s="1"/>
      <c r="M717" s="1"/>
      <c r="N717" s="1"/>
      <c r="O717" s="1"/>
      <c r="P717" s="1"/>
      <c r="Q717" s="1"/>
      <c r="R717" s="1"/>
      <c r="S717" s="1"/>
      <c r="T717" s="1"/>
      <c r="U717" s="1"/>
      <c r="V717" s="1"/>
      <c r="W717" s="1"/>
      <c r="X717" s="1"/>
      <c r="Y717" s="1"/>
      <c r="Z717" s="1"/>
    </row>
    <row r="718" ht="10.5" customHeight="1">
      <c r="A718" s="1"/>
      <c r="B718" s="1"/>
      <c r="C718" s="612"/>
      <c r="D718" s="612"/>
      <c r="E718" s="612"/>
      <c r="F718" s="612"/>
      <c r="G718" s="612"/>
      <c r="H718" s="612"/>
      <c r="I718" s="612"/>
      <c r="J718" s="1"/>
      <c r="K718" s="1"/>
      <c r="L718" s="1"/>
      <c r="M718" s="1"/>
      <c r="N718" s="1"/>
      <c r="O718" s="1"/>
      <c r="P718" s="1"/>
      <c r="Q718" s="1"/>
      <c r="R718" s="1"/>
      <c r="S718" s="1"/>
      <c r="T718" s="1"/>
      <c r="U718" s="1"/>
      <c r="V718" s="1"/>
      <c r="W718" s="1"/>
      <c r="X718" s="1"/>
      <c r="Y718" s="1"/>
      <c r="Z718" s="1"/>
    </row>
    <row r="719" ht="10.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0.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0.5" customHeight="1">
      <c r="A721" s="1"/>
      <c r="B721" s="1"/>
      <c r="C721" s="1"/>
      <c r="D721" s="1"/>
      <c r="E721" s="1"/>
      <c r="F721" s="1"/>
      <c r="G721" s="1"/>
      <c r="H721" s="110">
        <v>98.0</v>
      </c>
      <c r="I721" s="1"/>
      <c r="J721" s="1"/>
      <c r="K721" s="1"/>
      <c r="L721" s="1"/>
      <c r="M721" s="1"/>
      <c r="N721" s="1"/>
      <c r="O721" s="1"/>
      <c r="P721" s="1"/>
      <c r="Q721" s="1"/>
      <c r="R721" s="1"/>
      <c r="S721" s="1"/>
      <c r="T721" s="1"/>
      <c r="U721" s="1"/>
      <c r="V721" s="1"/>
      <c r="W721" s="1"/>
      <c r="X721" s="1"/>
      <c r="Y721" s="1"/>
      <c r="Z721" s="1"/>
    </row>
    <row r="722" ht="10.5" customHeight="1">
      <c r="A722" s="1"/>
      <c r="B722" s="1"/>
      <c r="C722" s="1"/>
      <c r="D722" s="1"/>
      <c r="E722" s="1"/>
      <c r="F722" s="1"/>
      <c r="G722" s="1"/>
      <c r="H722" s="110"/>
      <c r="I722" s="1"/>
      <c r="J722" s="1"/>
      <c r="K722" s="1"/>
      <c r="L722" s="1"/>
      <c r="M722" s="1"/>
      <c r="N722" s="1"/>
      <c r="O722" s="1"/>
      <c r="P722" s="1"/>
      <c r="Q722" s="1"/>
      <c r="R722" s="1"/>
      <c r="S722" s="1"/>
      <c r="T722" s="1"/>
      <c r="U722" s="1"/>
      <c r="V722" s="1"/>
      <c r="W722" s="1"/>
      <c r="X722" s="1"/>
      <c r="Y722" s="1"/>
      <c r="Z722" s="1"/>
    </row>
    <row r="723" ht="10.5" customHeight="1">
      <c r="A723" s="1"/>
      <c r="B723" s="1"/>
      <c r="C723" s="1"/>
      <c r="D723" s="1"/>
      <c r="E723" s="1"/>
      <c r="F723" s="1"/>
      <c r="G723" s="1"/>
      <c r="H723" s="110"/>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t="s">
        <v>1868</v>
      </c>
      <c r="C725" s="612"/>
      <c r="D725" s="612"/>
      <c r="E725" s="612"/>
      <c r="F725" s="612"/>
      <c r="G725" s="612"/>
      <c r="H725" s="1"/>
      <c r="I725" s="1"/>
      <c r="J725" s="1"/>
      <c r="K725" s="1"/>
      <c r="L725" s="1"/>
      <c r="M725" s="1"/>
      <c r="N725" s="1"/>
      <c r="O725" s="1"/>
      <c r="P725" s="1"/>
      <c r="Q725" s="1"/>
      <c r="R725" s="1"/>
      <c r="S725" s="1"/>
      <c r="T725" s="1"/>
      <c r="U725" s="1"/>
      <c r="V725" s="1"/>
      <c r="W725" s="1"/>
      <c r="X725" s="1"/>
      <c r="Y725" s="1"/>
      <c r="Z725" s="1"/>
    </row>
    <row r="726" ht="23.25" customHeight="1">
      <c r="A726" s="1"/>
      <c r="B726" s="189" t="s">
        <v>1</v>
      </c>
      <c r="C726" s="1057" t="s">
        <v>1869</v>
      </c>
      <c r="D726" s="1057" t="s">
        <v>1870</v>
      </c>
      <c r="E726" s="1057" t="s">
        <v>1871</v>
      </c>
      <c r="F726" s="1057" t="s">
        <v>1872</v>
      </c>
      <c r="G726" s="1057" t="s">
        <v>1803</v>
      </c>
      <c r="H726" s="1"/>
      <c r="I726" s="1"/>
      <c r="J726" s="1"/>
      <c r="K726" s="1"/>
      <c r="L726" s="1"/>
      <c r="M726" s="1"/>
      <c r="N726" s="1"/>
      <c r="O726" s="1"/>
      <c r="P726" s="1"/>
      <c r="Q726" s="1"/>
      <c r="R726" s="1"/>
      <c r="S726" s="1"/>
      <c r="T726" s="1"/>
      <c r="U726" s="1"/>
      <c r="V726" s="1"/>
      <c r="W726" s="1"/>
      <c r="X726" s="1"/>
      <c r="Y726" s="1"/>
      <c r="Z726" s="1"/>
    </row>
    <row r="727" ht="11.25" customHeight="1">
      <c r="A727" s="1"/>
      <c r="B727" s="6"/>
      <c r="C727" s="1058" t="s">
        <v>54</v>
      </c>
      <c r="D727" s="9"/>
      <c r="E727" s="9"/>
      <c r="F727" s="9"/>
      <c r="G727" s="10"/>
      <c r="H727" s="1"/>
      <c r="I727" s="1"/>
      <c r="J727" s="1"/>
      <c r="K727" s="1"/>
      <c r="L727" s="1"/>
      <c r="M727" s="1"/>
      <c r="N727" s="1"/>
      <c r="O727" s="1"/>
      <c r="P727" s="1"/>
      <c r="Q727" s="1"/>
      <c r="R727" s="1"/>
      <c r="S727" s="1"/>
      <c r="T727" s="1"/>
      <c r="U727" s="1"/>
      <c r="V727" s="1"/>
      <c r="W727" s="1"/>
      <c r="X727" s="1"/>
      <c r="Y727" s="1"/>
      <c r="Z727" s="1"/>
    </row>
    <row r="728" ht="11.25" customHeight="1">
      <c r="A728" s="1"/>
      <c r="B728" s="512" t="s">
        <v>1704</v>
      </c>
      <c r="C728" s="1088">
        <v>30.0</v>
      </c>
      <c r="D728" s="1088">
        <v>29.0</v>
      </c>
      <c r="E728" s="1088">
        <v>29.0</v>
      </c>
      <c r="F728" s="1088">
        <v>12.0</v>
      </c>
      <c r="G728" s="1088">
        <f>SUM(C728:F728)</f>
        <v>100</v>
      </c>
      <c r="H728" s="1"/>
      <c r="I728" s="1"/>
      <c r="J728" s="1"/>
      <c r="K728" s="1"/>
      <c r="L728" s="1"/>
      <c r="M728" s="1"/>
      <c r="N728" s="1"/>
      <c r="O728" s="1"/>
      <c r="P728" s="1"/>
      <c r="Q728" s="1"/>
      <c r="R728" s="1"/>
      <c r="S728" s="1"/>
      <c r="T728" s="1"/>
      <c r="U728" s="1"/>
      <c r="V728" s="1"/>
      <c r="W728" s="1"/>
      <c r="X728" s="1"/>
      <c r="Y728" s="1"/>
      <c r="Z728" s="1"/>
    </row>
    <row r="729" ht="10.5" customHeight="1">
      <c r="A729" s="1"/>
      <c r="B729" s="238">
        <v>1980.0</v>
      </c>
      <c r="C729" s="585">
        <v>2.7</v>
      </c>
      <c r="D729" s="366">
        <v>3.5</v>
      </c>
      <c r="E729" s="366">
        <v>4.3</v>
      </c>
      <c r="F729" s="366">
        <v>6.7</v>
      </c>
      <c r="G729" s="366">
        <v>3.7</v>
      </c>
      <c r="H729" s="1"/>
      <c r="I729" s="1"/>
      <c r="J729" s="1"/>
      <c r="K729" s="1"/>
      <c r="L729" s="1"/>
      <c r="M729" s="1"/>
      <c r="N729" s="1"/>
      <c r="O729" s="1"/>
      <c r="P729" s="1"/>
      <c r="Q729" s="1"/>
      <c r="R729" s="1"/>
      <c r="S729" s="1"/>
      <c r="T729" s="1"/>
      <c r="U729" s="1"/>
      <c r="V729" s="1"/>
      <c r="W729" s="1"/>
      <c r="X729" s="1"/>
      <c r="Y729" s="1"/>
      <c r="Z729" s="1"/>
    </row>
    <row r="730" ht="10.5" customHeight="1">
      <c r="A730" s="1"/>
      <c r="B730" s="238">
        <v>1981.0</v>
      </c>
      <c r="C730" s="585">
        <v>3.1</v>
      </c>
      <c r="D730" s="366">
        <v>3.9</v>
      </c>
      <c r="E730" s="366">
        <v>4.9</v>
      </c>
      <c r="F730" s="366">
        <v>7.4</v>
      </c>
      <c r="G730" s="366">
        <v>4.2</v>
      </c>
      <c r="H730" s="1"/>
      <c r="I730" s="1"/>
      <c r="J730" s="1"/>
      <c r="K730" s="1"/>
      <c r="L730" s="1"/>
      <c r="M730" s="1"/>
      <c r="N730" s="1"/>
      <c r="O730" s="1"/>
      <c r="P730" s="1"/>
      <c r="Q730" s="1"/>
      <c r="R730" s="1"/>
      <c r="S730" s="1"/>
      <c r="T730" s="1"/>
      <c r="U730" s="1"/>
      <c r="V730" s="1"/>
      <c r="W730" s="1"/>
      <c r="X730" s="1"/>
      <c r="Y730" s="1"/>
      <c r="Z730" s="1"/>
    </row>
    <row r="731" ht="10.5" customHeight="1">
      <c r="A731" s="1"/>
      <c r="B731" s="238">
        <v>1982.0</v>
      </c>
      <c r="C731" s="585">
        <v>3.8</v>
      </c>
      <c r="D731" s="366">
        <v>4.6</v>
      </c>
      <c r="E731" s="366">
        <v>5.9</v>
      </c>
      <c r="F731" s="366">
        <v>8.3</v>
      </c>
      <c r="G731" s="366">
        <v>4.9</v>
      </c>
      <c r="H731" s="1"/>
      <c r="I731" s="1"/>
      <c r="J731" s="1"/>
      <c r="K731" s="1"/>
      <c r="L731" s="1"/>
      <c r="M731" s="1"/>
      <c r="N731" s="1"/>
      <c r="O731" s="1"/>
      <c r="P731" s="1"/>
      <c r="Q731" s="1"/>
      <c r="R731" s="1"/>
      <c r="S731" s="1"/>
      <c r="T731" s="1"/>
      <c r="U731" s="1"/>
      <c r="V731" s="1"/>
      <c r="W731" s="1"/>
      <c r="X731" s="1"/>
      <c r="Y731" s="1"/>
      <c r="Z731" s="1"/>
    </row>
    <row r="732" ht="10.5" customHeight="1">
      <c r="A732" s="1"/>
      <c r="B732" s="238">
        <v>1983.0</v>
      </c>
      <c r="C732" s="585">
        <v>4.3</v>
      </c>
      <c r="D732" s="366">
        <v>5.2</v>
      </c>
      <c r="E732" s="366">
        <v>6.6</v>
      </c>
      <c r="F732" s="366">
        <v>9.6</v>
      </c>
      <c r="G732" s="366">
        <v>5.6</v>
      </c>
      <c r="H732" s="1"/>
      <c r="I732" s="1"/>
      <c r="J732" s="1"/>
      <c r="K732" s="1"/>
      <c r="L732" s="1"/>
      <c r="M732" s="1"/>
      <c r="N732" s="1"/>
      <c r="O732" s="1"/>
      <c r="P732" s="1"/>
      <c r="Q732" s="1"/>
      <c r="R732" s="1"/>
      <c r="S732" s="1"/>
      <c r="T732" s="1"/>
      <c r="U732" s="1"/>
      <c r="V732" s="1"/>
      <c r="W732" s="1"/>
      <c r="X732" s="1"/>
      <c r="Y732" s="1"/>
      <c r="Z732" s="1"/>
    </row>
    <row r="733" ht="10.5" customHeight="1">
      <c r="A733" s="1"/>
      <c r="B733" s="238">
        <v>1984.0</v>
      </c>
      <c r="C733" s="585">
        <v>4.9</v>
      </c>
      <c r="D733" s="366">
        <v>6.1</v>
      </c>
      <c r="E733" s="366">
        <v>7.3</v>
      </c>
      <c r="F733" s="366">
        <v>10.7</v>
      </c>
      <c r="G733" s="366">
        <v>6.4</v>
      </c>
      <c r="H733" s="1"/>
      <c r="I733" s="1"/>
      <c r="J733" s="1"/>
      <c r="K733" s="1"/>
      <c r="L733" s="1"/>
      <c r="M733" s="1"/>
      <c r="N733" s="1"/>
      <c r="O733" s="1"/>
      <c r="P733" s="1"/>
      <c r="Q733" s="1"/>
      <c r="R733" s="1"/>
      <c r="S733" s="1"/>
      <c r="T733" s="1"/>
      <c r="U733" s="1"/>
      <c r="V733" s="1"/>
      <c r="W733" s="1"/>
      <c r="X733" s="1"/>
      <c r="Y733" s="1"/>
      <c r="Z733" s="1"/>
    </row>
    <row r="734" ht="10.5" customHeight="1">
      <c r="A734" s="1"/>
      <c r="B734" s="238"/>
      <c r="C734" s="585"/>
      <c r="D734" s="366"/>
      <c r="E734" s="366"/>
      <c r="F734" s="366"/>
      <c r="G734" s="366"/>
      <c r="H734" s="1"/>
      <c r="I734" s="1"/>
      <c r="J734" s="1"/>
      <c r="K734" s="1"/>
      <c r="L734" s="1"/>
      <c r="M734" s="1"/>
      <c r="N734" s="1"/>
      <c r="O734" s="1"/>
      <c r="P734" s="1"/>
      <c r="Q734" s="1"/>
      <c r="R734" s="1"/>
      <c r="S734" s="1"/>
      <c r="T734" s="1"/>
      <c r="U734" s="1"/>
      <c r="V734" s="1"/>
      <c r="W734" s="1"/>
      <c r="X734" s="1"/>
      <c r="Y734" s="1"/>
      <c r="Z734" s="1"/>
    </row>
    <row r="735" ht="10.5" customHeight="1">
      <c r="A735" s="1"/>
      <c r="B735" s="238">
        <v>1985.0</v>
      </c>
      <c r="C735" s="585">
        <v>6.2</v>
      </c>
      <c r="D735" s="366">
        <v>7.7</v>
      </c>
      <c r="E735" s="366">
        <v>9.0</v>
      </c>
      <c r="F735" s="366">
        <v>12.5</v>
      </c>
      <c r="G735" s="366">
        <v>7.9</v>
      </c>
      <c r="H735" s="1"/>
      <c r="I735" s="1"/>
      <c r="J735" s="1"/>
      <c r="K735" s="1"/>
      <c r="L735" s="1"/>
      <c r="M735" s="1"/>
      <c r="N735" s="1"/>
      <c r="O735" s="1"/>
      <c r="P735" s="1"/>
      <c r="Q735" s="1"/>
      <c r="R735" s="1"/>
      <c r="S735" s="1"/>
      <c r="T735" s="1"/>
      <c r="U735" s="1"/>
      <c r="V735" s="1"/>
      <c r="W735" s="1"/>
      <c r="X735" s="1"/>
      <c r="Y735" s="1"/>
      <c r="Z735" s="1"/>
    </row>
    <row r="736" ht="10.5" customHeight="1">
      <c r="A736" s="1"/>
      <c r="B736" s="238">
        <v>1986.0</v>
      </c>
      <c r="C736" s="585">
        <v>8.1</v>
      </c>
      <c r="D736" s="366">
        <v>9.7</v>
      </c>
      <c r="E736" s="366">
        <v>11.4</v>
      </c>
      <c r="F736" s="366">
        <v>14.9</v>
      </c>
      <c r="G736" s="366">
        <v>10.1</v>
      </c>
      <c r="H736" s="1"/>
      <c r="I736" s="1"/>
      <c r="J736" s="1"/>
      <c r="K736" s="1"/>
      <c r="L736" s="1"/>
      <c r="M736" s="1"/>
      <c r="N736" s="1"/>
      <c r="O736" s="1"/>
      <c r="P736" s="1"/>
      <c r="Q736" s="1"/>
      <c r="R736" s="1"/>
      <c r="S736" s="1"/>
      <c r="T736" s="1"/>
      <c r="U736" s="1"/>
      <c r="V736" s="1"/>
      <c r="W736" s="1"/>
      <c r="X736" s="1"/>
      <c r="Y736" s="1"/>
      <c r="Z736" s="1"/>
    </row>
    <row r="737" ht="10.5" customHeight="1">
      <c r="A737" s="1"/>
      <c r="B737" s="238">
        <v>1987.0</v>
      </c>
      <c r="C737" s="585">
        <v>9.1</v>
      </c>
      <c r="D737" s="366">
        <v>12.0</v>
      </c>
      <c r="E737" s="366">
        <v>13.6</v>
      </c>
      <c r="F737" s="366">
        <v>19.0</v>
      </c>
      <c r="G737" s="366">
        <v>11.9</v>
      </c>
      <c r="H737" s="1"/>
      <c r="I737" s="1"/>
      <c r="J737" s="1"/>
      <c r="K737" s="1"/>
      <c r="L737" s="1"/>
      <c r="M737" s="1"/>
      <c r="N737" s="1"/>
      <c r="O737" s="1"/>
      <c r="P737" s="1"/>
      <c r="Q737" s="1"/>
      <c r="R737" s="1"/>
      <c r="S737" s="1"/>
      <c r="T737" s="1"/>
      <c r="U737" s="1"/>
      <c r="V737" s="1"/>
      <c r="W737" s="1"/>
      <c r="X737" s="1"/>
      <c r="Y737" s="1"/>
      <c r="Z737" s="1"/>
    </row>
    <row r="738" ht="10.5" customHeight="1">
      <c r="A738" s="1"/>
      <c r="B738" s="238">
        <v>1988.0</v>
      </c>
      <c r="C738" s="585">
        <v>10.3</v>
      </c>
      <c r="D738" s="366">
        <v>14.5</v>
      </c>
      <c r="E738" s="366">
        <v>15.2</v>
      </c>
      <c r="F738" s="366">
        <v>22.1</v>
      </c>
      <c r="G738" s="366">
        <v>15.8</v>
      </c>
      <c r="H738" s="1"/>
      <c r="I738" s="1"/>
      <c r="J738" s="1"/>
      <c r="K738" s="1"/>
      <c r="L738" s="1"/>
      <c r="M738" s="1"/>
      <c r="N738" s="1"/>
      <c r="O738" s="1"/>
      <c r="P738" s="1"/>
      <c r="Q738" s="1"/>
      <c r="R738" s="1"/>
      <c r="S738" s="1"/>
      <c r="T738" s="1"/>
      <c r="U738" s="1"/>
      <c r="V738" s="1"/>
      <c r="W738" s="1"/>
      <c r="X738" s="1"/>
      <c r="Y738" s="1"/>
      <c r="Z738" s="1"/>
    </row>
    <row r="739" ht="10.5" customHeight="1">
      <c r="A739" s="1"/>
      <c r="B739" s="238">
        <v>1989.0</v>
      </c>
      <c r="C739" s="585">
        <v>12.9</v>
      </c>
      <c r="D739" s="366">
        <v>17.7</v>
      </c>
      <c r="E739" s="366">
        <v>17.8</v>
      </c>
      <c r="F739" s="366">
        <v>26.3</v>
      </c>
      <c r="G739" s="366">
        <v>16.8</v>
      </c>
      <c r="H739" s="1"/>
      <c r="I739" s="1"/>
      <c r="J739" s="1"/>
      <c r="K739" s="1"/>
      <c r="L739" s="1"/>
      <c r="M739" s="1"/>
      <c r="N739" s="1"/>
      <c r="O739" s="1"/>
      <c r="P739" s="1"/>
      <c r="Q739" s="1"/>
      <c r="R739" s="1"/>
      <c r="S739" s="1"/>
      <c r="T739" s="1"/>
      <c r="U739" s="1"/>
      <c r="V739" s="1"/>
      <c r="W739" s="1"/>
      <c r="X739" s="1"/>
      <c r="Y739" s="1"/>
      <c r="Z739" s="1"/>
    </row>
    <row r="740" ht="10.5" customHeight="1">
      <c r="A740" s="1"/>
      <c r="B740" s="238"/>
      <c r="C740" s="585"/>
      <c r="D740" s="366"/>
      <c r="E740" s="366"/>
      <c r="F740" s="366"/>
      <c r="G740" s="366"/>
      <c r="H740" s="1"/>
      <c r="I740" s="1"/>
      <c r="J740" s="1"/>
      <c r="K740" s="1"/>
      <c r="L740" s="1"/>
      <c r="M740" s="1"/>
      <c r="N740" s="1"/>
      <c r="O740" s="1"/>
      <c r="P740" s="1"/>
      <c r="Q740" s="1"/>
      <c r="R740" s="1"/>
      <c r="S740" s="1"/>
      <c r="T740" s="1"/>
      <c r="U740" s="1"/>
      <c r="V740" s="1"/>
      <c r="W740" s="1"/>
      <c r="X740" s="1"/>
      <c r="Y740" s="1"/>
      <c r="Z740" s="1"/>
    </row>
    <row r="741" ht="10.5" customHeight="1">
      <c r="A741" s="1"/>
      <c r="B741" s="238">
        <v>1990.0</v>
      </c>
      <c r="C741" s="585">
        <v>14.4</v>
      </c>
      <c r="D741" s="366">
        <v>19.3</v>
      </c>
      <c r="E741" s="366">
        <v>20.3</v>
      </c>
      <c r="F741" s="366">
        <v>28.4</v>
      </c>
      <c r="G741" s="366">
        <v>18.6</v>
      </c>
      <c r="H741" s="1"/>
      <c r="I741" s="1"/>
      <c r="J741" s="1"/>
      <c r="K741" s="1"/>
      <c r="L741" s="1"/>
      <c r="M741" s="1"/>
      <c r="N741" s="1"/>
      <c r="O741" s="1"/>
      <c r="P741" s="1"/>
      <c r="Q741" s="1"/>
      <c r="R741" s="1"/>
      <c r="S741" s="1"/>
      <c r="T741" s="1"/>
      <c r="U741" s="1"/>
      <c r="V741" s="1"/>
      <c r="W741" s="1"/>
      <c r="X741" s="1"/>
      <c r="Y741" s="1"/>
      <c r="Z741" s="1"/>
    </row>
    <row r="742" ht="10.5" customHeight="1">
      <c r="A742" s="1"/>
      <c r="B742" s="238">
        <v>1991.0</v>
      </c>
      <c r="C742" s="585">
        <v>16.0</v>
      </c>
      <c r="D742" s="366">
        <v>20.8</v>
      </c>
      <c r="E742" s="366">
        <v>22.0</v>
      </c>
      <c r="F742" s="366">
        <v>30.5</v>
      </c>
      <c r="G742" s="366">
        <v>19.7</v>
      </c>
      <c r="H742" s="1"/>
      <c r="I742" s="1"/>
      <c r="J742" s="1"/>
      <c r="K742" s="1"/>
      <c r="L742" s="1"/>
      <c r="M742" s="1"/>
      <c r="N742" s="1"/>
      <c r="O742" s="1"/>
      <c r="P742" s="1"/>
      <c r="Q742" s="1"/>
      <c r="R742" s="1"/>
      <c r="S742" s="1"/>
      <c r="T742" s="1"/>
      <c r="U742" s="1"/>
      <c r="V742" s="1"/>
      <c r="W742" s="1"/>
      <c r="X742" s="1"/>
      <c r="Y742" s="1"/>
      <c r="Z742" s="1"/>
    </row>
    <row r="743" ht="10.5" customHeight="1">
      <c r="A743" s="1"/>
      <c r="B743" s="238">
        <v>1992.0</v>
      </c>
      <c r="C743" s="585">
        <v>16.9</v>
      </c>
      <c r="D743" s="366">
        <v>23.0</v>
      </c>
      <c r="E743" s="366">
        <v>22.8</v>
      </c>
      <c r="F743" s="366">
        <v>30.9</v>
      </c>
      <c r="G743" s="366">
        <v>21.4</v>
      </c>
      <c r="H743" s="1"/>
      <c r="I743" s="1"/>
      <c r="J743" s="1"/>
      <c r="K743" s="1"/>
      <c r="L743" s="1"/>
      <c r="M743" s="1"/>
      <c r="N743" s="1"/>
      <c r="O743" s="1"/>
      <c r="P743" s="1"/>
      <c r="Q743" s="1"/>
      <c r="R743" s="1"/>
      <c r="S743" s="1"/>
      <c r="T743" s="1"/>
      <c r="U743" s="1"/>
      <c r="V743" s="1"/>
      <c r="W743" s="1"/>
      <c r="X743" s="1"/>
      <c r="Y743" s="1"/>
      <c r="Z743" s="1"/>
    </row>
    <row r="744" ht="10.5" customHeight="1">
      <c r="A744" s="1"/>
      <c r="B744" s="238">
        <v>1993.0</v>
      </c>
      <c r="C744" s="585">
        <v>18.3</v>
      </c>
      <c r="D744" s="366">
        <v>27.4</v>
      </c>
      <c r="E744" s="366">
        <v>26.2</v>
      </c>
      <c r="F744" s="366">
        <v>33.2</v>
      </c>
      <c r="G744" s="366">
        <v>24.2</v>
      </c>
      <c r="H744" s="1"/>
      <c r="I744" s="1"/>
      <c r="J744" s="1"/>
      <c r="K744" s="1"/>
      <c r="L744" s="1"/>
      <c r="M744" s="1"/>
      <c r="N744" s="1"/>
      <c r="O744" s="1"/>
      <c r="P744" s="1"/>
      <c r="Q744" s="1"/>
      <c r="R744" s="1"/>
      <c r="S744" s="1"/>
      <c r="T744" s="1"/>
      <c r="U744" s="1"/>
      <c r="V744" s="1"/>
      <c r="W744" s="1"/>
      <c r="X744" s="1"/>
      <c r="Y744" s="1"/>
      <c r="Z744" s="1"/>
    </row>
    <row r="745" ht="10.5" customHeight="1">
      <c r="A745" s="1"/>
      <c r="B745" s="238">
        <v>1994.0</v>
      </c>
      <c r="C745" s="585">
        <v>19.4</v>
      </c>
      <c r="D745" s="366">
        <v>31.1</v>
      </c>
      <c r="E745" s="366">
        <v>29.2</v>
      </c>
      <c r="F745" s="366">
        <v>36.3</v>
      </c>
      <c r="G745" s="366">
        <v>26.6</v>
      </c>
      <c r="H745" s="612"/>
      <c r="I745" s="612"/>
      <c r="J745" s="1"/>
      <c r="K745" s="1"/>
      <c r="L745" s="1"/>
      <c r="M745" s="1"/>
      <c r="N745" s="1"/>
      <c r="O745" s="1"/>
      <c r="P745" s="1"/>
      <c r="Q745" s="1"/>
      <c r="R745" s="1"/>
      <c r="S745" s="1"/>
      <c r="T745" s="1"/>
      <c r="U745" s="1"/>
      <c r="V745" s="1"/>
      <c r="W745" s="1"/>
      <c r="X745" s="1"/>
      <c r="Y745" s="1"/>
      <c r="Z745" s="1"/>
    </row>
    <row r="746" ht="10.5" customHeight="1">
      <c r="A746" s="1"/>
      <c r="B746" s="238"/>
      <c r="C746" s="585"/>
      <c r="D746" s="366"/>
      <c r="E746" s="366"/>
      <c r="F746" s="366"/>
      <c r="G746" s="366"/>
      <c r="H746" s="612"/>
      <c r="I746" s="612"/>
      <c r="J746" s="1"/>
      <c r="K746" s="1"/>
      <c r="L746" s="1"/>
      <c r="M746" s="1"/>
      <c r="N746" s="1"/>
      <c r="O746" s="1"/>
      <c r="P746" s="1"/>
      <c r="Q746" s="1"/>
      <c r="R746" s="1"/>
      <c r="S746" s="1"/>
      <c r="T746" s="1"/>
      <c r="U746" s="1"/>
      <c r="V746" s="1"/>
      <c r="W746" s="1"/>
      <c r="X746" s="1"/>
      <c r="Y746" s="1"/>
      <c r="Z746" s="1"/>
    </row>
    <row r="747" ht="10.5" customHeight="1">
      <c r="A747" s="1"/>
      <c r="B747" s="238">
        <v>1995.0</v>
      </c>
      <c r="C747" s="585">
        <v>21.1</v>
      </c>
      <c r="D747" s="366">
        <v>34.6</v>
      </c>
      <c r="E747" s="366">
        <v>32.6</v>
      </c>
      <c r="F747" s="366">
        <v>39.5</v>
      </c>
      <c r="G747" s="366">
        <v>29.4</v>
      </c>
      <c r="H747" s="612"/>
      <c r="I747" s="612"/>
      <c r="J747" s="1"/>
      <c r="K747" s="1"/>
      <c r="L747" s="1"/>
      <c r="M747" s="1"/>
      <c r="N747" s="1"/>
      <c r="O747" s="1"/>
      <c r="P747" s="1"/>
      <c r="Q747" s="1"/>
      <c r="R747" s="1"/>
      <c r="S747" s="1"/>
      <c r="T747" s="1"/>
      <c r="U747" s="1"/>
      <c r="V747" s="1"/>
      <c r="W747" s="1"/>
      <c r="X747" s="1"/>
      <c r="Y747" s="1"/>
      <c r="Z747" s="1"/>
    </row>
    <row r="748" ht="10.5" customHeight="1">
      <c r="A748" s="1"/>
      <c r="B748" s="238">
        <v>1996.0</v>
      </c>
      <c r="C748" s="585">
        <v>22.1</v>
      </c>
      <c r="D748" s="366">
        <v>34.7</v>
      </c>
      <c r="E748" s="366">
        <v>35.5</v>
      </c>
      <c r="F748" s="366">
        <v>41.6</v>
      </c>
      <c r="G748" s="366">
        <v>31.3</v>
      </c>
      <c r="H748" s="612"/>
      <c r="I748" s="612"/>
      <c r="J748" s="1"/>
      <c r="K748" s="1"/>
      <c r="L748" s="1"/>
      <c r="M748" s="1"/>
      <c r="N748" s="1"/>
      <c r="O748" s="1"/>
      <c r="P748" s="1"/>
      <c r="Q748" s="1"/>
      <c r="R748" s="1"/>
      <c r="S748" s="1"/>
      <c r="T748" s="1"/>
      <c r="U748" s="1"/>
      <c r="V748" s="1"/>
      <c r="W748" s="1"/>
      <c r="X748" s="1"/>
      <c r="Y748" s="1"/>
      <c r="Z748" s="1"/>
    </row>
    <row r="749" ht="10.5" customHeight="1">
      <c r="A749" s="1"/>
      <c r="B749" s="238">
        <v>1997.0</v>
      </c>
      <c r="C749" s="585">
        <v>25.2</v>
      </c>
      <c r="D749" s="366">
        <v>35.8</v>
      </c>
      <c r="E749" s="366">
        <v>40.0</v>
      </c>
      <c r="F749" s="366">
        <v>29.6</v>
      </c>
      <c r="G749" s="366">
        <v>34.0</v>
      </c>
      <c r="H749" s="612"/>
      <c r="I749" s="612"/>
      <c r="J749" s="1"/>
      <c r="K749" s="1"/>
      <c r="L749" s="1"/>
      <c r="M749" s="1"/>
      <c r="N749" s="1"/>
      <c r="O749" s="1"/>
      <c r="P749" s="1"/>
      <c r="Q749" s="1"/>
      <c r="R749" s="1"/>
      <c r="S749" s="1"/>
      <c r="T749" s="1"/>
      <c r="U749" s="1"/>
      <c r="V749" s="1"/>
      <c r="W749" s="1"/>
      <c r="X749" s="1"/>
      <c r="Y749" s="1"/>
      <c r="Z749" s="1"/>
    </row>
    <row r="750" ht="10.5" customHeight="1">
      <c r="A750" s="1"/>
      <c r="B750" s="238">
        <v>1998.0</v>
      </c>
      <c r="C750" s="585">
        <v>25.2</v>
      </c>
      <c r="D750" s="366">
        <v>37.8</v>
      </c>
      <c r="E750" s="366">
        <v>42.5</v>
      </c>
      <c r="F750" s="366">
        <v>31.1</v>
      </c>
      <c r="G750" s="366">
        <v>36.8</v>
      </c>
      <c r="H750" s="612"/>
      <c r="I750" s="612"/>
      <c r="J750" s="1"/>
      <c r="K750" s="1"/>
      <c r="L750" s="1"/>
      <c r="M750" s="1"/>
      <c r="N750" s="1"/>
      <c r="O750" s="1"/>
      <c r="P750" s="1"/>
      <c r="Q750" s="1"/>
      <c r="R750" s="1"/>
      <c r="S750" s="1"/>
      <c r="T750" s="1"/>
      <c r="U750" s="1"/>
      <c r="V750" s="1"/>
      <c r="W750" s="1"/>
      <c r="X750" s="1"/>
      <c r="Y750" s="1"/>
      <c r="Z750" s="1"/>
    </row>
    <row r="751" ht="10.5" customHeight="1">
      <c r="A751" s="1"/>
      <c r="B751" s="238">
        <v>1999.0</v>
      </c>
      <c r="C751" s="585">
        <v>30.8</v>
      </c>
      <c r="D751" s="366">
        <v>41.9</v>
      </c>
      <c r="E751" s="366">
        <v>44.9</v>
      </c>
      <c r="F751" s="366">
        <v>52.2</v>
      </c>
      <c r="G751" s="366">
        <v>39.7</v>
      </c>
      <c r="H751" s="612"/>
      <c r="I751" s="612"/>
      <c r="J751" s="1"/>
      <c r="K751" s="1"/>
      <c r="L751" s="1"/>
      <c r="M751" s="1"/>
      <c r="N751" s="1"/>
      <c r="O751" s="1"/>
      <c r="P751" s="1"/>
      <c r="Q751" s="1"/>
      <c r="R751" s="1"/>
      <c r="S751" s="1"/>
      <c r="T751" s="1"/>
      <c r="U751" s="1"/>
      <c r="V751" s="1"/>
      <c r="W751" s="1"/>
      <c r="X751" s="1"/>
      <c r="Y751" s="1"/>
      <c r="Z751" s="1"/>
    </row>
    <row r="752" ht="10.5" customHeight="1">
      <c r="A752" s="1"/>
      <c r="B752" s="238"/>
      <c r="C752" s="585"/>
      <c r="D752" s="366"/>
      <c r="E752" s="366"/>
      <c r="F752" s="366"/>
      <c r="G752" s="366"/>
      <c r="H752" s="612"/>
      <c r="I752" s="612"/>
      <c r="J752" s="1"/>
      <c r="K752" s="1"/>
      <c r="L752" s="1"/>
      <c r="M752" s="1"/>
      <c r="N752" s="1"/>
      <c r="O752" s="1"/>
      <c r="P752" s="1"/>
      <c r="Q752" s="1"/>
      <c r="R752" s="1"/>
      <c r="S752" s="1"/>
      <c r="T752" s="1"/>
      <c r="U752" s="1"/>
      <c r="V752" s="1"/>
      <c r="W752" s="1"/>
      <c r="X752" s="1"/>
      <c r="Y752" s="1"/>
      <c r="Z752" s="1"/>
    </row>
    <row r="753" ht="10.5" customHeight="1">
      <c r="A753" s="1"/>
      <c r="B753" s="238">
        <v>2000.0</v>
      </c>
      <c r="C753" s="585">
        <v>32.1</v>
      </c>
      <c r="D753" s="366">
        <v>48.4</v>
      </c>
      <c r="E753" s="366">
        <v>53.4</v>
      </c>
      <c r="F753" s="366">
        <v>59.6</v>
      </c>
      <c r="G753" s="366">
        <v>46.3</v>
      </c>
      <c r="H753" s="612"/>
      <c r="I753" s="612"/>
      <c r="J753" s="1"/>
      <c r="K753" s="1"/>
      <c r="L753" s="1"/>
      <c r="M753" s="1"/>
      <c r="N753" s="1"/>
      <c r="O753" s="1"/>
      <c r="P753" s="1"/>
      <c r="Q753" s="1"/>
      <c r="R753" s="1"/>
      <c r="S753" s="1"/>
      <c r="T753" s="1"/>
      <c r="U753" s="1"/>
      <c r="V753" s="1"/>
      <c r="W753" s="1"/>
      <c r="X753" s="1"/>
      <c r="Y753" s="1"/>
      <c r="Z753" s="1"/>
    </row>
    <row r="754" ht="10.5" customHeight="1">
      <c r="A754" s="1"/>
      <c r="B754" s="238">
        <v>2001.0</v>
      </c>
      <c r="C754" s="585">
        <v>41.5</v>
      </c>
      <c r="D754" s="366">
        <v>54.0</v>
      </c>
      <c r="E754" s="366">
        <v>56.8</v>
      </c>
      <c r="F754" s="366">
        <v>62.8</v>
      </c>
      <c r="G754" s="366">
        <v>52.11</v>
      </c>
      <c r="H754" s="612"/>
      <c r="I754" s="612"/>
      <c r="J754" s="1"/>
      <c r="K754" s="1"/>
      <c r="L754" s="1"/>
      <c r="M754" s="1"/>
      <c r="N754" s="1"/>
      <c r="O754" s="1"/>
      <c r="P754" s="1"/>
      <c r="Q754" s="1"/>
      <c r="R754" s="1"/>
      <c r="S754" s="1"/>
      <c r="T754" s="1"/>
      <c r="U754" s="1"/>
      <c r="V754" s="1"/>
      <c r="W754" s="1"/>
      <c r="X754" s="1"/>
      <c r="Y754" s="1"/>
      <c r="Z754" s="1"/>
    </row>
    <row r="755" ht="10.5" customHeight="1">
      <c r="A755" s="1"/>
      <c r="B755" s="238">
        <v>2002.0</v>
      </c>
      <c r="C755" s="585">
        <v>61.0</v>
      </c>
      <c r="D755" s="366">
        <v>63.0</v>
      </c>
      <c r="E755" s="366">
        <v>65.3</v>
      </c>
      <c r="F755" s="366">
        <v>74.1</v>
      </c>
      <c r="G755" s="366">
        <v>64.4</v>
      </c>
      <c r="H755" s="612"/>
      <c r="I755" s="612"/>
      <c r="J755" s="1"/>
      <c r="K755" s="1"/>
      <c r="L755" s="1"/>
      <c r="M755" s="1"/>
      <c r="N755" s="1"/>
      <c r="O755" s="1"/>
      <c r="P755" s="1"/>
      <c r="Q755" s="1"/>
      <c r="R755" s="1"/>
      <c r="S755" s="1"/>
      <c r="T755" s="1"/>
      <c r="U755" s="1"/>
      <c r="V755" s="1"/>
      <c r="W755" s="1"/>
      <c r="X755" s="1"/>
      <c r="Y755" s="1"/>
      <c r="Z755" s="1"/>
    </row>
    <row r="756" ht="10.5" customHeight="1">
      <c r="A756" s="1"/>
      <c r="B756" s="238">
        <v>2003.0</v>
      </c>
      <c r="C756" s="585">
        <v>65.9</v>
      </c>
      <c r="D756" s="366">
        <v>64.7</v>
      </c>
      <c r="E756" s="366">
        <v>69.0</v>
      </c>
      <c r="F756" s="366">
        <v>80.5</v>
      </c>
      <c r="G756" s="366">
        <v>68.2</v>
      </c>
      <c r="H756" s="612"/>
      <c r="I756" s="612"/>
      <c r="J756" s="1"/>
      <c r="K756" s="1"/>
      <c r="L756" s="1"/>
      <c r="M756" s="1"/>
      <c r="N756" s="1"/>
      <c r="O756" s="1"/>
      <c r="P756" s="1"/>
      <c r="Q756" s="1"/>
      <c r="R756" s="1"/>
      <c r="S756" s="1"/>
      <c r="T756" s="1"/>
      <c r="U756" s="1"/>
      <c r="V756" s="1"/>
      <c r="W756" s="1"/>
      <c r="X756" s="1"/>
      <c r="Y756" s="1"/>
      <c r="Z756" s="1"/>
    </row>
    <row r="757" ht="10.5" customHeight="1">
      <c r="A757" s="1"/>
      <c r="B757" s="238">
        <v>2004.0</v>
      </c>
      <c r="C757" s="585">
        <v>64.0</v>
      </c>
      <c r="D757" s="366">
        <v>65.4</v>
      </c>
      <c r="E757" s="366">
        <v>69.1</v>
      </c>
      <c r="F757" s="366">
        <v>80.4</v>
      </c>
      <c r="G757" s="366">
        <v>67.8</v>
      </c>
      <c r="H757" s="612"/>
      <c r="I757" s="612"/>
      <c r="J757" s="1"/>
      <c r="K757" s="1"/>
      <c r="L757" s="1"/>
      <c r="M757" s="1"/>
      <c r="N757" s="1"/>
      <c r="O757" s="1"/>
      <c r="P757" s="1"/>
      <c r="Q757" s="1"/>
      <c r="R757" s="1"/>
      <c r="S757" s="1"/>
      <c r="T757" s="1"/>
      <c r="U757" s="1"/>
      <c r="V757" s="1"/>
      <c r="W757" s="1"/>
      <c r="X757" s="1"/>
      <c r="Y757" s="1"/>
      <c r="Z757" s="1"/>
    </row>
    <row r="758" ht="10.5" customHeight="1">
      <c r="A758" s="1"/>
      <c r="B758" s="238"/>
      <c r="C758" s="585"/>
      <c r="D758" s="366"/>
      <c r="E758" s="366"/>
      <c r="F758" s="366"/>
      <c r="G758" s="366"/>
      <c r="H758" s="612"/>
      <c r="I758" s="612"/>
      <c r="J758" s="1"/>
      <c r="K758" s="1"/>
      <c r="L758" s="1"/>
      <c r="M758" s="1"/>
      <c r="N758" s="1"/>
      <c r="O758" s="1"/>
      <c r="P758" s="1"/>
      <c r="Q758" s="1"/>
      <c r="R758" s="1"/>
      <c r="S758" s="1"/>
      <c r="T758" s="1"/>
      <c r="U758" s="1"/>
      <c r="V758" s="1"/>
      <c r="W758" s="1"/>
      <c r="X758" s="1"/>
      <c r="Y758" s="1"/>
      <c r="Z758" s="1"/>
    </row>
    <row r="759" ht="10.5" customHeight="1">
      <c r="A759" s="1"/>
      <c r="B759" s="238">
        <v>2005.0</v>
      </c>
      <c r="C759" s="585">
        <v>61.3</v>
      </c>
      <c r="D759" s="585">
        <v>65.9</v>
      </c>
      <c r="E759" s="585">
        <v>68.9</v>
      </c>
      <c r="F759" s="585">
        <v>81.5</v>
      </c>
      <c r="G759" s="585">
        <v>67.2</v>
      </c>
      <c r="H759" s="612"/>
      <c r="I759" s="612"/>
      <c r="J759" s="1"/>
      <c r="K759" s="1"/>
      <c r="L759" s="1"/>
      <c r="M759" s="1"/>
      <c r="N759" s="1"/>
      <c r="O759" s="1"/>
      <c r="P759" s="1"/>
      <c r="Q759" s="1"/>
      <c r="R759" s="1"/>
      <c r="S759" s="1"/>
      <c r="T759" s="1"/>
      <c r="U759" s="1"/>
      <c r="V759" s="1"/>
      <c r="W759" s="1"/>
      <c r="X759" s="1"/>
      <c r="Y759" s="1"/>
      <c r="Z759" s="1"/>
    </row>
    <row r="760" ht="10.5" customHeight="1">
      <c r="A760" s="1"/>
      <c r="B760" s="238">
        <v>2006.0</v>
      </c>
      <c r="C760" s="585">
        <v>61.4</v>
      </c>
      <c r="D760" s="585">
        <v>66.5</v>
      </c>
      <c r="E760" s="585">
        <v>69.0</v>
      </c>
      <c r="F760" s="585">
        <v>85.3</v>
      </c>
      <c r="G760" s="585">
        <v>67.9</v>
      </c>
      <c r="H760" s="612"/>
      <c r="I760" s="612"/>
      <c r="J760" s="1"/>
      <c r="K760" s="1"/>
      <c r="L760" s="1"/>
      <c r="M760" s="1"/>
      <c r="N760" s="1"/>
      <c r="O760" s="1"/>
      <c r="P760" s="1"/>
      <c r="Q760" s="1"/>
      <c r="R760" s="1"/>
      <c r="S760" s="1"/>
      <c r="T760" s="1"/>
      <c r="U760" s="1"/>
      <c r="V760" s="1"/>
      <c r="W760" s="1"/>
      <c r="X760" s="1"/>
      <c r="Y760" s="1"/>
      <c r="Z760" s="1"/>
    </row>
    <row r="761" ht="10.5" customHeight="1">
      <c r="A761" s="1"/>
      <c r="B761" s="238">
        <v>2007.0</v>
      </c>
      <c r="C761" s="585">
        <v>61.5</v>
      </c>
      <c r="D761" s="585">
        <v>67.1</v>
      </c>
      <c r="E761" s="585">
        <v>68.8</v>
      </c>
      <c r="F761" s="585">
        <v>87.6</v>
      </c>
      <c r="G761" s="585">
        <v>68.4</v>
      </c>
      <c r="H761" s="612"/>
      <c r="I761" s="612"/>
      <c r="J761" s="1"/>
      <c r="K761" s="1"/>
      <c r="L761" s="1"/>
      <c r="M761" s="1"/>
      <c r="N761" s="1"/>
      <c r="O761" s="1"/>
      <c r="P761" s="1"/>
      <c r="Q761" s="1"/>
      <c r="R761" s="1"/>
      <c r="S761" s="1"/>
      <c r="T761" s="1"/>
      <c r="U761" s="1"/>
      <c r="V761" s="1"/>
      <c r="W761" s="1"/>
      <c r="X761" s="1"/>
      <c r="Y761" s="1"/>
      <c r="Z761" s="1"/>
    </row>
    <row r="762" ht="10.5" customHeight="1">
      <c r="A762" s="1"/>
      <c r="B762" s="238">
        <v>2008.0</v>
      </c>
      <c r="C762" s="585">
        <v>70.9</v>
      </c>
      <c r="D762" s="585">
        <v>74.2</v>
      </c>
      <c r="E762" s="585">
        <v>77.9</v>
      </c>
      <c r="F762" s="585">
        <v>96.7</v>
      </c>
      <c r="G762" s="585">
        <v>77.0</v>
      </c>
      <c r="H762" s="612"/>
      <c r="I762" s="612"/>
      <c r="J762" s="1"/>
      <c r="K762" s="1"/>
      <c r="L762" s="1"/>
      <c r="M762" s="1"/>
      <c r="N762" s="1"/>
      <c r="O762" s="1"/>
      <c r="P762" s="1"/>
      <c r="Q762" s="1"/>
      <c r="R762" s="1"/>
      <c r="S762" s="1"/>
      <c r="T762" s="1"/>
      <c r="U762" s="1"/>
      <c r="V762" s="1"/>
      <c r="W762" s="1"/>
      <c r="X762" s="1"/>
      <c r="Y762" s="1"/>
      <c r="Z762" s="1"/>
    </row>
    <row r="763" ht="10.5" customHeight="1">
      <c r="A763" s="1"/>
      <c r="B763" s="129">
        <v>2009.0</v>
      </c>
      <c r="C763" s="585">
        <v>86.3</v>
      </c>
      <c r="D763" s="585" t="s">
        <v>1873</v>
      </c>
      <c r="E763" s="585">
        <v>88.0</v>
      </c>
      <c r="F763" s="585">
        <v>98.2</v>
      </c>
      <c r="G763" s="585">
        <v>87.6</v>
      </c>
      <c r="H763" s="612"/>
      <c r="I763" s="612"/>
      <c r="J763" s="1"/>
      <c r="K763" s="1"/>
      <c r="L763" s="1"/>
      <c r="M763" s="1"/>
      <c r="N763" s="1"/>
      <c r="O763" s="1"/>
      <c r="P763" s="1"/>
      <c r="Q763" s="1"/>
      <c r="R763" s="1"/>
      <c r="S763" s="1"/>
      <c r="T763" s="1"/>
      <c r="U763" s="1"/>
      <c r="V763" s="1"/>
      <c r="W763" s="1"/>
      <c r="X763" s="1"/>
      <c r="Y763" s="1"/>
      <c r="Z763" s="1"/>
    </row>
    <row r="764" ht="10.5" customHeight="1">
      <c r="A764" s="1"/>
      <c r="B764" s="129"/>
      <c r="C764" s="585"/>
      <c r="D764" s="585"/>
      <c r="E764" s="585"/>
      <c r="F764" s="585"/>
      <c r="G764" s="585"/>
      <c r="H764" s="612"/>
      <c r="I764" s="612"/>
      <c r="J764" s="1"/>
      <c r="K764" s="1"/>
      <c r="L764" s="1"/>
      <c r="M764" s="1"/>
      <c r="N764" s="1"/>
      <c r="O764" s="1"/>
      <c r="P764" s="1"/>
      <c r="Q764" s="1"/>
      <c r="R764" s="1"/>
      <c r="S764" s="1"/>
      <c r="T764" s="1"/>
      <c r="U764" s="1"/>
      <c r="V764" s="1"/>
      <c r="W764" s="1"/>
      <c r="X764" s="1"/>
      <c r="Y764" s="1"/>
      <c r="Z764" s="1"/>
    </row>
    <row r="765" ht="10.5" customHeight="1">
      <c r="A765" s="1"/>
      <c r="B765" s="129">
        <v>2010.0</v>
      </c>
      <c r="C765" s="585">
        <v>100.0</v>
      </c>
      <c r="D765" s="585">
        <v>100.0</v>
      </c>
      <c r="E765" s="585">
        <v>100.0</v>
      </c>
      <c r="F765" s="585">
        <v>100.0</v>
      </c>
      <c r="G765" s="585">
        <v>100.0</v>
      </c>
      <c r="H765" s="612"/>
      <c r="I765" s="612"/>
      <c r="J765" s="1"/>
      <c r="K765" s="1"/>
      <c r="L765" s="1"/>
      <c r="M765" s="1"/>
      <c r="N765" s="1"/>
      <c r="O765" s="1"/>
      <c r="P765" s="1"/>
      <c r="Q765" s="1"/>
      <c r="R765" s="1"/>
      <c r="S765" s="1"/>
      <c r="T765" s="1"/>
      <c r="U765" s="1"/>
      <c r="V765" s="1"/>
      <c r="W765" s="1"/>
      <c r="X765" s="1"/>
      <c r="Y765" s="1"/>
      <c r="Z765" s="1"/>
    </row>
    <row r="766" ht="10.5" customHeight="1">
      <c r="A766" s="1"/>
      <c r="B766" s="79">
        <v>2011.0</v>
      </c>
      <c r="C766" s="585">
        <v>108.1</v>
      </c>
      <c r="D766" s="585">
        <v>115.5</v>
      </c>
      <c r="E766" s="585">
        <v>110.3</v>
      </c>
      <c r="F766" s="585">
        <v>107.4</v>
      </c>
      <c r="G766" s="585">
        <v>110.8</v>
      </c>
      <c r="H766" s="612"/>
      <c r="I766" s="612"/>
      <c r="J766" s="1"/>
      <c r="K766" s="1"/>
      <c r="L766" s="1"/>
      <c r="M766" s="1"/>
      <c r="N766" s="1"/>
      <c r="O766" s="1"/>
      <c r="P766" s="1"/>
      <c r="Q766" s="1"/>
      <c r="R766" s="1"/>
      <c r="S766" s="1"/>
      <c r="T766" s="1"/>
      <c r="U766" s="1"/>
      <c r="V766" s="1"/>
      <c r="W766" s="1"/>
      <c r="X766" s="1"/>
      <c r="Y766" s="1"/>
      <c r="Z766" s="1"/>
    </row>
    <row r="767" ht="10.5" customHeight="1">
      <c r="A767" s="1"/>
      <c r="B767" s="79" t="s">
        <v>489</v>
      </c>
      <c r="C767" s="585">
        <v>114.5</v>
      </c>
      <c r="D767" s="585">
        <v>133.3</v>
      </c>
      <c r="E767" s="585">
        <v>123.7</v>
      </c>
      <c r="F767" s="585">
        <v>117.7</v>
      </c>
      <c r="G767" s="585">
        <v>123.0</v>
      </c>
      <c r="H767" s="612"/>
      <c r="I767" s="612"/>
      <c r="J767" s="1"/>
      <c r="K767" s="1"/>
      <c r="L767" s="1"/>
      <c r="M767" s="1"/>
      <c r="N767" s="1"/>
      <c r="O767" s="1"/>
      <c r="P767" s="1"/>
      <c r="Q767" s="1"/>
      <c r="R767" s="1"/>
      <c r="S767" s="1"/>
      <c r="T767" s="1"/>
      <c r="U767" s="1"/>
      <c r="V767" s="1"/>
      <c r="W767" s="1"/>
      <c r="X767" s="1"/>
      <c r="Y767" s="1"/>
      <c r="Z767" s="1"/>
    </row>
    <row r="768" ht="10.5" customHeight="1">
      <c r="A768" s="1"/>
      <c r="B768" s="79" t="s">
        <v>55</v>
      </c>
      <c r="C768" s="585">
        <v>126.3</v>
      </c>
      <c r="D768" s="585">
        <v>141.6</v>
      </c>
      <c r="E768" s="585">
        <v>131.4</v>
      </c>
      <c r="F768" s="585">
        <v>126.2</v>
      </c>
      <c r="G768" s="585">
        <v>132.2</v>
      </c>
      <c r="H768" s="612"/>
      <c r="I768" s="612"/>
      <c r="J768" s="1"/>
      <c r="K768" s="1"/>
      <c r="L768" s="1"/>
      <c r="M768" s="1"/>
      <c r="N768" s="1"/>
      <c r="O768" s="1"/>
      <c r="P768" s="1"/>
      <c r="Q768" s="1"/>
      <c r="R768" s="1"/>
      <c r="S768" s="1"/>
      <c r="T768" s="1"/>
      <c r="U768" s="1"/>
      <c r="V768" s="1"/>
      <c r="W768" s="1"/>
      <c r="X768" s="1"/>
      <c r="Y768" s="1"/>
      <c r="Z768" s="1"/>
    </row>
    <row r="769" ht="10.5" customHeight="1">
      <c r="A769" s="1"/>
      <c r="B769" s="79" t="s">
        <v>57</v>
      </c>
      <c r="C769" s="585">
        <v>139.0</v>
      </c>
      <c r="D769" s="585">
        <v>151.1</v>
      </c>
      <c r="E769" s="585">
        <v>139.0</v>
      </c>
      <c r="F769" s="585">
        <v>138.9</v>
      </c>
      <c r="G769" s="585">
        <v>142.5</v>
      </c>
      <c r="H769" s="612"/>
      <c r="I769" s="612"/>
      <c r="J769" s="1"/>
      <c r="K769" s="1"/>
      <c r="L769" s="1"/>
      <c r="M769" s="1"/>
      <c r="N769" s="1"/>
      <c r="O769" s="1"/>
      <c r="P769" s="1"/>
      <c r="Q769" s="1"/>
      <c r="R769" s="1"/>
      <c r="S769" s="1"/>
      <c r="T769" s="1"/>
      <c r="U769" s="1"/>
      <c r="V769" s="1"/>
      <c r="W769" s="1"/>
      <c r="X769" s="1"/>
      <c r="Y769" s="1"/>
      <c r="Z769" s="1"/>
    </row>
    <row r="770" ht="10.5" customHeight="1">
      <c r="A770" s="1"/>
      <c r="B770" s="79"/>
      <c r="C770" s="585"/>
      <c r="D770" s="585"/>
      <c r="E770" s="585"/>
      <c r="F770" s="585"/>
      <c r="G770" s="585"/>
      <c r="H770" s="612"/>
      <c r="I770" s="612"/>
      <c r="J770" s="1"/>
      <c r="K770" s="1"/>
      <c r="L770" s="1"/>
      <c r="M770" s="1"/>
      <c r="N770" s="1"/>
      <c r="O770" s="1"/>
      <c r="P770" s="1"/>
      <c r="Q770" s="1"/>
      <c r="R770" s="1"/>
      <c r="S770" s="1"/>
      <c r="T770" s="1"/>
      <c r="U770" s="1"/>
      <c r="V770" s="1"/>
      <c r="W770" s="1"/>
      <c r="X770" s="1"/>
      <c r="Y770" s="1"/>
      <c r="Z770" s="1"/>
    </row>
    <row r="771" ht="10.5" customHeight="1">
      <c r="A771" s="1"/>
      <c r="B771" s="79" t="s">
        <v>58</v>
      </c>
      <c r="C771" s="585">
        <v>148.6</v>
      </c>
      <c r="D771" s="585">
        <v>159.8</v>
      </c>
      <c r="E771" s="585">
        <v>143.7</v>
      </c>
      <c r="F771" s="585">
        <v>146.5</v>
      </c>
      <c r="G771" s="585">
        <v>150.2</v>
      </c>
      <c r="H771" s="612"/>
      <c r="I771" s="612"/>
      <c r="J771" s="1"/>
      <c r="K771" s="1"/>
      <c r="L771" s="1"/>
      <c r="M771" s="1"/>
      <c r="N771" s="1"/>
      <c r="O771" s="1"/>
      <c r="P771" s="1"/>
      <c r="Q771" s="1"/>
      <c r="R771" s="1"/>
      <c r="S771" s="1"/>
      <c r="T771" s="1"/>
      <c r="U771" s="1"/>
      <c r="V771" s="1"/>
      <c r="W771" s="1"/>
      <c r="X771" s="1"/>
      <c r="Y771" s="1"/>
      <c r="Z771" s="1"/>
    </row>
    <row r="772" ht="10.5" customHeight="1">
      <c r="A772" s="1"/>
      <c r="B772" s="79" t="s">
        <v>59</v>
      </c>
      <c r="C772" s="585">
        <v>165.9</v>
      </c>
      <c r="D772" s="585">
        <v>169.8</v>
      </c>
      <c r="E772" s="585">
        <v>154.7</v>
      </c>
      <c r="F772" s="585">
        <v>156.2</v>
      </c>
      <c r="G772" s="585">
        <v>162.6</v>
      </c>
      <c r="H772" s="612"/>
      <c r="I772" s="612"/>
      <c r="J772" s="1"/>
      <c r="K772" s="1"/>
      <c r="L772" s="1"/>
      <c r="M772" s="1"/>
      <c r="N772" s="1"/>
      <c r="O772" s="1"/>
      <c r="P772" s="1"/>
      <c r="Q772" s="1"/>
      <c r="R772" s="1"/>
      <c r="S772" s="1"/>
      <c r="T772" s="1"/>
      <c r="U772" s="1"/>
      <c r="V772" s="1"/>
      <c r="W772" s="1"/>
      <c r="X772" s="1"/>
      <c r="Y772" s="1"/>
      <c r="Z772" s="1"/>
    </row>
    <row r="773" ht="10.5" customHeight="1">
      <c r="A773" s="1"/>
      <c r="B773" s="52" t="s">
        <v>60</v>
      </c>
      <c r="C773" s="730">
        <v>171.6</v>
      </c>
      <c r="D773" s="730">
        <v>179.9</v>
      </c>
      <c r="E773" s="730">
        <v>158.9</v>
      </c>
      <c r="F773" s="730">
        <v>159.1</v>
      </c>
      <c r="G773" s="730">
        <v>168.8</v>
      </c>
      <c r="H773" s="612"/>
      <c r="I773" s="612"/>
      <c r="J773" s="1"/>
      <c r="K773" s="1"/>
      <c r="L773" s="1"/>
      <c r="M773" s="1"/>
      <c r="N773" s="1"/>
      <c r="O773" s="1"/>
      <c r="P773" s="1"/>
      <c r="Q773" s="1"/>
      <c r="R773" s="1"/>
      <c r="S773" s="1"/>
      <c r="T773" s="1"/>
      <c r="U773" s="1"/>
      <c r="V773" s="1"/>
      <c r="W773" s="1"/>
      <c r="X773" s="1"/>
      <c r="Y773" s="1"/>
      <c r="Z773" s="1"/>
    </row>
    <row r="774" ht="6.0" customHeight="1">
      <c r="A774" s="1"/>
      <c r="B774" s="242"/>
      <c r="C774" s="732"/>
      <c r="D774" s="732"/>
      <c r="E774" s="732"/>
      <c r="F774" s="732"/>
      <c r="G774" s="732"/>
      <c r="H774" s="612"/>
      <c r="I774" s="612"/>
      <c r="J774" s="1"/>
      <c r="K774" s="1"/>
      <c r="L774" s="1"/>
      <c r="M774" s="1"/>
      <c r="N774" s="1"/>
      <c r="O774" s="1"/>
      <c r="P774" s="1"/>
      <c r="Q774" s="1"/>
      <c r="R774" s="1"/>
      <c r="S774" s="1"/>
      <c r="T774" s="1"/>
      <c r="U774" s="1"/>
      <c r="V774" s="1"/>
      <c r="W774" s="1"/>
      <c r="X774" s="1"/>
      <c r="Y774" s="1"/>
      <c r="Z774" s="1"/>
    </row>
    <row r="775" ht="10.5" customHeight="1">
      <c r="A775" s="1"/>
      <c r="B775" s="185" t="s">
        <v>1874</v>
      </c>
      <c r="C775" s="612"/>
      <c r="D775" s="612"/>
      <c r="E775" s="612"/>
      <c r="F775" s="612"/>
      <c r="G775" s="612"/>
      <c r="H775" s="612"/>
      <c r="I775" s="612"/>
      <c r="J775" s="1"/>
      <c r="K775" s="1"/>
      <c r="L775" s="1"/>
      <c r="M775" s="1"/>
      <c r="N775" s="1"/>
      <c r="O775" s="1"/>
      <c r="P775" s="1"/>
      <c r="Q775" s="1"/>
      <c r="R775" s="1"/>
      <c r="S775" s="1"/>
      <c r="T775" s="1"/>
      <c r="U775" s="1"/>
      <c r="V775" s="1"/>
      <c r="W775" s="1"/>
      <c r="X775" s="1"/>
      <c r="Y775" s="1"/>
      <c r="Z775" s="1"/>
    </row>
    <row r="776" ht="10.5" customHeight="1">
      <c r="A776" s="1"/>
      <c r="B776" s="185" t="s">
        <v>1875</v>
      </c>
      <c r="C776" s="612"/>
      <c r="D776" s="612"/>
      <c r="E776" s="612"/>
      <c r="F776" s="612"/>
      <c r="G776" s="612"/>
      <c r="H776" s="612"/>
      <c r="I776" s="612"/>
      <c r="J776" s="1"/>
      <c r="K776" s="1"/>
      <c r="L776" s="1"/>
      <c r="M776" s="1"/>
      <c r="N776" s="1"/>
      <c r="O776" s="1"/>
      <c r="P776" s="1"/>
      <c r="Q776" s="1"/>
      <c r="R776" s="1"/>
      <c r="S776" s="1"/>
      <c r="T776" s="1"/>
      <c r="U776" s="1"/>
      <c r="V776" s="1"/>
      <c r="W776" s="1"/>
      <c r="X776" s="1"/>
      <c r="Y776" s="1"/>
      <c r="Z776" s="1"/>
    </row>
    <row r="777" ht="10.5" customHeight="1">
      <c r="A777" s="1"/>
      <c r="B777" s="185" t="s">
        <v>1876</v>
      </c>
      <c r="C777" s="612"/>
      <c r="D777" s="612"/>
      <c r="E777" s="612"/>
      <c r="F777" s="612"/>
      <c r="G777" s="612"/>
      <c r="H777" s="612"/>
      <c r="I777" s="612"/>
      <c r="J777" s="1"/>
      <c r="K777" s="1"/>
      <c r="L777" s="1"/>
      <c r="M777" s="1"/>
      <c r="N777" s="1"/>
      <c r="O777" s="1"/>
      <c r="P777" s="1"/>
      <c r="Q777" s="1"/>
      <c r="R777" s="1"/>
      <c r="S777" s="1"/>
      <c r="T777" s="1"/>
      <c r="U777" s="1"/>
      <c r="V777" s="1"/>
      <c r="W777" s="1"/>
      <c r="X777" s="1"/>
      <c r="Y777" s="1"/>
      <c r="Z777" s="1"/>
    </row>
    <row r="778" ht="10.5" customHeight="1">
      <c r="A778" s="1"/>
      <c r="B778" s="185" t="s">
        <v>1877</v>
      </c>
      <c r="C778" s="612"/>
      <c r="D778" s="612"/>
      <c r="E778" s="612"/>
      <c r="F778" s="612"/>
      <c r="G778" s="612"/>
      <c r="H778" s="612"/>
      <c r="I778" s="612"/>
      <c r="J778" s="1"/>
      <c r="K778" s="1"/>
      <c r="L778" s="1"/>
      <c r="M778" s="1"/>
      <c r="N778" s="1"/>
      <c r="O778" s="1"/>
      <c r="P778" s="1"/>
      <c r="Q778" s="1"/>
      <c r="R778" s="1"/>
      <c r="S778" s="1"/>
      <c r="T778" s="1"/>
      <c r="U778" s="1"/>
      <c r="V778" s="1"/>
      <c r="W778" s="1"/>
      <c r="X778" s="1"/>
      <c r="Y778" s="1"/>
      <c r="Z778" s="1"/>
    </row>
    <row r="779" ht="10.5" customHeight="1">
      <c r="A779" s="1"/>
      <c r="B779" s="185" t="s">
        <v>1878</v>
      </c>
      <c r="C779" s="1"/>
      <c r="D779" s="1"/>
      <c r="E779" s="1"/>
      <c r="F779" s="1"/>
      <c r="G779" s="1"/>
      <c r="H779" s="612"/>
      <c r="I779" s="612"/>
      <c r="J779" s="1"/>
      <c r="K779" s="1"/>
      <c r="L779" s="1"/>
      <c r="M779" s="1"/>
      <c r="N779" s="1"/>
      <c r="O779" s="1"/>
      <c r="P779" s="1"/>
      <c r="Q779" s="1"/>
      <c r="R779" s="1"/>
      <c r="S779" s="1"/>
      <c r="T779" s="1"/>
      <c r="U779" s="1"/>
      <c r="V779" s="1"/>
      <c r="W779" s="1"/>
      <c r="X779" s="1"/>
      <c r="Y779" s="1"/>
      <c r="Z779" s="1"/>
    </row>
    <row r="780" ht="10.5" customHeight="1">
      <c r="A780" s="1"/>
      <c r="B780" s="185" t="s">
        <v>1879</v>
      </c>
      <c r="C780" s="1"/>
      <c r="D780" s="1"/>
      <c r="E780" s="1"/>
      <c r="F780" s="1"/>
      <c r="G780" s="1"/>
      <c r="H780" s="612"/>
      <c r="I780" s="612"/>
      <c r="J780" s="1"/>
      <c r="K780" s="1"/>
      <c r="L780" s="1"/>
      <c r="M780" s="1"/>
      <c r="N780" s="1"/>
      <c r="O780" s="1"/>
      <c r="P780" s="1"/>
      <c r="Q780" s="1"/>
      <c r="R780" s="1"/>
      <c r="S780" s="1"/>
      <c r="T780" s="1"/>
      <c r="U780" s="1"/>
      <c r="V780" s="1"/>
      <c r="W780" s="1"/>
      <c r="X780" s="1"/>
      <c r="Y780" s="1"/>
      <c r="Z780" s="1"/>
    </row>
    <row r="781" ht="10.5" customHeight="1">
      <c r="A781" s="1"/>
      <c r="B781" s="1"/>
      <c r="C781" s="1"/>
      <c r="D781" s="1"/>
      <c r="E781" s="1"/>
      <c r="F781" s="1"/>
      <c r="G781" s="1"/>
      <c r="H781" s="612"/>
      <c r="I781" s="612"/>
      <c r="J781" s="1"/>
      <c r="K781" s="1"/>
      <c r="L781" s="1"/>
      <c r="M781" s="1"/>
      <c r="N781" s="1"/>
      <c r="O781" s="1"/>
      <c r="P781" s="1"/>
      <c r="Q781" s="1"/>
      <c r="R781" s="1"/>
      <c r="S781" s="1"/>
      <c r="T781" s="1"/>
      <c r="U781" s="1"/>
      <c r="V781" s="1"/>
      <c r="W781" s="1"/>
      <c r="X781" s="1"/>
      <c r="Y781" s="1"/>
      <c r="Z781" s="1"/>
    </row>
    <row r="782" ht="10.5" customHeight="1">
      <c r="A782" s="1"/>
      <c r="B782" s="1"/>
      <c r="C782" s="1"/>
      <c r="D782" s="1"/>
      <c r="E782" s="1"/>
      <c r="F782" s="1"/>
      <c r="G782" s="1"/>
      <c r="H782" s="612"/>
      <c r="I782" s="612"/>
      <c r="J782" s="1"/>
      <c r="K782" s="1"/>
      <c r="L782" s="1"/>
      <c r="M782" s="1"/>
      <c r="N782" s="1"/>
      <c r="O782" s="1"/>
      <c r="P782" s="1"/>
      <c r="Q782" s="1"/>
      <c r="R782" s="1"/>
      <c r="S782" s="1"/>
      <c r="T782" s="1"/>
      <c r="U782" s="1"/>
      <c r="V782" s="1"/>
      <c r="W782" s="1"/>
      <c r="X782" s="1"/>
      <c r="Y782" s="1"/>
      <c r="Z782" s="1"/>
    </row>
    <row r="783" ht="10.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0.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0.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0.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0.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0.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0.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0.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0.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0.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0.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0.5" customHeight="1">
      <c r="A794" s="1"/>
      <c r="B794" s="1"/>
      <c r="C794" s="1"/>
      <c r="D794" s="1"/>
      <c r="E794" s="1"/>
      <c r="F794" s="1"/>
      <c r="G794" s="1"/>
      <c r="H794" s="612"/>
      <c r="I794" s="612"/>
      <c r="J794" s="1"/>
      <c r="K794" s="1"/>
      <c r="L794" s="1"/>
      <c r="M794" s="1"/>
      <c r="N794" s="1"/>
      <c r="O794" s="1"/>
      <c r="P794" s="1"/>
      <c r="Q794" s="1"/>
      <c r="R794" s="1"/>
      <c r="S794" s="1"/>
      <c r="T794" s="1"/>
      <c r="U794" s="1"/>
      <c r="V794" s="1"/>
      <c r="W794" s="1"/>
      <c r="X794" s="1"/>
      <c r="Y794" s="1"/>
      <c r="Z794" s="1"/>
    </row>
    <row r="795" ht="10.5" customHeight="1">
      <c r="A795" s="1"/>
      <c r="B795" s="1"/>
      <c r="C795" s="1"/>
      <c r="D795" s="1"/>
      <c r="E795" s="1"/>
      <c r="F795" s="1"/>
      <c r="G795" s="1"/>
      <c r="H795" s="612"/>
      <c r="I795" s="612"/>
      <c r="J795" s="1"/>
      <c r="K795" s="1"/>
      <c r="L795" s="1"/>
      <c r="M795" s="1"/>
      <c r="N795" s="1"/>
      <c r="O795" s="1"/>
      <c r="P795" s="1"/>
      <c r="Q795" s="1"/>
      <c r="R795" s="1"/>
      <c r="S795" s="1"/>
      <c r="T795" s="1"/>
      <c r="U795" s="1"/>
      <c r="V795" s="1"/>
      <c r="W795" s="1"/>
      <c r="X795" s="1"/>
      <c r="Y795" s="1"/>
      <c r="Z795" s="1"/>
    </row>
    <row r="796" ht="10.5" customHeight="1">
      <c r="A796" s="1"/>
      <c r="B796" s="1"/>
      <c r="C796" s="1"/>
      <c r="D796" s="1"/>
      <c r="E796" s="1"/>
      <c r="F796" s="1"/>
      <c r="G796" s="1"/>
      <c r="H796" s="612"/>
      <c r="I796" s="612"/>
      <c r="J796" s="1"/>
      <c r="K796" s="1"/>
      <c r="L796" s="1"/>
      <c r="M796" s="1"/>
      <c r="N796" s="1"/>
      <c r="O796" s="1"/>
      <c r="P796" s="1"/>
      <c r="Q796" s="1"/>
      <c r="R796" s="1"/>
      <c r="S796" s="1"/>
      <c r="T796" s="1"/>
      <c r="U796" s="1"/>
      <c r="V796" s="1"/>
      <c r="W796" s="1"/>
      <c r="X796" s="1"/>
      <c r="Y796" s="1"/>
      <c r="Z796" s="1"/>
    </row>
    <row r="797" ht="10.5" customHeight="1">
      <c r="A797" s="1"/>
      <c r="B797" s="1"/>
      <c r="C797" s="1"/>
      <c r="D797" s="1"/>
      <c r="E797" s="1"/>
      <c r="F797" s="1"/>
      <c r="G797" s="1"/>
      <c r="H797" s="612"/>
      <c r="I797" s="612"/>
      <c r="J797" s="1"/>
      <c r="K797" s="1"/>
      <c r="L797" s="1"/>
      <c r="M797" s="1"/>
      <c r="N797" s="1"/>
      <c r="O797" s="1"/>
      <c r="P797" s="1"/>
      <c r="Q797" s="1"/>
      <c r="R797" s="1"/>
      <c r="S797" s="1"/>
      <c r="T797" s="1"/>
      <c r="U797" s="1"/>
      <c r="V797" s="1"/>
      <c r="W797" s="1"/>
      <c r="X797" s="1"/>
      <c r="Y797" s="1"/>
      <c r="Z797" s="1"/>
    </row>
    <row r="798" ht="10.5" customHeight="1">
      <c r="A798" s="1"/>
      <c r="B798" s="1"/>
      <c r="C798" s="1"/>
      <c r="D798" s="1"/>
      <c r="E798" s="1"/>
      <c r="F798" s="1"/>
      <c r="G798" s="1"/>
      <c r="H798" s="612"/>
      <c r="I798" s="612"/>
      <c r="J798" s="1"/>
      <c r="K798" s="1"/>
      <c r="L798" s="1"/>
      <c r="M798" s="1"/>
      <c r="N798" s="1"/>
      <c r="O798" s="1"/>
      <c r="P798" s="1"/>
      <c r="Q798" s="1"/>
      <c r="R798" s="1"/>
      <c r="S798" s="1"/>
      <c r="T798" s="1"/>
      <c r="U798" s="1"/>
      <c r="V798" s="1"/>
      <c r="W798" s="1"/>
      <c r="X798" s="1"/>
      <c r="Y798" s="1"/>
      <c r="Z798" s="1"/>
    </row>
    <row r="799" ht="10.5" customHeight="1">
      <c r="A799" s="1"/>
      <c r="B799" s="1"/>
      <c r="C799" s="1"/>
      <c r="D799" s="1"/>
      <c r="E799" s="1"/>
      <c r="F799" s="1"/>
      <c r="G799" s="1"/>
      <c r="H799" s="612"/>
      <c r="I799" s="612"/>
      <c r="J799" s="1"/>
      <c r="K799" s="1"/>
      <c r="L799" s="1"/>
      <c r="M799" s="1"/>
      <c r="N799" s="1"/>
      <c r="O799" s="1"/>
      <c r="P799" s="1"/>
      <c r="Q799" s="1"/>
      <c r="R799" s="1"/>
      <c r="S799" s="1"/>
      <c r="T799" s="1"/>
      <c r="U799" s="1"/>
      <c r="V799" s="1"/>
      <c r="W799" s="1"/>
      <c r="X799" s="1"/>
      <c r="Y799" s="1"/>
      <c r="Z799" s="1"/>
    </row>
    <row r="800" ht="10.5" customHeight="1">
      <c r="A800" s="1"/>
      <c r="B800" s="1"/>
      <c r="C800" s="1"/>
      <c r="D800" s="1"/>
      <c r="E800" s="1"/>
      <c r="F800" s="1"/>
      <c r="G800" s="1"/>
      <c r="H800" s="612"/>
      <c r="I800" s="612"/>
      <c r="J800" s="1"/>
      <c r="K800" s="1"/>
      <c r="L800" s="1"/>
      <c r="M800" s="1"/>
      <c r="N800" s="1"/>
      <c r="O800" s="1"/>
      <c r="P800" s="1"/>
      <c r="Q800" s="1"/>
      <c r="R800" s="1"/>
      <c r="S800" s="1"/>
      <c r="T800" s="1"/>
      <c r="U800" s="1"/>
      <c r="V800" s="1"/>
      <c r="W800" s="1"/>
      <c r="X800" s="1"/>
      <c r="Y800" s="1"/>
      <c r="Z800" s="1"/>
    </row>
    <row r="801" ht="10.5" customHeight="1">
      <c r="A801" s="1"/>
      <c r="B801" s="1"/>
      <c r="C801" s="1"/>
      <c r="D801" s="1"/>
      <c r="E801" s="1"/>
      <c r="F801" s="1"/>
      <c r="G801" s="1"/>
      <c r="H801" s="612"/>
      <c r="I801" s="612"/>
      <c r="J801" s="1"/>
      <c r="K801" s="1"/>
      <c r="L801" s="1"/>
      <c r="M801" s="1"/>
      <c r="N801" s="1"/>
      <c r="O801" s="1"/>
      <c r="P801" s="1"/>
      <c r="Q801" s="1"/>
      <c r="R801" s="1"/>
      <c r="S801" s="1"/>
      <c r="T801" s="1"/>
      <c r="U801" s="1"/>
      <c r="V801" s="1"/>
      <c r="W801" s="1"/>
      <c r="X801" s="1"/>
      <c r="Y801" s="1"/>
      <c r="Z801" s="1"/>
    </row>
    <row r="802" ht="10.5" customHeight="1">
      <c r="A802" s="1"/>
      <c r="B802" s="1"/>
      <c r="C802" s="1"/>
      <c r="D802" s="1"/>
      <c r="E802" s="1"/>
      <c r="F802" s="1"/>
      <c r="G802" s="1"/>
      <c r="H802" s="612"/>
      <c r="I802" s="612"/>
      <c r="J802" s="1"/>
      <c r="K802" s="1"/>
      <c r="L802" s="1"/>
      <c r="M802" s="1"/>
      <c r="N802" s="1"/>
      <c r="O802" s="1"/>
      <c r="P802" s="1"/>
      <c r="Q802" s="1"/>
      <c r="R802" s="1"/>
      <c r="S802" s="1"/>
      <c r="T802" s="1"/>
      <c r="U802" s="1"/>
      <c r="V802" s="1"/>
      <c r="W802" s="1"/>
      <c r="X802" s="1"/>
      <c r="Y802" s="1"/>
      <c r="Z802" s="1"/>
    </row>
    <row r="803" ht="10.5" customHeight="1">
      <c r="A803" s="1"/>
      <c r="B803" s="1"/>
      <c r="C803" s="612"/>
      <c r="D803" s="612"/>
      <c r="E803" s="612"/>
      <c r="F803" s="612"/>
      <c r="G803" s="612"/>
      <c r="H803" s="110">
        <v>99.0</v>
      </c>
      <c r="I803" s="612"/>
      <c r="J803" s="1"/>
      <c r="K803" s="1"/>
      <c r="L803" s="1"/>
      <c r="M803" s="1"/>
      <c r="N803" s="1"/>
      <c r="O803" s="1"/>
      <c r="P803" s="1"/>
      <c r="Q803" s="1"/>
      <c r="R803" s="1"/>
      <c r="S803" s="1"/>
      <c r="T803" s="1"/>
      <c r="U803" s="1"/>
      <c r="V803" s="1"/>
      <c r="W803" s="1"/>
      <c r="X803" s="1"/>
      <c r="Y803" s="1"/>
      <c r="Z803" s="1"/>
    </row>
    <row r="804" ht="10.5" customHeight="1">
      <c r="A804" s="1"/>
      <c r="B804" s="1"/>
      <c r="C804" s="612"/>
      <c r="D804" s="612"/>
      <c r="E804" s="612"/>
      <c r="F804" s="612"/>
      <c r="G804" s="612"/>
      <c r="H804" s="110"/>
      <c r="I804" s="612"/>
      <c r="J804" s="1"/>
      <c r="K804" s="1"/>
      <c r="L804" s="1"/>
      <c r="M804" s="1"/>
      <c r="N804" s="1"/>
      <c r="O804" s="1"/>
      <c r="P804" s="1"/>
      <c r="Q804" s="1"/>
      <c r="R804" s="1"/>
      <c r="S804" s="1"/>
      <c r="T804" s="1"/>
      <c r="U804" s="1"/>
      <c r="V804" s="1"/>
      <c r="W804" s="1"/>
      <c r="X804" s="1"/>
      <c r="Y804" s="1"/>
      <c r="Z804" s="1"/>
    </row>
    <row r="805" ht="10.5" customHeight="1">
      <c r="A805" s="1"/>
      <c r="B805" s="1"/>
      <c r="C805" s="612"/>
      <c r="D805" s="612"/>
      <c r="E805" s="612"/>
      <c r="F805" s="612"/>
      <c r="G805" s="612"/>
      <c r="H805" s="110"/>
      <c r="I805" s="612"/>
      <c r="J805" s="1"/>
      <c r="K805" s="1"/>
      <c r="L805" s="1"/>
      <c r="M805" s="1"/>
      <c r="N805" s="1"/>
      <c r="O805" s="1"/>
      <c r="P805" s="1"/>
      <c r="Q805" s="1"/>
      <c r="R805" s="1"/>
      <c r="S805" s="1"/>
      <c r="T805" s="1"/>
      <c r="U805" s="1"/>
      <c r="V805" s="1"/>
      <c r="W805" s="1"/>
      <c r="X805" s="1"/>
      <c r="Y805" s="1"/>
      <c r="Z805" s="1"/>
    </row>
    <row r="806" ht="11.25" customHeight="1">
      <c r="A806" s="1"/>
      <c r="B806" s="1" t="s">
        <v>1880</v>
      </c>
      <c r="C806" s="612"/>
      <c r="D806" s="612"/>
      <c r="E806" s="612"/>
      <c r="F806" s="612"/>
      <c r="G806" s="612"/>
      <c r="H806" s="612"/>
      <c r="I806" s="612"/>
      <c r="J806" s="1"/>
      <c r="K806" s="1"/>
      <c r="L806" s="1"/>
      <c r="M806" s="1"/>
      <c r="N806" s="1"/>
      <c r="O806" s="1"/>
      <c r="P806" s="1"/>
      <c r="Q806" s="1"/>
      <c r="R806" s="1"/>
      <c r="S806" s="1"/>
      <c r="T806" s="1"/>
      <c r="U806" s="1"/>
      <c r="V806" s="1"/>
      <c r="W806" s="1"/>
      <c r="X806" s="1"/>
      <c r="Y806" s="1"/>
      <c r="Z806" s="1"/>
    </row>
    <row r="807" ht="46.5" customHeight="1">
      <c r="A807" s="1"/>
      <c r="B807" s="189" t="s">
        <v>1</v>
      </c>
      <c r="C807" s="1057" t="s">
        <v>1881</v>
      </c>
      <c r="D807" s="1057" t="s">
        <v>1882</v>
      </c>
      <c r="E807" s="1057" t="s">
        <v>1883</v>
      </c>
      <c r="F807" s="1057" t="s">
        <v>1884</v>
      </c>
      <c r="G807" s="1057" t="s">
        <v>1885</v>
      </c>
      <c r="H807" s="1057" t="s">
        <v>1886</v>
      </c>
      <c r="I807" s="1057" t="s">
        <v>1887</v>
      </c>
      <c r="J807" s="1"/>
      <c r="K807" s="1"/>
      <c r="L807" s="1"/>
      <c r="M807" s="1"/>
      <c r="N807" s="1"/>
      <c r="O807" s="1"/>
      <c r="P807" s="1"/>
      <c r="Q807" s="1"/>
      <c r="R807" s="1"/>
      <c r="S807" s="1"/>
      <c r="T807" s="1"/>
      <c r="U807" s="1"/>
      <c r="V807" s="1"/>
      <c r="W807" s="1"/>
      <c r="X807" s="1"/>
      <c r="Y807" s="1"/>
      <c r="Z807" s="1"/>
    </row>
    <row r="808" ht="11.25" customHeight="1">
      <c r="A808" s="1"/>
      <c r="B808" s="6"/>
      <c r="C808" s="1058" t="s">
        <v>54</v>
      </c>
      <c r="D808" s="9"/>
      <c r="E808" s="9"/>
      <c r="F808" s="9"/>
      <c r="G808" s="9"/>
      <c r="H808" s="9"/>
      <c r="I808" s="10"/>
      <c r="J808" s="1"/>
      <c r="K808" s="1"/>
      <c r="L808" s="1"/>
      <c r="M808" s="1"/>
      <c r="N808" s="1"/>
      <c r="O808" s="1"/>
      <c r="P808" s="1"/>
      <c r="Q808" s="1"/>
      <c r="R808" s="1"/>
      <c r="S808" s="1"/>
      <c r="T808" s="1"/>
      <c r="U808" s="1"/>
      <c r="V808" s="1"/>
      <c r="W808" s="1"/>
      <c r="X808" s="1"/>
      <c r="Y808" s="1"/>
      <c r="Z808" s="1"/>
    </row>
    <row r="809" ht="11.25" customHeight="1">
      <c r="A809" s="1"/>
      <c r="B809" s="512" t="s">
        <v>1704</v>
      </c>
      <c r="C809" s="482">
        <v>9.0</v>
      </c>
      <c r="D809" s="351">
        <v>15.0</v>
      </c>
      <c r="E809" s="351">
        <v>36.0</v>
      </c>
      <c r="F809" s="351">
        <v>9.0</v>
      </c>
      <c r="G809" s="351">
        <v>8.0</v>
      </c>
      <c r="H809" s="351">
        <v>14.0</v>
      </c>
      <c r="I809" s="351">
        <v>100.0</v>
      </c>
      <c r="J809" s="1"/>
      <c r="K809" s="1"/>
      <c r="L809" s="1"/>
      <c r="M809" s="1"/>
      <c r="N809" s="1"/>
      <c r="O809" s="1"/>
      <c r="P809" s="1"/>
      <c r="Q809" s="1"/>
      <c r="R809" s="1"/>
      <c r="S809" s="1"/>
      <c r="T809" s="1"/>
      <c r="U809" s="1"/>
      <c r="V809" s="1"/>
      <c r="W809" s="1"/>
      <c r="X809" s="1"/>
      <c r="Y809" s="1"/>
      <c r="Z809" s="1"/>
    </row>
    <row r="810" ht="10.5" customHeight="1">
      <c r="A810" s="1"/>
      <c r="B810" s="238">
        <v>1980.0</v>
      </c>
      <c r="C810" s="585">
        <v>3.7</v>
      </c>
      <c r="D810" s="366">
        <v>5.1</v>
      </c>
      <c r="E810" s="366">
        <v>4.2</v>
      </c>
      <c r="F810" s="366">
        <v>6.5</v>
      </c>
      <c r="G810" s="366">
        <v>7.5</v>
      </c>
      <c r="H810" s="366">
        <v>4.2</v>
      </c>
      <c r="I810" s="366">
        <v>4.8</v>
      </c>
      <c r="J810" s="1"/>
      <c r="K810" s="1"/>
      <c r="L810" s="1"/>
      <c r="M810" s="1"/>
      <c r="N810" s="1"/>
      <c r="O810" s="1"/>
      <c r="P810" s="1"/>
      <c r="Q810" s="1"/>
      <c r="R810" s="1"/>
      <c r="S810" s="1"/>
      <c r="T810" s="1"/>
      <c r="U810" s="1"/>
      <c r="V810" s="1"/>
      <c r="W810" s="1"/>
      <c r="X810" s="1"/>
      <c r="Y810" s="1"/>
      <c r="Z810" s="1"/>
    </row>
    <row r="811" ht="10.5" customHeight="1">
      <c r="A811" s="1"/>
      <c r="B811" s="238">
        <v>1981.0</v>
      </c>
      <c r="C811" s="585">
        <v>4.0</v>
      </c>
      <c r="D811" s="366">
        <v>5.3</v>
      </c>
      <c r="E811" s="366">
        <v>4.8</v>
      </c>
      <c r="F811" s="366">
        <v>7.0</v>
      </c>
      <c r="G811" s="366">
        <v>8.6</v>
      </c>
      <c r="H811" s="366">
        <v>4.9</v>
      </c>
      <c r="I811" s="366">
        <v>5.3</v>
      </c>
      <c r="J811" s="1"/>
      <c r="K811" s="1"/>
      <c r="L811" s="1"/>
      <c r="M811" s="1"/>
      <c r="N811" s="1"/>
      <c r="O811" s="1"/>
      <c r="P811" s="1"/>
      <c r="Q811" s="1"/>
      <c r="R811" s="1"/>
      <c r="S811" s="1"/>
      <c r="T811" s="1"/>
      <c r="U811" s="1"/>
      <c r="V811" s="1"/>
      <c r="W811" s="1"/>
      <c r="X811" s="1"/>
      <c r="Y811" s="1"/>
      <c r="Z811" s="1"/>
    </row>
    <row r="812" ht="10.5" customHeight="1">
      <c r="A812" s="1"/>
      <c r="B812" s="238">
        <v>1982.0</v>
      </c>
      <c r="C812" s="585">
        <v>4.4</v>
      </c>
      <c r="D812" s="366">
        <v>6.2</v>
      </c>
      <c r="E812" s="366">
        <v>5.7</v>
      </c>
      <c r="F812" s="366">
        <v>8.4</v>
      </c>
      <c r="G812" s="366">
        <v>9.5</v>
      </c>
      <c r="H812" s="366">
        <v>5.9</v>
      </c>
      <c r="I812" s="366">
        <v>6.1</v>
      </c>
      <c r="J812" s="1"/>
      <c r="K812" s="1"/>
      <c r="L812" s="1"/>
      <c r="M812" s="1"/>
      <c r="N812" s="1"/>
      <c r="O812" s="1"/>
      <c r="P812" s="1"/>
      <c r="Q812" s="1"/>
      <c r="R812" s="1"/>
      <c r="S812" s="1"/>
      <c r="T812" s="1"/>
      <c r="U812" s="1"/>
      <c r="V812" s="1"/>
      <c r="W812" s="1"/>
      <c r="X812" s="1"/>
      <c r="Y812" s="1"/>
      <c r="Z812" s="1"/>
    </row>
    <row r="813" ht="10.5" customHeight="1">
      <c r="A813" s="1"/>
      <c r="B813" s="238">
        <v>1983.0</v>
      </c>
      <c r="C813" s="585">
        <v>5.0</v>
      </c>
      <c r="D813" s="366">
        <v>6.1</v>
      </c>
      <c r="E813" s="366">
        <v>7.1</v>
      </c>
      <c r="F813" s="366">
        <v>9.4</v>
      </c>
      <c r="G813" s="366">
        <v>10.2</v>
      </c>
      <c r="H813" s="366">
        <v>6.8</v>
      </c>
      <c r="I813" s="366">
        <v>6.9</v>
      </c>
      <c r="J813" s="1"/>
      <c r="K813" s="1"/>
      <c r="L813" s="1"/>
      <c r="M813" s="1"/>
      <c r="N813" s="1"/>
      <c r="O813" s="1"/>
      <c r="P813" s="1"/>
      <c r="Q813" s="1"/>
      <c r="R813" s="1"/>
      <c r="S813" s="1"/>
      <c r="T813" s="1"/>
      <c r="U813" s="1"/>
      <c r="V813" s="1"/>
      <c r="W813" s="1"/>
      <c r="X813" s="1"/>
      <c r="Y813" s="1"/>
      <c r="Z813" s="1"/>
    </row>
    <row r="814" ht="10.5" customHeight="1">
      <c r="A814" s="1"/>
      <c r="B814" s="238">
        <v>1984.0</v>
      </c>
      <c r="C814" s="585">
        <v>5.4</v>
      </c>
      <c r="D814" s="366">
        <v>5.7</v>
      </c>
      <c r="E814" s="366">
        <v>7.7</v>
      </c>
      <c r="F814" s="366">
        <v>10.3</v>
      </c>
      <c r="G814" s="366">
        <v>11.0</v>
      </c>
      <c r="H814" s="366">
        <v>7.2</v>
      </c>
      <c r="I814" s="366">
        <v>7.3</v>
      </c>
      <c r="J814" s="1"/>
      <c r="K814" s="1"/>
      <c r="L814" s="1"/>
      <c r="M814" s="1"/>
      <c r="N814" s="1"/>
      <c r="O814" s="1"/>
      <c r="P814" s="1"/>
      <c r="Q814" s="1"/>
      <c r="R814" s="1"/>
      <c r="S814" s="1"/>
      <c r="T814" s="1"/>
      <c r="U814" s="1"/>
      <c r="V814" s="1"/>
      <c r="W814" s="1"/>
      <c r="X814" s="1"/>
      <c r="Y814" s="1"/>
      <c r="Z814" s="1"/>
    </row>
    <row r="815" ht="10.5" customHeight="1">
      <c r="A815" s="1"/>
      <c r="B815" s="238"/>
      <c r="C815" s="585"/>
      <c r="D815" s="366"/>
      <c r="E815" s="366"/>
      <c r="F815" s="366"/>
      <c r="G815" s="366"/>
      <c r="H815" s="366"/>
      <c r="I815" s="366"/>
      <c r="J815" s="1"/>
      <c r="K815" s="1"/>
      <c r="L815" s="1"/>
      <c r="M815" s="1"/>
      <c r="N815" s="1"/>
      <c r="O815" s="1"/>
      <c r="P815" s="1"/>
      <c r="Q815" s="1"/>
      <c r="R815" s="1"/>
      <c r="S815" s="1"/>
      <c r="T815" s="1"/>
      <c r="U815" s="1"/>
      <c r="V815" s="1"/>
      <c r="W815" s="1"/>
      <c r="X815" s="1"/>
      <c r="Y815" s="1"/>
      <c r="Z815" s="1"/>
    </row>
    <row r="816" ht="10.5" customHeight="1">
      <c r="A816" s="1"/>
      <c r="B816" s="238">
        <v>1985.0</v>
      </c>
      <c r="C816" s="585">
        <v>7.2</v>
      </c>
      <c r="D816" s="366">
        <v>7.2</v>
      </c>
      <c r="E816" s="366">
        <v>8.4</v>
      </c>
      <c r="F816" s="366">
        <v>12.8</v>
      </c>
      <c r="G816" s="366">
        <v>11.6</v>
      </c>
      <c r="H816" s="366">
        <v>8.1</v>
      </c>
      <c r="I816" s="366">
        <v>8.6</v>
      </c>
      <c r="J816" s="1"/>
      <c r="K816" s="1"/>
      <c r="L816" s="1"/>
      <c r="M816" s="1"/>
      <c r="N816" s="1"/>
      <c r="O816" s="1"/>
      <c r="P816" s="1"/>
      <c r="Q816" s="1"/>
      <c r="R816" s="1"/>
      <c r="S816" s="1"/>
      <c r="T816" s="1"/>
      <c r="U816" s="1"/>
      <c r="V816" s="1"/>
      <c r="W816" s="1"/>
      <c r="X816" s="1"/>
      <c r="Y816" s="1"/>
      <c r="Z816" s="1"/>
    </row>
    <row r="817" ht="10.5" customHeight="1">
      <c r="A817" s="1"/>
      <c r="B817" s="238">
        <v>1986.0</v>
      </c>
      <c r="C817" s="585">
        <v>8.4</v>
      </c>
      <c r="D817" s="366">
        <v>7.8</v>
      </c>
      <c r="E817" s="366">
        <v>9.3</v>
      </c>
      <c r="F817" s="366">
        <v>15.9</v>
      </c>
      <c r="G817" s="366">
        <v>15.0</v>
      </c>
      <c r="H817" s="366">
        <v>10.2</v>
      </c>
      <c r="I817" s="366">
        <v>9.9</v>
      </c>
      <c r="J817" s="1"/>
      <c r="K817" s="1"/>
      <c r="L817" s="1"/>
      <c r="M817" s="1"/>
      <c r="N817" s="1"/>
      <c r="O817" s="1"/>
      <c r="P817" s="1"/>
      <c r="Q817" s="1"/>
      <c r="R817" s="1"/>
      <c r="S817" s="1"/>
      <c r="T817" s="1"/>
      <c r="U817" s="1"/>
      <c r="V817" s="1"/>
      <c r="W817" s="1"/>
      <c r="X817" s="1"/>
      <c r="Y817" s="1"/>
      <c r="Z817" s="1"/>
    </row>
    <row r="818" ht="10.5" customHeight="1">
      <c r="A818" s="1"/>
      <c r="B818" s="238">
        <v>1987.0</v>
      </c>
      <c r="C818" s="585">
        <v>8.3</v>
      </c>
      <c r="D818" s="366">
        <v>7.1</v>
      </c>
      <c r="E818" s="366">
        <v>10.2</v>
      </c>
      <c r="F818" s="366">
        <v>17.1</v>
      </c>
      <c r="G818" s="366">
        <v>17.3</v>
      </c>
      <c r="H818" s="366">
        <v>11.5</v>
      </c>
      <c r="I818" s="366">
        <v>10.3</v>
      </c>
      <c r="J818" s="1"/>
      <c r="K818" s="1"/>
      <c r="L818" s="1"/>
      <c r="M818" s="1"/>
      <c r="N818" s="1"/>
      <c r="O818" s="1"/>
      <c r="P818" s="1"/>
      <c r="Q818" s="1"/>
      <c r="R818" s="1"/>
      <c r="S818" s="1"/>
      <c r="T818" s="1"/>
      <c r="U818" s="1"/>
      <c r="V818" s="1"/>
      <c r="W818" s="1"/>
      <c r="X818" s="1"/>
      <c r="Y818" s="1"/>
      <c r="Z818" s="1"/>
    </row>
    <row r="819" ht="10.5" customHeight="1">
      <c r="A819" s="1"/>
      <c r="B819" s="238">
        <v>1988.0</v>
      </c>
      <c r="C819" s="585">
        <v>10.3</v>
      </c>
      <c r="D819" s="366">
        <v>7.6</v>
      </c>
      <c r="E819" s="366">
        <v>10.8</v>
      </c>
      <c r="F819" s="366">
        <v>18.3</v>
      </c>
      <c r="G819" s="366">
        <v>20.6</v>
      </c>
      <c r="H819" s="366">
        <v>12.5</v>
      </c>
      <c r="I819" s="366">
        <v>11.5</v>
      </c>
      <c r="J819" s="1"/>
      <c r="K819" s="1"/>
      <c r="L819" s="1"/>
      <c r="M819" s="1"/>
      <c r="N819" s="1"/>
      <c r="O819" s="1"/>
      <c r="P819" s="1"/>
      <c r="Q819" s="1"/>
      <c r="R819" s="1"/>
      <c r="S819" s="1"/>
      <c r="T819" s="1"/>
      <c r="U819" s="1"/>
      <c r="V819" s="1"/>
      <c r="W819" s="1"/>
      <c r="X819" s="1"/>
      <c r="Y819" s="1"/>
      <c r="Z819" s="1"/>
    </row>
    <row r="820" ht="10.5" customHeight="1">
      <c r="A820" s="1"/>
      <c r="B820" s="238">
        <v>1989.0</v>
      </c>
      <c r="C820" s="585">
        <v>12.3</v>
      </c>
      <c r="D820" s="366">
        <v>10.0</v>
      </c>
      <c r="E820" s="366">
        <v>12.4</v>
      </c>
      <c r="F820" s="366">
        <v>20.4</v>
      </c>
      <c r="G820" s="366">
        <v>23.2</v>
      </c>
      <c r="H820" s="366">
        <v>15.7</v>
      </c>
      <c r="I820" s="366">
        <v>13.9</v>
      </c>
      <c r="J820" s="1"/>
      <c r="K820" s="1"/>
      <c r="L820" s="1"/>
      <c r="M820" s="1"/>
      <c r="N820" s="1"/>
      <c r="O820" s="1"/>
      <c r="P820" s="1"/>
      <c r="Q820" s="1"/>
      <c r="R820" s="1"/>
      <c r="S820" s="1"/>
      <c r="T820" s="1"/>
      <c r="U820" s="1"/>
      <c r="V820" s="1"/>
      <c r="W820" s="1"/>
      <c r="X820" s="1"/>
      <c r="Y820" s="1"/>
      <c r="Z820" s="1"/>
    </row>
    <row r="821" ht="10.5" customHeight="1">
      <c r="A821" s="1"/>
      <c r="B821" s="238"/>
      <c r="C821" s="585"/>
      <c r="D821" s="366"/>
      <c r="E821" s="366"/>
      <c r="F821" s="366"/>
      <c r="G821" s="366"/>
      <c r="H821" s="366"/>
      <c r="I821" s="366"/>
      <c r="J821" s="1"/>
      <c r="K821" s="1"/>
      <c r="L821" s="1"/>
      <c r="M821" s="1"/>
      <c r="N821" s="1"/>
      <c r="O821" s="1"/>
      <c r="P821" s="1"/>
      <c r="Q821" s="1"/>
      <c r="R821" s="1"/>
      <c r="S821" s="1"/>
      <c r="T821" s="1"/>
      <c r="U821" s="1"/>
      <c r="V821" s="1"/>
      <c r="W821" s="1"/>
      <c r="X821" s="1"/>
      <c r="Y821" s="1"/>
      <c r="Z821" s="1"/>
    </row>
    <row r="822" ht="10.5" customHeight="1">
      <c r="A822" s="1"/>
      <c r="B822" s="238">
        <v>1990.0</v>
      </c>
      <c r="C822" s="585">
        <v>13.2</v>
      </c>
      <c r="D822" s="366">
        <v>11.4</v>
      </c>
      <c r="E822" s="366">
        <v>13.9</v>
      </c>
      <c r="F822" s="366">
        <v>23.0</v>
      </c>
      <c r="G822" s="366">
        <v>26.7</v>
      </c>
      <c r="H822" s="366">
        <v>17.8</v>
      </c>
      <c r="I822" s="366">
        <v>15.5</v>
      </c>
      <c r="J822" s="1"/>
      <c r="K822" s="1"/>
      <c r="L822" s="1"/>
      <c r="M822" s="1"/>
      <c r="N822" s="1"/>
      <c r="O822" s="1"/>
      <c r="P822" s="1"/>
      <c r="Q822" s="1"/>
      <c r="R822" s="1"/>
      <c r="S822" s="1"/>
      <c r="T822" s="1"/>
      <c r="U822" s="1"/>
      <c r="V822" s="1"/>
      <c r="W822" s="1"/>
      <c r="X822" s="1"/>
      <c r="Y822" s="1"/>
      <c r="Z822" s="1"/>
    </row>
    <row r="823" ht="10.5" customHeight="1">
      <c r="A823" s="1"/>
      <c r="B823" s="238">
        <v>1991.0</v>
      </c>
      <c r="C823" s="585">
        <v>14.5</v>
      </c>
      <c r="D823" s="366">
        <v>13.9</v>
      </c>
      <c r="E823" s="366">
        <v>15.4</v>
      </c>
      <c r="F823" s="366">
        <v>26.9</v>
      </c>
      <c r="G823" s="366">
        <v>28.2</v>
      </c>
      <c r="H823" s="366">
        <v>19.4</v>
      </c>
      <c r="I823" s="366">
        <v>17.5</v>
      </c>
      <c r="J823" s="1"/>
      <c r="K823" s="1"/>
      <c r="L823" s="1"/>
      <c r="M823" s="1"/>
      <c r="N823" s="1"/>
      <c r="O823" s="1"/>
      <c r="P823" s="1"/>
      <c r="Q823" s="1"/>
      <c r="R823" s="1"/>
      <c r="S823" s="1"/>
      <c r="T823" s="1"/>
      <c r="U823" s="1"/>
      <c r="V823" s="1"/>
      <c r="W823" s="1"/>
      <c r="X823" s="1"/>
      <c r="Y823" s="1"/>
      <c r="Z823" s="1"/>
    </row>
    <row r="824" ht="10.5" customHeight="1">
      <c r="A824" s="1"/>
      <c r="B824" s="238">
        <v>1992.0</v>
      </c>
      <c r="C824" s="585">
        <v>14.5</v>
      </c>
      <c r="D824" s="366">
        <v>15.1</v>
      </c>
      <c r="E824" s="366">
        <v>16.7</v>
      </c>
      <c r="F824" s="366">
        <v>28.6</v>
      </c>
      <c r="G824" s="366">
        <v>29.7</v>
      </c>
      <c r="H824" s="366">
        <v>21.0</v>
      </c>
      <c r="I824" s="366">
        <v>18.6</v>
      </c>
      <c r="J824" s="1"/>
      <c r="K824" s="1"/>
      <c r="L824" s="1"/>
      <c r="M824" s="1"/>
      <c r="N824" s="1"/>
      <c r="O824" s="1"/>
      <c r="P824" s="1"/>
      <c r="Q824" s="1"/>
      <c r="R824" s="1"/>
      <c r="S824" s="1"/>
      <c r="T824" s="1"/>
      <c r="U824" s="1"/>
      <c r="V824" s="1"/>
      <c r="W824" s="1"/>
      <c r="X824" s="1"/>
      <c r="Y824" s="1"/>
      <c r="Z824" s="1"/>
    </row>
    <row r="825" ht="10.5" customHeight="1">
      <c r="A825" s="1"/>
      <c r="B825" s="238">
        <v>1993.0</v>
      </c>
      <c r="C825" s="585">
        <v>15.6</v>
      </c>
      <c r="D825" s="366">
        <v>16.6</v>
      </c>
      <c r="E825" s="366">
        <v>18.7</v>
      </c>
      <c r="F825" s="366">
        <v>30.2</v>
      </c>
      <c r="G825" s="366">
        <v>32.7</v>
      </c>
      <c r="H825" s="366">
        <v>23.0</v>
      </c>
      <c r="I825" s="366">
        <v>20.4</v>
      </c>
      <c r="J825" s="1"/>
      <c r="K825" s="1"/>
      <c r="L825" s="1"/>
      <c r="M825" s="1"/>
      <c r="N825" s="1"/>
      <c r="O825" s="1"/>
      <c r="P825" s="1"/>
      <c r="Q825" s="1"/>
      <c r="R825" s="1"/>
      <c r="S825" s="1"/>
      <c r="T825" s="1"/>
      <c r="U825" s="1"/>
      <c r="V825" s="1"/>
      <c r="W825" s="1"/>
      <c r="X825" s="1"/>
      <c r="Y825" s="1"/>
      <c r="Z825" s="1"/>
    </row>
    <row r="826" ht="10.5" customHeight="1">
      <c r="A826" s="1"/>
      <c r="B826" s="238">
        <v>1994.0</v>
      </c>
      <c r="C826" s="585">
        <v>17.4</v>
      </c>
      <c r="D826" s="366">
        <v>18.0</v>
      </c>
      <c r="E826" s="366">
        <v>19.7</v>
      </c>
      <c r="F826" s="366">
        <v>32.4</v>
      </c>
      <c r="G826" s="366">
        <v>35.8</v>
      </c>
      <c r="H826" s="366">
        <v>24.1</v>
      </c>
      <c r="I826" s="366">
        <v>21.9</v>
      </c>
      <c r="J826" s="1"/>
      <c r="K826" s="1"/>
      <c r="L826" s="1"/>
      <c r="M826" s="1"/>
      <c r="N826" s="1"/>
      <c r="O826" s="1"/>
      <c r="P826" s="1"/>
      <c r="Q826" s="1"/>
      <c r="R826" s="1"/>
      <c r="S826" s="1"/>
      <c r="T826" s="1"/>
      <c r="U826" s="1"/>
      <c r="V826" s="1"/>
      <c r="W826" s="1"/>
      <c r="X826" s="1"/>
      <c r="Y826" s="1"/>
      <c r="Z826" s="1"/>
    </row>
    <row r="827" ht="10.5" customHeight="1">
      <c r="A827" s="1"/>
      <c r="B827" s="238"/>
      <c r="C827" s="585"/>
      <c r="D827" s="366"/>
      <c r="E827" s="366"/>
      <c r="F827" s="366"/>
      <c r="G827" s="366"/>
      <c r="H827" s="366"/>
      <c r="I827" s="366"/>
      <c r="J827" s="1"/>
      <c r="K827" s="1"/>
      <c r="L827" s="1"/>
      <c r="M827" s="1"/>
      <c r="N827" s="1"/>
      <c r="O827" s="1"/>
      <c r="P827" s="1"/>
      <c r="Q827" s="1"/>
      <c r="R827" s="1"/>
      <c r="S827" s="1"/>
      <c r="T827" s="1"/>
      <c r="U827" s="1"/>
      <c r="V827" s="1"/>
      <c r="W827" s="1"/>
      <c r="X827" s="1"/>
      <c r="Y827" s="1"/>
      <c r="Z827" s="1"/>
    </row>
    <row r="828" ht="10.5" customHeight="1">
      <c r="A828" s="1"/>
      <c r="B828" s="238">
        <v>1995.0</v>
      </c>
      <c r="C828" s="585">
        <v>20.5</v>
      </c>
      <c r="D828" s="366">
        <v>18.7</v>
      </c>
      <c r="E828" s="366">
        <v>21.1</v>
      </c>
      <c r="F828" s="366">
        <v>34.6</v>
      </c>
      <c r="G828" s="366">
        <v>40.4</v>
      </c>
      <c r="H828" s="366">
        <v>25.6</v>
      </c>
      <c r="I828" s="366">
        <v>23.8</v>
      </c>
      <c r="J828" s="1"/>
      <c r="K828" s="1"/>
      <c r="L828" s="1"/>
      <c r="M828" s="1"/>
      <c r="N828" s="1"/>
      <c r="O828" s="1"/>
      <c r="P828" s="1"/>
      <c r="Q828" s="1"/>
      <c r="R828" s="1"/>
      <c r="S828" s="1"/>
      <c r="T828" s="1"/>
      <c r="U828" s="1"/>
      <c r="V828" s="1"/>
      <c r="W828" s="1"/>
      <c r="X828" s="1"/>
      <c r="Y828" s="1"/>
      <c r="Z828" s="1"/>
    </row>
    <row r="829" ht="10.5" customHeight="1">
      <c r="A829" s="1"/>
      <c r="B829" s="238">
        <v>1996.0</v>
      </c>
      <c r="C829" s="585">
        <v>22.3</v>
      </c>
      <c r="D829" s="366">
        <v>23.1</v>
      </c>
      <c r="E829" s="366">
        <v>24.3</v>
      </c>
      <c r="F829" s="366">
        <v>39.9</v>
      </c>
      <c r="G829" s="366">
        <v>50.2</v>
      </c>
      <c r="H829" s="366">
        <v>26.9</v>
      </c>
      <c r="I829" s="366">
        <v>27.5</v>
      </c>
      <c r="J829" s="1"/>
      <c r="K829" s="1"/>
      <c r="L829" s="1"/>
      <c r="M829" s="1"/>
      <c r="N829" s="1"/>
      <c r="O829" s="1"/>
      <c r="P829" s="1"/>
      <c r="Q829" s="1"/>
      <c r="R829" s="1"/>
      <c r="S829" s="1"/>
      <c r="T829" s="1"/>
      <c r="U829" s="1"/>
      <c r="V829" s="1"/>
      <c r="W829" s="1"/>
      <c r="X829" s="1"/>
      <c r="Y829" s="1"/>
      <c r="Z829" s="1"/>
    </row>
    <row r="830" ht="10.5" customHeight="1">
      <c r="A830" s="1"/>
      <c r="B830" s="238">
        <v>1997.0</v>
      </c>
      <c r="C830" s="585">
        <v>24.8</v>
      </c>
      <c r="D830" s="366">
        <v>26.8</v>
      </c>
      <c r="E830" s="366">
        <v>26.6</v>
      </c>
      <c r="F830" s="366">
        <v>49.1</v>
      </c>
      <c r="G830" s="366">
        <v>52.5</v>
      </c>
      <c r="H830" s="366">
        <v>29.7</v>
      </c>
      <c r="I830" s="366">
        <v>29.6</v>
      </c>
      <c r="J830" s="1"/>
      <c r="K830" s="1"/>
      <c r="L830" s="1"/>
      <c r="M830" s="1"/>
      <c r="N830" s="1"/>
      <c r="O830" s="1"/>
      <c r="P830" s="1"/>
      <c r="Q830" s="1"/>
      <c r="R830" s="1"/>
      <c r="S830" s="1"/>
      <c r="T830" s="1"/>
      <c r="U830" s="1"/>
      <c r="V830" s="1"/>
      <c r="W830" s="1"/>
      <c r="X830" s="1"/>
      <c r="Y830" s="1"/>
      <c r="Z830" s="1"/>
    </row>
    <row r="831" ht="10.5" customHeight="1">
      <c r="A831" s="1"/>
      <c r="B831" s="238">
        <v>1998.0</v>
      </c>
      <c r="C831" s="585">
        <v>24.7</v>
      </c>
      <c r="D831" s="366">
        <v>25.2</v>
      </c>
      <c r="E831" s="366">
        <v>27.0</v>
      </c>
      <c r="F831" s="366">
        <v>49.6</v>
      </c>
      <c r="G831" s="366">
        <v>47.8</v>
      </c>
      <c r="H831" s="366">
        <v>32.6</v>
      </c>
      <c r="I831" s="366">
        <v>29.8</v>
      </c>
      <c r="J831" s="1"/>
      <c r="K831" s="1"/>
      <c r="L831" s="1"/>
      <c r="M831" s="1"/>
      <c r="N831" s="1"/>
      <c r="O831" s="1"/>
      <c r="P831" s="1"/>
      <c r="Q831" s="1"/>
      <c r="R831" s="1"/>
      <c r="S831" s="1"/>
      <c r="T831" s="1"/>
      <c r="U831" s="1"/>
      <c r="V831" s="1"/>
      <c r="W831" s="1"/>
      <c r="X831" s="1"/>
      <c r="Y831" s="1"/>
      <c r="Z831" s="1"/>
    </row>
    <row r="832" ht="10.5" customHeight="1">
      <c r="A832" s="1"/>
      <c r="B832" s="238">
        <v>1999.0</v>
      </c>
      <c r="C832" s="585">
        <v>25.3</v>
      </c>
      <c r="D832" s="366">
        <v>31.3</v>
      </c>
      <c r="E832" s="366">
        <v>28.2</v>
      </c>
      <c r="F832" s="366">
        <v>51.3</v>
      </c>
      <c r="G832" s="366">
        <v>48.8</v>
      </c>
      <c r="H832" s="366">
        <v>34.7</v>
      </c>
      <c r="I832" s="366">
        <v>31.2</v>
      </c>
      <c r="J832" s="1"/>
      <c r="K832" s="1"/>
      <c r="L832" s="1"/>
      <c r="M832" s="1"/>
      <c r="N832" s="1"/>
      <c r="O832" s="1"/>
      <c r="P832" s="1"/>
      <c r="Q832" s="1"/>
      <c r="R832" s="1"/>
      <c r="S832" s="1"/>
      <c r="T832" s="1"/>
      <c r="U832" s="1"/>
      <c r="V832" s="1"/>
      <c r="W832" s="1"/>
      <c r="X832" s="1"/>
      <c r="Y832" s="1"/>
      <c r="Z832" s="1"/>
    </row>
    <row r="833" ht="10.5" customHeight="1">
      <c r="A833" s="1"/>
      <c r="B833" s="238"/>
      <c r="C833" s="585"/>
      <c r="D833" s="366"/>
      <c r="E833" s="366"/>
      <c r="F833" s="366"/>
      <c r="G833" s="366"/>
      <c r="H833" s="366"/>
      <c r="I833" s="366"/>
      <c r="J833" s="1"/>
      <c r="K833" s="1"/>
      <c r="L833" s="1"/>
      <c r="M833" s="1"/>
      <c r="N833" s="1"/>
      <c r="O833" s="1"/>
      <c r="P833" s="1"/>
      <c r="Q833" s="1"/>
      <c r="R833" s="1"/>
      <c r="S833" s="1"/>
      <c r="T833" s="1"/>
      <c r="U833" s="1"/>
      <c r="V833" s="1"/>
      <c r="W833" s="1"/>
      <c r="X833" s="1"/>
      <c r="Y833" s="1"/>
      <c r="Z833" s="1"/>
    </row>
    <row r="834" ht="10.5" customHeight="1">
      <c r="A834" s="1"/>
      <c r="B834" s="238">
        <v>2000.0</v>
      </c>
      <c r="C834" s="585">
        <v>30.6</v>
      </c>
      <c r="D834" s="366">
        <v>35.8</v>
      </c>
      <c r="E834" s="366">
        <v>34.9</v>
      </c>
      <c r="F834" s="366">
        <v>57.1</v>
      </c>
      <c r="G834" s="366">
        <v>56.5</v>
      </c>
      <c r="H834" s="366">
        <v>49.5</v>
      </c>
      <c r="I834" s="366">
        <v>39.5</v>
      </c>
      <c r="J834" s="1"/>
      <c r="K834" s="1"/>
      <c r="L834" s="1"/>
      <c r="M834" s="1"/>
      <c r="N834" s="1"/>
      <c r="O834" s="1"/>
      <c r="P834" s="1"/>
      <c r="Q834" s="1"/>
      <c r="R834" s="1"/>
      <c r="S834" s="1"/>
      <c r="T834" s="1"/>
      <c r="U834" s="1"/>
      <c r="V834" s="1"/>
      <c r="W834" s="1"/>
      <c r="X834" s="1"/>
      <c r="Y834" s="1"/>
      <c r="Z834" s="1"/>
    </row>
    <row r="835" ht="10.5" customHeight="1">
      <c r="A835" s="1"/>
      <c r="B835" s="238">
        <v>2001.0</v>
      </c>
      <c r="C835" s="585">
        <v>38.0</v>
      </c>
      <c r="D835" s="366">
        <v>42.1</v>
      </c>
      <c r="E835" s="366">
        <v>38.2</v>
      </c>
      <c r="F835" s="366">
        <v>59.1</v>
      </c>
      <c r="G835" s="366">
        <v>61.5</v>
      </c>
      <c r="H835" s="366">
        <v>51.1</v>
      </c>
      <c r="I835" s="366">
        <v>43.7</v>
      </c>
      <c r="J835" s="1"/>
      <c r="K835" s="1"/>
      <c r="L835" s="1"/>
      <c r="M835" s="1"/>
      <c r="N835" s="1"/>
      <c r="O835" s="1"/>
      <c r="P835" s="1"/>
      <c r="Q835" s="1"/>
      <c r="R835" s="1"/>
      <c r="S835" s="1"/>
      <c r="T835" s="1"/>
      <c r="U835" s="1"/>
      <c r="V835" s="1"/>
      <c r="W835" s="1"/>
      <c r="X835" s="1"/>
      <c r="Y835" s="1"/>
      <c r="Z835" s="1"/>
    </row>
    <row r="836" ht="10.5" customHeight="1">
      <c r="A836" s="1"/>
      <c r="B836" s="238">
        <v>2002.0</v>
      </c>
      <c r="C836" s="585">
        <v>45.8</v>
      </c>
      <c r="D836" s="366">
        <v>47.4</v>
      </c>
      <c r="E836" s="366">
        <v>48.5</v>
      </c>
      <c r="F836" s="366">
        <v>66.0</v>
      </c>
      <c r="G836" s="366">
        <v>62.4</v>
      </c>
      <c r="H836" s="366">
        <v>56.8</v>
      </c>
      <c r="I836" s="366">
        <v>50.9</v>
      </c>
      <c r="J836" s="1"/>
      <c r="K836" s="1"/>
      <c r="L836" s="1"/>
      <c r="M836" s="1"/>
      <c r="N836" s="1"/>
      <c r="O836" s="1"/>
      <c r="P836" s="1"/>
      <c r="Q836" s="1"/>
      <c r="R836" s="1"/>
      <c r="S836" s="1"/>
      <c r="T836" s="1"/>
      <c r="U836" s="1"/>
      <c r="V836" s="1"/>
      <c r="W836" s="1"/>
      <c r="X836" s="1"/>
      <c r="Y836" s="1"/>
      <c r="Z836" s="1"/>
    </row>
    <row r="837" ht="10.5" customHeight="1">
      <c r="A837" s="1"/>
      <c r="B837" s="238">
        <v>2003.0</v>
      </c>
      <c r="C837" s="585">
        <v>44.5</v>
      </c>
      <c r="D837" s="585">
        <v>50.1</v>
      </c>
      <c r="E837" s="585">
        <v>50.9</v>
      </c>
      <c r="F837" s="585">
        <v>63.3</v>
      </c>
      <c r="G837" s="585">
        <v>63.4</v>
      </c>
      <c r="H837" s="585">
        <v>61.6</v>
      </c>
      <c r="I837" s="585">
        <v>53.1</v>
      </c>
      <c r="J837" s="1"/>
      <c r="K837" s="1"/>
      <c r="L837" s="1"/>
      <c r="M837" s="1"/>
      <c r="N837" s="1"/>
      <c r="O837" s="1"/>
      <c r="P837" s="1"/>
      <c r="Q837" s="1"/>
      <c r="R837" s="1"/>
      <c r="S837" s="1"/>
      <c r="T837" s="1"/>
      <c r="U837" s="1"/>
      <c r="V837" s="1"/>
      <c r="W837" s="1"/>
      <c r="X837" s="1"/>
      <c r="Y837" s="1"/>
      <c r="Z837" s="1"/>
    </row>
    <row r="838" ht="10.5" customHeight="1">
      <c r="A838" s="1"/>
      <c r="B838" s="238">
        <v>2004.0</v>
      </c>
      <c r="C838" s="585">
        <v>44.3</v>
      </c>
      <c r="D838" s="585">
        <v>54.3</v>
      </c>
      <c r="E838" s="585">
        <v>51.1</v>
      </c>
      <c r="F838" s="585">
        <v>60.0</v>
      </c>
      <c r="G838" s="585">
        <v>65.1</v>
      </c>
      <c r="H838" s="585">
        <v>62.2</v>
      </c>
      <c r="I838" s="585">
        <v>54.1</v>
      </c>
      <c r="J838" s="1"/>
      <c r="K838" s="1"/>
      <c r="L838" s="1"/>
      <c r="M838" s="1"/>
      <c r="N838" s="1"/>
      <c r="O838" s="1"/>
      <c r="P838" s="1"/>
      <c r="Q838" s="1"/>
      <c r="R838" s="1"/>
      <c r="S838" s="1"/>
      <c r="T838" s="1"/>
      <c r="U838" s="1"/>
      <c r="V838" s="1"/>
      <c r="W838" s="1"/>
      <c r="X838" s="1"/>
      <c r="Y838" s="1"/>
      <c r="Z838" s="1"/>
    </row>
    <row r="839" ht="10.5" customHeight="1">
      <c r="A839" s="1"/>
      <c r="B839" s="238"/>
      <c r="C839" s="585"/>
      <c r="D839" s="585"/>
      <c r="E839" s="585"/>
      <c r="F839" s="585"/>
      <c r="G839" s="585"/>
      <c r="H839" s="585"/>
      <c r="I839" s="585"/>
      <c r="J839" s="1"/>
      <c r="K839" s="1"/>
      <c r="L839" s="1"/>
      <c r="M839" s="1"/>
      <c r="N839" s="1"/>
      <c r="O839" s="1"/>
      <c r="P839" s="1"/>
      <c r="Q839" s="1"/>
      <c r="R839" s="1"/>
      <c r="S839" s="1"/>
      <c r="T839" s="1"/>
      <c r="U839" s="1"/>
      <c r="V839" s="1"/>
      <c r="W839" s="1"/>
      <c r="X839" s="1"/>
      <c r="Y839" s="1"/>
      <c r="Z839" s="1"/>
    </row>
    <row r="840" ht="10.5" customHeight="1">
      <c r="A840" s="1"/>
      <c r="B840" s="238">
        <v>2005.0</v>
      </c>
      <c r="C840" s="585">
        <v>47.5</v>
      </c>
      <c r="D840" s="585">
        <v>54.7</v>
      </c>
      <c r="E840" s="585">
        <v>50.4</v>
      </c>
      <c r="F840" s="585">
        <v>59.4</v>
      </c>
      <c r="G840" s="585">
        <v>65.2</v>
      </c>
      <c r="H840" s="585">
        <v>64.1</v>
      </c>
      <c r="I840" s="585">
        <v>54.5</v>
      </c>
      <c r="J840" s="1"/>
      <c r="K840" s="1"/>
      <c r="L840" s="1"/>
      <c r="M840" s="1"/>
      <c r="N840" s="1"/>
      <c r="O840" s="1"/>
      <c r="P840" s="1"/>
      <c r="Q840" s="1"/>
      <c r="R840" s="1"/>
      <c r="S840" s="1"/>
      <c r="T840" s="1"/>
      <c r="U840" s="1"/>
      <c r="V840" s="1"/>
      <c r="W840" s="1"/>
      <c r="X840" s="1"/>
      <c r="Y840" s="1"/>
      <c r="Z840" s="1"/>
    </row>
    <row r="841" ht="10.5" customHeight="1">
      <c r="A841" s="1"/>
      <c r="B841" s="238">
        <v>2006.0</v>
      </c>
      <c r="C841" s="585">
        <v>48.5</v>
      </c>
      <c r="D841" s="585">
        <v>59.3</v>
      </c>
      <c r="E841" s="585">
        <v>53.8</v>
      </c>
      <c r="F841" s="585">
        <v>61.9</v>
      </c>
      <c r="G841" s="585">
        <v>67.6</v>
      </c>
      <c r="H841" s="585">
        <v>68.4</v>
      </c>
      <c r="I841" s="585">
        <v>57.9</v>
      </c>
      <c r="J841" s="1"/>
      <c r="K841" s="1"/>
      <c r="L841" s="1"/>
      <c r="M841" s="1"/>
      <c r="N841" s="1"/>
      <c r="O841" s="1"/>
      <c r="P841" s="1"/>
      <c r="Q841" s="1"/>
      <c r="R841" s="1"/>
      <c r="S841" s="1"/>
      <c r="T841" s="1"/>
      <c r="U841" s="1"/>
      <c r="V841" s="1"/>
      <c r="W841" s="1"/>
      <c r="X841" s="1"/>
      <c r="Y841" s="1"/>
      <c r="Z841" s="1"/>
    </row>
    <row r="842" ht="10.5" customHeight="1">
      <c r="A842" s="1"/>
      <c r="B842" s="238">
        <v>2007.0</v>
      </c>
      <c r="C842" s="585">
        <v>64.4</v>
      </c>
      <c r="D842" s="585">
        <v>68.4</v>
      </c>
      <c r="E842" s="585">
        <v>59.8</v>
      </c>
      <c r="F842" s="585">
        <v>66.7</v>
      </c>
      <c r="G842" s="585">
        <v>69.8</v>
      </c>
      <c r="H842" s="585">
        <v>71.0</v>
      </c>
      <c r="I842" s="585">
        <v>64.3</v>
      </c>
      <c r="J842" s="1"/>
      <c r="K842" s="1"/>
      <c r="L842" s="1"/>
      <c r="M842" s="1"/>
      <c r="N842" s="1"/>
      <c r="O842" s="1"/>
      <c r="P842" s="1"/>
      <c r="Q842" s="1"/>
      <c r="R842" s="1"/>
      <c r="S842" s="1"/>
      <c r="T842" s="1"/>
      <c r="U842" s="1"/>
      <c r="V842" s="1"/>
      <c r="W842" s="1"/>
      <c r="X842" s="1"/>
      <c r="Y842" s="1"/>
      <c r="Z842" s="1"/>
    </row>
    <row r="843" ht="10.5" customHeight="1">
      <c r="A843" s="1"/>
      <c r="B843" s="238">
        <v>2008.0</v>
      </c>
      <c r="C843" s="585">
        <v>76.1</v>
      </c>
      <c r="D843" s="585">
        <v>101.0</v>
      </c>
      <c r="E843" s="585">
        <v>74.8</v>
      </c>
      <c r="F843" s="585">
        <v>76.3</v>
      </c>
      <c r="G843" s="585">
        <v>81.8</v>
      </c>
      <c r="H843" s="585">
        <v>78.3</v>
      </c>
      <c r="I843" s="585">
        <v>79.6</v>
      </c>
      <c r="J843" s="1"/>
      <c r="K843" s="1"/>
      <c r="L843" s="1"/>
      <c r="M843" s="1"/>
      <c r="N843" s="1"/>
      <c r="O843" s="1"/>
      <c r="P843" s="1"/>
      <c r="Q843" s="1"/>
      <c r="R843" s="1"/>
      <c r="S843" s="1"/>
      <c r="T843" s="1"/>
      <c r="U843" s="1"/>
      <c r="V843" s="1"/>
      <c r="W843" s="1"/>
      <c r="X843" s="1"/>
      <c r="Y843" s="1"/>
      <c r="Z843" s="1"/>
    </row>
    <row r="844" ht="10.5" customHeight="1">
      <c r="A844" s="1"/>
      <c r="B844" s="238">
        <v>2009.0</v>
      </c>
      <c r="C844" s="585">
        <v>85.4</v>
      </c>
      <c r="D844" s="585">
        <v>96.1</v>
      </c>
      <c r="E844" s="585">
        <v>87.0</v>
      </c>
      <c r="F844" s="585">
        <v>87.3</v>
      </c>
      <c r="G844" s="585">
        <v>88.2</v>
      </c>
      <c r="H844" s="585">
        <v>88.1</v>
      </c>
      <c r="I844" s="585">
        <v>88.2</v>
      </c>
      <c r="J844" s="1"/>
      <c r="K844" s="1"/>
      <c r="L844" s="1"/>
      <c r="M844" s="1"/>
      <c r="N844" s="1"/>
      <c r="O844" s="1"/>
      <c r="P844" s="1"/>
      <c r="Q844" s="1"/>
      <c r="R844" s="1"/>
      <c r="S844" s="1"/>
      <c r="T844" s="1"/>
      <c r="U844" s="1"/>
      <c r="V844" s="1"/>
      <c r="W844" s="1"/>
      <c r="X844" s="1"/>
      <c r="Y844" s="1"/>
      <c r="Z844" s="1"/>
    </row>
    <row r="845" ht="10.5" customHeight="1">
      <c r="A845" s="1"/>
      <c r="B845" s="238"/>
      <c r="C845" s="585"/>
      <c r="D845" s="585"/>
      <c r="E845" s="585"/>
      <c r="F845" s="585"/>
      <c r="G845" s="585"/>
      <c r="H845" s="585"/>
      <c r="I845" s="585"/>
      <c r="J845" s="1"/>
      <c r="K845" s="1"/>
      <c r="L845" s="1"/>
      <c r="M845" s="1"/>
      <c r="N845" s="1"/>
      <c r="O845" s="1"/>
      <c r="P845" s="1"/>
      <c r="Q845" s="1"/>
      <c r="R845" s="1"/>
      <c r="S845" s="1"/>
      <c r="T845" s="1"/>
      <c r="U845" s="1"/>
      <c r="V845" s="1"/>
      <c r="W845" s="1"/>
      <c r="X845" s="1"/>
      <c r="Y845" s="1"/>
      <c r="Z845" s="1"/>
    </row>
    <row r="846" ht="10.5" customHeight="1">
      <c r="A846" s="1"/>
      <c r="B846" s="129">
        <v>2010.0</v>
      </c>
      <c r="C846" s="585">
        <v>100.0</v>
      </c>
      <c r="D846" s="585">
        <v>100.0</v>
      </c>
      <c r="E846" s="585">
        <v>100.0</v>
      </c>
      <c r="F846" s="585">
        <v>100.0</v>
      </c>
      <c r="G846" s="585">
        <v>100.0</v>
      </c>
      <c r="H846" s="585">
        <v>100.0</v>
      </c>
      <c r="I846" s="585">
        <v>100.0</v>
      </c>
      <c r="J846" s="1"/>
      <c r="K846" s="1"/>
      <c r="L846" s="1"/>
      <c r="M846" s="1"/>
      <c r="N846" s="1"/>
      <c r="O846" s="1"/>
      <c r="P846" s="1"/>
      <c r="Q846" s="1"/>
      <c r="R846" s="1"/>
      <c r="S846" s="1"/>
      <c r="T846" s="1"/>
      <c r="U846" s="1"/>
      <c r="V846" s="1"/>
      <c r="W846" s="1"/>
      <c r="X846" s="1"/>
      <c r="Y846" s="1"/>
      <c r="Z846" s="1"/>
    </row>
    <row r="847" ht="10.5" customHeight="1">
      <c r="A847" s="1"/>
      <c r="B847" s="79">
        <v>2011.0</v>
      </c>
      <c r="C847" s="585">
        <v>108.9</v>
      </c>
      <c r="D847" s="585">
        <v>104.9</v>
      </c>
      <c r="E847" s="585">
        <v>111.9</v>
      </c>
      <c r="F847" s="585">
        <v>110.2</v>
      </c>
      <c r="G847" s="585">
        <v>111.6</v>
      </c>
      <c r="H847" s="585">
        <v>113.6</v>
      </c>
      <c r="I847" s="585">
        <v>110.9</v>
      </c>
      <c r="J847" s="1"/>
      <c r="K847" s="1"/>
      <c r="L847" s="1"/>
      <c r="M847" s="1"/>
      <c r="N847" s="1"/>
      <c r="O847" s="1"/>
      <c r="P847" s="1"/>
      <c r="Q847" s="1"/>
      <c r="R847" s="1"/>
      <c r="S847" s="1"/>
      <c r="T847" s="1"/>
      <c r="U847" s="1"/>
      <c r="V847" s="1"/>
      <c r="W847" s="1"/>
      <c r="X847" s="1"/>
      <c r="Y847" s="1"/>
      <c r="Z847" s="1"/>
    </row>
    <row r="848" ht="10.5" customHeight="1">
      <c r="A848" s="1"/>
      <c r="B848" s="11" t="s">
        <v>489</v>
      </c>
      <c r="C848" s="585">
        <v>115.4</v>
      </c>
      <c r="D848" s="585">
        <v>121.8</v>
      </c>
      <c r="E848" s="585">
        <v>129.0</v>
      </c>
      <c r="F848" s="585">
        <v>123.8</v>
      </c>
      <c r="G848" s="585">
        <v>128.0</v>
      </c>
      <c r="H848" s="585">
        <v>125.3</v>
      </c>
      <c r="I848" s="585">
        <v>126.3</v>
      </c>
      <c r="J848" s="1"/>
      <c r="K848" s="1"/>
      <c r="L848" s="1"/>
      <c r="M848" s="1"/>
      <c r="N848" s="1"/>
      <c r="O848" s="1"/>
      <c r="P848" s="1"/>
      <c r="Q848" s="1"/>
      <c r="R848" s="1"/>
      <c r="S848" s="1"/>
      <c r="T848" s="1"/>
      <c r="U848" s="1"/>
      <c r="V848" s="1"/>
      <c r="W848" s="1"/>
      <c r="X848" s="1"/>
      <c r="Y848" s="1"/>
      <c r="Z848" s="1"/>
    </row>
    <row r="849" ht="10.5" customHeight="1">
      <c r="A849" s="1"/>
      <c r="B849" s="79" t="s">
        <v>55</v>
      </c>
      <c r="C849" s="585">
        <v>121.5</v>
      </c>
      <c r="D849" s="585">
        <v>129.5</v>
      </c>
      <c r="E849" s="585">
        <v>138.0</v>
      </c>
      <c r="F849" s="585">
        <v>131.0</v>
      </c>
      <c r="G849" s="585">
        <v>136.7</v>
      </c>
      <c r="H849" s="585">
        <v>132.7</v>
      </c>
      <c r="I849" s="585">
        <v>134.9</v>
      </c>
      <c r="J849" s="1"/>
      <c r="K849" s="1"/>
      <c r="L849" s="1"/>
      <c r="M849" s="1"/>
      <c r="N849" s="1"/>
      <c r="O849" s="1"/>
      <c r="P849" s="1"/>
      <c r="Q849" s="1"/>
      <c r="R849" s="1"/>
      <c r="S849" s="1"/>
      <c r="T849" s="1"/>
      <c r="U849" s="1"/>
      <c r="V849" s="1"/>
      <c r="W849" s="1"/>
      <c r="X849" s="1"/>
      <c r="Y849" s="1"/>
      <c r="Z849" s="1"/>
    </row>
    <row r="850" ht="10.5" customHeight="1">
      <c r="A850" s="1"/>
      <c r="B850" s="79" t="s">
        <v>57</v>
      </c>
      <c r="C850" s="585">
        <v>124.6</v>
      </c>
      <c r="D850" s="585">
        <v>141.5</v>
      </c>
      <c r="E850" s="585">
        <v>146.4</v>
      </c>
      <c r="F850" s="585">
        <v>139.0</v>
      </c>
      <c r="G850" s="585">
        <v>144.9</v>
      </c>
      <c r="H850" s="585">
        <v>139.0</v>
      </c>
      <c r="I850" s="585">
        <v>142.9</v>
      </c>
      <c r="J850" s="1"/>
      <c r="K850" s="1"/>
      <c r="L850" s="1"/>
      <c r="M850" s="1"/>
      <c r="N850" s="1"/>
      <c r="O850" s="1"/>
      <c r="P850" s="1"/>
      <c r="Q850" s="1"/>
      <c r="R850" s="1"/>
      <c r="S850" s="1"/>
      <c r="T850" s="1"/>
      <c r="U850" s="1"/>
      <c r="V850" s="1"/>
      <c r="W850" s="1"/>
      <c r="X850" s="1"/>
      <c r="Y850" s="1"/>
      <c r="Z850" s="1"/>
    </row>
    <row r="851" ht="10.5" customHeight="1">
      <c r="A851" s="1"/>
      <c r="B851" s="79"/>
      <c r="C851" s="585"/>
      <c r="D851" s="585"/>
      <c r="E851" s="585"/>
      <c r="F851" s="585"/>
      <c r="G851" s="585"/>
      <c r="H851" s="585"/>
      <c r="I851" s="585"/>
      <c r="J851" s="1"/>
      <c r="K851" s="1"/>
      <c r="L851" s="1"/>
      <c r="M851" s="1"/>
      <c r="N851" s="1"/>
      <c r="O851" s="1"/>
      <c r="P851" s="1"/>
      <c r="Q851" s="1"/>
      <c r="R851" s="1"/>
      <c r="S851" s="1"/>
      <c r="T851" s="1"/>
      <c r="U851" s="1"/>
      <c r="V851" s="1"/>
      <c r="W851" s="1"/>
      <c r="X851" s="1"/>
      <c r="Y851" s="1"/>
      <c r="Z851" s="1"/>
    </row>
    <row r="852" ht="10.5" customHeight="1">
      <c r="A852" s="1"/>
      <c r="B852" s="79" t="s">
        <v>58</v>
      </c>
      <c r="C852" s="585">
        <v>127.5</v>
      </c>
      <c r="D852" s="585">
        <v>136.4</v>
      </c>
      <c r="E852" s="585">
        <v>152.7</v>
      </c>
      <c r="F852" s="585">
        <v>146.1</v>
      </c>
      <c r="G852" s="585">
        <v>151.0</v>
      </c>
      <c r="H852" s="585">
        <v>145.7</v>
      </c>
      <c r="I852" s="585">
        <v>147.4</v>
      </c>
      <c r="J852" s="1"/>
      <c r="K852" s="1"/>
      <c r="L852" s="1"/>
      <c r="M852" s="1"/>
      <c r="N852" s="1"/>
      <c r="O852" s="1"/>
      <c r="P852" s="1"/>
      <c r="Q852" s="1"/>
      <c r="R852" s="1"/>
      <c r="S852" s="1"/>
      <c r="T852" s="1"/>
      <c r="U852" s="1"/>
      <c r="V852" s="1"/>
      <c r="W852" s="1"/>
      <c r="X852" s="1"/>
      <c r="Y852" s="1"/>
      <c r="Z852" s="1"/>
    </row>
    <row r="853" ht="10.5" customHeight="1">
      <c r="A853" s="1"/>
      <c r="B853" s="79" t="s">
        <v>59</v>
      </c>
      <c r="C853" s="585">
        <v>131.4</v>
      </c>
      <c r="D853" s="585">
        <v>142.9</v>
      </c>
      <c r="E853" s="585">
        <v>163.6</v>
      </c>
      <c r="F853" s="585">
        <v>153.9</v>
      </c>
      <c r="G853" s="585">
        <v>159.2</v>
      </c>
      <c r="H853" s="585">
        <v>151.6</v>
      </c>
      <c r="I853" s="585">
        <v>155.7</v>
      </c>
      <c r="J853" s="1"/>
      <c r="K853" s="1"/>
      <c r="L853" s="1"/>
      <c r="M853" s="1"/>
      <c r="N853" s="1"/>
      <c r="O853" s="1"/>
      <c r="P853" s="1"/>
      <c r="Q853" s="1"/>
      <c r="R853" s="1"/>
      <c r="S853" s="1"/>
      <c r="T853" s="1"/>
      <c r="U853" s="1"/>
      <c r="V853" s="1"/>
      <c r="W853" s="1"/>
      <c r="X853" s="1"/>
      <c r="Y853" s="1"/>
      <c r="Z853" s="1"/>
    </row>
    <row r="854" ht="10.5" customHeight="1">
      <c r="A854" s="1"/>
      <c r="B854" s="97" t="s">
        <v>60</v>
      </c>
      <c r="C854" s="730">
        <v>136.7</v>
      </c>
      <c r="D854" s="730">
        <v>146.7</v>
      </c>
      <c r="E854" s="730">
        <v>168.6</v>
      </c>
      <c r="F854" s="730">
        <v>167.6</v>
      </c>
      <c r="G854" s="730">
        <v>171.4</v>
      </c>
      <c r="H854" s="730">
        <v>158.5</v>
      </c>
      <c r="I854" s="730">
        <v>162.6</v>
      </c>
      <c r="J854" s="1"/>
      <c r="K854" s="1"/>
      <c r="L854" s="1"/>
      <c r="M854" s="1"/>
      <c r="N854" s="1"/>
      <c r="O854" s="1"/>
      <c r="P854" s="1"/>
      <c r="Q854" s="1"/>
      <c r="R854" s="1"/>
      <c r="S854" s="1"/>
      <c r="T854" s="1"/>
      <c r="U854" s="1"/>
      <c r="V854" s="1"/>
      <c r="W854" s="1"/>
      <c r="X854" s="1"/>
      <c r="Y854" s="1"/>
      <c r="Z854" s="1"/>
    </row>
    <row r="855" ht="6.0" customHeight="1">
      <c r="A855" s="1"/>
      <c r="B855" s="242"/>
      <c r="C855" s="732"/>
      <c r="D855" s="732"/>
      <c r="E855" s="732"/>
      <c r="F855" s="732"/>
      <c r="G855" s="732"/>
      <c r="H855" s="732"/>
      <c r="I855" s="732"/>
      <c r="J855" s="1"/>
      <c r="K855" s="1"/>
      <c r="L855" s="1"/>
      <c r="M855" s="1"/>
      <c r="N855" s="1"/>
      <c r="O855" s="1"/>
      <c r="P855" s="1"/>
      <c r="Q855" s="1"/>
      <c r="R855" s="1"/>
      <c r="S855" s="1"/>
      <c r="T855" s="1"/>
      <c r="U855" s="1"/>
      <c r="V855" s="1"/>
      <c r="W855" s="1"/>
      <c r="X855" s="1"/>
      <c r="Y855" s="1"/>
      <c r="Z855" s="1"/>
    </row>
    <row r="856" ht="10.5" customHeight="1">
      <c r="A856" s="1"/>
      <c r="B856" s="185" t="s">
        <v>1888</v>
      </c>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0.5" customHeight="1">
      <c r="A857" s="1"/>
      <c r="B857" s="185" t="s">
        <v>1889</v>
      </c>
      <c r="C857" s="612"/>
      <c r="D857" s="612"/>
      <c r="E857" s="612"/>
      <c r="F857" s="612"/>
      <c r="G857" s="612"/>
      <c r="H857" s="612"/>
      <c r="I857" s="612"/>
      <c r="J857" s="1"/>
      <c r="K857" s="1"/>
      <c r="L857" s="1"/>
      <c r="M857" s="1"/>
      <c r="N857" s="1"/>
      <c r="O857" s="1"/>
      <c r="P857" s="1"/>
      <c r="Q857" s="1"/>
      <c r="R857" s="1"/>
      <c r="S857" s="1"/>
      <c r="T857" s="1"/>
      <c r="U857" s="1"/>
      <c r="V857" s="1"/>
      <c r="W857" s="1"/>
      <c r="X857" s="1"/>
      <c r="Y857" s="1"/>
      <c r="Z857" s="1"/>
    </row>
    <row r="858" ht="10.5" customHeight="1">
      <c r="A858" s="1"/>
      <c r="B858" s="185" t="s">
        <v>1890</v>
      </c>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0.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0.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0.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0.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0.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0.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0.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0.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0.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0.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0.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0.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0.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0.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0.5" customHeight="1">
      <c r="A873" s="1"/>
      <c r="B873" s="1"/>
      <c r="C873" s="1"/>
      <c r="D873" s="1"/>
      <c r="E873" s="1"/>
      <c r="F873" s="1"/>
      <c r="G873" s="1"/>
      <c r="H873" s="110">
        <v>100.0</v>
      </c>
      <c r="I873" s="1"/>
      <c r="J873" s="1"/>
      <c r="K873" s="1"/>
      <c r="L873" s="1"/>
      <c r="M873" s="1"/>
      <c r="N873" s="1"/>
      <c r="O873" s="1"/>
      <c r="P873" s="1"/>
      <c r="Q873" s="1"/>
      <c r="R873" s="1"/>
      <c r="S873" s="1"/>
      <c r="T873" s="1"/>
      <c r="U873" s="1"/>
      <c r="V873" s="1"/>
      <c r="W873" s="1"/>
      <c r="X873" s="1"/>
      <c r="Y873" s="1"/>
      <c r="Z873" s="1"/>
    </row>
    <row r="874" ht="10.5" customHeight="1">
      <c r="A874" s="1"/>
      <c r="B874" s="1"/>
      <c r="C874" s="1"/>
      <c r="D874" s="1"/>
      <c r="E874" s="1"/>
      <c r="F874" s="1"/>
      <c r="G874" s="1"/>
      <c r="H874" s="110"/>
      <c r="I874" s="1"/>
      <c r="J874" s="1"/>
      <c r="K874" s="1"/>
      <c r="L874" s="1"/>
      <c r="M874" s="1"/>
      <c r="N874" s="1"/>
      <c r="O874" s="1"/>
      <c r="P874" s="1"/>
      <c r="Q874" s="1"/>
      <c r="R874" s="1"/>
      <c r="S874" s="1"/>
      <c r="T874" s="1"/>
      <c r="U874" s="1"/>
      <c r="V874" s="1"/>
      <c r="W874" s="1"/>
      <c r="X874" s="1"/>
      <c r="Y874" s="1"/>
      <c r="Z874" s="1"/>
    </row>
    <row r="875" ht="10.5" customHeight="1">
      <c r="A875" s="1"/>
      <c r="B875" s="1"/>
      <c r="C875" s="1"/>
      <c r="D875" s="1"/>
      <c r="E875" s="1"/>
      <c r="F875" s="1"/>
      <c r="G875" s="1"/>
      <c r="H875" s="110"/>
      <c r="I875" s="1"/>
      <c r="J875" s="1"/>
      <c r="K875" s="1"/>
      <c r="L875" s="1"/>
      <c r="M875" s="1"/>
      <c r="N875" s="1"/>
      <c r="O875" s="1"/>
      <c r="P875" s="1"/>
      <c r="Q875" s="1"/>
      <c r="R875" s="1"/>
      <c r="S875" s="1"/>
      <c r="T875" s="1"/>
      <c r="U875" s="1"/>
      <c r="V875" s="1"/>
      <c r="W875" s="1"/>
      <c r="X875" s="1"/>
      <c r="Y875" s="1"/>
      <c r="Z875" s="1"/>
    </row>
    <row r="876" ht="12.0" customHeight="1">
      <c r="A876" s="1"/>
      <c r="B876" s="1" t="s">
        <v>1891</v>
      </c>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4.0" customHeight="1">
      <c r="A877" s="1"/>
      <c r="B877" s="1091" t="s">
        <v>1</v>
      </c>
      <c r="C877" s="128" t="s">
        <v>1892</v>
      </c>
      <c r="D877" s="10"/>
      <c r="E877" s="128" t="s">
        <v>1519</v>
      </c>
      <c r="F877" s="10"/>
      <c r="G877" s="128" t="s">
        <v>1518</v>
      </c>
      <c r="H877" s="10"/>
      <c r="I877" s="128" t="s">
        <v>1893</v>
      </c>
      <c r="J877" s="10"/>
      <c r="K877" s="128" t="s">
        <v>1894</v>
      </c>
      <c r="L877" s="10"/>
      <c r="M877" s="1"/>
      <c r="N877" s="1"/>
      <c r="O877" s="1"/>
      <c r="P877" s="1"/>
      <c r="Q877" s="1"/>
      <c r="R877" s="1"/>
      <c r="S877" s="1"/>
      <c r="T877" s="1"/>
      <c r="U877" s="1"/>
      <c r="V877" s="1"/>
      <c r="W877" s="1"/>
      <c r="X877" s="1"/>
      <c r="Y877" s="1"/>
      <c r="Z877" s="1"/>
    </row>
    <row r="878" ht="11.25" customHeight="1">
      <c r="A878" s="1"/>
      <c r="B878" s="1092" t="s">
        <v>1704</v>
      </c>
      <c r="C878" s="34">
        <v>32.6</v>
      </c>
      <c r="D878" s="10"/>
      <c r="E878" s="34">
        <v>32.9</v>
      </c>
      <c r="F878" s="10"/>
      <c r="G878" s="34">
        <v>34.5</v>
      </c>
      <c r="H878" s="10"/>
      <c r="I878" s="34">
        <f>SUM(C878:H878)</f>
        <v>100</v>
      </c>
      <c r="J878" s="10"/>
      <c r="K878" s="34" t="s">
        <v>54</v>
      </c>
      <c r="L878" s="10"/>
      <c r="M878" s="1"/>
      <c r="N878" s="1"/>
      <c r="O878" s="1"/>
      <c r="P878" s="1"/>
      <c r="Q878" s="1"/>
      <c r="R878" s="1"/>
      <c r="S878" s="1"/>
      <c r="T878" s="1"/>
      <c r="U878" s="1"/>
      <c r="V878" s="1"/>
      <c r="W878" s="1"/>
      <c r="X878" s="1"/>
      <c r="Y878" s="1"/>
      <c r="Z878" s="1"/>
    </row>
    <row r="879" ht="10.5" customHeight="1">
      <c r="A879" s="1"/>
      <c r="B879" s="540">
        <v>1980.0</v>
      </c>
      <c r="C879" s="622"/>
      <c r="D879" s="740">
        <v>7.67</v>
      </c>
      <c r="E879" s="1093"/>
      <c r="F879" s="740">
        <v>9.21</v>
      </c>
      <c r="G879" s="1093"/>
      <c r="H879" s="740">
        <v>9.66</v>
      </c>
      <c r="I879" s="1093"/>
      <c r="J879" s="740">
        <v>8.86</v>
      </c>
      <c r="K879" s="1093"/>
      <c r="L879" s="740">
        <v>94.34</v>
      </c>
      <c r="M879" s="1"/>
      <c r="N879" s="1"/>
      <c r="O879" s="1"/>
      <c r="P879" s="1"/>
      <c r="Q879" s="1"/>
      <c r="R879" s="1"/>
      <c r="S879" s="1"/>
      <c r="T879" s="1"/>
      <c r="U879" s="1"/>
      <c r="V879" s="1"/>
      <c r="W879" s="1"/>
      <c r="X879" s="1"/>
      <c r="Y879" s="1"/>
      <c r="Z879" s="1"/>
    </row>
    <row r="880" ht="10.5" customHeight="1">
      <c r="A880" s="1"/>
      <c r="B880" s="540">
        <v>1981.0</v>
      </c>
      <c r="C880" s="622"/>
      <c r="D880" s="740">
        <v>8.93</v>
      </c>
      <c r="E880" s="1093"/>
      <c r="F880" s="740">
        <v>11.31</v>
      </c>
      <c r="G880" s="1093"/>
      <c r="H880" s="740">
        <v>13.57</v>
      </c>
      <c r="I880" s="1093"/>
      <c r="J880" s="740">
        <v>11.32</v>
      </c>
      <c r="K880" s="1093"/>
      <c r="L880" s="740">
        <v>120.47</v>
      </c>
      <c r="M880" s="1"/>
      <c r="N880" s="1"/>
      <c r="O880" s="1"/>
      <c r="P880" s="1"/>
      <c r="Q880" s="1"/>
      <c r="R880" s="1"/>
      <c r="S880" s="1"/>
      <c r="T880" s="1"/>
      <c r="U880" s="1"/>
      <c r="V880" s="1"/>
      <c r="W880" s="1"/>
      <c r="X880" s="1"/>
      <c r="Y880" s="1"/>
      <c r="Z880" s="1"/>
    </row>
    <row r="881" ht="10.5" customHeight="1">
      <c r="A881" s="1"/>
      <c r="B881" s="540">
        <v>1982.0</v>
      </c>
      <c r="C881" s="622"/>
      <c r="D881" s="740">
        <v>10.48</v>
      </c>
      <c r="E881" s="1093"/>
      <c r="F881" s="740">
        <v>16.17</v>
      </c>
      <c r="G881" s="1093"/>
      <c r="H881" s="740">
        <v>18.07</v>
      </c>
      <c r="I881" s="1093"/>
      <c r="J881" s="740">
        <v>14.97</v>
      </c>
      <c r="K881" s="1093"/>
      <c r="L881" s="740">
        <v>159.34</v>
      </c>
      <c r="M881" s="1"/>
      <c r="N881" s="1"/>
      <c r="O881" s="1"/>
      <c r="P881" s="1"/>
      <c r="Q881" s="1"/>
      <c r="R881" s="1"/>
      <c r="S881" s="1"/>
      <c r="T881" s="1"/>
      <c r="U881" s="1"/>
      <c r="V881" s="1"/>
      <c r="W881" s="1"/>
      <c r="X881" s="1"/>
      <c r="Y881" s="1"/>
      <c r="Z881" s="1"/>
    </row>
    <row r="882" ht="10.5" customHeight="1">
      <c r="A882" s="1"/>
      <c r="B882" s="540">
        <v>1983.0</v>
      </c>
      <c r="C882" s="622"/>
      <c r="D882" s="740">
        <v>9.6</v>
      </c>
      <c r="E882" s="1093"/>
      <c r="F882" s="740">
        <v>14.57</v>
      </c>
      <c r="G882" s="1093"/>
      <c r="H882" s="740">
        <v>16.55</v>
      </c>
      <c r="I882" s="1093"/>
      <c r="J882" s="740">
        <v>13.63</v>
      </c>
      <c r="K882" s="1093"/>
      <c r="L882" s="740">
        <v>145.1</v>
      </c>
      <c r="M882" s="1"/>
      <c r="N882" s="1"/>
      <c r="O882" s="1"/>
      <c r="P882" s="1"/>
      <c r="Q882" s="1"/>
      <c r="R882" s="1"/>
      <c r="S882" s="1"/>
      <c r="T882" s="1"/>
      <c r="U882" s="1"/>
      <c r="V882" s="1"/>
      <c r="W882" s="1"/>
      <c r="X882" s="1"/>
      <c r="Y882" s="1"/>
      <c r="Z882" s="1"/>
    </row>
    <row r="883" ht="10.5" customHeight="1">
      <c r="A883" s="1"/>
      <c r="B883" s="540">
        <v>1984.0</v>
      </c>
      <c r="C883" s="622"/>
      <c r="D883" s="740">
        <v>11.34</v>
      </c>
      <c r="E883" s="1093"/>
      <c r="F883" s="740">
        <v>15.24</v>
      </c>
      <c r="G883" s="1093"/>
      <c r="H883" s="740">
        <v>22.09</v>
      </c>
      <c r="I883" s="1093"/>
      <c r="J883" s="740">
        <v>16.33</v>
      </c>
      <c r="K883" s="1093"/>
      <c r="L883" s="740">
        <v>173.85</v>
      </c>
      <c r="M883" s="1"/>
      <c r="N883" s="1"/>
      <c r="O883" s="1"/>
      <c r="P883" s="1"/>
      <c r="Q883" s="1"/>
      <c r="R883" s="1"/>
      <c r="S883" s="1"/>
      <c r="T883" s="1"/>
      <c r="U883" s="1"/>
      <c r="V883" s="1"/>
      <c r="W883" s="1"/>
      <c r="X883" s="1"/>
      <c r="Y883" s="1"/>
      <c r="Z883" s="1"/>
    </row>
    <row r="884" ht="10.5" customHeight="1">
      <c r="A884" s="1"/>
      <c r="B884" s="540"/>
      <c r="C884" s="622"/>
      <c r="D884" s="740"/>
      <c r="E884" s="1093"/>
      <c r="F884" s="740"/>
      <c r="G884" s="1093"/>
      <c r="H884" s="740"/>
      <c r="I884" s="1093"/>
      <c r="J884" s="740"/>
      <c r="K884" s="1093"/>
      <c r="L884" s="740"/>
      <c r="M884" s="1"/>
      <c r="N884" s="1"/>
      <c r="O884" s="1"/>
      <c r="P884" s="1"/>
      <c r="Q884" s="1"/>
      <c r="R884" s="1"/>
      <c r="S884" s="1"/>
      <c r="T884" s="1"/>
      <c r="U884" s="1"/>
      <c r="V884" s="1"/>
      <c r="W884" s="1"/>
      <c r="X884" s="1"/>
      <c r="Y884" s="1"/>
      <c r="Z884" s="1"/>
    </row>
    <row r="885" ht="10.5" customHeight="1">
      <c r="A885" s="1"/>
      <c r="B885" s="540">
        <v>1985.0</v>
      </c>
      <c r="C885" s="622"/>
      <c r="D885" s="740">
        <v>14.5</v>
      </c>
      <c r="E885" s="1093"/>
      <c r="F885" s="740">
        <v>14.52</v>
      </c>
      <c r="G885" s="1093"/>
      <c r="H885" s="740">
        <v>21.75</v>
      </c>
      <c r="I885" s="1093"/>
      <c r="J885" s="740">
        <v>17.01</v>
      </c>
      <c r="K885" s="1093"/>
      <c r="L885" s="740">
        <v>181.05</v>
      </c>
      <c r="M885" s="1"/>
      <c r="N885" s="1"/>
      <c r="O885" s="1"/>
      <c r="P885" s="1"/>
      <c r="Q885" s="1"/>
      <c r="R885" s="1"/>
      <c r="S885" s="1"/>
      <c r="T885" s="1"/>
      <c r="U885" s="1"/>
      <c r="V885" s="1"/>
      <c r="W885" s="1"/>
      <c r="X885" s="1"/>
      <c r="Y885" s="1"/>
      <c r="Z885" s="1"/>
    </row>
    <row r="886" ht="10.5" customHeight="1">
      <c r="A886" s="1"/>
      <c r="B886" s="540">
        <v>1986.0</v>
      </c>
      <c r="C886" s="622"/>
      <c r="D886" s="740">
        <v>13.25</v>
      </c>
      <c r="E886" s="1093"/>
      <c r="F886" s="740">
        <v>9.73</v>
      </c>
      <c r="G886" s="1093"/>
      <c r="H886" s="740">
        <v>14.43</v>
      </c>
      <c r="I886" s="1093"/>
      <c r="J886" s="740">
        <v>12.5</v>
      </c>
      <c r="K886" s="1093"/>
      <c r="L886" s="740">
        <v>133.06</v>
      </c>
      <c r="M886" s="1"/>
      <c r="N886" s="1"/>
      <c r="O886" s="1"/>
      <c r="P886" s="1"/>
      <c r="Q886" s="1"/>
      <c r="R886" s="1"/>
      <c r="S886" s="1"/>
      <c r="T886" s="1"/>
      <c r="U886" s="1"/>
      <c r="V886" s="1"/>
      <c r="W886" s="1"/>
      <c r="X886" s="1"/>
      <c r="Y886" s="1"/>
      <c r="Z886" s="1"/>
    </row>
    <row r="887" ht="10.5" customHeight="1">
      <c r="A887" s="1"/>
      <c r="B887" s="540">
        <v>1987.0</v>
      </c>
      <c r="C887" s="622"/>
      <c r="D887" s="740">
        <v>12.42</v>
      </c>
      <c r="E887" s="1093"/>
      <c r="F887" s="740">
        <v>13.18</v>
      </c>
      <c r="G887" s="1093"/>
      <c r="H887" s="740">
        <v>14.02</v>
      </c>
      <c r="I887" s="1093"/>
      <c r="J887" s="740">
        <v>13.22</v>
      </c>
      <c r="K887" s="1093"/>
      <c r="L887" s="740">
        <v>140.74</v>
      </c>
      <c r="M887" s="1"/>
      <c r="N887" s="1"/>
      <c r="O887" s="1"/>
      <c r="P887" s="1"/>
      <c r="Q887" s="1"/>
      <c r="R887" s="1"/>
      <c r="S887" s="1"/>
      <c r="T887" s="1"/>
      <c r="U887" s="1"/>
      <c r="V887" s="1"/>
      <c r="W887" s="1"/>
      <c r="X887" s="1"/>
      <c r="Y887" s="1"/>
      <c r="Z887" s="1"/>
    </row>
    <row r="888" ht="10.5" customHeight="1">
      <c r="A888" s="1"/>
      <c r="B888" s="540">
        <v>1988.0</v>
      </c>
      <c r="C888" s="622"/>
      <c r="D888" s="740">
        <v>14.15</v>
      </c>
      <c r="E888" s="1093"/>
      <c r="F888" s="740">
        <v>15.6</v>
      </c>
      <c r="G888" s="1093"/>
      <c r="H888" s="740">
        <v>15.23</v>
      </c>
      <c r="I888" s="1093"/>
      <c r="J888" s="740">
        <v>15.0</v>
      </c>
      <c r="K888" s="1093"/>
      <c r="L888" s="740">
        <v>159.7</v>
      </c>
      <c r="M888" s="1"/>
      <c r="N888" s="1"/>
      <c r="O888" s="1"/>
      <c r="P888" s="1"/>
      <c r="Q888" s="1"/>
      <c r="R888" s="1"/>
      <c r="S888" s="1"/>
      <c r="T888" s="1"/>
      <c r="U888" s="1"/>
      <c r="V888" s="1"/>
      <c r="W888" s="1"/>
      <c r="X888" s="1"/>
      <c r="Y888" s="1"/>
      <c r="Z888" s="1"/>
    </row>
    <row r="889" ht="10.5" customHeight="1">
      <c r="A889" s="1"/>
      <c r="B889" s="540">
        <v>1989.0</v>
      </c>
      <c r="C889" s="622"/>
      <c r="D889" s="740">
        <v>16.88</v>
      </c>
      <c r="E889" s="1093"/>
      <c r="F889" s="740">
        <v>18.7</v>
      </c>
      <c r="G889" s="1093"/>
      <c r="H889" s="740">
        <v>19.71</v>
      </c>
      <c r="I889" s="1093"/>
      <c r="J889" s="740">
        <v>18.45</v>
      </c>
      <c r="K889" s="1093"/>
      <c r="L889" s="740">
        <v>196.44</v>
      </c>
      <c r="M889" s="1"/>
      <c r="N889" s="1"/>
      <c r="O889" s="1"/>
      <c r="P889" s="1"/>
      <c r="Q889" s="1"/>
      <c r="R889" s="1"/>
      <c r="S889" s="1"/>
      <c r="T889" s="1"/>
      <c r="U889" s="1"/>
      <c r="V889" s="1"/>
      <c r="W889" s="1"/>
      <c r="X889" s="1"/>
      <c r="Y889" s="1"/>
      <c r="Z889" s="1"/>
    </row>
    <row r="890" ht="10.5" customHeight="1">
      <c r="A890" s="1"/>
      <c r="B890" s="540"/>
      <c r="C890" s="622"/>
      <c r="D890" s="740"/>
      <c r="E890" s="1093"/>
      <c r="F890" s="740"/>
      <c r="G890" s="1093"/>
      <c r="H890" s="740"/>
      <c r="I890" s="1093"/>
      <c r="J890" s="740"/>
      <c r="K890" s="1093"/>
      <c r="L890" s="740"/>
      <c r="M890" s="1"/>
      <c r="N890" s="1"/>
      <c r="O890" s="1"/>
      <c r="P890" s="1"/>
      <c r="Q890" s="1"/>
      <c r="R890" s="1"/>
      <c r="S890" s="1"/>
      <c r="T890" s="1"/>
      <c r="U890" s="1"/>
      <c r="V890" s="1"/>
      <c r="W890" s="1"/>
      <c r="X890" s="1"/>
      <c r="Y890" s="1"/>
      <c r="Z890" s="1"/>
    </row>
    <row r="891" ht="10.5" customHeight="1">
      <c r="A891" s="1"/>
      <c r="B891" s="540">
        <v>1990.0</v>
      </c>
      <c r="C891" s="622"/>
      <c r="D891" s="740">
        <v>18.25</v>
      </c>
      <c r="E891" s="1093"/>
      <c r="F891" s="740">
        <v>18.75</v>
      </c>
      <c r="G891" s="1093"/>
      <c r="H891" s="740">
        <v>21.0</v>
      </c>
      <c r="I891" s="1093"/>
      <c r="J891" s="740">
        <v>19.36</v>
      </c>
      <c r="K891" s="1093"/>
      <c r="L891" s="740">
        <v>206.13</v>
      </c>
      <c r="M891" s="1"/>
      <c r="N891" s="1"/>
      <c r="O891" s="1"/>
      <c r="P891" s="1"/>
      <c r="Q891" s="1"/>
      <c r="R891" s="1"/>
      <c r="S891" s="1"/>
      <c r="T891" s="1"/>
      <c r="U891" s="1"/>
      <c r="V891" s="1"/>
      <c r="W891" s="1"/>
      <c r="X891" s="1"/>
      <c r="Y891" s="1"/>
      <c r="Z891" s="1"/>
    </row>
    <row r="892" ht="10.5" customHeight="1">
      <c r="A892" s="1"/>
      <c r="B892" s="540">
        <v>1991.0</v>
      </c>
      <c r="C892" s="622"/>
      <c r="D892" s="740">
        <v>18.25</v>
      </c>
      <c r="E892" s="1093"/>
      <c r="F892" s="740">
        <v>18.75</v>
      </c>
      <c r="G892" s="1093"/>
      <c r="H892" s="740">
        <v>20.31</v>
      </c>
      <c r="I892" s="1093"/>
      <c r="J892" s="740">
        <v>19.13</v>
      </c>
      <c r="K892" s="1093"/>
      <c r="L892" s="740">
        <v>203.6</v>
      </c>
      <c r="M892" s="1"/>
      <c r="N892" s="1"/>
      <c r="O892" s="1"/>
      <c r="P892" s="1"/>
      <c r="Q892" s="1"/>
      <c r="R892" s="1"/>
      <c r="S892" s="1"/>
      <c r="T892" s="1"/>
      <c r="U892" s="1"/>
      <c r="V892" s="1"/>
      <c r="W892" s="1"/>
      <c r="X892" s="1"/>
      <c r="Y892" s="1"/>
      <c r="Z892" s="1"/>
    </row>
    <row r="893" ht="10.5" customHeight="1">
      <c r="A893" s="1"/>
      <c r="B893" s="540">
        <v>1992.0</v>
      </c>
      <c r="C893" s="622"/>
      <c r="D893" s="740">
        <v>17.61</v>
      </c>
      <c r="E893" s="1093"/>
      <c r="F893" s="740">
        <v>18.54</v>
      </c>
      <c r="G893" s="1093"/>
      <c r="H893" s="740">
        <v>19.01</v>
      </c>
      <c r="I893" s="1093"/>
      <c r="J893" s="740">
        <v>18.4</v>
      </c>
      <c r="K893" s="1093"/>
      <c r="L893" s="740">
        <v>195.89</v>
      </c>
      <c r="M893" s="1"/>
      <c r="N893" s="1"/>
      <c r="O893" s="1"/>
      <c r="P893" s="1"/>
      <c r="Q893" s="1"/>
      <c r="R893" s="1"/>
      <c r="S893" s="1"/>
      <c r="T893" s="1"/>
      <c r="U893" s="1"/>
      <c r="V893" s="1"/>
      <c r="W893" s="1"/>
      <c r="X893" s="1"/>
      <c r="Y893" s="1"/>
      <c r="Z893" s="1"/>
    </row>
    <row r="894" ht="10.5" customHeight="1">
      <c r="A894" s="1"/>
      <c r="B894" s="540">
        <v>1993.0</v>
      </c>
      <c r="C894" s="622"/>
      <c r="D894" s="740">
        <v>15.55</v>
      </c>
      <c r="E894" s="1093"/>
      <c r="F894" s="740">
        <v>16.81</v>
      </c>
      <c r="G894" s="1093"/>
      <c r="H894" s="740">
        <v>16.22</v>
      </c>
      <c r="I894" s="1093"/>
      <c r="J894" s="740">
        <v>16.19</v>
      </c>
      <c r="K894" s="1093"/>
      <c r="L894" s="740">
        <v>172.39</v>
      </c>
      <c r="M894" s="1"/>
      <c r="N894" s="1"/>
      <c r="O894" s="1"/>
      <c r="P894" s="1"/>
      <c r="Q894" s="1"/>
      <c r="R894" s="1"/>
      <c r="S894" s="1"/>
      <c r="T894" s="1"/>
      <c r="U894" s="1"/>
      <c r="V894" s="1"/>
      <c r="W894" s="1"/>
      <c r="X894" s="1"/>
      <c r="Y894" s="1"/>
      <c r="Z894" s="1"/>
    </row>
    <row r="895" ht="10.5" customHeight="1">
      <c r="A895" s="1"/>
      <c r="B895" s="540">
        <v>1994.0</v>
      </c>
      <c r="C895" s="622"/>
      <c r="D895" s="740">
        <v>15.12</v>
      </c>
      <c r="E895" s="1093"/>
      <c r="F895" s="740">
        <v>15.86</v>
      </c>
      <c r="G895" s="1093"/>
      <c r="H895" s="740">
        <v>15.51</v>
      </c>
      <c r="I895" s="1093"/>
      <c r="J895" s="740">
        <v>15.5</v>
      </c>
      <c r="K895" s="1093"/>
      <c r="L895" s="740">
        <v>164.98</v>
      </c>
      <c r="M895" s="1"/>
      <c r="N895" s="1"/>
      <c r="O895" s="1"/>
      <c r="P895" s="1"/>
      <c r="Q895" s="1"/>
      <c r="R895" s="1"/>
      <c r="S895" s="1"/>
      <c r="T895" s="1"/>
      <c r="U895" s="1"/>
      <c r="V895" s="1"/>
      <c r="W895" s="1"/>
      <c r="X895" s="1"/>
      <c r="Y895" s="1"/>
      <c r="Z895" s="1"/>
    </row>
    <row r="896" ht="10.5" customHeight="1">
      <c r="A896" s="1"/>
      <c r="B896" s="540"/>
      <c r="C896" s="622"/>
      <c r="D896" s="740"/>
      <c r="E896" s="1093"/>
      <c r="F896" s="740"/>
      <c r="G896" s="1093"/>
      <c r="H896" s="740"/>
      <c r="I896" s="1093"/>
      <c r="J896" s="740"/>
      <c r="K896" s="1093"/>
      <c r="L896" s="740"/>
      <c r="M896" s="1"/>
      <c r="N896" s="1"/>
      <c r="O896" s="1"/>
      <c r="P896" s="1"/>
      <c r="Q896" s="1"/>
      <c r="R896" s="1"/>
      <c r="S896" s="1"/>
      <c r="T896" s="1"/>
      <c r="U896" s="1"/>
      <c r="V896" s="1"/>
      <c r="W896" s="1"/>
      <c r="X896" s="1"/>
      <c r="Y896" s="1"/>
      <c r="Z896" s="1"/>
    </row>
    <row r="897" ht="10.5" customHeight="1">
      <c r="A897" s="1"/>
      <c r="B897" s="540">
        <v>1995.0</v>
      </c>
      <c r="C897" s="622"/>
      <c r="D897" s="740">
        <v>16.58</v>
      </c>
      <c r="E897" s="1093"/>
      <c r="F897" s="740">
        <v>18.04</v>
      </c>
      <c r="G897" s="1093"/>
      <c r="H897" s="740">
        <v>17.81</v>
      </c>
      <c r="I897" s="1093"/>
      <c r="J897" s="740">
        <v>17.48</v>
      </c>
      <c r="K897" s="1093"/>
      <c r="L897" s="740">
        <v>186.1</v>
      </c>
      <c r="M897" s="1"/>
      <c r="N897" s="1"/>
      <c r="O897" s="1"/>
      <c r="P897" s="1"/>
      <c r="Q897" s="1"/>
      <c r="R897" s="1"/>
      <c r="S897" s="1"/>
      <c r="T897" s="1"/>
      <c r="U897" s="1"/>
      <c r="V897" s="1"/>
      <c r="W897" s="1"/>
      <c r="X897" s="1"/>
      <c r="Y897" s="1"/>
      <c r="Z897" s="1"/>
    </row>
    <row r="898" ht="10.5" customHeight="1">
      <c r="A898" s="1"/>
      <c r="B898" s="540">
        <v>1996.0</v>
      </c>
      <c r="C898" s="622"/>
      <c r="D898" s="740">
        <v>15.0</v>
      </c>
      <c r="E898" s="1093"/>
      <c r="F898" s="740">
        <v>19.41</v>
      </c>
      <c r="G898" s="1093"/>
      <c r="H898" s="740">
        <v>19.34</v>
      </c>
      <c r="I898" s="1093"/>
      <c r="J898" s="740">
        <v>17.95</v>
      </c>
      <c r="K898" s="1093"/>
      <c r="L898" s="740">
        <v>191.05</v>
      </c>
      <c r="M898" s="1"/>
      <c r="N898" s="1"/>
      <c r="O898" s="1"/>
      <c r="P898" s="1"/>
      <c r="Q898" s="1"/>
      <c r="R898" s="1"/>
      <c r="S898" s="1"/>
      <c r="T898" s="1"/>
      <c r="U898" s="1"/>
      <c r="V898" s="1"/>
      <c r="W898" s="1"/>
      <c r="X898" s="1"/>
      <c r="Y898" s="1"/>
      <c r="Z898" s="1"/>
    </row>
    <row r="899" ht="10.5" customHeight="1">
      <c r="A899" s="1"/>
      <c r="B899" s="540">
        <v>1997.0</v>
      </c>
      <c r="C899" s="622"/>
      <c r="D899" s="740">
        <v>14.97</v>
      </c>
      <c r="E899" s="1093"/>
      <c r="F899" s="740">
        <v>20.2</v>
      </c>
      <c r="G899" s="1093"/>
      <c r="H899" s="740">
        <v>20.13</v>
      </c>
      <c r="I899" s="1093"/>
      <c r="J899" s="740">
        <v>18.47</v>
      </c>
      <c r="K899" s="1093"/>
      <c r="L899" s="740">
        <v>196.61</v>
      </c>
      <c r="M899" s="1"/>
      <c r="N899" s="1"/>
      <c r="O899" s="1"/>
      <c r="P899" s="1"/>
      <c r="Q899" s="1"/>
      <c r="R899" s="1"/>
      <c r="S899" s="1"/>
      <c r="T899" s="1"/>
      <c r="U899" s="1"/>
      <c r="V899" s="1"/>
      <c r="W899" s="1"/>
      <c r="X899" s="1"/>
      <c r="Y899" s="1"/>
      <c r="Z899" s="1"/>
    </row>
    <row r="900" ht="10.5" customHeight="1">
      <c r="A900" s="1"/>
      <c r="B900" s="540">
        <v>1998.0</v>
      </c>
      <c r="C900" s="622"/>
      <c r="D900" s="740">
        <v>17.14</v>
      </c>
      <c r="E900" s="1093"/>
      <c r="F900" s="740">
        <v>21.44</v>
      </c>
      <c r="G900" s="1093"/>
      <c r="H900" s="740">
        <v>21.58</v>
      </c>
      <c r="I900" s="1093"/>
      <c r="J900" s="740">
        <v>20.08</v>
      </c>
      <c r="K900" s="1093"/>
      <c r="L900" s="740">
        <v>213.8</v>
      </c>
      <c r="M900" s="1"/>
      <c r="N900" s="1"/>
      <c r="O900" s="1"/>
      <c r="P900" s="1"/>
      <c r="Q900" s="1"/>
      <c r="R900" s="1"/>
      <c r="S900" s="1"/>
      <c r="T900" s="1"/>
      <c r="U900" s="1"/>
      <c r="V900" s="1"/>
      <c r="W900" s="1"/>
      <c r="X900" s="1"/>
      <c r="Y900" s="1"/>
      <c r="Z900" s="1"/>
    </row>
    <row r="901" ht="10.5" customHeight="1">
      <c r="A901" s="1"/>
      <c r="B901" s="540">
        <v>1999.0</v>
      </c>
      <c r="C901" s="622"/>
      <c r="D901" s="740">
        <v>15.88</v>
      </c>
      <c r="E901" s="1093"/>
      <c r="F901" s="740">
        <v>18.12</v>
      </c>
      <c r="G901" s="1093"/>
      <c r="H901" s="740">
        <v>17.94</v>
      </c>
      <c r="I901" s="1093"/>
      <c r="J901" s="740">
        <v>17.33</v>
      </c>
      <c r="K901" s="1093"/>
      <c r="L901" s="740">
        <v>184.46</v>
      </c>
      <c r="M901" s="1"/>
      <c r="N901" s="1"/>
      <c r="O901" s="1"/>
      <c r="P901" s="1"/>
      <c r="Q901" s="1"/>
      <c r="R901" s="1"/>
      <c r="S901" s="1"/>
      <c r="T901" s="1"/>
      <c r="U901" s="1"/>
      <c r="V901" s="1"/>
      <c r="W901" s="1"/>
      <c r="X901" s="1"/>
      <c r="Y901" s="1"/>
      <c r="Z901" s="1"/>
    </row>
    <row r="902" ht="10.5" customHeight="1">
      <c r="A902" s="1"/>
      <c r="B902" s="540"/>
      <c r="C902" s="622"/>
      <c r="D902" s="740"/>
      <c r="E902" s="1093"/>
      <c r="F902" s="740"/>
      <c r="G902" s="1093"/>
      <c r="H902" s="740"/>
      <c r="I902" s="1093"/>
      <c r="J902" s="740"/>
      <c r="K902" s="1093"/>
      <c r="L902" s="740"/>
      <c r="M902" s="1"/>
      <c r="N902" s="1"/>
      <c r="O902" s="1"/>
      <c r="P902" s="1"/>
      <c r="Q902" s="1"/>
      <c r="R902" s="1"/>
      <c r="S902" s="1"/>
      <c r="T902" s="1"/>
      <c r="U902" s="1"/>
      <c r="V902" s="1"/>
      <c r="W902" s="1"/>
      <c r="X902" s="1"/>
      <c r="Y902" s="1"/>
      <c r="Z902" s="1"/>
    </row>
    <row r="903" ht="10.5" customHeight="1">
      <c r="A903" s="1"/>
      <c r="B903" s="540">
        <v>2000.0</v>
      </c>
      <c r="C903" s="622"/>
      <c r="D903" s="740">
        <v>13.64</v>
      </c>
      <c r="E903" s="1093"/>
      <c r="F903" s="740">
        <v>14.59</v>
      </c>
      <c r="G903" s="1093"/>
      <c r="H903" s="740">
        <v>14.71</v>
      </c>
      <c r="I903" s="1093"/>
      <c r="J903" s="740">
        <v>14.32</v>
      </c>
      <c r="K903" s="1093"/>
      <c r="L903" s="740">
        <v>152.47</v>
      </c>
      <c r="M903" s="1"/>
      <c r="N903" s="1"/>
      <c r="O903" s="1"/>
      <c r="P903" s="1"/>
      <c r="Q903" s="1"/>
      <c r="R903" s="1"/>
      <c r="S903" s="1"/>
      <c r="T903" s="1"/>
      <c r="U903" s="1"/>
      <c r="V903" s="1"/>
      <c r="W903" s="1"/>
      <c r="X903" s="1"/>
      <c r="Y903" s="1"/>
      <c r="Z903" s="1"/>
    </row>
    <row r="904" ht="10.5" customHeight="1">
      <c r="A904" s="1"/>
      <c r="B904" s="540">
        <v>2001.0</v>
      </c>
      <c r="C904" s="622"/>
      <c r="D904" s="740">
        <v>12.98</v>
      </c>
      <c r="E904" s="1093"/>
      <c r="F904" s="740">
        <v>14.0</v>
      </c>
      <c r="G904" s="1093"/>
      <c r="H904" s="740">
        <v>13.86</v>
      </c>
      <c r="I904" s="1093"/>
      <c r="J904" s="740">
        <v>13.62</v>
      </c>
      <c r="K904" s="1093"/>
      <c r="L904" s="740">
        <v>144.95</v>
      </c>
      <c r="M904" s="1"/>
      <c r="N904" s="1"/>
      <c r="O904" s="1"/>
      <c r="P904" s="1"/>
      <c r="Q904" s="1"/>
      <c r="R904" s="1"/>
      <c r="S904" s="1"/>
      <c r="T904" s="1"/>
      <c r="U904" s="1"/>
      <c r="V904" s="1"/>
      <c r="W904" s="1"/>
      <c r="X904" s="1"/>
      <c r="Y904" s="1"/>
      <c r="Z904" s="1"/>
    </row>
    <row r="905" ht="10.5" customHeight="1">
      <c r="A905" s="1"/>
      <c r="B905" s="540">
        <v>2002.0</v>
      </c>
      <c r="C905" s="622"/>
      <c r="D905" s="740">
        <v>14.97</v>
      </c>
      <c r="E905" s="1093"/>
      <c r="F905" s="740">
        <v>15.48</v>
      </c>
      <c r="G905" s="1093"/>
      <c r="H905" s="740">
        <v>15.6</v>
      </c>
      <c r="I905" s="1093"/>
      <c r="J905" s="740">
        <v>15.35</v>
      </c>
      <c r="K905" s="1093"/>
      <c r="L905" s="249">
        <v>163.46</v>
      </c>
      <c r="M905" s="1"/>
      <c r="N905" s="1"/>
      <c r="O905" s="1"/>
      <c r="P905" s="1"/>
      <c r="Q905" s="1"/>
      <c r="R905" s="1"/>
      <c r="S905" s="1"/>
      <c r="T905" s="1"/>
      <c r="U905" s="1"/>
      <c r="V905" s="1"/>
      <c r="W905" s="1"/>
      <c r="X905" s="1"/>
      <c r="Y905" s="1"/>
      <c r="Z905" s="1"/>
    </row>
    <row r="906" ht="10.5" customHeight="1">
      <c r="A906" s="1"/>
      <c r="B906" s="540">
        <v>2003.0</v>
      </c>
      <c r="C906" s="622"/>
      <c r="D906" s="740">
        <v>14.75</v>
      </c>
      <c r="E906" s="1093"/>
      <c r="F906" s="740">
        <v>15.21</v>
      </c>
      <c r="G906" s="1093"/>
      <c r="H906" s="740">
        <v>15.16</v>
      </c>
      <c r="I906" s="1093"/>
      <c r="J906" s="740">
        <v>15.04</v>
      </c>
      <c r="K906" s="1093"/>
      <c r="L906" s="740">
        <v>160.14</v>
      </c>
      <c r="M906" s="1"/>
      <c r="N906" s="1"/>
      <c r="O906" s="1"/>
      <c r="P906" s="1"/>
      <c r="Q906" s="1"/>
      <c r="R906" s="1"/>
      <c r="S906" s="1"/>
      <c r="T906" s="1"/>
      <c r="U906" s="1"/>
      <c r="V906" s="1"/>
      <c r="W906" s="1"/>
      <c r="X906" s="1"/>
      <c r="Y906" s="1"/>
      <c r="Z906" s="1"/>
    </row>
    <row r="907" ht="10.5" customHeight="1">
      <c r="A907" s="1"/>
      <c r="B907" s="540">
        <v>2004.0</v>
      </c>
      <c r="C907" s="622"/>
      <c r="D907" s="740">
        <v>13.52</v>
      </c>
      <c r="E907" s="1093"/>
      <c r="F907" s="740">
        <v>10.69</v>
      </c>
      <c r="G907" s="1093"/>
      <c r="H907" s="740">
        <v>11.01</v>
      </c>
      <c r="I907" s="1093"/>
      <c r="J907" s="740">
        <v>11.72</v>
      </c>
      <c r="K907" s="1093"/>
      <c r="L907" s="740">
        <v>124.8</v>
      </c>
      <c r="M907" s="1"/>
      <c r="N907" s="1"/>
      <c r="O907" s="1"/>
      <c r="P907" s="1"/>
      <c r="Q907" s="1"/>
      <c r="R907" s="1"/>
      <c r="S907" s="1"/>
      <c r="T907" s="1"/>
      <c r="U907" s="1"/>
      <c r="V907" s="1"/>
      <c r="W907" s="1"/>
      <c r="X907" s="1"/>
      <c r="Y907" s="1"/>
      <c r="Z907" s="1"/>
    </row>
    <row r="908" ht="10.5" customHeight="1">
      <c r="A908" s="1"/>
      <c r="B908" s="540"/>
      <c r="C908" s="622"/>
      <c r="D908" s="740"/>
      <c r="E908" s="1093"/>
      <c r="F908" s="740"/>
      <c r="G908" s="1093"/>
      <c r="H908" s="740"/>
      <c r="I908" s="1093"/>
      <c r="J908" s="740"/>
      <c r="K908" s="1093"/>
      <c r="L908" s="740"/>
      <c r="M908" s="1"/>
      <c r="N908" s="1"/>
      <c r="O908" s="1"/>
      <c r="P908" s="1"/>
      <c r="Q908" s="1"/>
      <c r="R908" s="1"/>
      <c r="S908" s="1"/>
      <c r="T908" s="1"/>
      <c r="U908" s="1"/>
      <c r="V908" s="1"/>
      <c r="W908" s="1"/>
      <c r="X908" s="1"/>
      <c r="Y908" s="1"/>
      <c r="Z908" s="1"/>
    </row>
    <row r="909" ht="10.5" customHeight="1">
      <c r="A909" s="1"/>
      <c r="B909" s="540">
        <v>2005.0</v>
      </c>
      <c r="C909" s="622"/>
      <c r="D909" s="740">
        <v>12.25</v>
      </c>
      <c r="E909" s="1093"/>
      <c r="F909" s="740">
        <v>10.74</v>
      </c>
      <c r="G909" s="1093"/>
      <c r="H909" s="740">
        <v>10.5</v>
      </c>
      <c r="I909" s="1093"/>
      <c r="J909" s="740">
        <v>11.15</v>
      </c>
      <c r="K909" s="1093"/>
      <c r="L909" s="740">
        <v>118.7</v>
      </c>
      <c r="M909" s="1"/>
      <c r="N909" s="1"/>
      <c r="O909" s="1"/>
      <c r="P909" s="1"/>
      <c r="Q909" s="1"/>
      <c r="R909" s="1"/>
      <c r="S909" s="1"/>
      <c r="T909" s="1"/>
      <c r="U909" s="1"/>
      <c r="V909" s="1"/>
      <c r="W909" s="1"/>
      <c r="X909" s="1"/>
      <c r="Y909" s="1"/>
      <c r="Z909" s="1"/>
    </row>
    <row r="910" ht="10.5" customHeight="1">
      <c r="A910" s="1"/>
      <c r="B910" s="540">
        <v>2006.0</v>
      </c>
      <c r="C910" s="622"/>
      <c r="D910" s="740">
        <v>11.39</v>
      </c>
      <c r="E910" s="1093"/>
      <c r="F910" s="740">
        <v>10.92</v>
      </c>
      <c r="G910" s="1093"/>
      <c r="H910" s="740">
        <v>11.01</v>
      </c>
      <c r="I910" s="1093"/>
      <c r="J910" s="740">
        <v>11.1</v>
      </c>
      <c r="K910" s="1093"/>
      <c r="L910" s="740">
        <v>118.21</v>
      </c>
      <c r="M910" s="1"/>
      <c r="N910" s="1"/>
      <c r="O910" s="1"/>
      <c r="P910" s="1"/>
      <c r="Q910" s="1"/>
      <c r="R910" s="1"/>
      <c r="S910" s="1"/>
      <c r="T910" s="1"/>
      <c r="U910" s="1"/>
      <c r="V910" s="1"/>
      <c r="W910" s="1"/>
      <c r="X910" s="1"/>
      <c r="Y910" s="1"/>
      <c r="Z910" s="1"/>
    </row>
    <row r="911" ht="10.5" customHeight="1">
      <c r="A911" s="1"/>
      <c r="B911" s="540">
        <v>2007.0</v>
      </c>
      <c r="C911" s="451"/>
      <c r="D911" s="249">
        <v>12.14</v>
      </c>
      <c r="E911" s="270"/>
      <c r="F911" s="249">
        <v>13.02</v>
      </c>
      <c r="G911" s="270"/>
      <c r="H911" s="249">
        <v>12.87</v>
      </c>
      <c r="I911" s="270"/>
      <c r="J911" s="249">
        <v>12.68</v>
      </c>
      <c r="K911" s="270"/>
      <c r="L911" s="249">
        <v>134.99</v>
      </c>
      <c r="M911" s="1"/>
      <c r="N911" s="1"/>
      <c r="O911" s="1"/>
      <c r="P911" s="1"/>
      <c r="Q911" s="1"/>
      <c r="R911" s="1"/>
      <c r="S911" s="1"/>
      <c r="T911" s="1"/>
      <c r="U911" s="1"/>
      <c r="V911" s="1"/>
      <c r="W911" s="1"/>
      <c r="X911" s="1"/>
      <c r="Y911" s="1"/>
      <c r="Z911" s="1"/>
    </row>
    <row r="912" ht="10.5" customHeight="1">
      <c r="A912" s="1"/>
      <c r="B912" s="540">
        <v>2008.0</v>
      </c>
      <c r="C912" s="622"/>
      <c r="D912" s="740">
        <v>13.83</v>
      </c>
      <c r="E912" s="1093"/>
      <c r="F912" s="740">
        <v>14.59</v>
      </c>
      <c r="G912" s="1093"/>
      <c r="H912" s="740">
        <v>14.84</v>
      </c>
      <c r="I912" s="1093"/>
      <c r="J912" s="740">
        <v>14.43</v>
      </c>
      <c r="K912" s="1093"/>
      <c r="L912" s="740">
        <v>153.56</v>
      </c>
      <c r="M912" s="1"/>
      <c r="N912" s="1"/>
      <c r="O912" s="1"/>
      <c r="P912" s="1"/>
      <c r="Q912" s="1"/>
      <c r="R912" s="1"/>
      <c r="S912" s="1"/>
      <c r="T912" s="1"/>
      <c r="U912" s="1"/>
      <c r="V912" s="1"/>
      <c r="W912" s="1"/>
      <c r="X912" s="1"/>
      <c r="Y912" s="1"/>
      <c r="Z912" s="1"/>
    </row>
    <row r="913" ht="10.5" customHeight="1">
      <c r="A913" s="1"/>
      <c r="B913" s="540">
        <v>2009.0</v>
      </c>
      <c r="C913" s="622"/>
      <c r="D913" s="740">
        <v>14.85</v>
      </c>
      <c r="E913" s="1093"/>
      <c r="F913" s="740">
        <v>16.05</v>
      </c>
      <c r="G913" s="1093"/>
      <c r="H913" s="740">
        <v>16.09</v>
      </c>
      <c r="I913" s="1093"/>
      <c r="J913" s="740">
        <v>15.67</v>
      </c>
      <c r="K913" s="1093"/>
      <c r="L913" s="740">
        <v>166.81</v>
      </c>
      <c r="M913" s="1"/>
      <c r="N913" s="1"/>
      <c r="O913" s="1"/>
      <c r="P913" s="1"/>
      <c r="Q913" s="1"/>
      <c r="R913" s="1"/>
      <c r="S913" s="1"/>
      <c r="T913" s="1"/>
      <c r="U913" s="1"/>
      <c r="V913" s="1"/>
      <c r="W913" s="1"/>
      <c r="X913" s="1"/>
      <c r="Y913" s="1"/>
      <c r="Z913" s="1"/>
    </row>
    <row r="914" ht="10.5" customHeight="1">
      <c r="A914" s="1"/>
      <c r="B914" s="540"/>
      <c r="C914" s="622"/>
      <c r="D914" s="740"/>
      <c r="E914" s="1093"/>
      <c r="F914" s="740"/>
      <c r="G914" s="1093"/>
      <c r="H914" s="740"/>
      <c r="I914" s="1093"/>
      <c r="J914" s="740"/>
      <c r="K914" s="1093"/>
      <c r="L914" s="740"/>
      <c r="M914" s="1"/>
      <c r="N914" s="1"/>
      <c r="O914" s="1"/>
      <c r="P914" s="1"/>
      <c r="Q914" s="1"/>
      <c r="R914" s="1"/>
      <c r="S914" s="1"/>
      <c r="T914" s="1"/>
      <c r="U914" s="1"/>
      <c r="V914" s="1"/>
      <c r="W914" s="1"/>
      <c r="X914" s="1"/>
      <c r="Y914" s="1"/>
      <c r="Z914" s="1"/>
    </row>
    <row r="915" ht="10.5" customHeight="1">
      <c r="A915" s="1"/>
      <c r="B915" s="540">
        <v>2010.0</v>
      </c>
      <c r="C915" s="622"/>
      <c r="D915" s="249">
        <v>9.17</v>
      </c>
      <c r="E915" s="1093"/>
      <c r="F915" s="249">
        <v>9.27</v>
      </c>
      <c r="G915" s="1093"/>
      <c r="H915" s="249">
        <v>9.72</v>
      </c>
      <c r="I915" s="1093"/>
      <c r="J915" s="249">
        <v>9.39</v>
      </c>
      <c r="K915" s="1093"/>
      <c r="L915" s="249">
        <v>100.0</v>
      </c>
      <c r="M915" s="1"/>
      <c r="N915" s="1"/>
      <c r="O915" s="1"/>
      <c r="P915" s="1"/>
      <c r="Q915" s="1"/>
      <c r="R915" s="1"/>
      <c r="S915" s="1"/>
      <c r="T915" s="1"/>
      <c r="U915" s="1"/>
      <c r="V915" s="1"/>
      <c r="W915" s="1"/>
      <c r="X915" s="1"/>
      <c r="Y915" s="1"/>
      <c r="Z915" s="1"/>
    </row>
    <row r="916" ht="10.5" customHeight="1">
      <c r="A916" s="1"/>
      <c r="B916" s="181">
        <v>2011.0</v>
      </c>
      <c r="C916" s="622"/>
      <c r="D916" s="249">
        <v>7.88</v>
      </c>
      <c r="E916" s="1093"/>
      <c r="F916" s="249">
        <v>8.93</v>
      </c>
      <c r="G916" s="1093"/>
      <c r="H916" s="249">
        <v>8.98</v>
      </c>
      <c r="I916" s="1093"/>
      <c r="J916" s="249">
        <v>8.61</v>
      </c>
      <c r="K916" s="1093"/>
      <c r="L916" s="249">
        <v>91.62</v>
      </c>
      <c r="M916" s="1"/>
      <c r="N916" s="1"/>
      <c r="O916" s="1"/>
      <c r="P916" s="1"/>
      <c r="Q916" s="1"/>
      <c r="R916" s="1"/>
      <c r="S916" s="1"/>
      <c r="T916" s="1"/>
      <c r="U916" s="1"/>
      <c r="V916" s="1"/>
      <c r="W916" s="1"/>
      <c r="X916" s="1"/>
      <c r="Y916" s="1"/>
      <c r="Z916" s="1"/>
    </row>
    <row r="917" ht="10.5" customHeight="1">
      <c r="A917" s="1"/>
      <c r="B917" s="181" t="s">
        <v>489</v>
      </c>
      <c r="C917" s="622"/>
      <c r="D917" s="249">
        <v>8.16</v>
      </c>
      <c r="E917" s="1094"/>
      <c r="F917" s="249">
        <v>9.23</v>
      </c>
      <c r="G917" s="1093"/>
      <c r="H917" s="249">
        <v>8.91</v>
      </c>
      <c r="I917" s="1093"/>
      <c r="J917" s="249">
        <v>8.77</v>
      </c>
      <c r="K917" s="1094"/>
      <c r="L917" s="249">
        <v>93.39</v>
      </c>
      <c r="M917" s="1"/>
      <c r="N917" s="1"/>
      <c r="O917" s="1"/>
      <c r="P917" s="1"/>
      <c r="Q917" s="1"/>
      <c r="R917" s="1"/>
      <c r="S917" s="1"/>
      <c r="T917" s="1"/>
      <c r="U917" s="1"/>
      <c r="V917" s="1"/>
      <c r="W917" s="1"/>
      <c r="X917" s="1"/>
      <c r="Y917" s="1"/>
      <c r="Z917" s="1"/>
    </row>
    <row r="918" ht="10.5" customHeight="1">
      <c r="A918" s="1"/>
      <c r="B918" s="181" t="s">
        <v>55</v>
      </c>
      <c r="C918" s="622"/>
      <c r="D918" s="249">
        <v>8.13</v>
      </c>
      <c r="E918" s="1093"/>
      <c r="F918" s="249">
        <v>8.41</v>
      </c>
      <c r="G918" s="1093"/>
      <c r="H918" s="249">
        <v>8.51</v>
      </c>
      <c r="I918" s="1093"/>
      <c r="J918" s="249">
        <v>8.35</v>
      </c>
      <c r="K918" s="1093"/>
      <c r="L918" s="249">
        <v>88.91</v>
      </c>
      <c r="M918" s="1"/>
      <c r="N918" s="1"/>
      <c r="O918" s="1"/>
      <c r="P918" s="1"/>
      <c r="Q918" s="1"/>
      <c r="R918" s="1"/>
      <c r="S918" s="1"/>
      <c r="T918" s="1"/>
      <c r="U918" s="1"/>
      <c r="V918" s="1"/>
      <c r="W918" s="1"/>
      <c r="X918" s="1"/>
      <c r="Y918" s="1"/>
      <c r="Z918" s="1"/>
    </row>
    <row r="919" ht="10.5" customHeight="1">
      <c r="A919" s="1"/>
      <c r="B919" s="181" t="s">
        <v>57</v>
      </c>
      <c r="C919" s="622"/>
      <c r="D919" s="249">
        <v>8.27</v>
      </c>
      <c r="E919" s="1093"/>
      <c r="F919" s="249">
        <v>9.02</v>
      </c>
      <c r="G919" s="1093"/>
      <c r="H919" s="249">
        <v>8.74</v>
      </c>
      <c r="I919" s="1093"/>
      <c r="J919" s="249">
        <v>8.68</v>
      </c>
      <c r="K919" s="1093"/>
      <c r="L919" s="249">
        <v>92.38</v>
      </c>
      <c r="M919" s="1"/>
      <c r="N919" s="1"/>
      <c r="O919" s="1"/>
      <c r="P919" s="1"/>
      <c r="Q919" s="1"/>
      <c r="R919" s="1"/>
      <c r="S919" s="1"/>
      <c r="T919" s="1"/>
      <c r="U919" s="1"/>
      <c r="V919" s="1"/>
      <c r="W919" s="1"/>
      <c r="X919" s="1"/>
      <c r="Y919" s="1"/>
      <c r="Z919" s="1"/>
    </row>
    <row r="920" ht="10.5" customHeight="1">
      <c r="A920" s="1"/>
      <c r="B920" s="181"/>
      <c r="C920" s="622"/>
      <c r="D920" s="249"/>
      <c r="E920" s="1093"/>
      <c r="F920" s="249"/>
      <c r="G920" s="1093"/>
      <c r="H920" s="249"/>
      <c r="I920" s="1093"/>
      <c r="J920" s="249"/>
      <c r="K920" s="1093"/>
      <c r="L920" s="249"/>
      <c r="M920" s="1"/>
      <c r="N920" s="1"/>
      <c r="O920" s="1"/>
      <c r="P920" s="1"/>
      <c r="Q920" s="1"/>
      <c r="R920" s="1"/>
      <c r="S920" s="1"/>
      <c r="T920" s="1"/>
      <c r="U920" s="1"/>
      <c r="V920" s="1"/>
      <c r="W920" s="1"/>
      <c r="X920" s="1"/>
      <c r="Y920" s="1"/>
      <c r="Z920" s="1"/>
    </row>
    <row r="921" ht="10.5" customHeight="1">
      <c r="A921" s="1"/>
      <c r="B921" s="181" t="s">
        <v>58</v>
      </c>
      <c r="C921" s="622"/>
      <c r="D921" s="249">
        <v>9.01</v>
      </c>
      <c r="E921" s="1093"/>
      <c r="F921" s="249">
        <v>9.6</v>
      </c>
      <c r="G921" s="1093"/>
      <c r="H921" s="249">
        <v>9.39</v>
      </c>
      <c r="I921" s="1093"/>
      <c r="J921" s="249">
        <v>9.34</v>
      </c>
      <c r="K921" s="1093"/>
      <c r="L921" s="249">
        <v>99.38</v>
      </c>
      <c r="M921" s="1"/>
      <c r="N921" s="1"/>
      <c r="O921" s="1"/>
      <c r="P921" s="1"/>
      <c r="Q921" s="1"/>
      <c r="R921" s="1"/>
      <c r="S921" s="1"/>
      <c r="T921" s="1"/>
      <c r="U921" s="1"/>
      <c r="V921" s="1"/>
      <c r="W921" s="1"/>
      <c r="X921" s="1"/>
      <c r="Y921" s="1"/>
      <c r="Z921" s="1"/>
    </row>
    <row r="922" ht="10.5" customHeight="1">
      <c r="A922" s="1"/>
      <c r="B922" s="181" t="s">
        <v>59</v>
      </c>
      <c r="C922" s="622"/>
      <c r="D922" s="249">
        <v>10.36</v>
      </c>
      <c r="E922" s="1093"/>
      <c r="F922" s="249">
        <v>10.76</v>
      </c>
      <c r="G922" s="1093"/>
      <c r="H922" s="249">
        <v>10.39</v>
      </c>
      <c r="I922" s="1093"/>
      <c r="J922" s="249">
        <v>10.5</v>
      </c>
      <c r="K922" s="1093"/>
      <c r="L922" s="249">
        <v>111.8</v>
      </c>
      <c r="M922" s="1"/>
      <c r="N922" s="1"/>
      <c r="O922" s="1"/>
      <c r="P922" s="1"/>
      <c r="Q922" s="1"/>
      <c r="R922" s="1"/>
      <c r="S922" s="1"/>
      <c r="T922" s="1"/>
      <c r="U922" s="1"/>
      <c r="V922" s="1"/>
      <c r="W922" s="1"/>
      <c r="X922" s="1"/>
      <c r="Y922" s="1"/>
      <c r="Z922" s="1"/>
    </row>
    <row r="923" ht="10.5" customHeight="1">
      <c r="A923" s="1"/>
      <c r="B923" s="618" t="s">
        <v>60</v>
      </c>
      <c r="C923" s="1095"/>
      <c r="D923" s="1096">
        <v>10.24</v>
      </c>
      <c r="E923" s="1097"/>
      <c r="F923" s="1096">
        <v>10.63</v>
      </c>
      <c r="G923" s="1098"/>
      <c r="H923" s="1096">
        <v>10.27</v>
      </c>
      <c r="I923" s="1098"/>
      <c r="J923" s="1096">
        <v>10.38</v>
      </c>
      <c r="K923" s="1097"/>
      <c r="L923" s="1096">
        <v>110.47</v>
      </c>
      <c r="M923" s="1"/>
      <c r="N923" s="1"/>
      <c r="O923" s="1"/>
      <c r="P923" s="1"/>
      <c r="Q923" s="1"/>
      <c r="R923" s="1"/>
      <c r="S923" s="1"/>
      <c r="T923" s="1"/>
      <c r="U923" s="1"/>
      <c r="V923" s="1"/>
      <c r="W923" s="1"/>
      <c r="X923" s="1"/>
      <c r="Y923" s="1"/>
      <c r="Z923" s="1"/>
    </row>
    <row r="924" ht="10.5" customHeight="1">
      <c r="A924" s="1"/>
      <c r="P924" s="1"/>
      <c r="Q924" s="1"/>
      <c r="R924" s="1"/>
      <c r="S924" s="1"/>
      <c r="T924" s="1"/>
      <c r="U924" s="1"/>
      <c r="V924" s="1"/>
      <c r="W924" s="1"/>
      <c r="X924" s="1"/>
      <c r="Y924" s="1"/>
      <c r="Z924" s="1"/>
    </row>
    <row r="925" ht="10.5" customHeight="1">
      <c r="A925" s="1"/>
      <c r="P925" s="1"/>
      <c r="Q925" s="1"/>
      <c r="R925" s="1"/>
      <c r="S925" s="1"/>
      <c r="T925" s="1"/>
      <c r="U925" s="1"/>
      <c r="V925" s="1"/>
      <c r="W925" s="1"/>
      <c r="X925" s="1"/>
      <c r="Y925" s="1"/>
      <c r="Z925" s="1"/>
    </row>
    <row r="926" ht="10.5" customHeight="1">
      <c r="A926" s="1"/>
      <c r="P926" s="1"/>
      <c r="Q926" s="1"/>
      <c r="R926" s="1"/>
      <c r="S926" s="1"/>
      <c r="T926" s="1"/>
      <c r="U926" s="1"/>
      <c r="V926" s="1"/>
      <c r="W926" s="1"/>
      <c r="X926" s="1"/>
      <c r="Y926" s="1"/>
      <c r="Z926" s="1"/>
    </row>
    <row r="927" ht="10.5" customHeight="1">
      <c r="A927" s="1"/>
      <c r="D927" s="1099"/>
      <c r="E927" s="1099"/>
      <c r="F927" s="1099"/>
      <c r="G927" s="1099"/>
      <c r="H927" s="1099"/>
      <c r="P927" s="1"/>
      <c r="Q927" s="1"/>
      <c r="R927" s="1"/>
      <c r="S927" s="1"/>
      <c r="T927" s="1"/>
      <c r="U927" s="1"/>
      <c r="V927" s="1"/>
      <c r="W927" s="1"/>
      <c r="X927" s="1"/>
      <c r="Y927" s="1"/>
      <c r="Z927" s="1"/>
    </row>
    <row r="928" ht="10.5" customHeight="1">
      <c r="A928" s="1"/>
      <c r="D928" s="1099"/>
      <c r="E928" s="1099"/>
      <c r="F928" s="1099"/>
      <c r="G928" s="1099"/>
      <c r="H928" s="1099"/>
      <c r="P928" s="1"/>
      <c r="Q928" s="1"/>
      <c r="R928" s="1"/>
      <c r="S928" s="1"/>
      <c r="T928" s="1"/>
      <c r="U928" s="1"/>
      <c r="V928" s="1"/>
      <c r="W928" s="1"/>
      <c r="X928" s="1"/>
      <c r="Y928" s="1"/>
      <c r="Z928" s="1"/>
    </row>
    <row r="929" ht="10.5" customHeight="1">
      <c r="A929" s="1"/>
      <c r="D929" s="1099"/>
      <c r="E929" s="1099"/>
      <c r="F929" s="1099"/>
      <c r="G929" s="1099"/>
      <c r="H929" s="1099"/>
      <c r="P929" s="1"/>
      <c r="Q929" s="1"/>
      <c r="R929" s="1"/>
      <c r="S929" s="1"/>
      <c r="T929" s="1"/>
      <c r="U929" s="1"/>
      <c r="V929" s="1"/>
      <c r="W929" s="1"/>
      <c r="X929" s="1"/>
      <c r="Y929" s="1"/>
      <c r="Z929" s="1"/>
    </row>
    <row r="930" ht="10.5" customHeight="1">
      <c r="A930" s="1"/>
      <c r="P930" s="1"/>
      <c r="Q930" s="1"/>
      <c r="R930" s="1"/>
      <c r="S930" s="1"/>
      <c r="T930" s="1"/>
      <c r="U930" s="1"/>
      <c r="V930" s="1"/>
      <c r="W930" s="1"/>
      <c r="X930" s="1"/>
      <c r="Y930" s="1"/>
      <c r="Z930" s="1"/>
    </row>
    <row r="931" ht="10.5" customHeight="1">
      <c r="A931" s="1"/>
      <c r="P931" s="1"/>
      <c r="Q931" s="1"/>
      <c r="R931" s="1"/>
      <c r="S931" s="1"/>
      <c r="T931" s="1"/>
      <c r="U931" s="1"/>
      <c r="V931" s="1"/>
      <c r="W931" s="1"/>
      <c r="X931" s="1"/>
      <c r="Y931" s="1"/>
      <c r="Z931" s="1"/>
    </row>
    <row r="932" ht="10.5" customHeight="1">
      <c r="A932" s="1"/>
      <c r="P932" s="1"/>
      <c r="Q932" s="1"/>
      <c r="R932" s="1"/>
      <c r="S932" s="1"/>
      <c r="T932" s="1"/>
      <c r="U932" s="1"/>
      <c r="V932" s="1"/>
      <c r="W932" s="1"/>
      <c r="X932" s="1"/>
      <c r="Y932" s="1"/>
      <c r="Z932" s="1"/>
    </row>
    <row r="933" ht="10.5" customHeight="1">
      <c r="A933" s="1"/>
      <c r="P933" s="1"/>
      <c r="Q933" s="1"/>
      <c r="R933" s="1"/>
      <c r="S933" s="1"/>
      <c r="T933" s="1"/>
      <c r="U933" s="1"/>
      <c r="V933" s="1"/>
      <c r="W933" s="1"/>
      <c r="X933" s="1"/>
      <c r="Y933" s="1"/>
      <c r="Z933" s="1"/>
    </row>
    <row r="934" ht="10.5" customHeight="1">
      <c r="A934" s="1"/>
      <c r="P934" s="1"/>
      <c r="Q934" s="1"/>
      <c r="R934" s="1"/>
      <c r="S934" s="1"/>
      <c r="T934" s="1"/>
      <c r="U934" s="1"/>
      <c r="V934" s="1"/>
      <c r="W934" s="1"/>
      <c r="X934" s="1"/>
      <c r="Y934" s="1"/>
      <c r="Z934" s="1"/>
    </row>
    <row r="935" ht="10.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0.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0.5" customHeight="1">
      <c r="A937" s="1"/>
      <c r="B937" s="1"/>
      <c r="C937" s="1"/>
      <c r="D937" s="1"/>
      <c r="E937" s="1"/>
      <c r="F937" s="1"/>
      <c r="G937" s="1"/>
      <c r="H937" s="110">
        <v>101.0</v>
      </c>
      <c r="I937" s="1"/>
      <c r="J937" s="1"/>
      <c r="K937" s="1"/>
      <c r="L937" s="1"/>
      <c r="M937" s="1"/>
      <c r="N937" s="1"/>
      <c r="O937" s="1"/>
      <c r="P937" s="1"/>
      <c r="Q937" s="1"/>
      <c r="R937" s="1"/>
      <c r="S937" s="1"/>
      <c r="T937" s="1"/>
      <c r="U937" s="1"/>
      <c r="V937" s="1"/>
      <c r="W937" s="1"/>
      <c r="X937" s="1"/>
      <c r="Y937" s="1"/>
      <c r="Z937" s="1"/>
    </row>
    <row r="938" ht="10.5" customHeight="1">
      <c r="A938" s="1"/>
      <c r="B938" s="1"/>
      <c r="C938" s="1"/>
      <c r="D938" s="1"/>
      <c r="E938" s="1"/>
      <c r="F938" s="1"/>
      <c r="G938" s="1"/>
      <c r="H938" s="110"/>
      <c r="I938" s="1"/>
      <c r="J938" s="1"/>
      <c r="K938" s="1"/>
      <c r="L938" s="1"/>
      <c r="M938" s="1"/>
      <c r="N938" s="1"/>
      <c r="O938" s="1"/>
      <c r="P938" s="1"/>
      <c r="Q938" s="1"/>
      <c r="R938" s="1"/>
      <c r="S938" s="1"/>
      <c r="T938" s="1"/>
      <c r="U938" s="1"/>
      <c r="V938" s="1"/>
      <c r="W938" s="1"/>
      <c r="X938" s="1"/>
      <c r="Y938" s="1"/>
      <c r="Z938" s="1"/>
    </row>
    <row r="939" ht="10.5" customHeight="1">
      <c r="A939" s="1"/>
      <c r="B939" s="1" t="s">
        <v>11</v>
      </c>
      <c r="C939" s="1"/>
      <c r="D939" s="1"/>
      <c r="E939" s="1"/>
      <c r="F939" s="1"/>
      <c r="G939" s="1"/>
      <c r="H939" s="110"/>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7">
    <mergeCell ref="C3:H3"/>
    <mergeCell ref="B2:B3"/>
    <mergeCell ref="B235:B236"/>
    <mergeCell ref="B308:B309"/>
    <mergeCell ref="B82:B83"/>
    <mergeCell ref="C83:H83"/>
    <mergeCell ref="B164:B165"/>
    <mergeCell ref="C165:F165"/>
    <mergeCell ref="C236:K236"/>
    <mergeCell ref="C309:F309"/>
    <mergeCell ref="C380:N380"/>
    <mergeCell ref="B379:B380"/>
    <mergeCell ref="B451:B452"/>
    <mergeCell ref="C452:G452"/>
    <mergeCell ref="F521:F522"/>
    <mergeCell ref="G521:G522"/>
    <mergeCell ref="C523:G523"/>
    <mergeCell ref="C521:E521"/>
    <mergeCell ref="B521:B523"/>
    <mergeCell ref="B663:B664"/>
    <mergeCell ref="C664:F664"/>
    <mergeCell ref="C594:H594"/>
    <mergeCell ref="B593:B594"/>
    <mergeCell ref="C727:G727"/>
    <mergeCell ref="K877:L877"/>
    <mergeCell ref="K878:L878"/>
    <mergeCell ref="I878:J878"/>
    <mergeCell ref="I877:J877"/>
    <mergeCell ref="E877:F877"/>
    <mergeCell ref="E878:F878"/>
    <mergeCell ref="B726:B727"/>
    <mergeCell ref="B807:B808"/>
    <mergeCell ref="C808:I808"/>
    <mergeCell ref="G877:H877"/>
    <mergeCell ref="G878:H878"/>
    <mergeCell ref="C878:D878"/>
    <mergeCell ref="C877:D877"/>
  </mergeCells>
  <printOptions/>
  <pageMargins bottom="0.5511811023622047" footer="0.0" header="0.0" left="0.5511811023622047" right="0.5511811023622047" top="0.5905511811023623"/>
  <pageSetup paperSize="9" orientation="portrait"/>
  <rowBreaks count="12" manualBreakCount="12">
    <brk id="80" man="1"/>
    <brk id="449" man="1"/>
    <brk id="306" man="1"/>
    <brk id="162" man="1"/>
    <brk id="723" man="1"/>
    <brk id="661" man="1"/>
    <brk id="805" man="1"/>
    <brk id="519" man="1"/>
    <brk id="233" man="1"/>
    <brk id="377" man="1"/>
    <brk id="875" man="1"/>
    <brk id="591"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8.71"/>
    <col customWidth="1" min="3" max="15" width="8.29"/>
    <col customWidth="1" min="16" max="26" width="8.71"/>
  </cols>
  <sheetData>
    <row r="1" ht="11.25" customHeight="1">
      <c r="A1" s="1"/>
      <c r="B1" s="1"/>
      <c r="C1" s="1"/>
      <c r="D1" s="1"/>
      <c r="E1" s="1"/>
      <c r="F1" s="1"/>
      <c r="G1" s="1"/>
      <c r="H1" s="1"/>
      <c r="I1" s="1"/>
      <c r="J1" s="1"/>
      <c r="K1" s="1"/>
      <c r="L1" s="1"/>
      <c r="M1" s="1"/>
      <c r="N1" s="1"/>
      <c r="O1" s="1"/>
      <c r="P1" s="1"/>
      <c r="Q1" s="1"/>
      <c r="R1" s="1"/>
      <c r="S1" s="1"/>
      <c r="T1" s="1"/>
      <c r="U1" s="1"/>
      <c r="V1" s="1"/>
      <c r="W1" s="1"/>
      <c r="X1" s="1"/>
      <c r="Y1" s="1"/>
      <c r="Z1" s="1"/>
    </row>
    <row r="2" ht="11.25" customHeight="1">
      <c r="A2" s="1"/>
      <c r="B2" s="1" t="s">
        <v>1789</v>
      </c>
      <c r="C2" s="612"/>
      <c r="D2" s="612"/>
      <c r="E2" s="612"/>
      <c r="F2" s="612"/>
      <c r="G2" s="612"/>
      <c r="H2" s="612"/>
      <c r="I2" s="612"/>
      <c r="J2" s="612"/>
      <c r="K2" s="612"/>
      <c r="L2" s="612"/>
      <c r="M2" s="612"/>
      <c r="O2" s="1"/>
      <c r="P2" s="1"/>
      <c r="Q2" s="1"/>
      <c r="R2" s="1"/>
      <c r="S2" s="1"/>
      <c r="T2" s="1"/>
      <c r="U2" s="1"/>
      <c r="V2" s="1"/>
      <c r="W2" s="1"/>
      <c r="X2" s="1"/>
      <c r="Y2" s="1"/>
      <c r="Z2" s="1"/>
    </row>
    <row r="3" ht="48.0" customHeight="1">
      <c r="A3" s="1"/>
      <c r="B3" s="29" t="s">
        <v>1790</v>
      </c>
      <c r="C3" s="1057" t="s">
        <v>1791</v>
      </c>
      <c r="D3" s="1057" t="s">
        <v>1792</v>
      </c>
      <c r="E3" s="1057" t="s">
        <v>1621</v>
      </c>
      <c r="F3" s="1057" t="s">
        <v>1793</v>
      </c>
      <c r="G3" s="1057" t="s">
        <v>1794</v>
      </c>
      <c r="H3" s="1057" t="s">
        <v>1284</v>
      </c>
      <c r="I3" s="1057" t="s">
        <v>1795</v>
      </c>
      <c r="J3" s="1057" t="s">
        <v>2</v>
      </c>
      <c r="K3" s="1057" t="s">
        <v>8</v>
      </c>
      <c r="L3" s="1057" t="s">
        <v>1796</v>
      </c>
      <c r="M3" s="1057" t="s">
        <v>1797</v>
      </c>
      <c r="O3" s="1"/>
      <c r="P3" s="1"/>
      <c r="Q3" s="1"/>
      <c r="R3" s="1"/>
      <c r="S3" s="1"/>
      <c r="T3" s="1"/>
      <c r="U3" s="1"/>
      <c r="V3" s="1"/>
      <c r="W3" s="1"/>
      <c r="X3" s="1"/>
      <c r="Y3" s="1"/>
      <c r="Z3" s="1"/>
    </row>
    <row r="4" ht="11.25" customHeight="1">
      <c r="A4" s="1"/>
      <c r="B4" s="6"/>
      <c r="C4" s="1069" t="s">
        <v>1170</v>
      </c>
      <c r="D4" s="9"/>
      <c r="E4" s="9"/>
      <c r="F4" s="9"/>
      <c r="G4" s="9"/>
      <c r="H4" s="9"/>
      <c r="I4" s="9"/>
      <c r="J4" s="9"/>
      <c r="K4" s="9"/>
      <c r="L4" s="9"/>
      <c r="M4" s="10"/>
      <c r="O4" s="1"/>
      <c r="P4" s="1"/>
      <c r="Q4" s="1"/>
      <c r="R4" s="1"/>
      <c r="S4" s="1"/>
      <c r="T4" s="1"/>
      <c r="U4" s="1"/>
      <c r="V4" s="1"/>
      <c r="W4" s="1"/>
      <c r="X4" s="1"/>
      <c r="Y4" s="1"/>
      <c r="Z4" s="1"/>
    </row>
    <row r="5" ht="10.5" customHeight="1">
      <c r="A5" s="1"/>
      <c r="B5" s="11">
        <v>1990.0</v>
      </c>
      <c r="C5" s="294">
        <v>13850.941</v>
      </c>
      <c r="D5" s="693">
        <v>7689.577</v>
      </c>
      <c r="E5" s="693">
        <v>1609.212</v>
      </c>
      <c r="F5" s="693">
        <v>3565.143</v>
      </c>
      <c r="G5" s="693">
        <v>1382.675</v>
      </c>
      <c r="H5" s="693">
        <v>1823.228</v>
      </c>
      <c r="I5" s="693">
        <v>5654.776</v>
      </c>
      <c r="J5" s="54">
        <f t="shared" ref="J5:J9" si="1">SUM(C5:I5)</f>
        <v>35575.552</v>
      </c>
      <c r="K5" s="693">
        <v>3583.5119999999997</v>
      </c>
      <c r="L5" s="693">
        <v>1210.896</v>
      </c>
      <c r="M5" s="54">
        <f t="shared" ref="M5:M9" si="2">SUM(J5:L5)</f>
        <v>40369.96</v>
      </c>
      <c r="O5" s="1"/>
      <c r="P5" s="1"/>
      <c r="Q5" s="1"/>
      <c r="R5" s="1"/>
      <c r="S5" s="1"/>
      <c r="T5" s="1"/>
      <c r="U5" s="1"/>
      <c r="V5" s="1"/>
      <c r="W5" s="1"/>
      <c r="X5" s="1"/>
      <c r="Y5" s="1"/>
      <c r="Z5" s="1"/>
    </row>
    <row r="6" ht="10.5" customHeight="1">
      <c r="A6" s="1"/>
      <c r="B6" s="11" t="s">
        <v>108</v>
      </c>
      <c r="C6" s="294">
        <v>14134.341</v>
      </c>
      <c r="D6" s="693">
        <v>8010.277</v>
      </c>
      <c r="E6" s="693">
        <v>1714.5320000000002</v>
      </c>
      <c r="F6" s="693">
        <v>3941.1850000000004</v>
      </c>
      <c r="G6" s="693">
        <v>1427.871</v>
      </c>
      <c r="H6" s="693">
        <v>1966.289</v>
      </c>
      <c r="I6" s="693">
        <v>5777.566000000001</v>
      </c>
      <c r="J6" s="54">
        <f t="shared" si="1"/>
        <v>36972.061</v>
      </c>
      <c r="K6" s="693">
        <v>3641.7819999999997</v>
      </c>
      <c r="L6" s="693">
        <v>1230.571</v>
      </c>
      <c r="M6" s="54">
        <f t="shared" si="2"/>
        <v>41844.414</v>
      </c>
      <c r="O6" s="1"/>
      <c r="P6" s="1"/>
      <c r="Q6" s="1"/>
      <c r="R6" s="1"/>
      <c r="S6" s="1"/>
      <c r="T6" s="1"/>
      <c r="U6" s="1"/>
      <c r="V6" s="1"/>
      <c r="W6" s="1"/>
      <c r="X6" s="1"/>
      <c r="Y6" s="1"/>
      <c r="Z6" s="1"/>
    </row>
    <row r="7" ht="10.5" customHeight="1">
      <c r="A7" s="1"/>
      <c r="B7" s="11">
        <v>1991.0</v>
      </c>
      <c r="C7" s="294">
        <v>14925.098</v>
      </c>
      <c r="D7" s="693">
        <v>8378.487000000001</v>
      </c>
      <c r="E7" s="693">
        <v>1713.718</v>
      </c>
      <c r="F7" s="693">
        <v>4022.64</v>
      </c>
      <c r="G7" s="693">
        <v>1672.616</v>
      </c>
      <c r="H7" s="693">
        <v>2038.507</v>
      </c>
      <c r="I7" s="693">
        <v>6080.6</v>
      </c>
      <c r="J7" s="54">
        <f t="shared" si="1"/>
        <v>38831.666</v>
      </c>
      <c r="K7" s="693">
        <v>3883.169</v>
      </c>
      <c r="L7" s="693">
        <v>1312.123</v>
      </c>
      <c r="M7" s="54">
        <f t="shared" si="2"/>
        <v>44026.958</v>
      </c>
      <c r="O7" s="1"/>
      <c r="P7" s="1"/>
      <c r="Q7" s="1"/>
      <c r="R7" s="1"/>
      <c r="S7" s="1"/>
      <c r="T7" s="1"/>
      <c r="U7" s="1"/>
      <c r="V7" s="1"/>
      <c r="W7" s="1"/>
      <c r="X7" s="1"/>
      <c r="Y7" s="1"/>
      <c r="Z7" s="1"/>
    </row>
    <row r="8" ht="10.5" customHeight="1">
      <c r="A8" s="1"/>
      <c r="B8" s="11" t="s">
        <v>111</v>
      </c>
      <c r="C8" s="294">
        <v>16732.019</v>
      </c>
      <c r="D8" s="693">
        <v>9851.649000000001</v>
      </c>
      <c r="E8" s="693">
        <v>1807.041</v>
      </c>
      <c r="F8" s="693">
        <v>4182.831</v>
      </c>
      <c r="G8" s="693">
        <v>1896.5590000000002</v>
      </c>
      <c r="H8" s="693">
        <v>2099.922</v>
      </c>
      <c r="I8" s="693">
        <v>6509.504999999999</v>
      </c>
      <c r="J8" s="54">
        <f t="shared" si="1"/>
        <v>43079.526</v>
      </c>
      <c r="K8" s="693">
        <v>4307.954</v>
      </c>
      <c r="L8" s="693">
        <v>1455.6580000000001</v>
      </c>
      <c r="M8" s="54">
        <f t="shared" si="2"/>
        <v>48843.138</v>
      </c>
      <c r="O8" s="1"/>
      <c r="P8" s="1"/>
      <c r="Q8" s="1"/>
      <c r="R8" s="1"/>
      <c r="S8" s="1"/>
      <c r="T8" s="1"/>
      <c r="U8" s="1"/>
      <c r="V8" s="1"/>
      <c r="W8" s="1"/>
      <c r="X8" s="1"/>
      <c r="Y8" s="1"/>
      <c r="Z8" s="1"/>
    </row>
    <row r="9" ht="10.5" customHeight="1">
      <c r="A9" s="1"/>
      <c r="B9" s="11">
        <v>1992.0</v>
      </c>
      <c r="C9" s="294">
        <v>17884.157</v>
      </c>
      <c r="D9" s="693">
        <v>11419.238000000001</v>
      </c>
      <c r="E9" s="693">
        <v>1935.667</v>
      </c>
      <c r="F9" s="693">
        <v>4518.9929999999995</v>
      </c>
      <c r="G9" s="693">
        <v>1896.033</v>
      </c>
      <c r="H9" s="693">
        <v>2380.816</v>
      </c>
      <c r="I9" s="693">
        <v>6897.492999999999</v>
      </c>
      <c r="J9" s="54">
        <f t="shared" si="1"/>
        <v>46932.397</v>
      </c>
      <c r="K9" s="693">
        <v>4693.241</v>
      </c>
      <c r="L9" s="693">
        <v>1585.845</v>
      </c>
      <c r="M9" s="54">
        <f t="shared" si="2"/>
        <v>53211.483</v>
      </c>
      <c r="O9" s="1"/>
      <c r="P9" s="1"/>
      <c r="Q9" s="1"/>
      <c r="R9" s="1"/>
      <c r="S9" s="1"/>
      <c r="T9" s="1"/>
      <c r="U9" s="1"/>
      <c r="V9" s="1"/>
      <c r="W9" s="1"/>
      <c r="X9" s="1"/>
      <c r="Y9" s="1"/>
      <c r="Z9" s="1"/>
    </row>
    <row r="10" ht="10.5" customHeight="1">
      <c r="A10" s="1"/>
      <c r="B10" s="11"/>
      <c r="C10" s="294"/>
      <c r="D10" s="693"/>
      <c r="E10" s="693"/>
      <c r="F10" s="693"/>
      <c r="G10" s="693"/>
      <c r="H10" s="693"/>
      <c r="I10" s="693"/>
      <c r="J10" s="693"/>
      <c r="K10" s="693"/>
      <c r="L10" s="693"/>
      <c r="M10" s="693"/>
      <c r="O10" s="1"/>
      <c r="P10" s="1"/>
      <c r="Q10" s="1"/>
      <c r="R10" s="1"/>
      <c r="S10" s="1"/>
      <c r="T10" s="1"/>
      <c r="U10" s="1"/>
      <c r="V10" s="1"/>
      <c r="W10" s="1"/>
      <c r="X10" s="1"/>
      <c r="Y10" s="1"/>
      <c r="Z10" s="1"/>
    </row>
    <row r="11" ht="10.5" customHeight="1">
      <c r="A11" s="1"/>
      <c r="B11" s="11" t="s">
        <v>112</v>
      </c>
      <c r="C11" s="294">
        <v>17988.047</v>
      </c>
      <c r="D11" s="693">
        <v>12232.663</v>
      </c>
      <c r="E11" s="693">
        <v>2026.177</v>
      </c>
      <c r="F11" s="693">
        <v>4699.202</v>
      </c>
      <c r="G11" s="693">
        <v>1916.4470000000001</v>
      </c>
      <c r="H11" s="693">
        <v>2304.432</v>
      </c>
      <c r="I11" s="693">
        <v>6852.686</v>
      </c>
      <c r="J11" s="54">
        <f t="shared" ref="J11:J15" si="3">SUM(C11:I11)</f>
        <v>48019.654</v>
      </c>
      <c r="K11" s="693">
        <v>4801.966</v>
      </c>
      <c r="L11" s="693">
        <v>1622.584</v>
      </c>
      <c r="M11" s="54">
        <f t="shared" ref="M11:M15" si="4">SUM(J11:L11)</f>
        <v>54444.204</v>
      </c>
      <c r="O11" s="1"/>
      <c r="P11" s="1"/>
      <c r="Q11" s="1"/>
      <c r="R11" s="1"/>
      <c r="S11" s="1"/>
      <c r="T11" s="1"/>
      <c r="U11" s="1"/>
      <c r="V11" s="1"/>
      <c r="W11" s="1"/>
      <c r="X11" s="1"/>
      <c r="Y11" s="1"/>
      <c r="Z11" s="1"/>
    </row>
    <row r="12" ht="10.5" customHeight="1">
      <c r="A12" s="1"/>
      <c r="B12" s="11">
        <v>1993.0</v>
      </c>
      <c r="C12" s="294">
        <v>18570.589</v>
      </c>
      <c r="D12" s="693">
        <v>13377.914999999999</v>
      </c>
      <c r="E12" s="693">
        <v>2206.445</v>
      </c>
      <c r="F12" s="693">
        <v>4829.996</v>
      </c>
      <c r="G12" s="693">
        <v>2050.225</v>
      </c>
      <c r="H12" s="693">
        <v>2118.836</v>
      </c>
      <c r="I12" s="693">
        <v>7191.267</v>
      </c>
      <c r="J12" s="54">
        <f t="shared" si="3"/>
        <v>50345.273</v>
      </c>
      <c r="K12" s="693">
        <v>5034.527</v>
      </c>
      <c r="L12" s="693">
        <v>1701.1660000000002</v>
      </c>
      <c r="M12" s="54">
        <f t="shared" si="4"/>
        <v>57080.966</v>
      </c>
      <c r="O12" s="1"/>
      <c r="P12" s="1"/>
      <c r="Q12" s="1"/>
      <c r="R12" s="1"/>
      <c r="S12" s="1"/>
      <c r="T12" s="1"/>
      <c r="U12" s="1"/>
      <c r="V12" s="1"/>
      <c r="W12" s="1"/>
      <c r="X12" s="1"/>
      <c r="Y12" s="1"/>
      <c r="Z12" s="1"/>
    </row>
    <row r="13" ht="10.5" customHeight="1">
      <c r="A13" s="1"/>
      <c r="B13" s="11" t="s">
        <v>113</v>
      </c>
      <c r="C13" s="294">
        <v>19572.171</v>
      </c>
      <c r="D13" s="693">
        <v>13953.713</v>
      </c>
      <c r="E13" s="693">
        <v>2309.197</v>
      </c>
      <c r="F13" s="693">
        <v>5022.199</v>
      </c>
      <c r="G13" s="693">
        <v>2208.493</v>
      </c>
      <c r="H13" s="693">
        <v>2187.7769999999996</v>
      </c>
      <c r="I13" s="693">
        <v>7721.120999999999</v>
      </c>
      <c r="J13" s="54">
        <f t="shared" si="3"/>
        <v>52974.671</v>
      </c>
      <c r="K13" s="693">
        <v>5297.468</v>
      </c>
      <c r="L13" s="693">
        <v>1790.0140000000001</v>
      </c>
      <c r="M13" s="54">
        <f t="shared" si="4"/>
        <v>60062.153</v>
      </c>
      <c r="O13" s="1"/>
      <c r="P13" s="1"/>
      <c r="Q13" s="1"/>
      <c r="R13" s="1"/>
      <c r="S13" s="1"/>
      <c r="T13" s="1"/>
      <c r="U13" s="1"/>
      <c r="V13" s="1"/>
      <c r="W13" s="1"/>
      <c r="X13" s="1"/>
      <c r="Y13" s="1"/>
      <c r="Z13" s="1"/>
    </row>
    <row r="14" ht="10.5" customHeight="1">
      <c r="A14" s="1"/>
      <c r="B14" s="11">
        <v>1994.0</v>
      </c>
      <c r="C14" s="294">
        <v>22415.137</v>
      </c>
      <c r="D14" s="693">
        <v>13950.15</v>
      </c>
      <c r="E14" s="693">
        <v>2413.543</v>
      </c>
      <c r="F14" s="693">
        <v>5443.785</v>
      </c>
      <c r="G14" s="693">
        <v>2450.452</v>
      </c>
      <c r="H14" s="693">
        <v>2524.556</v>
      </c>
      <c r="I14" s="693">
        <v>8491.838</v>
      </c>
      <c r="J14" s="54">
        <f t="shared" si="3"/>
        <v>57689.461</v>
      </c>
      <c r="K14" s="693">
        <v>5768.947</v>
      </c>
      <c r="L14" s="693">
        <v>1949.327</v>
      </c>
      <c r="M14" s="54">
        <f t="shared" si="4"/>
        <v>65407.735</v>
      </c>
      <c r="O14" s="1"/>
      <c r="P14" s="1"/>
      <c r="Q14" s="1"/>
      <c r="R14" s="1"/>
      <c r="S14" s="1"/>
      <c r="T14" s="1"/>
      <c r="U14" s="1"/>
      <c r="V14" s="1"/>
      <c r="W14" s="1"/>
      <c r="X14" s="1"/>
      <c r="Y14" s="1"/>
      <c r="Z14" s="1"/>
    </row>
    <row r="15" ht="10.5" customHeight="1">
      <c r="A15" s="1"/>
      <c r="B15" s="11" t="s">
        <v>114</v>
      </c>
      <c r="C15" s="294">
        <v>23933.6</v>
      </c>
      <c r="D15" s="693">
        <v>13902.735</v>
      </c>
      <c r="E15" s="693">
        <v>2433.661</v>
      </c>
      <c r="F15" s="693">
        <v>5816.335</v>
      </c>
      <c r="G15" s="693">
        <v>2568.812</v>
      </c>
      <c r="H15" s="693">
        <v>2934.5789999999997</v>
      </c>
      <c r="I15" s="693">
        <v>8965.775</v>
      </c>
      <c r="J15" s="54">
        <f t="shared" si="3"/>
        <v>60555.497</v>
      </c>
      <c r="K15" s="693">
        <v>6055.6</v>
      </c>
      <c r="L15" s="693">
        <v>2046.2</v>
      </c>
      <c r="M15" s="54">
        <f t="shared" si="4"/>
        <v>68657.297</v>
      </c>
      <c r="O15" s="1"/>
      <c r="P15" s="1"/>
      <c r="Q15" s="1"/>
      <c r="R15" s="1"/>
      <c r="S15" s="1"/>
      <c r="T15" s="1"/>
      <c r="U15" s="1"/>
      <c r="V15" s="1"/>
      <c r="W15" s="1"/>
      <c r="X15" s="1"/>
      <c r="Y15" s="1"/>
      <c r="Z15" s="1"/>
    </row>
    <row r="16" ht="10.5" customHeight="1">
      <c r="A16" s="1"/>
      <c r="B16" s="11"/>
      <c r="C16" s="294"/>
      <c r="D16" s="693"/>
      <c r="E16" s="693"/>
      <c r="F16" s="693"/>
      <c r="G16" s="693"/>
      <c r="H16" s="693"/>
      <c r="I16" s="693"/>
      <c r="J16" s="693"/>
      <c r="K16" s="693"/>
      <c r="L16" s="693"/>
      <c r="M16" s="693"/>
      <c r="O16" s="1"/>
      <c r="P16" s="1"/>
      <c r="Q16" s="1"/>
      <c r="R16" s="1"/>
      <c r="S16" s="1"/>
      <c r="T16" s="1"/>
      <c r="U16" s="1"/>
      <c r="V16" s="1"/>
      <c r="W16" s="1"/>
      <c r="X16" s="1"/>
      <c r="Y16" s="1"/>
      <c r="Z16" s="1"/>
    </row>
    <row r="17" ht="10.5" customHeight="1">
      <c r="A17" s="1"/>
      <c r="B17" s="11">
        <v>1995.0</v>
      </c>
      <c r="C17" s="294">
        <v>22761.9</v>
      </c>
      <c r="D17" s="693">
        <v>15073.987</v>
      </c>
      <c r="E17" s="693">
        <v>2510.7839999999997</v>
      </c>
      <c r="F17" s="693">
        <v>6110.979</v>
      </c>
      <c r="G17" s="693">
        <v>2596.829</v>
      </c>
      <c r="H17" s="693">
        <v>2938.0210000000006</v>
      </c>
      <c r="I17" s="693">
        <v>8990.732</v>
      </c>
      <c r="J17" s="54">
        <f t="shared" ref="J17:J21" si="5">SUM(C17:I17)</f>
        <v>60983.232</v>
      </c>
      <c r="K17" s="693">
        <v>6098.3</v>
      </c>
      <c r="L17" s="693">
        <v>2060.6</v>
      </c>
      <c r="M17" s="54">
        <f t="shared" ref="M17:M21" si="6">SUM(J17:L17)</f>
        <v>69142.132</v>
      </c>
      <c r="O17" s="1"/>
      <c r="P17" s="1"/>
      <c r="Q17" s="1"/>
      <c r="R17" s="1"/>
      <c r="S17" s="1"/>
      <c r="T17" s="1"/>
      <c r="U17" s="1"/>
      <c r="V17" s="1"/>
      <c r="W17" s="1"/>
      <c r="X17" s="1"/>
      <c r="Y17" s="1"/>
      <c r="Z17" s="1"/>
    </row>
    <row r="18" ht="10.5" customHeight="1">
      <c r="A18" s="1"/>
      <c r="B18" s="11" t="s">
        <v>115</v>
      </c>
      <c r="C18" s="294">
        <v>23042.9</v>
      </c>
      <c r="D18" s="693">
        <v>16639.858</v>
      </c>
      <c r="E18" s="693">
        <v>2628.343</v>
      </c>
      <c r="F18" s="693">
        <v>6346.687</v>
      </c>
      <c r="G18" s="693">
        <v>2481.15</v>
      </c>
      <c r="H18" s="693">
        <v>2984.2470000000003</v>
      </c>
      <c r="I18" s="693">
        <v>9410.723999999998</v>
      </c>
      <c r="J18" s="54">
        <f t="shared" si="5"/>
        <v>63533.909</v>
      </c>
      <c r="K18" s="693">
        <v>6353.4</v>
      </c>
      <c r="L18" s="693">
        <v>2146.8</v>
      </c>
      <c r="M18" s="54">
        <f t="shared" si="6"/>
        <v>72034.109</v>
      </c>
      <c r="O18" s="1"/>
      <c r="P18" s="1"/>
      <c r="Q18" s="1"/>
      <c r="R18" s="1"/>
      <c r="S18" s="1"/>
      <c r="T18" s="1"/>
      <c r="U18" s="1"/>
      <c r="V18" s="1"/>
      <c r="W18" s="1"/>
      <c r="X18" s="1"/>
      <c r="Y18" s="1"/>
      <c r="Z18" s="1"/>
    </row>
    <row r="19" ht="10.5" customHeight="1">
      <c r="A19" s="1"/>
      <c r="B19" s="11">
        <v>1996.0</v>
      </c>
      <c r="C19" s="294">
        <v>24148.7</v>
      </c>
      <c r="D19" s="693">
        <v>17549.801</v>
      </c>
      <c r="E19" s="693">
        <v>2753.965</v>
      </c>
      <c r="F19" s="693">
        <v>6896.207999999999</v>
      </c>
      <c r="G19" s="693">
        <v>2407.628</v>
      </c>
      <c r="H19" s="693">
        <v>3134.8779999999997</v>
      </c>
      <c r="I19" s="693">
        <v>10362.100999999999</v>
      </c>
      <c r="J19" s="54">
        <f t="shared" si="5"/>
        <v>67253.281</v>
      </c>
      <c r="K19" s="693">
        <v>6725.3</v>
      </c>
      <c r="L19" s="693">
        <v>2272.5</v>
      </c>
      <c r="M19" s="54">
        <f t="shared" si="6"/>
        <v>76251.081</v>
      </c>
      <c r="O19" s="1"/>
      <c r="P19" s="1"/>
      <c r="Q19" s="1"/>
      <c r="R19" s="1"/>
      <c r="S19" s="1"/>
      <c r="T19" s="1"/>
      <c r="U19" s="1"/>
      <c r="V19" s="1"/>
      <c r="W19" s="1"/>
      <c r="X19" s="1"/>
      <c r="Y19" s="1"/>
      <c r="Z19" s="1"/>
    </row>
    <row r="20" ht="10.5" customHeight="1">
      <c r="A20" s="1"/>
      <c r="B20" s="11" t="s">
        <v>117</v>
      </c>
      <c r="C20" s="294">
        <v>25433.5</v>
      </c>
      <c r="D20" s="693">
        <v>19161.491</v>
      </c>
      <c r="E20" s="693">
        <v>2857.566</v>
      </c>
      <c r="F20" s="693">
        <v>7651.584000000001</v>
      </c>
      <c r="G20" s="693">
        <v>2590.73</v>
      </c>
      <c r="H20" s="693">
        <v>3452.709</v>
      </c>
      <c r="I20" s="693">
        <v>11037.864</v>
      </c>
      <c r="J20" s="54">
        <f t="shared" si="5"/>
        <v>72185.444</v>
      </c>
      <c r="K20" s="693">
        <v>7218.5</v>
      </c>
      <c r="L20" s="693">
        <v>2439.2</v>
      </c>
      <c r="M20" s="54">
        <f t="shared" si="6"/>
        <v>81843.144</v>
      </c>
      <c r="O20" s="1"/>
      <c r="P20" s="1"/>
      <c r="Q20" s="1"/>
      <c r="R20" s="1"/>
      <c r="S20" s="1"/>
      <c r="T20" s="1"/>
      <c r="U20" s="1"/>
      <c r="V20" s="1"/>
      <c r="W20" s="1"/>
      <c r="X20" s="1"/>
      <c r="Y20" s="1"/>
      <c r="Z20" s="1"/>
    </row>
    <row r="21" ht="10.5" customHeight="1">
      <c r="A21" s="1"/>
      <c r="B21" s="11">
        <v>1997.0</v>
      </c>
      <c r="C21" s="294">
        <v>26652.0</v>
      </c>
      <c r="D21" s="693">
        <v>20190.978</v>
      </c>
      <c r="E21" s="693">
        <v>2940.219</v>
      </c>
      <c r="F21" s="693">
        <v>8230.637999999999</v>
      </c>
      <c r="G21" s="693">
        <v>2759.502</v>
      </c>
      <c r="H21" s="693">
        <v>3747.4350000000004</v>
      </c>
      <c r="I21" s="693">
        <v>11434.494</v>
      </c>
      <c r="J21" s="54">
        <f t="shared" si="5"/>
        <v>75955.266</v>
      </c>
      <c r="K21" s="693">
        <v>7595.5</v>
      </c>
      <c r="L21" s="693">
        <v>2566.6</v>
      </c>
      <c r="M21" s="54">
        <f t="shared" si="6"/>
        <v>86117.366</v>
      </c>
      <c r="O21" s="1"/>
      <c r="P21" s="1"/>
      <c r="Q21" s="1"/>
      <c r="R21" s="1"/>
      <c r="S21" s="1"/>
      <c r="T21" s="1"/>
      <c r="U21" s="1"/>
      <c r="V21" s="1"/>
      <c r="W21" s="1"/>
      <c r="X21" s="1"/>
      <c r="Y21" s="1"/>
      <c r="Z21" s="1"/>
    </row>
    <row r="22" ht="10.5" customHeight="1">
      <c r="A22" s="1"/>
      <c r="B22" s="11"/>
      <c r="C22" s="294"/>
      <c r="D22" s="693"/>
      <c r="E22" s="693"/>
      <c r="F22" s="693"/>
      <c r="G22" s="693"/>
      <c r="H22" s="693"/>
      <c r="I22" s="693"/>
      <c r="J22" s="693"/>
      <c r="K22" s="693"/>
      <c r="L22" s="693"/>
      <c r="M22" s="693"/>
      <c r="O22" s="1"/>
      <c r="P22" s="1"/>
      <c r="Q22" s="1"/>
      <c r="R22" s="1"/>
      <c r="S22" s="1"/>
      <c r="T22" s="1"/>
      <c r="U22" s="1"/>
      <c r="V22" s="1"/>
      <c r="W22" s="1"/>
      <c r="X22" s="1"/>
      <c r="Y22" s="1"/>
      <c r="Z22" s="1"/>
    </row>
    <row r="23" ht="10.5" customHeight="1">
      <c r="A23" s="1"/>
      <c r="B23" s="11" t="s">
        <v>121</v>
      </c>
      <c r="C23" s="294">
        <v>26894.9</v>
      </c>
      <c r="D23" s="693">
        <v>20385.493000000002</v>
      </c>
      <c r="E23" s="693">
        <v>2791.366</v>
      </c>
      <c r="F23" s="693">
        <v>8540.828000000001</v>
      </c>
      <c r="G23" s="693">
        <v>2798.3979999999997</v>
      </c>
      <c r="H23" s="693">
        <v>3706.557</v>
      </c>
      <c r="I23" s="693">
        <v>11877.377</v>
      </c>
      <c r="J23" s="54">
        <f t="shared" ref="J23:J27" si="7">SUM(C23:I23)</f>
        <v>76994.919</v>
      </c>
      <c r="K23" s="693">
        <v>7699.5</v>
      </c>
      <c r="L23" s="693">
        <v>2601.7</v>
      </c>
      <c r="M23" s="54">
        <f t="shared" ref="M23:M27" si="8">SUM(J23:L23)</f>
        <v>87296.119</v>
      </c>
      <c r="O23" s="1"/>
      <c r="P23" s="1"/>
      <c r="Q23" s="1"/>
      <c r="R23" s="1"/>
      <c r="S23" s="1"/>
      <c r="T23" s="1"/>
      <c r="U23" s="1"/>
      <c r="V23" s="1"/>
      <c r="W23" s="1"/>
      <c r="X23" s="1"/>
      <c r="Y23" s="1"/>
      <c r="Z23" s="1"/>
    </row>
    <row r="24" ht="10.5" customHeight="1">
      <c r="A24" s="1"/>
      <c r="B24" s="11">
        <v>1998.0</v>
      </c>
      <c r="C24" s="294">
        <v>26411.3</v>
      </c>
      <c r="D24" s="693">
        <v>21349.778</v>
      </c>
      <c r="E24" s="693">
        <v>2854.638</v>
      </c>
      <c r="F24" s="693">
        <v>8719.4</v>
      </c>
      <c r="G24" s="693">
        <v>2850.223</v>
      </c>
      <c r="H24" s="693">
        <v>3939.023</v>
      </c>
      <c r="I24" s="693">
        <v>11874.702</v>
      </c>
      <c r="J24" s="54">
        <f t="shared" si="7"/>
        <v>77999.064</v>
      </c>
      <c r="K24" s="693">
        <v>7799.9</v>
      </c>
      <c r="L24" s="693">
        <v>2635.6</v>
      </c>
      <c r="M24" s="54">
        <f t="shared" si="8"/>
        <v>88434.564</v>
      </c>
      <c r="O24" s="1"/>
      <c r="P24" s="1"/>
      <c r="Q24" s="1"/>
      <c r="R24" s="1"/>
      <c r="S24" s="1"/>
      <c r="T24" s="1"/>
      <c r="U24" s="1"/>
      <c r="V24" s="1"/>
      <c r="W24" s="1"/>
      <c r="X24" s="1"/>
      <c r="Y24" s="1"/>
      <c r="Z24" s="1"/>
    </row>
    <row r="25" ht="10.5" customHeight="1">
      <c r="A25" s="1"/>
      <c r="B25" s="894" t="s">
        <v>122</v>
      </c>
      <c r="C25" s="294">
        <v>26511.2</v>
      </c>
      <c r="D25" s="693">
        <v>22919.664</v>
      </c>
      <c r="E25" s="693">
        <v>2938.4</v>
      </c>
      <c r="F25" s="693">
        <v>8928.205</v>
      </c>
      <c r="G25" s="693">
        <v>2975.6440000000002</v>
      </c>
      <c r="H25" s="693">
        <v>4097.97</v>
      </c>
      <c r="I25" s="693">
        <v>11846.6</v>
      </c>
      <c r="J25" s="54">
        <f t="shared" si="7"/>
        <v>80217.683</v>
      </c>
      <c r="K25" s="693">
        <v>8021.7</v>
      </c>
      <c r="L25" s="693">
        <v>2710.6</v>
      </c>
      <c r="M25" s="54">
        <f t="shared" si="8"/>
        <v>90949.983</v>
      </c>
      <c r="O25" s="1"/>
      <c r="P25" s="1"/>
      <c r="Q25" s="1"/>
      <c r="R25" s="1"/>
      <c r="S25" s="1"/>
      <c r="T25" s="1"/>
      <c r="U25" s="1"/>
      <c r="V25" s="1"/>
      <c r="W25" s="1"/>
      <c r="X25" s="1"/>
      <c r="Y25" s="1"/>
      <c r="Z25" s="1"/>
    </row>
    <row r="26" ht="10.5" customHeight="1">
      <c r="A26" s="1"/>
      <c r="B26" s="11">
        <v>1999.0</v>
      </c>
      <c r="C26" s="294">
        <v>25923.1</v>
      </c>
      <c r="D26" s="693">
        <v>25107.263000000003</v>
      </c>
      <c r="E26" s="693">
        <v>2948.1</v>
      </c>
      <c r="F26" s="693">
        <v>9127.383</v>
      </c>
      <c r="G26" s="693">
        <v>3187.6759999999995</v>
      </c>
      <c r="H26" s="693">
        <v>4219.02</v>
      </c>
      <c r="I26" s="693">
        <v>12360.863000000001</v>
      </c>
      <c r="J26" s="54">
        <f t="shared" si="7"/>
        <v>82873.405</v>
      </c>
      <c r="K26" s="693">
        <v>8287.3</v>
      </c>
      <c r="L26" s="693">
        <v>2800.3</v>
      </c>
      <c r="M26" s="54">
        <f t="shared" si="8"/>
        <v>93961.005</v>
      </c>
      <c r="O26" s="1"/>
      <c r="P26" s="1"/>
      <c r="Q26" s="1"/>
      <c r="R26" s="1"/>
      <c r="S26" s="1"/>
      <c r="T26" s="1"/>
      <c r="U26" s="1"/>
      <c r="V26" s="1"/>
      <c r="W26" s="1"/>
      <c r="X26" s="1"/>
      <c r="Y26" s="1"/>
      <c r="Z26" s="1"/>
    </row>
    <row r="27" ht="10.5" customHeight="1">
      <c r="A27" s="1"/>
      <c r="B27" s="894" t="s">
        <v>123</v>
      </c>
      <c r="C27" s="294">
        <v>26669.5</v>
      </c>
      <c r="D27" s="693">
        <v>27078.4</v>
      </c>
      <c r="E27" s="693">
        <v>3002.9</v>
      </c>
      <c r="F27" s="693">
        <v>10373.7</v>
      </c>
      <c r="G27" s="693">
        <v>3234.7850000000003</v>
      </c>
      <c r="H27" s="693">
        <v>4354.897000000001</v>
      </c>
      <c r="I27" s="693">
        <v>13543.636999999999</v>
      </c>
      <c r="J27" s="54">
        <f t="shared" si="7"/>
        <v>88257.819</v>
      </c>
      <c r="K27" s="693">
        <v>8825.8</v>
      </c>
      <c r="L27" s="693">
        <v>2982.2</v>
      </c>
      <c r="M27" s="54">
        <f t="shared" si="8"/>
        <v>100065.819</v>
      </c>
      <c r="O27" s="1"/>
      <c r="P27" s="1"/>
      <c r="Q27" s="1"/>
      <c r="R27" s="1"/>
      <c r="S27" s="1"/>
      <c r="T27" s="1"/>
      <c r="U27" s="1"/>
      <c r="V27" s="1"/>
      <c r="W27" s="1"/>
      <c r="X27" s="1"/>
      <c r="Y27" s="1"/>
      <c r="Z27" s="1"/>
    </row>
    <row r="28" ht="10.5" customHeight="1">
      <c r="A28" s="1"/>
      <c r="B28" s="11"/>
      <c r="C28" s="294"/>
      <c r="D28" s="693"/>
      <c r="E28" s="693"/>
      <c r="F28" s="693"/>
      <c r="G28" s="693"/>
      <c r="H28" s="693"/>
      <c r="I28" s="693"/>
      <c r="J28" s="693"/>
      <c r="K28" s="693"/>
      <c r="L28" s="693"/>
      <c r="M28" s="693"/>
      <c r="O28" s="1"/>
      <c r="P28" s="1"/>
      <c r="Q28" s="1"/>
      <c r="R28" s="1"/>
      <c r="S28" s="1"/>
      <c r="T28" s="1"/>
      <c r="U28" s="1"/>
      <c r="V28" s="1"/>
      <c r="W28" s="1"/>
      <c r="X28" s="1"/>
      <c r="Y28" s="1"/>
      <c r="Z28" s="1"/>
    </row>
    <row r="29" ht="10.5" customHeight="1">
      <c r="A29" s="1"/>
      <c r="B29" s="11">
        <v>2000.0</v>
      </c>
      <c r="C29" s="294">
        <v>27079.9</v>
      </c>
      <c r="D29" s="693">
        <v>29192.0</v>
      </c>
      <c r="E29" s="693">
        <v>3062.2</v>
      </c>
      <c r="F29" s="693">
        <v>12460.5</v>
      </c>
      <c r="G29" s="693">
        <v>3291.7340000000004</v>
      </c>
      <c r="H29" s="693">
        <v>4339.264</v>
      </c>
      <c r="I29" s="693">
        <v>14183.491</v>
      </c>
      <c r="J29" s="54">
        <f t="shared" ref="J29:J33" si="9">SUM(C29:I29)</f>
        <v>93609.089</v>
      </c>
      <c r="K29" s="693">
        <v>9360.9</v>
      </c>
      <c r="L29" s="693">
        <v>3163.0</v>
      </c>
      <c r="M29" s="54">
        <v>106133.0</v>
      </c>
      <c r="O29" s="1"/>
      <c r="P29" s="1"/>
      <c r="Q29" s="1"/>
      <c r="R29" s="1"/>
      <c r="S29" s="1"/>
      <c r="T29" s="1"/>
      <c r="U29" s="1"/>
      <c r="V29" s="1"/>
      <c r="W29" s="1"/>
      <c r="X29" s="1"/>
      <c r="Y29" s="1"/>
      <c r="Z29" s="1"/>
    </row>
    <row r="30" ht="10.5" customHeight="1">
      <c r="A30" s="1"/>
      <c r="B30" s="894" t="s">
        <v>125</v>
      </c>
      <c r="C30" s="294">
        <v>26899.3</v>
      </c>
      <c r="D30" s="693">
        <v>34950.269</v>
      </c>
      <c r="E30" s="693">
        <v>3158.095</v>
      </c>
      <c r="F30" s="693">
        <v>13434.1</v>
      </c>
      <c r="G30" s="693">
        <v>3417.359</v>
      </c>
      <c r="H30" s="693">
        <v>4507.307</v>
      </c>
      <c r="I30" s="693">
        <v>13570.569000000001</v>
      </c>
      <c r="J30" s="54">
        <f t="shared" si="9"/>
        <v>99936.999</v>
      </c>
      <c r="K30" s="693">
        <v>9993.7</v>
      </c>
      <c r="L30" s="693">
        <v>3376.9</v>
      </c>
      <c r="M30" s="54">
        <v>113307.6</v>
      </c>
      <c r="O30" s="1"/>
      <c r="P30" s="1"/>
      <c r="Q30" s="1"/>
      <c r="R30" s="1"/>
      <c r="S30" s="1"/>
      <c r="T30" s="1"/>
      <c r="U30" s="1"/>
      <c r="V30" s="1"/>
      <c r="W30" s="1"/>
      <c r="X30" s="1"/>
      <c r="Y30" s="1"/>
      <c r="Z30" s="1"/>
    </row>
    <row r="31" ht="10.5" customHeight="1">
      <c r="A31" s="1"/>
      <c r="B31" s="11">
        <v>2001.0</v>
      </c>
      <c r="C31" s="294">
        <v>29587.2</v>
      </c>
      <c r="D31" s="693">
        <v>44498.195</v>
      </c>
      <c r="E31" s="693">
        <v>3115.9</v>
      </c>
      <c r="F31" s="693">
        <v>14042.6</v>
      </c>
      <c r="G31" s="693">
        <v>3568.301</v>
      </c>
      <c r="H31" s="693">
        <v>4587.892</v>
      </c>
      <c r="I31" s="693">
        <v>14131.212999999998</v>
      </c>
      <c r="J31" s="54">
        <f t="shared" si="9"/>
        <v>113531.301</v>
      </c>
      <c r="K31" s="693">
        <v>11353.1</v>
      </c>
      <c r="L31" s="693">
        <v>3836.2</v>
      </c>
      <c r="M31" s="54">
        <v>128720.7</v>
      </c>
      <c r="O31" s="1"/>
      <c r="P31" s="1"/>
      <c r="Q31" s="1"/>
      <c r="R31" s="1"/>
      <c r="S31" s="1"/>
      <c r="T31" s="1"/>
      <c r="U31" s="1"/>
      <c r="V31" s="1"/>
      <c r="W31" s="1"/>
      <c r="X31" s="1"/>
      <c r="Y31" s="1"/>
      <c r="Z31" s="1"/>
    </row>
    <row r="32" ht="10.5" customHeight="1">
      <c r="A32" s="1"/>
      <c r="B32" s="894" t="s">
        <v>127</v>
      </c>
      <c r="C32" s="294">
        <v>32406.1</v>
      </c>
      <c r="D32" s="693">
        <v>50033.028</v>
      </c>
      <c r="E32" s="693">
        <v>2985.967</v>
      </c>
      <c r="F32" s="693">
        <v>14090.5</v>
      </c>
      <c r="G32" s="693">
        <v>3794.001</v>
      </c>
      <c r="H32" s="693">
        <v>5067.052</v>
      </c>
      <c r="I32" s="693">
        <v>15685.294999999998</v>
      </c>
      <c r="J32" s="54">
        <f t="shared" si="9"/>
        <v>124061.943</v>
      </c>
      <c r="K32" s="693">
        <v>12406.2</v>
      </c>
      <c r="L32" s="693">
        <v>4192.1</v>
      </c>
      <c r="M32" s="54">
        <v>140660.2</v>
      </c>
      <c r="O32" s="1"/>
      <c r="P32" s="1"/>
      <c r="Q32" s="1"/>
      <c r="R32" s="1"/>
      <c r="S32" s="1"/>
      <c r="T32" s="1"/>
      <c r="U32" s="1"/>
      <c r="V32" s="1"/>
      <c r="W32" s="1"/>
      <c r="X32" s="1"/>
      <c r="Y32" s="1"/>
      <c r="Z32" s="1"/>
    </row>
    <row r="33" ht="10.5" customHeight="1">
      <c r="A33" s="1"/>
      <c r="B33" s="11">
        <v>2002.0</v>
      </c>
      <c r="C33" s="294">
        <v>36804.0</v>
      </c>
      <c r="D33" s="284">
        <v>52361.0</v>
      </c>
      <c r="E33" s="693">
        <v>2922.2</v>
      </c>
      <c r="F33" s="693">
        <v>14902.9</v>
      </c>
      <c r="G33" s="693">
        <v>4161.356</v>
      </c>
      <c r="H33" s="693">
        <v>5484.718000000001</v>
      </c>
      <c r="I33" s="693">
        <v>17267.896999999997</v>
      </c>
      <c r="J33" s="54">
        <f t="shared" si="9"/>
        <v>133904.071</v>
      </c>
      <c r="K33" s="693">
        <v>13390.4</v>
      </c>
      <c r="L33" s="693">
        <v>4524.6</v>
      </c>
      <c r="M33" s="54">
        <v>151819.1</v>
      </c>
      <c r="O33" s="1"/>
      <c r="P33" s="1"/>
      <c r="Q33" s="1"/>
      <c r="R33" s="1"/>
      <c r="S33" s="1"/>
      <c r="T33" s="1"/>
      <c r="U33" s="1"/>
      <c r="V33" s="1"/>
      <c r="W33" s="1"/>
      <c r="X33" s="1"/>
      <c r="Y33" s="1"/>
      <c r="Z33" s="1"/>
    </row>
    <row r="34" ht="10.5" customHeight="1">
      <c r="A34" s="1"/>
      <c r="B34" s="1071"/>
      <c r="C34" s="693"/>
      <c r="D34" s="693"/>
      <c r="E34" s="693"/>
      <c r="F34" s="693"/>
      <c r="G34" s="693"/>
      <c r="H34" s="693"/>
      <c r="I34" s="693"/>
      <c r="J34" s="693"/>
      <c r="K34" s="693"/>
      <c r="L34" s="693"/>
      <c r="M34" s="693"/>
      <c r="O34" s="1"/>
      <c r="P34" s="1"/>
      <c r="Q34" s="1"/>
      <c r="R34" s="1"/>
      <c r="S34" s="1"/>
      <c r="T34" s="1"/>
      <c r="U34" s="1"/>
      <c r="V34" s="1"/>
      <c r="W34" s="1"/>
      <c r="X34" s="1"/>
      <c r="Y34" s="1"/>
      <c r="Z34" s="1"/>
    </row>
    <row r="35" ht="10.5" customHeight="1">
      <c r="A35" s="1"/>
      <c r="B35" s="894" t="s">
        <v>128</v>
      </c>
      <c r="C35" s="693">
        <v>43103.1</v>
      </c>
      <c r="D35" s="693">
        <v>54709.8</v>
      </c>
      <c r="E35" s="693">
        <v>3228.5</v>
      </c>
      <c r="F35" s="693">
        <v>16434.6</v>
      </c>
      <c r="G35" s="693">
        <v>4448.203</v>
      </c>
      <c r="H35" s="693">
        <v>5615.4</v>
      </c>
      <c r="I35" s="693">
        <v>18396.692000000003</v>
      </c>
      <c r="J35" s="54">
        <f t="shared" ref="J35:J39" si="10">SUM(C35:I35)</f>
        <v>145936.295</v>
      </c>
      <c r="K35" s="693">
        <v>14593.6</v>
      </c>
      <c r="L35" s="693">
        <v>4931.2</v>
      </c>
      <c r="M35" s="54">
        <v>165461.2</v>
      </c>
      <c r="O35" s="1"/>
      <c r="P35" s="1"/>
      <c r="Q35" s="1"/>
      <c r="R35" s="1"/>
      <c r="S35" s="1"/>
      <c r="T35" s="1"/>
      <c r="U35" s="1"/>
      <c r="V35" s="1"/>
      <c r="W35" s="1"/>
      <c r="X35" s="1"/>
      <c r="Y35" s="1"/>
      <c r="Z35" s="1"/>
    </row>
    <row r="36" ht="10.5" customHeight="1">
      <c r="A36" s="1"/>
      <c r="B36" s="11">
        <v>2003.0</v>
      </c>
      <c r="C36" s="693">
        <v>45833.8</v>
      </c>
      <c r="D36" s="693">
        <v>56134.87</v>
      </c>
      <c r="E36" s="693">
        <v>3520.5</v>
      </c>
      <c r="F36" s="693">
        <v>17755.6</v>
      </c>
      <c r="G36" s="693">
        <v>4586.558</v>
      </c>
      <c r="H36" s="693">
        <v>5954.895</v>
      </c>
      <c r="I36" s="693">
        <v>19559.042999999998</v>
      </c>
      <c r="J36" s="54">
        <f t="shared" si="10"/>
        <v>153345.266</v>
      </c>
      <c r="K36" s="693">
        <v>15334.5</v>
      </c>
      <c r="L36" s="693">
        <v>5181.5</v>
      </c>
      <c r="M36" s="54">
        <v>173861.2</v>
      </c>
      <c r="O36" s="1"/>
      <c r="P36" s="1"/>
      <c r="Q36" s="1"/>
      <c r="R36" s="1"/>
      <c r="S36" s="1"/>
      <c r="T36" s="1"/>
      <c r="U36" s="1"/>
      <c r="V36" s="1"/>
      <c r="W36" s="1"/>
      <c r="X36" s="1"/>
      <c r="Y36" s="1"/>
      <c r="Z36" s="1"/>
    </row>
    <row r="37" ht="10.5" customHeight="1">
      <c r="A37" s="1"/>
      <c r="B37" s="894" t="s">
        <v>129</v>
      </c>
      <c r="C37" s="693">
        <v>45828.2</v>
      </c>
      <c r="D37" s="693">
        <v>56210.774</v>
      </c>
      <c r="E37" s="693">
        <v>3528.73</v>
      </c>
      <c r="F37" s="693">
        <v>16242.0</v>
      </c>
      <c r="G37" s="693">
        <v>4634.662</v>
      </c>
      <c r="H37" s="693">
        <v>6387.089</v>
      </c>
      <c r="I37" s="693">
        <v>20035.597</v>
      </c>
      <c r="J37" s="54">
        <f t="shared" si="10"/>
        <v>152867.052</v>
      </c>
      <c r="K37" s="693">
        <v>15286.7</v>
      </c>
      <c r="L37" s="693">
        <v>5165.4</v>
      </c>
      <c r="M37" s="54">
        <v>173319.1</v>
      </c>
      <c r="O37" s="1"/>
      <c r="P37" s="1"/>
      <c r="Q37" s="1"/>
      <c r="R37" s="1"/>
      <c r="S37" s="1"/>
      <c r="T37" s="1"/>
      <c r="U37" s="1"/>
      <c r="V37" s="1"/>
      <c r="W37" s="1"/>
      <c r="X37" s="1"/>
      <c r="Y37" s="1"/>
      <c r="Z37" s="1"/>
    </row>
    <row r="38" ht="10.5" customHeight="1">
      <c r="A38" s="1"/>
      <c r="B38" s="11">
        <v>2004.0</v>
      </c>
      <c r="C38" s="693">
        <v>47559.6</v>
      </c>
      <c r="D38" s="693">
        <v>55842.553</v>
      </c>
      <c r="E38" s="693">
        <v>3552.6</v>
      </c>
      <c r="F38" s="693">
        <v>14693.6</v>
      </c>
      <c r="G38" s="693">
        <v>4617.409</v>
      </c>
      <c r="H38" s="693">
        <v>6583.966</v>
      </c>
      <c r="I38" s="693">
        <v>19339.409</v>
      </c>
      <c r="J38" s="54">
        <f t="shared" si="10"/>
        <v>152189.137</v>
      </c>
      <c r="K38" s="693">
        <v>15218.9</v>
      </c>
      <c r="L38" s="693">
        <v>5142.5</v>
      </c>
      <c r="M38" s="54">
        <v>172550.6</v>
      </c>
      <c r="O38" s="1"/>
      <c r="P38" s="1"/>
      <c r="Q38" s="1"/>
      <c r="R38" s="1"/>
      <c r="S38" s="1"/>
      <c r="T38" s="1"/>
      <c r="U38" s="1"/>
      <c r="V38" s="1"/>
      <c r="W38" s="1"/>
      <c r="X38" s="1"/>
      <c r="Y38" s="1"/>
      <c r="Z38" s="1"/>
    </row>
    <row r="39" ht="10.5" customHeight="1">
      <c r="A39" s="1"/>
      <c r="B39" s="11" t="s">
        <v>130</v>
      </c>
      <c r="C39" s="693">
        <v>51314.7</v>
      </c>
      <c r="D39" s="693">
        <v>55036.311</v>
      </c>
      <c r="E39" s="693">
        <v>3671.392</v>
      </c>
      <c r="F39" s="693">
        <v>17109.874</v>
      </c>
      <c r="G39" s="693">
        <v>4612.5</v>
      </c>
      <c r="H39" s="693">
        <v>6632.086</v>
      </c>
      <c r="I39" s="693">
        <v>20107.469</v>
      </c>
      <c r="J39" s="54">
        <f t="shared" si="10"/>
        <v>158484.332</v>
      </c>
      <c r="K39" s="693">
        <v>15848.4</v>
      </c>
      <c r="L39" s="693">
        <v>5355.2</v>
      </c>
      <c r="M39" s="54">
        <v>179687.9</v>
      </c>
      <c r="N39" s="1"/>
      <c r="O39" s="1"/>
      <c r="P39" s="1"/>
      <c r="Q39" s="1"/>
      <c r="R39" s="1"/>
      <c r="S39" s="1"/>
      <c r="T39" s="1"/>
      <c r="U39" s="1"/>
      <c r="V39" s="1"/>
      <c r="W39" s="1"/>
      <c r="X39" s="1"/>
      <c r="Y39" s="1"/>
      <c r="Z39" s="1"/>
    </row>
    <row r="40" ht="10.5" customHeight="1">
      <c r="A40" s="1"/>
      <c r="B40" s="11"/>
      <c r="C40" s="693"/>
      <c r="D40" s="693"/>
      <c r="E40" s="693"/>
      <c r="F40" s="693"/>
      <c r="G40" s="693"/>
      <c r="H40" s="693"/>
      <c r="I40" s="693"/>
      <c r="J40" s="693"/>
      <c r="K40" s="693"/>
      <c r="L40" s="693"/>
      <c r="M40" s="693"/>
      <c r="N40" s="1"/>
      <c r="O40" s="1"/>
      <c r="P40" s="1"/>
      <c r="Q40" s="1"/>
      <c r="R40" s="1"/>
      <c r="S40" s="1"/>
      <c r="T40" s="1"/>
      <c r="U40" s="1"/>
      <c r="V40" s="1"/>
      <c r="W40" s="1"/>
      <c r="X40" s="1"/>
      <c r="Y40" s="1"/>
      <c r="Z40" s="1"/>
    </row>
    <row r="41" ht="10.5" customHeight="1">
      <c r="A41" s="1"/>
      <c r="B41" s="11">
        <v>2005.0</v>
      </c>
      <c r="C41" s="693">
        <v>56419.2</v>
      </c>
      <c r="D41" s="693">
        <v>54548.603</v>
      </c>
      <c r="E41" s="693">
        <v>3786.059</v>
      </c>
      <c r="F41" s="693">
        <v>19581.954</v>
      </c>
      <c r="G41" s="693">
        <v>4515.2</v>
      </c>
      <c r="H41" s="693">
        <v>6637.065</v>
      </c>
      <c r="I41" s="693">
        <v>21449.633</v>
      </c>
      <c r="J41" s="54">
        <f t="shared" ref="J41:J44" si="11">SUM(C41:I41)</f>
        <v>166937.714</v>
      </c>
      <c r="K41" s="693">
        <v>16693.8</v>
      </c>
      <c r="L41" s="693">
        <v>5640.8</v>
      </c>
      <c r="M41" s="54">
        <v>189272.3</v>
      </c>
      <c r="N41" s="1"/>
      <c r="O41" s="1"/>
      <c r="P41" s="1"/>
      <c r="Q41" s="1"/>
      <c r="R41" s="1"/>
      <c r="S41" s="1"/>
      <c r="T41" s="1"/>
      <c r="U41" s="1"/>
      <c r="V41" s="1"/>
      <c r="W41" s="1"/>
      <c r="X41" s="1"/>
      <c r="Y41" s="1"/>
      <c r="Z41" s="1"/>
    </row>
    <row r="42" ht="10.5" customHeight="1">
      <c r="A42" s="1"/>
      <c r="B42" s="11" t="s">
        <v>131</v>
      </c>
      <c r="C42" s="693">
        <v>61176.5</v>
      </c>
      <c r="D42" s="693">
        <v>54710.3</v>
      </c>
      <c r="E42" s="693">
        <v>3818.222</v>
      </c>
      <c r="F42" s="693">
        <v>21011.015</v>
      </c>
      <c r="G42" s="693">
        <v>4887.6</v>
      </c>
      <c r="H42" s="693">
        <v>6701.506</v>
      </c>
      <c r="I42" s="693">
        <v>22183.892</v>
      </c>
      <c r="J42" s="54">
        <f t="shared" si="11"/>
        <v>174489.035</v>
      </c>
      <c r="K42" s="693">
        <v>17448.9</v>
      </c>
      <c r="L42" s="693">
        <v>5896.0</v>
      </c>
      <c r="M42" s="54">
        <v>197834.0</v>
      </c>
      <c r="N42" s="1"/>
      <c r="O42" s="1"/>
      <c r="P42" s="1"/>
      <c r="Q42" s="1"/>
      <c r="R42" s="1"/>
      <c r="S42" s="1"/>
      <c r="T42" s="1"/>
      <c r="U42" s="1"/>
      <c r="V42" s="1"/>
      <c r="W42" s="1"/>
      <c r="X42" s="1"/>
      <c r="Y42" s="1"/>
      <c r="Z42" s="1"/>
    </row>
    <row r="43" ht="10.5" customHeight="1">
      <c r="A43" s="1"/>
      <c r="B43" s="11">
        <v>2006.0</v>
      </c>
      <c r="C43" s="693">
        <v>66396.4</v>
      </c>
      <c r="D43" s="693">
        <v>55612.4</v>
      </c>
      <c r="E43" s="693">
        <v>3914.371</v>
      </c>
      <c r="F43" s="693">
        <v>23289.875</v>
      </c>
      <c r="G43" s="693">
        <v>5446.1</v>
      </c>
      <c r="H43" s="693">
        <v>7606.413</v>
      </c>
      <c r="I43" s="693">
        <v>22827.552</v>
      </c>
      <c r="J43" s="54">
        <f t="shared" si="11"/>
        <v>185093.111</v>
      </c>
      <c r="K43" s="693">
        <v>18509.3</v>
      </c>
      <c r="L43" s="693">
        <v>6254.3</v>
      </c>
      <c r="M43" s="54">
        <v>209856.7</v>
      </c>
      <c r="N43" s="1"/>
      <c r="O43" s="1"/>
      <c r="P43" s="1"/>
      <c r="Q43" s="1"/>
      <c r="R43" s="1"/>
      <c r="S43" s="1"/>
      <c r="T43" s="1"/>
      <c r="U43" s="1"/>
      <c r="V43" s="1"/>
      <c r="W43" s="1"/>
      <c r="X43" s="1"/>
      <c r="Y43" s="1"/>
      <c r="Z43" s="1"/>
    </row>
    <row r="44" ht="10.5" customHeight="1">
      <c r="A44" s="1"/>
      <c r="B44" s="11" t="s">
        <v>133</v>
      </c>
      <c r="C44" s="693">
        <v>70892.6</v>
      </c>
      <c r="D44" s="693">
        <v>58896.5</v>
      </c>
      <c r="E44" s="693">
        <v>3904.964</v>
      </c>
      <c r="F44" s="693">
        <v>24716.387</v>
      </c>
      <c r="G44" s="693">
        <v>5539.3</v>
      </c>
      <c r="H44" s="693">
        <v>8294.984</v>
      </c>
      <c r="I44" s="693">
        <v>24858.247</v>
      </c>
      <c r="J44" s="54">
        <f t="shared" si="11"/>
        <v>197102.982</v>
      </c>
      <c r="K44" s="693">
        <v>19710.3</v>
      </c>
      <c r="L44" s="693">
        <v>6660.1</v>
      </c>
      <c r="M44" s="54">
        <v>223473.3</v>
      </c>
      <c r="N44" s="1"/>
      <c r="O44" s="1"/>
      <c r="P44" s="1"/>
      <c r="Q44" s="1"/>
      <c r="R44" s="1"/>
      <c r="S44" s="1"/>
      <c r="T44" s="1"/>
      <c r="U44" s="1"/>
      <c r="V44" s="1"/>
      <c r="W44" s="1"/>
      <c r="X44" s="1"/>
      <c r="Y44" s="1"/>
      <c r="Z44" s="1"/>
    </row>
    <row r="45" ht="10.5" customHeight="1">
      <c r="A45" s="1"/>
      <c r="B45" s="11">
        <v>2007.0</v>
      </c>
      <c r="C45" s="693">
        <v>72576.354</v>
      </c>
      <c r="D45" s="693">
        <v>65035.56800000001</v>
      </c>
      <c r="E45" s="693">
        <v>3826.77</v>
      </c>
      <c r="F45" s="693">
        <v>28364.828999999998</v>
      </c>
      <c r="G45" s="693">
        <v>5354.239</v>
      </c>
      <c r="H45" s="693">
        <v>8077.214999999999</v>
      </c>
      <c r="I45" s="693">
        <v>28814.049000000003</v>
      </c>
      <c r="J45" s="54">
        <v>212049.02400000003</v>
      </c>
      <c r="K45" s="693">
        <v>21204.900999999998</v>
      </c>
      <c r="L45" s="693">
        <v>7165.137000000001</v>
      </c>
      <c r="M45" s="54">
        <v>240419.06200000003</v>
      </c>
      <c r="N45" s="1"/>
      <c r="O45" s="1"/>
      <c r="P45" s="1"/>
      <c r="Q45" s="1"/>
      <c r="R45" s="1"/>
      <c r="S45" s="1"/>
      <c r="T45" s="1"/>
      <c r="U45" s="1"/>
      <c r="V45" s="1"/>
      <c r="W45" s="1"/>
      <c r="X45" s="1"/>
      <c r="Y45" s="1"/>
      <c r="Z45" s="1"/>
    </row>
    <row r="46" ht="10.5" customHeight="1">
      <c r="A46" s="1"/>
      <c r="B46" s="11"/>
      <c r="C46" s="693"/>
      <c r="D46" s="693"/>
      <c r="E46" s="693"/>
      <c r="F46" s="693"/>
      <c r="G46" s="693"/>
      <c r="H46" s="693"/>
      <c r="I46" s="693"/>
      <c r="J46" s="54"/>
      <c r="K46" s="693"/>
      <c r="L46" s="693"/>
      <c r="M46" s="54"/>
      <c r="N46" s="1"/>
      <c r="O46" s="1"/>
      <c r="P46" s="1"/>
      <c r="Q46" s="1"/>
      <c r="R46" s="1"/>
      <c r="S46" s="1"/>
      <c r="T46" s="1"/>
      <c r="U46" s="1"/>
      <c r="V46" s="1"/>
      <c r="W46" s="1"/>
      <c r="X46" s="1"/>
      <c r="Y46" s="1"/>
      <c r="Z46" s="1"/>
    </row>
    <row r="47" ht="10.5" customHeight="1">
      <c r="A47" s="1"/>
      <c r="B47" s="11" t="s">
        <v>134</v>
      </c>
      <c r="C47" s="693">
        <v>88462.44200000001</v>
      </c>
      <c r="D47" s="693">
        <v>76739.26000000001</v>
      </c>
      <c r="E47" s="693">
        <v>3999.932</v>
      </c>
      <c r="F47" s="295">
        <v>34297.361000000004</v>
      </c>
      <c r="G47" s="1072">
        <v>5293.804</v>
      </c>
      <c r="H47" s="711">
        <v>9088.985999999999</v>
      </c>
      <c r="I47" s="693">
        <v>30122.140000000003</v>
      </c>
      <c r="J47" s="54">
        <v>248003.925</v>
      </c>
      <c r="K47" s="54">
        <v>24800.393</v>
      </c>
      <c r="L47" s="54">
        <v>8380.053</v>
      </c>
      <c r="M47" s="54">
        <v>281184.37100000004</v>
      </c>
      <c r="N47" s="1"/>
      <c r="O47" s="1"/>
      <c r="P47" s="1"/>
      <c r="Q47" s="1"/>
      <c r="R47" s="1"/>
      <c r="S47" s="1"/>
      <c r="T47" s="1"/>
      <c r="U47" s="1"/>
      <c r="V47" s="1"/>
      <c r="W47" s="1"/>
      <c r="X47" s="1"/>
      <c r="Y47" s="1"/>
      <c r="Z47" s="1"/>
    </row>
    <row r="48" ht="10.5" customHeight="1">
      <c r="A48" s="1"/>
      <c r="B48" s="11">
        <v>2008.0</v>
      </c>
      <c r="C48" s="693">
        <v>108045.811</v>
      </c>
      <c r="D48" s="693">
        <v>90193.523</v>
      </c>
      <c r="E48" s="295">
        <v>4184.568</v>
      </c>
      <c r="F48" s="284">
        <v>38343.305</v>
      </c>
      <c r="G48" s="1072">
        <v>6248.370999999999</v>
      </c>
      <c r="H48" s="711">
        <v>10747.23</v>
      </c>
      <c r="I48" s="693">
        <v>30899.858</v>
      </c>
      <c r="J48" s="54">
        <v>288662.66599999997</v>
      </c>
      <c r="K48" s="54">
        <v>28866.266</v>
      </c>
      <c r="L48" s="54">
        <v>9753.91</v>
      </c>
      <c r="M48" s="54">
        <v>327282.842</v>
      </c>
      <c r="N48" s="1"/>
      <c r="O48" s="1"/>
      <c r="P48" s="1"/>
      <c r="Q48" s="1"/>
      <c r="R48" s="1"/>
      <c r="S48" s="1"/>
      <c r="T48" s="1"/>
      <c r="U48" s="1"/>
      <c r="V48" s="1"/>
      <c r="W48" s="1"/>
      <c r="X48" s="1"/>
      <c r="Y48" s="1"/>
      <c r="Z48" s="1"/>
    </row>
    <row r="49" ht="10.5" customHeight="1">
      <c r="A49" s="1"/>
      <c r="B49" s="11" t="s">
        <v>135</v>
      </c>
      <c r="C49" s="693">
        <v>112877.766</v>
      </c>
      <c r="D49" s="693">
        <v>96106.419</v>
      </c>
      <c r="E49" s="295">
        <v>4379.507</v>
      </c>
      <c r="F49" s="284">
        <v>38361.209</v>
      </c>
      <c r="G49" s="1072">
        <v>7772.86</v>
      </c>
      <c r="H49" s="711">
        <v>11649.376</v>
      </c>
      <c r="I49" s="693">
        <v>33803.679</v>
      </c>
      <c r="J49" s="54">
        <v>304950.816</v>
      </c>
      <c r="K49" s="54">
        <v>30495.08</v>
      </c>
      <c r="L49" s="54">
        <v>10304.286</v>
      </c>
      <c r="M49" s="54">
        <v>345750.18200000003</v>
      </c>
      <c r="N49" s="1"/>
      <c r="O49" s="1"/>
      <c r="P49" s="1"/>
      <c r="Q49" s="1"/>
      <c r="R49" s="1"/>
      <c r="S49" s="1"/>
      <c r="T49" s="1"/>
      <c r="U49" s="1"/>
      <c r="V49" s="1"/>
      <c r="W49" s="1"/>
      <c r="X49" s="1"/>
      <c r="Y49" s="1"/>
      <c r="Z49" s="1"/>
    </row>
    <row r="50" ht="10.5" customHeight="1">
      <c r="A50" s="1"/>
      <c r="B50" s="11">
        <v>2009.0</v>
      </c>
      <c r="C50" s="693">
        <v>116056.425</v>
      </c>
      <c r="D50" s="693">
        <v>95567.165</v>
      </c>
      <c r="E50" s="295">
        <v>4852.946</v>
      </c>
      <c r="F50" s="284">
        <v>39473.334</v>
      </c>
      <c r="G50" s="1072">
        <v>8069.466</v>
      </c>
      <c r="H50" s="711">
        <v>12247.482000000002</v>
      </c>
      <c r="I50" s="693">
        <v>35519.96000000001</v>
      </c>
      <c r="J50" s="54">
        <v>311786.778</v>
      </c>
      <c r="K50" s="54">
        <v>31178.676999999996</v>
      </c>
      <c r="L50" s="54">
        <v>10535.275</v>
      </c>
      <c r="M50" s="54">
        <v>353500.73</v>
      </c>
      <c r="N50" s="1"/>
      <c r="O50" s="1"/>
      <c r="P50" s="1"/>
      <c r="Q50" s="1"/>
      <c r="R50" s="1"/>
      <c r="S50" s="1"/>
      <c r="T50" s="1"/>
      <c r="U50" s="1"/>
      <c r="V50" s="1"/>
      <c r="W50" s="1"/>
      <c r="X50" s="1"/>
      <c r="Y50" s="1"/>
      <c r="Z50" s="1"/>
    </row>
    <row r="51" ht="10.5" customHeight="1">
      <c r="A51" s="1"/>
      <c r="B51" s="11" t="s">
        <v>138</v>
      </c>
      <c r="C51" s="693">
        <v>119886.526</v>
      </c>
      <c r="D51" s="693">
        <v>92371.678</v>
      </c>
      <c r="E51" s="295">
        <v>5215.906</v>
      </c>
      <c r="F51" s="284">
        <v>41142.378000000004</v>
      </c>
      <c r="G51" s="1072">
        <v>7581.706999999999</v>
      </c>
      <c r="H51" s="711">
        <v>12513.298</v>
      </c>
      <c r="I51" s="693">
        <v>35900.602</v>
      </c>
      <c r="J51" s="54">
        <v>314612.095</v>
      </c>
      <c r="K51" s="54">
        <v>31461.210999999996</v>
      </c>
      <c r="L51" s="54">
        <v>10630.743999999999</v>
      </c>
      <c r="M51" s="54">
        <v>356704.05000000005</v>
      </c>
      <c r="N51" s="1"/>
      <c r="O51" s="1"/>
      <c r="P51" s="1"/>
      <c r="Q51" s="1"/>
      <c r="R51" s="1"/>
      <c r="S51" s="1"/>
      <c r="T51" s="1"/>
      <c r="U51" s="1"/>
      <c r="V51" s="1"/>
      <c r="W51" s="1"/>
      <c r="X51" s="1"/>
      <c r="Y51" s="1"/>
      <c r="Z51" s="1"/>
    </row>
    <row r="52" ht="10.5" customHeight="1">
      <c r="A52" s="1"/>
      <c r="B52" s="11"/>
      <c r="C52" s="693"/>
      <c r="D52" s="693"/>
      <c r="E52" s="693"/>
      <c r="F52" s="693"/>
      <c r="G52" s="693"/>
      <c r="H52" s="693"/>
      <c r="I52" s="693"/>
      <c r="J52" s="54"/>
      <c r="K52" s="693"/>
      <c r="L52" s="693"/>
      <c r="M52" s="693"/>
      <c r="N52" s="1"/>
      <c r="O52" s="1"/>
      <c r="P52" s="1"/>
      <c r="Q52" s="1"/>
      <c r="R52" s="1"/>
      <c r="S52" s="1"/>
      <c r="T52" s="1"/>
      <c r="U52" s="1"/>
      <c r="V52" s="1"/>
      <c r="W52" s="1"/>
      <c r="X52" s="1"/>
      <c r="Y52" s="1"/>
      <c r="Z52" s="1"/>
    </row>
    <row r="53" ht="10.5" customHeight="1">
      <c r="A53" s="1"/>
      <c r="B53" s="79">
        <v>2010.0</v>
      </c>
      <c r="C53" s="54">
        <v>121566.421</v>
      </c>
      <c r="D53" s="54">
        <v>92870.381</v>
      </c>
      <c r="E53" s="1072">
        <v>5478.078</v>
      </c>
      <c r="F53" s="1072">
        <v>41764.671</v>
      </c>
      <c r="G53" s="1072">
        <v>7053.8060000000005</v>
      </c>
      <c r="H53" s="1072">
        <v>13231.383</v>
      </c>
      <c r="I53" s="1072">
        <v>37334.82</v>
      </c>
      <c r="J53" s="54">
        <v>319299.56</v>
      </c>
      <c r="K53" s="1072">
        <v>31929.958</v>
      </c>
      <c r="L53" s="1072">
        <v>10789.133000000002</v>
      </c>
      <c r="M53" s="54">
        <v>362018.65100000007</v>
      </c>
      <c r="N53" s="1"/>
      <c r="O53" s="1"/>
      <c r="P53" s="1"/>
      <c r="Q53" s="1"/>
      <c r="R53" s="1"/>
      <c r="S53" s="1"/>
      <c r="T53" s="1"/>
      <c r="U53" s="1"/>
      <c r="V53" s="1"/>
      <c r="W53" s="1"/>
      <c r="X53" s="1"/>
      <c r="Y53" s="1"/>
      <c r="Z53" s="1"/>
    </row>
    <row r="54" ht="10.5" customHeight="1">
      <c r="A54" s="1"/>
      <c r="B54" s="79" t="s">
        <v>139</v>
      </c>
      <c r="C54" s="54">
        <v>124864.72399999999</v>
      </c>
      <c r="D54" s="54">
        <v>100069.166</v>
      </c>
      <c r="E54" s="1072">
        <v>5644.703</v>
      </c>
      <c r="F54" s="1072">
        <v>41897.502</v>
      </c>
      <c r="G54" s="1072">
        <v>6604.820000000001</v>
      </c>
      <c r="H54" s="1072">
        <v>13456.356</v>
      </c>
      <c r="I54" s="1072">
        <v>38259.479999999996</v>
      </c>
      <c r="J54" s="54">
        <v>330796.75100000005</v>
      </c>
      <c r="K54" s="1072">
        <v>33079.675</v>
      </c>
      <c r="L54" s="1072">
        <v>11177.622</v>
      </c>
      <c r="M54" s="54">
        <v>375054.048</v>
      </c>
      <c r="N54" s="1"/>
      <c r="O54" s="1"/>
      <c r="P54" s="1"/>
      <c r="Q54" s="1"/>
      <c r="R54" s="1"/>
      <c r="S54" s="1"/>
      <c r="T54" s="1"/>
      <c r="U54" s="1"/>
      <c r="V54" s="1"/>
      <c r="W54" s="1"/>
      <c r="X54" s="1"/>
      <c r="Y54" s="1"/>
      <c r="Z54" s="1"/>
    </row>
    <row r="55" ht="10.5" customHeight="1">
      <c r="A55" s="1"/>
      <c r="B55" s="79">
        <v>2011.0</v>
      </c>
      <c r="C55" s="54">
        <v>133550.141</v>
      </c>
      <c r="D55" s="54">
        <v>114604.182</v>
      </c>
      <c r="E55" s="1072">
        <v>6289.417</v>
      </c>
      <c r="F55" s="1072">
        <v>43027.049</v>
      </c>
      <c r="G55" s="1072">
        <v>7671.686000000001</v>
      </c>
      <c r="H55" s="1072">
        <v>13805.376</v>
      </c>
      <c r="I55" s="1072">
        <v>39304.880000000005</v>
      </c>
      <c r="J55" s="54">
        <v>358252.731</v>
      </c>
      <c r="K55" s="1072">
        <v>35825.273</v>
      </c>
      <c r="L55" s="1072">
        <v>12105.36</v>
      </c>
      <c r="M55" s="54">
        <v>406183.364</v>
      </c>
      <c r="N55" s="1"/>
      <c r="O55" s="1"/>
      <c r="P55" s="1"/>
      <c r="Q55" s="1"/>
      <c r="R55" s="1"/>
      <c r="S55" s="1"/>
      <c r="T55" s="1"/>
      <c r="U55" s="1"/>
      <c r="V55" s="1"/>
      <c r="W55" s="1"/>
      <c r="X55" s="1"/>
      <c r="Y55" s="1"/>
      <c r="Z55" s="1"/>
    </row>
    <row r="56" ht="10.5" customHeight="1">
      <c r="A56" s="1"/>
      <c r="B56" s="79" t="s">
        <v>143</v>
      </c>
      <c r="C56" s="54">
        <v>139155.25400000002</v>
      </c>
      <c r="D56" s="54">
        <v>117604.94299999998</v>
      </c>
      <c r="E56" s="1072">
        <v>6562.722000000001</v>
      </c>
      <c r="F56" s="1072">
        <v>46133.031</v>
      </c>
      <c r="G56" s="1072">
        <v>8444.056</v>
      </c>
      <c r="H56" s="1072">
        <v>14538.591999999999</v>
      </c>
      <c r="I56" s="1072">
        <v>40454.382</v>
      </c>
      <c r="J56" s="54">
        <v>372892.98</v>
      </c>
      <c r="K56" s="1072">
        <v>37289.298</v>
      </c>
      <c r="L56" s="1072">
        <v>12600.054000000002</v>
      </c>
      <c r="M56" s="54">
        <v>422782.332</v>
      </c>
      <c r="N56" s="1"/>
      <c r="O56" s="1"/>
      <c r="P56" s="1"/>
      <c r="Q56" s="1"/>
      <c r="R56" s="1"/>
      <c r="S56" s="1"/>
      <c r="T56" s="1"/>
      <c r="U56" s="1"/>
      <c r="V56" s="1"/>
      <c r="W56" s="1"/>
      <c r="X56" s="1"/>
      <c r="Y56" s="1"/>
      <c r="Z56" s="1"/>
    </row>
    <row r="57" ht="10.5" customHeight="1">
      <c r="A57" s="1"/>
      <c r="B57" s="79">
        <v>2012.0</v>
      </c>
      <c r="C57" s="54">
        <v>145285.187</v>
      </c>
      <c r="D57" s="54">
        <v>116278.69</v>
      </c>
      <c r="E57" s="1072">
        <v>6554.594999999999</v>
      </c>
      <c r="F57" s="1072">
        <v>49969.065</v>
      </c>
      <c r="G57" s="1072">
        <v>8737.851</v>
      </c>
      <c r="H57" s="1072">
        <v>14710.114999999998</v>
      </c>
      <c r="I57" s="1072">
        <v>43645.762</v>
      </c>
      <c r="J57" s="54">
        <v>385181.265</v>
      </c>
      <c r="K57" s="1072">
        <v>38518.127</v>
      </c>
      <c r="L57" s="1072">
        <v>13015.274000000001</v>
      </c>
      <c r="M57" s="54">
        <v>436714.666</v>
      </c>
      <c r="N57" s="1"/>
      <c r="O57" s="1"/>
      <c r="P57" s="1"/>
      <c r="Q57" s="1"/>
      <c r="R57" s="1"/>
      <c r="S57" s="1"/>
      <c r="T57" s="1"/>
      <c r="U57" s="1"/>
      <c r="V57" s="1"/>
      <c r="W57" s="1"/>
      <c r="X57" s="1"/>
      <c r="Y57" s="1"/>
      <c r="Z57" s="1"/>
    </row>
    <row r="58" ht="10.5" customHeight="1">
      <c r="A58" s="1"/>
      <c r="B58" s="79"/>
      <c r="C58" s="54"/>
      <c r="D58" s="54"/>
      <c r="E58" s="1072"/>
      <c r="F58" s="1072"/>
      <c r="G58" s="1072"/>
      <c r="H58" s="1072"/>
      <c r="I58" s="1072"/>
      <c r="J58" s="284"/>
      <c r="K58" s="1072"/>
      <c r="L58" s="1072"/>
      <c r="M58" s="54"/>
      <c r="N58" s="1"/>
      <c r="O58" s="1"/>
      <c r="P58" s="1"/>
      <c r="Q58" s="1"/>
      <c r="R58" s="1"/>
      <c r="S58" s="1"/>
      <c r="T58" s="1"/>
      <c r="U58" s="1"/>
      <c r="V58" s="1"/>
      <c r="W58" s="1"/>
      <c r="X58" s="1"/>
      <c r="Y58" s="1"/>
      <c r="Z58" s="1"/>
    </row>
    <row r="59" ht="10.5" customHeight="1">
      <c r="A59" s="1"/>
      <c r="B59" s="79" t="s">
        <v>149</v>
      </c>
      <c r="C59" s="54">
        <v>151744.962</v>
      </c>
      <c r="D59" s="54">
        <v>118997.44399999999</v>
      </c>
      <c r="E59" s="1072">
        <v>6365.398999999999</v>
      </c>
      <c r="F59" s="1072">
        <v>52665.337999999996</v>
      </c>
      <c r="G59" s="1072">
        <v>10036.86</v>
      </c>
      <c r="H59" s="1072">
        <v>15115.776000000002</v>
      </c>
      <c r="I59" s="1072">
        <v>47813.784</v>
      </c>
      <c r="J59" s="54">
        <v>402739.56299999997</v>
      </c>
      <c r="K59" s="1072">
        <v>40273.957</v>
      </c>
      <c r="L59" s="1072">
        <v>13608.569</v>
      </c>
      <c r="M59" s="54">
        <v>456622.08900000004</v>
      </c>
      <c r="N59" s="1"/>
      <c r="O59" s="1"/>
      <c r="P59" s="1"/>
      <c r="Q59" s="1"/>
      <c r="R59" s="1"/>
      <c r="S59" s="1"/>
      <c r="T59" s="1"/>
      <c r="U59" s="1"/>
      <c r="V59" s="1"/>
      <c r="W59" s="1"/>
      <c r="X59" s="1"/>
      <c r="Y59" s="1"/>
      <c r="Z59" s="1"/>
    </row>
    <row r="60" ht="10.5" customHeight="1">
      <c r="A60" s="1"/>
      <c r="B60" s="79">
        <v>2013.0</v>
      </c>
      <c r="C60" s="54">
        <v>157240.20899999997</v>
      </c>
      <c r="D60" s="54">
        <v>120514.82800000001</v>
      </c>
      <c r="E60" s="1072">
        <v>6326.241</v>
      </c>
      <c r="F60" s="1072">
        <v>56336.296</v>
      </c>
      <c r="G60" s="1072">
        <v>11553.435000000001</v>
      </c>
      <c r="H60" s="1072">
        <v>15508.0</v>
      </c>
      <c r="I60" s="1072">
        <v>49342.471000000005</v>
      </c>
      <c r="J60" s="54">
        <v>416821.48</v>
      </c>
      <c r="K60" s="1072">
        <v>41682.149000000005</v>
      </c>
      <c r="L60" s="1072">
        <v>14084.398000000001</v>
      </c>
      <c r="M60" s="54">
        <v>472588.027</v>
      </c>
      <c r="N60" s="1"/>
      <c r="O60" s="1"/>
      <c r="P60" s="1"/>
      <c r="Q60" s="1"/>
      <c r="R60" s="1"/>
      <c r="S60" s="1"/>
      <c r="T60" s="1"/>
      <c r="U60" s="1"/>
      <c r="V60" s="1"/>
      <c r="W60" s="1"/>
      <c r="X60" s="1"/>
      <c r="Y60" s="1"/>
      <c r="Z60" s="1"/>
    </row>
    <row r="61" ht="10.5" customHeight="1">
      <c r="A61" s="1"/>
      <c r="B61" s="79" t="s">
        <v>151</v>
      </c>
      <c r="C61" s="54">
        <v>163869.49199999997</v>
      </c>
      <c r="D61" s="54">
        <v>127489.397</v>
      </c>
      <c r="E61" s="1072">
        <v>6279.459</v>
      </c>
      <c r="F61" s="1072">
        <v>58725.952</v>
      </c>
      <c r="G61" s="1072">
        <v>12896.547999999999</v>
      </c>
      <c r="H61" s="1072">
        <v>16028.786</v>
      </c>
      <c r="I61" s="1072">
        <v>53045.893000000004</v>
      </c>
      <c r="J61" s="54">
        <v>438335.527</v>
      </c>
      <c r="K61" s="1072">
        <v>43833.555</v>
      </c>
      <c r="L61" s="1072">
        <v>14811.358000000002</v>
      </c>
      <c r="M61" s="54">
        <v>496980.44000000006</v>
      </c>
      <c r="N61" s="1"/>
      <c r="O61" s="1"/>
      <c r="P61" s="1"/>
      <c r="Q61" s="1"/>
      <c r="R61" s="1"/>
      <c r="S61" s="1"/>
      <c r="T61" s="1"/>
      <c r="U61" s="1"/>
      <c r="V61" s="1"/>
      <c r="W61" s="1"/>
      <c r="X61" s="1"/>
      <c r="Y61" s="1"/>
      <c r="Z61" s="1"/>
    </row>
    <row r="62" ht="10.5" customHeight="1">
      <c r="A62" s="1"/>
      <c r="B62" s="79">
        <v>2014.0</v>
      </c>
      <c r="C62" s="54">
        <v>173841.056</v>
      </c>
      <c r="D62" s="54">
        <v>130661.222</v>
      </c>
      <c r="E62" s="1072">
        <v>6322.948</v>
      </c>
      <c r="F62" s="1072">
        <v>63766.306000000004</v>
      </c>
      <c r="G62" s="1072">
        <v>13199.94</v>
      </c>
      <c r="H62" s="1072">
        <v>16315.655999999999</v>
      </c>
      <c r="I62" s="1072">
        <v>55610.986000000004</v>
      </c>
      <c r="J62" s="54">
        <v>459718.11400000006</v>
      </c>
      <c r="K62" s="1072">
        <v>45971.812000000005</v>
      </c>
      <c r="L62" s="1072">
        <v>15533.874</v>
      </c>
      <c r="M62" s="54">
        <v>521223.80000000005</v>
      </c>
      <c r="N62" s="1"/>
      <c r="O62" s="1"/>
      <c r="P62" s="1"/>
      <c r="Q62" s="1"/>
      <c r="R62" s="1"/>
      <c r="S62" s="1"/>
      <c r="T62" s="1"/>
      <c r="U62" s="1"/>
      <c r="V62" s="1"/>
      <c r="W62" s="1"/>
      <c r="X62" s="1"/>
      <c r="Y62" s="1"/>
      <c r="Z62" s="1"/>
    </row>
    <row r="63" ht="10.5" customHeight="1">
      <c r="A63" s="1"/>
      <c r="B63" s="79" t="s">
        <v>153</v>
      </c>
      <c r="C63" s="54">
        <v>183847.871</v>
      </c>
      <c r="D63" s="54">
        <v>128913.566</v>
      </c>
      <c r="E63" s="1072">
        <v>6358.955</v>
      </c>
      <c r="F63" s="1072">
        <v>69860.643</v>
      </c>
      <c r="G63" s="1072">
        <v>12390.229</v>
      </c>
      <c r="H63" s="1072">
        <v>16636.849</v>
      </c>
      <c r="I63" s="1072">
        <v>54573.24100000001</v>
      </c>
      <c r="J63" s="54">
        <v>472581.35400000005</v>
      </c>
      <c r="K63" s="1072">
        <v>47258.136</v>
      </c>
      <c r="L63" s="1072">
        <v>15968.523</v>
      </c>
      <c r="M63" s="54">
        <v>535808.013</v>
      </c>
      <c r="N63" s="1"/>
      <c r="O63" s="1"/>
      <c r="P63" s="1"/>
      <c r="Q63" s="1"/>
      <c r="R63" s="1"/>
      <c r="S63" s="1"/>
      <c r="T63" s="1"/>
      <c r="U63" s="1"/>
      <c r="V63" s="1"/>
      <c r="W63" s="1"/>
      <c r="X63" s="1"/>
      <c r="Y63" s="1"/>
      <c r="Z63" s="1"/>
    </row>
    <row r="64" ht="10.5" customHeight="1">
      <c r="A64" s="1"/>
      <c r="B64" s="79"/>
      <c r="C64" s="54"/>
      <c r="D64" s="54"/>
      <c r="E64" s="1072"/>
      <c r="F64" s="1072"/>
      <c r="G64" s="1072"/>
      <c r="H64" s="1072"/>
      <c r="I64" s="1072"/>
      <c r="J64" s="54"/>
      <c r="K64" s="1072"/>
      <c r="L64" s="1072"/>
      <c r="M64" s="54"/>
      <c r="N64" s="1"/>
      <c r="O64" s="1"/>
      <c r="P64" s="1"/>
      <c r="Q64" s="1"/>
      <c r="R64" s="1"/>
      <c r="S64" s="1"/>
      <c r="T64" s="1"/>
      <c r="U64" s="1"/>
      <c r="V64" s="1"/>
      <c r="W64" s="1"/>
      <c r="X64" s="1"/>
      <c r="Y64" s="1"/>
      <c r="Z64" s="1"/>
    </row>
    <row r="65" ht="10.5" customHeight="1">
      <c r="A65" s="1"/>
      <c r="B65" s="79">
        <v>2015.0</v>
      </c>
      <c r="C65" s="54">
        <v>192033.92</v>
      </c>
      <c r="D65" s="54">
        <v>129082.68900000001</v>
      </c>
      <c r="E65" s="1072">
        <v>6623.565</v>
      </c>
      <c r="F65" s="1072">
        <v>73033.24</v>
      </c>
      <c r="G65" s="1072">
        <v>12005.894</v>
      </c>
      <c r="H65" s="1072">
        <v>17506.063000000002</v>
      </c>
      <c r="I65" s="1072">
        <v>56608.769</v>
      </c>
      <c r="J65" s="54">
        <v>486894.14</v>
      </c>
      <c r="K65" s="1072">
        <v>48689.416</v>
      </c>
      <c r="L65" s="1072">
        <v>16452.154000000002</v>
      </c>
      <c r="M65" s="54">
        <v>552035.71</v>
      </c>
      <c r="N65" s="1"/>
      <c r="O65" s="1"/>
      <c r="P65" s="1"/>
      <c r="Q65" s="1"/>
      <c r="R65" s="1"/>
      <c r="S65" s="1"/>
      <c r="T65" s="1"/>
      <c r="U65" s="1"/>
      <c r="V65" s="1"/>
      <c r="W65" s="1"/>
      <c r="X65" s="1"/>
      <c r="Y65" s="1"/>
      <c r="Z65" s="1"/>
    </row>
    <row r="66" ht="10.5" customHeight="1">
      <c r="A66" s="1"/>
      <c r="B66" s="79" t="s">
        <v>155</v>
      </c>
      <c r="C66" s="54">
        <v>199475.56</v>
      </c>
      <c r="D66" s="54">
        <v>142191.905</v>
      </c>
      <c r="E66" s="1072">
        <v>7437.431</v>
      </c>
      <c r="F66" s="1072">
        <v>72823.293</v>
      </c>
      <c r="G66" s="1072">
        <v>11576.865000000002</v>
      </c>
      <c r="H66" s="1072">
        <v>18908.076999999997</v>
      </c>
      <c r="I66" s="1072">
        <v>61596.121</v>
      </c>
      <c r="J66" s="54">
        <v>514009.2520000001</v>
      </c>
      <c r="K66" s="1072">
        <v>51400.926</v>
      </c>
      <c r="L66" s="1072">
        <v>17368.374000000003</v>
      </c>
      <c r="M66" s="54">
        <v>582778.552</v>
      </c>
      <c r="N66" s="1"/>
      <c r="O66" s="1"/>
      <c r="P66" s="1"/>
      <c r="Q66" s="1"/>
      <c r="R66" s="1"/>
      <c r="S66" s="1"/>
      <c r="T66" s="1"/>
      <c r="U66" s="1"/>
      <c r="V66" s="1"/>
      <c r="W66" s="1"/>
      <c r="X66" s="1"/>
      <c r="Y66" s="1"/>
      <c r="Z66" s="1"/>
    </row>
    <row r="67" ht="10.5" customHeight="1">
      <c r="A67" s="1"/>
      <c r="B67" s="79" t="s">
        <v>59</v>
      </c>
      <c r="C67" s="54">
        <v>204551.55000000002</v>
      </c>
      <c r="D67" s="54">
        <v>160188.429</v>
      </c>
      <c r="E67" s="1072">
        <v>8229.733</v>
      </c>
      <c r="F67" s="1072">
        <v>74228.29500000001</v>
      </c>
      <c r="G67" s="1072">
        <v>11851.676</v>
      </c>
      <c r="H67" s="1072">
        <v>19890.783</v>
      </c>
      <c r="I67" s="1072">
        <v>62941.03999999999</v>
      </c>
      <c r="J67" s="54">
        <v>541881.5059999999</v>
      </c>
      <c r="K67" s="1072">
        <v>54188.151</v>
      </c>
      <c r="L67" s="1072">
        <v>18310.177</v>
      </c>
      <c r="M67" s="54">
        <v>614379.834</v>
      </c>
      <c r="N67" s="1"/>
      <c r="O67" s="1"/>
      <c r="P67" s="1"/>
      <c r="Q67" s="1"/>
      <c r="R67" s="1"/>
      <c r="S67" s="1"/>
      <c r="T67" s="1"/>
      <c r="U67" s="1"/>
      <c r="V67" s="1"/>
      <c r="W67" s="1"/>
      <c r="X67" s="1"/>
      <c r="Y67" s="1"/>
      <c r="Z67" s="1"/>
    </row>
    <row r="68" ht="10.5" customHeight="1">
      <c r="A68" s="1"/>
      <c r="B68" s="79" t="s">
        <v>1813</v>
      </c>
      <c r="C68" s="54">
        <v>207624.37900000002</v>
      </c>
      <c r="D68" s="54">
        <v>166904.61</v>
      </c>
      <c r="E68" s="1072">
        <v>8689.696</v>
      </c>
      <c r="F68" s="1072">
        <v>76212.99900000001</v>
      </c>
      <c r="G68" s="1072">
        <v>12540.41</v>
      </c>
      <c r="H68" s="1072">
        <v>20692.264</v>
      </c>
      <c r="I68" s="1072">
        <v>61862.829</v>
      </c>
      <c r="J68" s="54">
        <v>554527.187</v>
      </c>
      <c r="K68" s="1072">
        <v>55452.719</v>
      </c>
      <c r="L68" s="1072">
        <v>18737.473</v>
      </c>
      <c r="M68" s="54">
        <v>628717.379</v>
      </c>
      <c r="N68" s="1"/>
      <c r="O68" s="1"/>
      <c r="P68" s="1"/>
      <c r="Q68" s="1"/>
      <c r="R68" s="1"/>
      <c r="S68" s="1"/>
      <c r="T68" s="1"/>
      <c r="U68" s="1"/>
      <c r="V68" s="1"/>
      <c r="W68" s="1"/>
      <c r="X68" s="1"/>
      <c r="Y68" s="1"/>
      <c r="Z68" s="1"/>
    </row>
    <row r="69" ht="10.5" customHeight="1">
      <c r="A69" s="1"/>
      <c r="B69" s="79" t="s">
        <v>1814</v>
      </c>
      <c r="C69" s="107">
        <v>217076.18100000004</v>
      </c>
      <c r="D69" s="107">
        <v>162160.785</v>
      </c>
      <c r="E69" s="1074">
        <v>8670.329000000002</v>
      </c>
      <c r="F69" s="1074">
        <v>78846.201</v>
      </c>
      <c r="G69" s="1074">
        <v>12539.988</v>
      </c>
      <c r="H69" s="1074">
        <v>21292.872</v>
      </c>
      <c r="I69" s="1074">
        <v>62065.826</v>
      </c>
      <c r="J69" s="54">
        <v>562652.182</v>
      </c>
      <c r="K69" s="1074">
        <v>56265.21799999999</v>
      </c>
      <c r="L69" s="1074">
        <v>19012.016000000003</v>
      </c>
      <c r="M69" s="107">
        <v>637929.416</v>
      </c>
      <c r="N69" s="1"/>
      <c r="O69" s="1"/>
      <c r="P69" s="1"/>
      <c r="Q69" s="1"/>
      <c r="R69" s="1"/>
      <c r="S69" s="1"/>
      <c r="T69" s="1"/>
      <c r="U69" s="1"/>
      <c r="V69" s="1"/>
      <c r="W69" s="1"/>
      <c r="X69" s="1"/>
      <c r="Y69" s="1"/>
      <c r="Z69" s="1"/>
    </row>
    <row r="70" ht="10.5" customHeight="1">
      <c r="A70" s="1"/>
      <c r="B70" s="658"/>
      <c r="C70" s="822"/>
      <c r="D70" s="822"/>
      <c r="E70" s="1075"/>
      <c r="F70" s="1075"/>
      <c r="G70" s="1075"/>
      <c r="H70" s="1075"/>
      <c r="I70" s="1075"/>
      <c r="J70" s="822"/>
      <c r="K70" s="1075"/>
      <c r="L70" s="1075"/>
      <c r="M70" s="822"/>
      <c r="N70" s="1"/>
      <c r="O70" s="1"/>
      <c r="P70" s="1"/>
      <c r="Q70" s="1"/>
      <c r="R70" s="1"/>
      <c r="S70" s="1"/>
      <c r="T70" s="1"/>
      <c r="U70" s="1"/>
      <c r="V70" s="1"/>
      <c r="W70" s="1"/>
      <c r="X70" s="1"/>
      <c r="Y70" s="1"/>
      <c r="Z70" s="1"/>
    </row>
    <row r="71" ht="10.5" customHeight="1">
      <c r="A71" s="1"/>
      <c r="B71" s="60" t="s">
        <v>1815</v>
      </c>
      <c r="C71" s="1"/>
      <c r="D71" s="1"/>
      <c r="E71" s="1"/>
      <c r="F71" s="1"/>
      <c r="G71" s="1"/>
      <c r="H71" s="1"/>
      <c r="I71" s="1"/>
      <c r="J71" s="1"/>
      <c r="K71" s="1"/>
      <c r="L71" s="1"/>
      <c r="M71" s="1"/>
      <c r="N71" s="1"/>
      <c r="O71" s="1"/>
      <c r="P71" s="1"/>
      <c r="Q71" s="1"/>
      <c r="R71" s="1"/>
      <c r="S71" s="1"/>
      <c r="T71" s="1"/>
      <c r="U71" s="1"/>
      <c r="V71" s="1"/>
      <c r="W71" s="1"/>
      <c r="X71" s="1"/>
      <c r="Y71" s="1"/>
      <c r="Z71" s="1"/>
    </row>
    <row r="72" ht="10.5" customHeight="1">
      <c r="A72" s="1"/>
      <c r="B72" s="60" t="s">
        <v>1816</v>
      </c>
      <c r="C72" s="1"/>
      <c r="D72" s="1"/>
      <c r="E72" s="1"/>
      <c r="F72" s="1"/>
      <c r="G72" s="1"/>
      <c r="H72" s="1"/>
      <c r="I72" s="1"/>
      <c r="J72" s="1"/>
      <c r="K72" s="1"/>
      <c r="L72" s="1"/>
      <c r="M72" s="1"/>
      <c r="N72" s="1"/>
      <c r="O72" s="1"/>
      <c r="P72" s="1"/>
      <c r="Q72" s="1"/>
      <c r="R72" s="1"/>
      <c r="S72" s="1"/>
      <c r="T72" s="1"/>
      <c r="U72" s="1"/>
      <c r="V72" s="1"/>
      <c r="W72" s="1"/>
      <c r="X72" s="1"/>
      <c r="Y72" s="1"/>
      <c r="Z72" s="1"/>
    </row>
    <row r="73" ht="10.5" customHeight="1">
      <c r="A73" s="1"/>
      <c r="B73" s="60" t="s">
        <v>1817</v>
      </c>
      <c r="C73" s="755"/>
      <c r="D73" s="755"/>
      <c r="E73" s="755"/>
      <c r="F73" s="755"/>
      <c r="G73" s="755"/>
      <c r="H73" s="755"/>
      <c r="I73" s="755"/>
      <c r="J73" s="755"/>
      <c r="K73" s="755"/>
      <c r="L73" s="755"/>
      <c r="M73" s="755"/>
      <c r="N73" s="1"/>
      <c r="O73" s="1"/>
      <c r="P73" s="1"/>
      <c r="Q73" s="1"/>
      <c r="R73" s="1"/>
      <c r="S73" s="1"/>
      <c r="T73" s="1"/>
      <c r="U73" s="1"/>
      <c r="V73" s="1"/>
      <c r="W73" s="1"/>
      <c r="X73" s="1"/>
      <c r="Y73" s="1"/>
      <c r="Z73" s="1"/>
    </row>
    <row r="74" ht="10.5" customHeight="1">
      <c r="A74" s="1"/>
      <c r="B74" s="1"/>
      <c r="C74" s="612"/>
      <c r="D74" s="612"/>
      <c r="E74" s="612"/>
      <c r="F74" s="612"/>
      <c r="G74" s="612"/>
      <c r="H74" s="612"/>
      <c r="I74" s="612"/>
      <c r="J74" s="612"/>
      <c r="K74" s="612"/>
      <c r="L74" s="612"/>
      <c r="M74" s="612"/>
      <c r="N74" s="1"/>
      <c r="O74" s="1"/>
      <c r="P74" s="1"/>
      <c r="Q74" s="1"/>
      <c r="R74" s="1"/>
      <c r="S74" s="1"/>
      <c r="T74" s="1"/>
      <c r="U74" s="1"/>
      <c r="V74" s="1"/>
      <c r="W74" s="1"/>
      <c r="X74" s="1"/>
      <c r="Y74" s="1"/>
      <c r="Z74" s="1"/>
    </row>
    <row r="75" ht="10.5" customHeight="1">
      <c r="A75" s="1"/>
      <c r="B75" s="1"/>
      <c r="C75" s="612"/>
      <c r="D75" s="612"/>
      <c r="E75" s="612"/>
      <c r="F75" s="612"/>
      <c r="G75" s="612"/>
      <c r="H75" s="612"/>
      <c r="I75" s="612"/>
      <c r="J75" s="612"/>
      <c r="K75" s="612"/>
      <c r="L75" s="612"/>
      <c r="M75" s="612"/>
      <c r="N75" s="1"/>
      <c r="O75" s="1"/>
      <c r="P75" s="1"/>
      <c r="Q75" s="1"/>
      <c r="R75" s="1"/>
      <c r="S75" s="1"/>
      <c r="T75" s="1"/>
      <c r="U75" s="1"/>
      <c r="V75" s="1"/>
      <c r="W75" s="1"/>
      <c r="X75" s="1"/>
      <c r="Y75" s="1"/>
      <c r="Z75" s="1"/>
    </row>
    <row r="76" ht="10.5" customHeight="1">
      <c r="A76" s="1"/>
      <c r="B76" s="1"/>
      <c r="C76" s="612"/>
      <c r="D76" s="612"/>
      <c r="E76" s="612"/>
      <c r="F76" s="612"/>
      <c r="G76" s="612"/>
      <c r="H76" s="612"/>
      <c r="I76" s="612"/>
      <c r="J76" s="612"/>
      <c r="K76" s="612"/>
      <c r="L76" s="612"/>
      <c r="M76" s="612"/>
      <c r="N76" s="1"/>
      <c r="O76" s="1"/>
      <c r="P76" s="1"/>
      <c r="Q76" s="1"/>
      <c r="R76" s="1"/>
      <c r="S76" s="1"/>
      <c r="T76" s="1"/>
      <c r="U76" s="1"/>
      <c r="V76" s="1"/>
      <c r="W76" s="1"/>
      <c r="X76" s="1"/>
      <c r="Y76" s="1"/>
      <c r="Z76" s="1"/>
    </row>
    <row r="77" ht="10.5" customHeight="1">
      <c r="A77" s="1"/>
      <c r="B77" s="1"/>
      <c r="C77" s="612"/>
      <c r="D77" s="612"/>
      <c r="E77" s="612"/>
      <c r="F77" s="612"/>
      <c r="G77" s="612"/>
      <c r="H77" s="612"/>
      <c r="I77" s="612"/>
      <c r="J77" s="612"/>
      <c r="K77" s="612"/>
      <c r="L77" s="612"/>
      <c r="M77" s="612"/>
      <c r="N77" s="1"/>
      <c r="O77" s="1"/>
      <c r="P77" s="1"/>
      <c r="Q77" s="1"/>
      <c r="R77" s="1"/>
      <c r="S77" s="1"/>
      <c r="T77" s="1"/>
      <c r="U77" s="1"/>
      <c r="V77" s="1"/>
      <c r="W77" s="1"/>
      <c r="X77" s="1"/>
      <c r="Y77" s="1"/>
      <c r="Z77" s="1"/>
    </row>
    <row r="78" ht="10.5" customHeight="1">
      <c r="A78" s="1"/>
      <c r="B78" s="1"/>
      <c r="C78" s="612"/>
      <c r="D78" s="612"/>
      <c r="E78" s="612"/>
      <c r="F78" s="612"/>
      <c r="G78" s="612"/>
      <c r="H78" s="612"/>
      <c r="I78" s="612"/>
      <c r="J78" s="612"/>
      <c r="K78" s="612"/>
      <c r="L78" s="612"/>
      <c r="M78" s="612"/>
      <c r="N78" s="1"/>
      <c r="O78" s="1"/>
      <c r="P78" s="1"/>
      <c r="Q78" s="1"/>
      <c r="R78" s="1"/>
      <c r="S78" s="1"/>
      <c r="T78" s="1"/>
      <c r="U78" s="1"/>
      <c r="V78" s="1"/>
      <c r="W78" s="1"/>
      <c r="X78" s="1"/>
      <c r="Y78" s="1"/>
      <c r="Z78" s="1"/>
    </row>
    <row r="79" ht="10.5" customHeight="1">
      <c r="A79" s="1"/>
      <c r="B79" s="1"/>
      <c r="C79" s="612"/>
      <c r="D79" s="612"/>
      <c r="E79" s="612"/>
      <c r="F79" s="612"/>
      <c r="G79" s="612"/>
      <c r="H79" s="612"/>
      <c r="I79" s="612"/>
      <c r="J79" s="612"/>
      <c r="K79" s="612"/>
      <c r="L79" s="612"/>
      <c r="M79" s="612"/>
      <c r="N79" s="1"/>
      <c r="O79" s="1"/>
      <c r="P79" s="1"/>
      <c r="Q79" s="1"/>
      <c r="R79" s="1"/>
      <c r="S79" s="1"/>
      <c r="T79" s="1"/>
      <c r="U79" s="1"/>
      <c r="V79" s="1"/>
      <c r="W79" s="1"/>
      <c r="X79" s="1"/>
      <c r="Y79" s="1"/>
      <c r="Z79" s="1"/>
    </row>
    <row r="80" ht="10.5" customHeight="1">
      <c r="A80" s="1"/>
      <c r="B80" s="1"/>
      <c r="C80" s="612"/>
      <c r="D80" s="612"/>
      <c r="E80" s="612"/>
      <c r="F80" s="612"/>
      <c r="G80" s="612"/>
      <c r="H80" s="612"/>
      <c r="I80" s="612"/>
      <c r="J80" s="612"/>
      <c r="K80" s="612"/>
      <c r="L80" s="612"/>
      <c r="M80" s="612"/>
      <c r="N80" s="1"/>
      <c r="O80" s="1"/>
      <c r="P80" s="1"/>
      <c r="Q80" s="1"/>
      <c r="R80" s="1"/>
      <c r="S80" s="1"/>
      <c r="T80" s="1"/>
      <c r="U80" s="1"/>
      <c r="V80" s="1"/>
      <c r="W80" s="1"/>
      <c r="X80" s="1"/>
      <c r="Y80" s="1"/>
      <c r="Z80" s="1"/>
    </row>
    <row r="81" ht="10.5" customHeight="1">
      <c r="A81" s="1"/>
      <c r="B81" s="1"/>
      <c r="C81" s="612"/>
      <c r="D81" s="612"/>
      <c r="E81" s="612"/>
      <c r="F81" s="612"/>
      <c r="G81" s="612"/>
      <c r="H81" s="612"/>
      <c r="I81" s="612"/>
      <c r="J81" s="612"/>
      <c r="K81" s="612"/>
      <c r="L81" s="612"/>
      <c r="M81" s="612"/>
      <c r="N81" s="1"/>
      <c r="O81" s="1"/>
      <c r="P81" s="1"/>
      <c r="Q81" s="1"/>
      <c r="R81" s="1"/>
      <c r="S81" s="1"/>
      <c r="T81" s="1"/>
      <c r="U81" s="1"/>
      <c r="V81" s="1"/>
      <c r="W81" s="1"/>
      <c r="X81" s="1"/>
      <c r="Y81" s="1"/>
      <c r="Z81" s="1"/>
    </row>
    <row r="82" ht="10.5" customHeight="1">
      <c r="A82" s="1"/>
      <c r="B82" s="1"/>
      <c r="C82" s="612"/>
      <c r="D82" s="612"/>
      <c r="E82" s="612"/>
      <c r="F82" s="612"/>
      <c r="G82" s="612"/>
      <c r="H82" s="612"/>
      <c r="I82" s="612"/>
      <c r="J82" s="612"/>
      <c r="K82" s="612"/>
      <c r="L82" s="612"/>
      <c r="M82" s="612"/>
      <c r="N82" s="1"/>
      <c r="O82" s="1"/>
      <c r="P82" s="1"/>
      <c r="Q82" s="1"/>
      <c r="R82" s="1"/>
      <c r="S82" s="1"/>
      <c r="T82" s="1"/>
      <c r="U82" s="1"/>
      <c r="V82" s="1"/>
      <c r="W82" s="1"/>
      <c r="X82" s="1"/>
      <c r="Y82" s="1"/>
      <c r="Z82" s="1"/>
    </row>
    <row r="83" ht="10.5" customHeight="1">
      <c r="A83" s="1"/>
      <c r="B83" s="1"/>
      <c r="C83" s="612"/>
      <c r="D83" s="612"/>
      <c r="E83" s="612"/>
      <c r="F83" s="612"/>
      <c r="G83" s="612"/>
      <c r="H83" s="612"/>
      <c r="I83" s="612"/>
      <c r="J83" s="612"/>
      <c r="K83" s="612"/>
      <c r="L83" s="612"/>
      <c r="M83" s="612"/>
      <c r="N83" s="1"/>
      <c r="O83" s="1"/>
      <c r="P83" s="1"/>
      <c r="Q83" s="1"/>
      <c r="R83" s="1"/>
      <c r="S83" s="1"/>
      <c r="T83" s="1"/>
      <c r="U83" s="1"/>
      <c r="V83" s="1"/>
      <c r="W83" s="1"/>
      <c r="X83" s="1"/>
      <c r="Y83" s="1"/>
      <c r="Z83" s="1"/>
    </row>
    <row r="84" ht="10.5" customHeight="1">
      <c r="A84" s="1"/>
      <c r="B84" s="1"/>
      <c r="C84" s="612"/>
      <c r="D84" s="612"/>
      <c r="E84" s="612"/>
      <c r="F84" s="612"/>
      <c r="G84" s="612"/>
      <c r="H84" s="612"/>
      <c r="I84" s="612"/>
      <c r="J84" s="612"/>
      <c r="K84" s="612"/>
      <c r="L84" s="612"/>
      <c r="M84" s="612"/>
      <c r="N84" s="1"/>
      <c r="O84" s="1"/>
      <c r="P84" s="1"/>
      <c r="Q84" s="1"/>
      <c r="R84" s="1"/>
      <c r="S84" s="1"/>
      <c r="T84" s="1"/>
      <c r="U84" s="1"/>
      <c r="V84" s="1"/>
      <c r="W84" s="1"/>
      <c r="X84" s="1"/>
      <c r="Y84" s="1"/>
      <c r="Z84" s="1"/>
    </row>
    <row r="85" ht="10.5" customHeight="1">
      <c r="A85" s="1"/>
      <c r="B85" s="1"/>
      <c r="C85" s="612"/>
      <c r="D85" s="612"/>
      <c r="E85" s="612"/>
      <c r="F85" s="612"/>
      <c r="G85" s="612"/>
      <c r="H85" s="612"/>
      <c r="I85" s="612"/>
      <c r="J85" s="612"/>
      <c r="K85" s="612"/>
      <c r="L85" s="612"/>
      <c r="M85" s="612"/>
      <c r="N85" s="1"/>
      <c r="O85" s="1"/>
      <c r="P85" s="1"/>
      <c r="Q85" s="1"/>
      <c r="R85" s="1"/>
      <c r="S85" s="1"/>
      <c r="T85" s="1"/>
      <c r="U85" s="1"/>
      <c r="V85" s="1"/>
      <c r="W85" s="1"/>
      <c r="X85" s="1"/>
      <c r="Y85" s="1"/>
      <c r="Z85" s="1"/>
    </row>
    <row r="86" ht="10.5" customHeight="1">
      <c r="A86" s="1"/>
      <c r="B86" s="1"/>
      <c r="C86" s="612"/>
      <c r="D86" s="612"/>
      <c r="E86" s="612"/>
      <c r="F86" s="612"/>
      <c r="G86" s="612"/>
      <c r="H86" s="125">
        <v>102.0</v>
      </c>
      <c r="I86" s="612"/>
      <c r="J86" s="612"/>
      <c r="K86" s="612"/>
      <c r="L86" s="612"/>
      <c r="M86" s="612"/>
      <c r="N86" s="1"/>
      <c r="O86" s="1"/>
      <c r="P86" s="1"/>
      <c r="Q86" s="1"/>
      <c r="R86" s="1"/>
      <c r="S86" s="1"/>
      <c r="T86" s="1"/>
      <c r="U86" s="1"/>
      <c r="V86" s="1"/>
      <c r="W86" s="1"/>
      <c r="X86" s="1"/>
      <c r="Y86" s="1"/>
      <c r="Z86" s="1"/>
    </row>
    <row r="87" ht="10.5" customHeight="1">
      <c r="A87" s="1"/>
      <c r="B87" s="1"/>
      <c r="C87" s="612"/>
      <c r="D87" s="612"/>
      <c r="E87" s="612"/>
      <c r="F87" s="612"/>
      <c r="G87" s="612"/>
      <c r="H87" s="125"/>
      <c r="I87" s="612"/>
      <c r="J87" s="612"/>
      <c r="K87" s="612"/>
      <c r="L87" s="612"/>
      <c r="M87" s="612"/>
      <c r="N87" s="1"/>
      <c r="O87" s="1"/>
      <c r="P87" s="1"/>
      <c r="Q87" s="1"/>
      <c r="R87" s="1"/>
      <c r="S87" s="1"/>
      <c r="T87" s="1"/>
      <c r="U87" s="1"/>
      <c r="V87" s="1"/>
      <c r="W87" s="1"/>
      <c r="X87" s="1"/>
      <c r="Y87" s="1"/>
      <c r="Z87" s="1"/>
    </row>
    <row r="88" ht="10.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1.25" customHeight="1">
      <c r="A89" s="1"/>
      <c r="B89" s="1" t="s">
        <v>1818</v>
      </c>
      <c r="C89" s="1"/>
      <c r="D89" s="1"/>
      <c r="E89" s="1"/>
      <c r="F89" s="1"/>
      <c r="G89" s="1"/>
      <c r="H89" s="1"/>
      <c r="I89" s="1"/>
      <c r="J89" s="1"/>
      <c r="K89" s="1"/>
      <c r="L89" s="1"/>
      <c r="M89" s="1"/>
      <c r="N89" s="1"/>
      <c r="O89" s="1"/>
      <c r="P89" s="1"/>
      <c r="Q89" s="1"/>
      <c r="R89" s="1"/>
      <c r="S89" s="1"/>
      <c r="T89" s="1"/>
      <c r="U89" s="1"/>
      <c r="V89" s="1"/>
      <c r="W89" s="1"/>
      <c r="X89" s="1"/>
      <c r="Y89" s="1"/>
      <c r="Z89" s="1"/>
    </row>
    <row r="90" ht="48.0" customHeight="1">
      <c r="A90" s="1"/>
      <c r="B90" s="189" t="s">
        <v>1</v>
      </c>
      <c r="C90" s="273" t="s">
        <v>1563</v>
      </c>
      <c r="D90" s="273" t="s">
        <v>1564</v>
      </c>
      <c r="E90" s="273" t="s">
        <v>1568</v>
      </c>
      <c r="F90" s="273" t="s">
        <v>1566</v>
      </c>
      <c r="G90" s="273" t="s">
        <v>1565</v>
      </c>
      <c r="H90" s="273" t="s">
        <v>1621</v>
      </c>
      <c r="I90" s="273" t="s">
        <v>1284</v>
      </c>
      <c r="J90" s="273" t="s">
        <v>1819</v>
      </c>
      <c r="K90" s="273" t="s">
        <v>1820</v>
      </c>
      <c r="L90" s="273" t="s">
        <v>1587</v>
      </c>
      <c r="M90" s="273" t="s">
        <v>1821</v>
      </c>
      <c r="N90" s="273" t="s">
        <v>1812</v>
      </c>
      <c r="O90" s="273" t="s">
        <v>1822</v>
      </c>
      <c r="P90" s="1"/>
      <c r="Q90" s="1"/>
      <c r="R90" s="1"/>
      <c r="S90" s="1"/>
      <c r="T90" s="1"/>
      <c r="U90" s="1"/>
      <c r="V90" s="1"/>
      <c r="W90" s="1"/>
      <c r="X90" s="1"/>
      <c r="Y90" s="1"/>
      <c r="Z90" s="1"/>
    </row>
    <row r="91" ht="11.25" customHeight="1">
      <c r="A91" s="1"/>
      <c r="B91" s="6"/>
      <c r="C91" s="114" t="s">
        <v>1823</v>
      </c>
      <c r="D91" s="9"/>
      <c r="E91" s="9"/>
      <c r="F91" s="9"/>
      <c r="G91" s="9"/>
      <c r="H91" s="9"/>
      <c r="I91" s="9"/>
      <c r="J91" s="9"/>
      <c r="K91" s="9"/>
      <c r="L91" s="9"/>
      <c r="M91" s="9"/>
      <c r="N91" s="9"/>
      <c r="O91" s="10"/>
      <c r="P91" s="1"/>
      <c r="Q91" s="1"/>
      <c r="R91" s="1"/>
      <c r="S91" s="1"/>
      <c r="T91" s="1"/>
      <c r="U91" s="1"/>
      <c r="V91" s="1"/>
      <c r="W91" s="1"/>
      <c r="X91" s="1"/>
      <c r="Y91" s="1"/>
      <c r="Z91" s="1"/>
    </row>
    <row r="92" ht="10.5" customHeight="1">
      <c r="A92" s="1"/>
      <c r="B92" s="11">
        <v>1975.0</v>
      </c>
      <c r="C92" s="1076">
        <v>96.04801000436322</v>
      </c>
      <c r="D92" s="1076">
        <v>52.38715307305341</v>
      </c>
      <c r="E92" s="1076">
        <v>0.9325015025464174</v>
      </c>
      <c r="F92" s="1076">
        <v>1.995843728121584</v>
      </c>
      <c r="G92" s="1077">
        <v>1.04</v>
      </c>
      <c r="H92" s="1076">
        <v>41.457284809981644</v>
      </c>
      <c r="I92" s="1076">
        <v>21.438101353021086</v>
      </c>
      <c r="J92" s="1076">
        <v>48.915213466749975</v>
      </c>
      <c r="K92" s="1076">
        <v>21.7562161310502</v>
      </c>
      <c r="L92" s="1076">
        <v>11.810011134330669</v>
      </c>
      <c r="M92" s="1076">
        <v>2.89</v>
      </c>
      <c r="N92" s="1076">
        <v>2.46558638292982</v>
      </c>
      <c r="O92" s="1076">
        <v>1.118834871538517</v>
      </c>
      <c r="P92" s="1"/>
      <c r="Q92" s="1"/>
      <c r="R92" s="1"/>
      <c r="S92" s="1"/>
      <c r="T92" s="1"/>
      <c r="U92" s="1"/>
      <c r="V92" s="1"/>
      <c r="W92" s="1"/>
      <c r="X92" s="1"/>
      <c r="Y92" s="1"/>
      <c r="Z92" s="1"/>
    </row>
    <row r="93" ht="10.5" customHeight="1">
      <c r="A93" s="1"/>
      <c r="B93" s="11">
        <v>1976.0</v>
      </c>
      <c r="C93" s="1076">
        <v>99.43832573549038</v>
      </c>
      <c r="D93" s="1076">
        <v>49.8206438429924</v>
      </c>
      <c r="E93" s="1076">
        <v>0.5670134355579348</v>
      </c>
      <c r="F93" s="1076">
        <v>2.403522066652995</v>
      </c>
      <c r="G93" s="1077">
        <v>0.18</v>
      </c>
      <c r="H93" s="1076">
        <v>43.16794309176908</v>
      </c>
      <c r="I93" s="1076">
        <v>22.88247559678058</v>
      </c>
      <c r="J93" s="1076">
        <v>47.79759475822921</v>
      </c>
      <c r="K93" s="1076">
        <v>23.18592197640871</v>
      </c>
      <c r="L93" s="1076">
        <v>12.16134532364995</v>
      </c>
      <c r="M93" s="1076">
        <v>2.52</v>
      </c>
      <c r="N93" s="1076">
        <v>2.844809809013775</v>
      </c>
      <c r="O93" s="1076">
        <v>1.3415949771401812</v>
      </c>
      <c r="P93" s="1"/>
      <c r="Q93" s="1"/>
      <c r="R93" s="1"/>
      <c r="S93" s="1"/>
      <c r="T93" s="1"/>
      <c r="U93" s="1"/>
      <c r="V93" s="1"/>
      <c r="W93" s="1"/>
      <c r="X93" s="1"/>
      <c r="Y93" s="1"/>
      <c r="Z93" s="1"/>
    </row>
    <row r="94" ht="10.5" customHeight="1">
      <c r="A94" s="1"/>
      <c r="B94" s="11">
        <v>1977.0</v>
      </c>
      <c r="C94" s="1076">
        <v>94.52140348723323</v>
      </c>
      <c r="D94" s="1076">
        <v>49.240141972686594</v>
      </c>
      <c r="E94" s="1076">
        <v>0.8822067883047995</v>
      </c>
      <c r="F94" s="1076">
        <v>3.4544645122879323</v>
      </c>
      <c r="G94" s="1077">
        <v>0.39</v>
      </c>
      <c r="H94" s="1076">
        <v>43.16419237128992</v>
      </c>
      <c r="I94" s="1076">
        <v>21.47738723730972</v>
      </c>
      <c r="J94" s="1076">
        <v>47.89473309966794</v>
      </c>
      <c r="K94" s="1076">
        <v>18.47472631598404</v>
      </c>
      <c r="L94" s="1076">
        <v>8.315321771212632</v>
      </c>
      <c r="M94" s="1076">
        <v>2.99</v>
      </c>
      <c r="N94" s="1076">
        <v>2.467063351064127</v>
      </c>
      <c r="O94" s="1076">
        <v>1.238955448395472</v>
      </c>
      <c r="P94" s="1"/>
      <c r="Q94" s="1"/>
      <c r="R94" s="1"/>
      <c r="S94" s="1"/>
      <c r="T94" s="1"/>
      <c r="U94" s="1"/>
      <c r="V94" s="1"/>
      <c r="W94" s="1"/>
      <c r="X94" s="1"/>
      <c r="Y94" s="1"/>
      <c r="Z94" s="1"/>
    </row>
    <row r="95" ht="10.5" customHeight="1">
      <c r="A95" s="1"/>
      <c r="B95" s="11">
        <v>1978.0</v>
      </c>
      <c r="C95" s="1076">
        <v>93.69578644029792</v>
      </c>
      <c r="D95" s="1076">
        <v>52.0998238761048</v>
      </c>
      <c r="E95" s="1076">
        <v>0.5975189590395559</v>
      </c>
      <c r="F95" s="1076">
        <v>4.506234599684663</v>
      </c>
      <c r="G95" s="1077">
        <v>1.14</v>
      </c>
      <c r="H95" s="1076">
        <v>38.64539484268608</v>
      </c>
      <c r="I95" s="1076">
        <v>21.116079519476457</v>
      </c>
      <c r="J95" s="1076">
        <v>46.76430541133083</v>
      </c>
      <c r="K95" s="1076">
        <v>17.407005779951547</v>
      </c>
      <c r="L95" s="1076">
        <v>12.874553036867022</v>
      </c>
      <c r="M95" s="1076">
        <v>4.1</v>
      </c>
      <c r="N95" s="1076">
        <v>2.749201706516157</v>
      </c>
      <c r="O95" s="1076">
        <v>1.3572675279258732</v>
      </c>
      <c r="P95" s="1"/>
      <c r="Q95" s="1"/>
      <c r="R95" s="1"/>
      <c r="S95" s="1"/>
      <c r="T95" s="1"/>
      <c r="U95" s="1"/>
      <c r="V95" s="1"/>
      <c r="W95" s="1"/>
      <c r="X95" s="1"/>
      <c r="Y95" s="1"/>
      <c r="Z95" s="1"/>
    </row>
    <row r="96" ht="10.5" customHeight="1">
      <c r="A96" s="1"/>
      <c r="B96" s="11">
        <v>1979.0</v>
      </c>
      <c r="C96" s="1076">
        <v>92.28340584733586</v>
      </c>
      <c r="D96" s="1076">
        <v>51.99748275808203</v>
      </c>
      <c r="E96" s="1076">
        <v>0.876332846632747</v>
      </c>
      <c r="F96" s="1076">
        <v>4.542073818405566</v>
      </c>
      <c r="G96" s="1077">
        <v>1.78</v>
      </c>
      <c r="H96" s="1076">
        <v>38.3755954631528</v>
      </c>
      <c r="I96" s="1076">
        <v>18.477218630606096</v>
      </c>
      <c r="J96" s="1076">
        <v>45.935457342095454</v>
      </c>
      <c r="K96" s="1076">
        <v>19.555338645871387</v>
      </c>
      <c r="L96" s="1076">
        <v>9.703080137387591</v>
      </c>
      <c r="M96" s="1076">
        <v>3.67</v>
      </c>
      <c r="N96" s="1076">
        <v>3.1979662885960662</v>
      </c>
      <c r="O96" s="1076">
        <v>1.9582363713098956</v>
      </c>
      <c r="P96" s="1"/>
      <c r="Q96" s="1"/>
      <c r="R96" s="1"/>
      <c r="S96" s="1"/>
      <c r="T96" s="1"/>
      <c r="U96" s="1"/>
      <c r="V96" s="1"/>
      <c r="W96" s="1"/>
      <c r="X96" s="1"/>
      <c r="Y96" s="1"/>
      <c r="Z96" s="1"/>
    </row>
    <row r="97" ht="10.5" customHeight="1">
      <c r="A97" s="1"/>
      <c r="B97" s="11"/>
      <c r="C97" s="1078"/>
      <c r="D97" s="1077"/>
      <c r="E97" s="1077"/>
      <c r="F97" s="1077"/>
      <c r="G97" s="1077"/>
      <c r="H97" s="1077"/>
      <c r="I97" s="1077"/>
      <c r="J97" s="1077"/>
      <c r="K97" s="1077"/>
      <c r="L97" s="1077"/>
      <c r="M97" s="1077"/>
      <c r="N97" s="1077"/>
      <c r="O97" s="1077"/>
      <c r="P97" s="1"/>
      <c r="Q97" s="1"/>
      <c r="R97" s="1"/>
      <c r="S97" s="1"/>
      <c r="T97" s="1"/>
      <c r="U97" s="1"/>
      <c r="V97" s="1"/>
      <c r="W97" s="1"/>
      <c r="X97" s="1"/>
      <c r="Y97" s="1"/>
      <c r="Z97" s="1"/>
    </row>
    <row r="98" ht="10.5" customHeight="1">
      <c r="A98" s="1"/>
      <c r="B98" s="11">
        <v>1980.0</v>
      </c>
      <c r="C98" s="1076">
        <v>92.22107742273094</v>
      </c>
      <c r="D98" s="1076">
        <v>56.805122225213125</v>
      </c>
      <c r="E98" s="1076">
        <v>2.3987687390891246</v>
      </c>
      <c r="F98" s="1076">
        <v>4.831778447423038</v>
      </c>
      <c r="G98" s="1077">
        <v>0.16</v>
      </c>
      <c r="H98" s="1076">
        <v>38.169567160636674</v>
      </c>
      <c r="I98" s="1076">
        <v>22.00089621824177</v>
      </c>
      <c r="J98" s="1076">
        <v>48.542797215149236</v>
      </c>
      <c r="K98" s="1076">
        <v>25.471049110796052</v>
      </c>
      <c r="L98" s="1076">
        <v>7.990233214208624</v>
      </c>
      <c r="M98" s="1076">
        <v>3.35</v>
      </c>
      <c r="N98" s="1076">
        <v>2.6036719981459227</v>
      </c>
      <c r="O98" s="1076">
        <v>2.3497016371491104</v>
      </c>
      <c r="P98" s="1"/>
      <c r="Q98" s="1"/>
      <c r="R98" s="1"/>
      <c r="S98" s="1"/>
      <c r="T98" s="1"/>
      <c r="U98" s="1"/>
      <c r="V98" s="1"/>
      <c r="W98" s="1"/>
      <c r="X98" s="1"/>
      <c r="Y98" s="1"/>
      <c r="Z98" s="1"/>
    </row>
    <row r="99" ht="10.5" customHeight="1">
      <c r="A99" s="1"/>
      <c r="B99" s="11">
        <v>1981.0</v>
      </c>
      <c r="C99" s="1076">
        <v>89.7951028087338</v>
      </c>
      <c r="D99" s="1076">
        <v>53.36616715489903</v>
      </c>
      <c r="E99" s="1076">
        <v>2.007371608338883</v>
      </c>
      <c r="F99" s="1076">
        <v>5.402828900031162</v>
      </c>
      <c r="G99" s="1077">
        <v>1.57</v>
      </c>
      <c r="H99" s="1076">
        <v>40.16039380460648</v>
      </c>
      <c r="I99" s="1076">
        <v>28.29084290778064</v>
      </c>
      <c r="J99" s="1076">
        <v>49.21124662475452</v>
      </c>
      <c r="K99" s="1076">
        <v>23.808736124540356</v>
      </c>
      <c r="L99" s="1076">
        <v>9.521632938000305</v>
      </c>
      <c r="M99" s="1076">
        <v>3.46</v>
      </c>
      <c r="N99" s="1076">
        <v>2.3311988249240456</v>
      </c>
      <c r="O99" s="1076">
        <v>1.9835442570961859</v>
      </c>
      <c r="P99" s="1"/>
      <c r="Q99" s="1"/>
      <c r="R99" s="1"/>
      <c r="S99" s="1"/>
      <c r="T99" s="1"/>
      <c r="U99" s="1"/>
      <c r="V99" s="1"/>
      <c r="W99" s="1"/>
      <c r="X99" s="1"/>
      <c r="Y99" s="1"/>
      <c r="Z99" s="1"/>
    </row>
    <row r="100" ht="10.5" customHeight="1">
      <c r="A100" s="1"/>
      <c r="B100" s="11">
        <v>1982.0</v>
      </c>
      <c r="C100" s="1076">
        <v>94.15465101494992</v>
      </c>
      <c r="D100" s="1076">
        <v>50.5939394164883</v>
      </c>
      <c r="E100" s="1076">
        <v>0.8003858862297182</v>
      </c>
      <c r="F100" s="1076">
        <v>5.158222149264709</v>
      </c>
      <c r="G100" s="1077">
        <v>1.33</v>
      </c>
      <c r="H100" s="1076">
        <v>38.84255375080602</v>
      </c>
      <c r="I100" s="1076">
        <v>26.435190096967823</v>
      </c>
      <c r="J100" s="1076">
        <v>55.94049494485182</v>
      </c>
      <c r="K100" s="1076">
        <v>26.89846847243317</v>
      </c>
      <c r="L100" s="1076">
        <v>6.409021368882993</v>
      </c>
      <c r="M100" s="1076">
        <v>3.6</v>
      </c>
      <c r="N100" s="1076">
        <v>2.5119533458637573</v>
      </c>
      <c r="O100" s="1076">
        <v>1.3450582935999595</v>
      </c>
      <c r="P100" s="1"/>
      <c r="Q100" s="1"/>
      <c r="R100" s="1"/>
      <c r="S100" s="1"/>
      <c r="T100" s="1"/>
      <c r="U100" s="1"/>
      <c r="V100" s="1"/>
      <c r="W100" s="1"/>
      <c r="X100" s="1"/>
      <c r="Y100" s="1"/>
      <c r="Z100" s="1"/>
    </row>
    <row r="101" ht="10.5" customHeight="1">
      <c r="A101" s="1"/>
      <c r="B101" s="11">
        <v>1983.0</v>
      </c>
      <c r="C101" s="1076">
        <v>92.94501307326867</v>
      </c>
      <c r="D101" s="1076">
        <v>63.57317173550099</v>
      </c>
      <c r="E101" s="1076">
        <v>0.1075645720382474</v>
      </c>
      <c r="F101" s="1076">
        <v>6.316636900221001</v>
      </c>
      <c r="G101" s="1077">
        <v>0.92</v>
      </c>
      <c r="H101" s="1076">
        <v>39.41000232576191</v>
      </c>
      <c r="I101" s="1076">
        <v>22.248347923853974</v>
      </c>
      <c r="J101" s="1076">
        <v>47.39196505923138</v>
      </c>
      <c r="K101" s="1076">
        <v>24.29107222850476</v>
      </c>
      <c r="L101" s="1076">
        <v>6.921649613498669</v>
      </c>
      <c r="M101" s="1076">
        <v>2.49</v>
      </c>
      <c r="N101" s="1076">
        <v>2.518777345297126</v>
      </c>
      <c r="O101" s="1076">
        <v>0.4276727281677662</v>
      </c>
      <c r="P101" s="1"/>
      <c r="Q101" s="1"/>
      <c r="R101" s="1"/>
      <c r="S101" s="1"/>
      <c r="T101" s="1"/>
      <c r="U101" s="1"/>
      <c r="V101" s="1"/>
      <c r="W101" s="1"/>
      <c r="X101" s="1"/>
      <c r="Y101" s="1"/>
      <c r="Z101" s="1"/>
    </row>
    <row r="102" ht="10.5" customHeight="1">
      <c r="A102" s="1"/>
      <c r="B102" s="11">
        <v>1984.0</v>
      </c>
      <c r="C102" s="1076">
        <v>89.93387064475786</v>
      </c>
      <c r="D102" s="1076">
        <v>55.72347746023661</v>
      </c>
      <c r="E102" s="1076">
        <v>1.2714484908534893</v>
      </c>
      <c r="F102" s="1076">
        <v>5.404142706851624</v>
      </c>
      <c r="G102" s="1077">
        <v>0.77</v>
      </c>
      <c r="H102" s="1076">
        <v>39.514628461643476</v>
      </c>
      <c r="I102" s="1076">
        <v>28.835034019944764</v>
      </c>
      <c r="J102" s="1076">
        <v>47.904281239672635</v>
      </c>
      <c r="K102" s="1076">
        <v>23.584910813073677</v>
      </c>
      <c r="L102" s="1076">
        <v>8.74999029918809</v>
      </c>
      <c r="M102" s="1076">
        <v>1.96</v>
      </c>
      <c r="N102" s="1076">
        <v>2.3305566582479518</v>
      </c>
      <c r="O102" s="1076">
        <v>0.25379681366221307</v>
      </c>
      <c r="P102" s="1"/>
      <c r="Q102" s="1"/>
      <c r="R102" s="1"/>
      <c r="S102" s="1"/>
      <c r="T102" s="1"/>
      <c r="U102" s="1"/>
      <c r="V102" s="1"/>
      <c r="W102" s="1"/>
      <c r="X102" s="1"/>
      <c r="Y102" s="1"/>
      <c r="Z102" s="1"/>
    </row>
    <row r="103" ht="10.5" customHeight="1">
      <c r="A103" s="1"/>
      <c r="B103" s="11"/>
      <c r="C103" s="1078"/>
      <c r="D103" s="1077"/>
      <c r="E103" s="1077"/>
      <c r="F103" s="1077"/>
      <c r="G103" s="1077"/>
      <c r="H103" s="1077"/>
      <c r="I103" s="1077"/>
      <c r="J103" s="1077"/>
      <c r="K103" s="1077"/>
      <c r="L103" s="1077"/>
      <c r="M103" s="1077"/>
      <c r="N103" s="1077"/>
      <c r="O103" s="1077"/>
      <c r="P103" s="1"/>
      <c r="Q103" s="1"/>
      <c r="R103" s="1"/>
      <c r="S103" s="1"/>
      <c r="T103" s="1"/>
      <c r="U103" s="1"/>
      <c r="V103" s="1"/>
      <c r="W103" s="1"/>
      <c r="X103" s="1"/>
      <c r="Y103" s="1"/>
      <c r="Z103" s="1"/>
    </row>
    <row r="104" ht="10.5" customHeight="1">
      <c r="A104" s="1"/>
      <c r="B104" s="11">
        <v>1985.0</v>
      </c>
      <c r="C104" s="1076">
        <v>75.23974920570383</v>
      </c>
      <c r="D104" s="1076">
        <v>53.235087628686365</v>
      </c>
      <c r="E104" s="1076">
        <v>2.3574217515926525</v>
      </c>
      <c r="F104" s="1076">
        <v>5.733262226492446</v>
      </c>
      <c r="G104" s="1077">
        <v>0.07</v>
      </c>
      <c r="H104" s="1076">
        <v>37.51362773639052</v>
      </c>
      <c r="I104" s="1076">
        <v>27.21033971781774</v>
      </c>
      <c r="J104" s="1076">
        <v>49.58445591217123</v>
      </c>
      <c r="K104" s="1076">
        <v>24.34619306462043</v>
      </c>
      <c r="L104" s="1076">
        <v>6.996619980315455</v>
      </c>
      <c r="M104" s="1076">
        <v>1.69</v>
      </c>
      <c r="N104" s="1076">
        <v>2.0862711769406546</v>
      </c>
      <c r="O104" s="1076">
        <v>0.8265577662531762</v>
      </c>
      <c r="P104" s="1"/>
      <c r="Q104" s="1"/>
      <c r="R104" s="1"/>
      <c r="S104" s="1"/>
      <c r="T104" s="1"/>
      <c r="U104" s="1"/>
      <c r="V104" s="1"/>
      <c r="W104" s="1"/>
      <c r="X104" s="1"/>
      <c r="Y104" s="1"/>
      <c r="Z104" s="1"/>
    </row>
    <row r="105" ht="10.5" customHeight="1">
      <c r="A105" s="1"/>
      <c r="B105" s="11">
        <v>1986.0</v>
      </c>
      <c r="C105" s="1076">
        <v>73.613356845289</v>
      </c>
      <c r="D105" s="1076">
        <v>55.91480682941575</v>
      </c>
      <c r="E105" s="1076">
        <v>1.4985477549196116</v>
      </c>
      <c r="F105" s="1076">
        <v>7.1685115010442315</v>
      </c>
      <c r="G105" s="1077">
        <v>1.09</v>
      </c>
      <c r="H105" s="1076">
        <v>34.561485032882544</v>
      </c>
      <c r="I105" s="1076">
        <v>27.085965837349832</v>
      </c>
      <c r="J105" s="1076">
        <v>48.77211281115633</v>
      </c>
      <c r="K105" s="1076">
        <v>25.0072725652313</v>
      </c>
      <c r="L105" s="1076">
        <v>6.69</v>
      </c>
      <c r="M105" s="1076">
        <v>2.2</v>
      </c>
      <c r="N105" s="1076">
        <v>2.5189034788698907</v>
      </c>
      <c r="O105" s="1076">
        <v>1.0271880085471752</v>
      </c>
      <c r="P105" s="1"/>
      <c r="Q105" s="1"/>
      <c r="R105" s="1"/>
      <c r="S105" s="1"/>
      <c r="T105" s="1"/>
      <c r="U105" s="1"/>
      <c r="V105" s="1"/>
      <c r="W105" s="1"/>
      <c r="X105" s="1"/>
      <c r="Y105" s="1"/>
      <c r="Z105" s="1"/>
    </row>
    <row r="106" ht="10.5" customHeight="1">
      <c r="A106" s="1"/>
      <c r="B106" s="11">
        <v>1987.0</v>
      </c>
      <c r="C106" s="1076">
        <v>65.57743219941896</v>
      </c>
      <c r="D106" s="1076">
        <v>66.0738890406554</v>
      </c>
      <c r="E106" s="1076">
        <v>2.359264369725824</v>
      </c>
      <c r="F106" s="1076">
        <v>7.5360897522788965</v>
      </c>
      <c r="G106" s="1077">
        <v>0.95</v>
      </c>
      <c r="H106" s="1076">
        <v>42.125523421832675</v>
      </c>
      <c r="I106" s="1076">
        <v>26.06900490095121</v>
      </c>
      <c r="J106" s="1076">
        <v>48.879836476075006</v>
      </c>
      <c r="K106" s="1076">
        <v>26.469843620250757</v>
      </c>
      <c r="L106" s="1076">
        <v>13.69</v>
      </c>
      <c r="M106" s="1076">
        <v>4.38</v>
      </c>
      <c r="N106" s="1076">
        <v>2.705208600694415</v>
      </c>
      <c r="O106" s="1076">
        <v>1.2485763902518847</v>
      </c>
      <c r="P106" s="1"/>
      <c r="Q106" s="1"/>
      <c r="R106" s="1"/>
      <c r="S106" s="1"/>
      <c r="T106" s="1"/>
      <c r="U106" s="1"/>
      <c r="V106" s="1"/>
      <c r="W106" s="1"/>
      <c r="X106" s="1"/>
      <c r="Y106" s="1"/>
      <c r="Z106" s="1"/>
    </row>
    <row r="107" ht="10.5" customHeight="1">
      <c r="A107" s="1"/>
      <c r="B107" s="11">
        <v>1988.0</v>
      </c>
      <c r="C107" s="1076">
        <v>71.11680506749379</v>
      </c>
      <c r="D107" s="1076">
        <v>57.48128049859749</v>
      </c>
      <c r="E107" s="1076">
        <v>1.8443340010376454</v>
      </c>
      <c r="F107" s="1076">
        <v>7.670099730488251</v>
      </c>
      <c r="G107" s="1077">
        <v>0.18</v>
      </c>
      <c r="H107" s="1076">
        <v>31.249571811692284</v>
      </c>
      <c r="I107" s="1076">
        <v>27.85458896805625</v>
      </c>
      <c r="J107" s="1076">
        <v>46.728838700409156</v>
      </c>
      <c r="K107" s="1076">
        <v>28.65</v>
      </c>
      <c r="L107" s="1076">
        <v>15.1</v>
      </c>
      <c r="M107" s="1076">
        <v>5.31</v>
      </c>
      <c r="N107" s="1076">
        <v>2.5647773360889103</v>
      </c>
      <c r="O107" s="1076">
        <v>2.9981988735982203</v>
      </c>
      <c r="P107" s="1"/>
      <c r="Q107" s="1"/>
      <c r="R107" s="1"/>
      <c r="S107" s="1"/>
      <c r="T107" s="1"/>
      <c r="U107" s="1"/>
      <c r="V107" s="1"/>
      <c r="W107" s="1"/>
      <c r="X107" s="1"/>
      <c r="Y107" s="1"/>
      <c r="Z107" s="1"/>
    </row>
    <row r="108" ht="10.5" customHeight="1">
      <c r="A108" s="1"/>
      <c r="B108" s="11">
        <v>1989.0</v>
      </c>
      <c r="C108" s="1076">
        <v>63.78330005041595</v>
      </c>
      <c r="D108" s="1076">
        <v>54.212227546798346</v>
      </c>
      <c r="E108" s="1076">
        <v>1.3287377437283856</v>
      </c>
      <c r="F108" s="1076">
        <v>8.073436727806161</v>
      </c>
      <c r="G108" s="1077">
        <v>0.13</v>
      </c>
      <c r="H108" s="1076">
        <v>34.28119708525895</v>
      </c>
      <c r="I108" s="1076">
        <v>32.08940074759844</v>
      </c>
      <c r="J108" s="1076">
        <v>48.94970136585438</v>
      </c>
      <c r="K108" s="1076">
        <v>28.3</v>
      </c>
      <c r="L108" s="1076">
        <v>16.12</v>
      </c>
      <c r="M108" s="1076">
        <v>5.91</v>
      </c>
      <c r="N108" s="1076">
        <v>2.523046748183548</v>
      </c>
      <c r="O108" s="1076">
        <v>1.4705428177166853</v>
      </c>
      <c r="P108" s="1"/>
      <c r="Q108" s="1"/>
      <c r="R108" s="1"/>
      <c r="S108" s="1"/>
      <c r="T108" s="1"/>
      <c r="U108" s="1"/>
      <c r="V108" s="1"/>
      <c r="W108" s="1"/>
      <c r="X108" s="1"/>
      <c r="Y108" s="1"/>
      <c r="Z108" s="1"/>
    </row>
    <row r="109" ht="10.5" customHeight="1">
      <c r="A109" s="1"/>
      <c r="B109" s="11"/>
      <c r="C109" s="1078"/>
      <c r="D109" s="1077"/>
      <c r="E109" s="1077"/>
      <c r="F109" s="1077"/>
      <c r="G109" s="1077"/>
      <c r="H109" s="1077"/>
      <c r="I109" s="1077"/>
      <c r="J109" s="1077"/>
      <c r="K109" s="1077"/>
      <c r="L109" s="1077"/>
      <c r="M109" s="1077"/>
      <c r="N109" s="1077"/>
      <c r="O109" s="1077"/>
      <c r="P109" s="1"/>
      <c r="Q109" s="1"/>
      <c r="R109" s="1"/>
      <c r="S109" s="1"/>
      <c r="T109" s="1"/>
      <c r="U109" s="1"/>
      <c r="V109" s="1"/>
      <c r="W109" s="1"/>
      <c r="X109" s="1"/>
      <c r="Y109" s="1"/>
      <c r="Z109" s="1"/>
    </row>
    <row r="110" ht="10.5" customHeight="1">
      <c r="A110" s="1"/>
      <c r="B110" s="11">
        <v>1990.0</v>
      </c>
      <c r="C110" s="1076">
        <v>70.87745656067038</v>
      </c>
      <c r="D110" s="1076">
        <v>49.63539971549611</v>
      </c>
      <c r="E110" s="1076">
        <v>1.3863232967484662</v>
      </c>
      <c r="F110" s="1076">
        <v>10.317090153989898</v>
      </c>
      <c r="G110" s="1077">
        <v>0.25</v>
      </c>
      <c r="H110" s="1076">
        <v>30.84210461393962</v>
      </c>
      <c r="I110" s="1076">
        <v>29.366654481126243</v>
      </c>
      <c r="J110" s="1076">
        <v>45.950504602293165</v>
      </c>
      <c r="K110" s="1076">
        <v>19.79</v>
      </c>
      <c r="L110" s="1076">
        <v>16.51</v>
      </c>
      <c r="M110" s="1076">
        <v>5.35</v>
      </c>
      <c r="N110" s="1076">
        <v>2.5419316989510676</v>
      </c>
      <c r="O110" s="1076">
        <v>0.6600549311609606</v>
      </c>
      <c r="P110" s="1"/>
      <c r="Q110" s="1"/>
      <c r="R110" s="1"/>
      <c r="S110" s="1"/>
      <c r="T110" s="1"/>
      <c r="U110" s="1"/>
      <c r="V110" s="1"/>
      <c r="W110" s="1"/>
      <c r="X110" s="1"/>
      <c r="Y110" s="1"/>
      <c r="Z110" s="1"/>
    </row>
    <row r="111" ht="10.5" customHeight="1">
      <c r="A111" s="1"/>
      <c r="B111" s="11">
        <v>1991.0</v>
      </c>
      <c r="C111" s="1076">
        <v>70.82502755899162</v>
      </c>
      <c r="D111" s="1076">
        <v>50.90822163564435</v>
      </c>
      <c r="E111" s="1076">
        <v>1.0391966717220689</v>
      </c>
      <c r="F111" s="1076">
        <v>5.769422267125429</v>
      </c>
      <c r="G111" s="1077">
        <v>0.42</v>
      </c>
      <c r="H111" s="1076">
        <v>29.614159546284554</v>
      </c>
      <c r="I111" s="1076">
        <v>30.148429924666225</v>
      </c>
      <c r="J111" s="1076">
        <v>46.717519124338025</v>
      </c>
      <c r="K111" s="1076">
        <v>24.43</v>
      </c>
      <c r="L111" s="1076">
        <v>13.76</v>
      </c>
      <c r="M111" s="1076">
        <v>5.24</v>
      </c>
      <c r="N111" s="1076">
        <v>2.590548331579136</v>
      </c>
      <c r="O111" s="1076">
        <v>1.5963744754674867</v>
      </c>
      <c r="P111" s="1"/>
      <c r="Q111" s="1"/>
      <c r="R111" s="1"/>
      <c r="S111" s="1"/>
      <c r="T111" s="1"/>
      <c r="U111" s="1"/>
      <c r="V111" s="1"/>
      <c r="W111" s="1"/>
      <c r="X111" s="1"/>
      <c r="Y111" s="1"/>
      <c r="Z111" s="1"/>
    </row>
    <row r="112" ht="10.5" customHeight="1">
      <c r="A112" s="1"/>
      <c r="B112" s="11">
        <v>1992.0</v>
      </c>
      <c r="C112" s="1076">
        <v>67.51856441518919</v>
      </c>
      <c r="D112" s="1076">
        <v>47.8360567827243</v>
      </c>
      <c r="E112" s="1076">
        <v>1.5392725955482014</v>
      </c>
      <c r="F112" s="1076">
        <v>5.712415376797601</v>
      </c>
      <c r="G112" s="1077">
        <v>0.35</v>
      </c>
      <c r="H112" s="1076">
        <v>30.060716158716254</v>
      </c>
      <c r="I112" s="1076">
        <v>23.98585632491525</v>
      </c>
      <c r="J112" s="1076">
        <v>45.35793336869252</v>
      </c>
      <c r="K112" s="1076">
        <v>22.82</v>
      </c>
      <c r="L112" s="1076">
        <v>12.17</v>
      </c>
      <c r="M112" s="1076">
        <v>8.16</v>
      </c>
      <c r="N112" s="1076">
        <v>2.909428576062803</v>
      </c>
      <c r="O112" s="1076">
        <v>0.6779340286225595</v>
      </c>
      <c r="P112" s="1"/>
      <c r="Q112" s="1"/>
      <c r="R112" s="1"/>
      <c r="S112" s="1"/>
      <c r="T112" s="1"/>
      <c r="U112" s="1"/>
      <c r="V112" s="1"/>
      <c r="W112" s="1"/>
      <c r="X112" s="1"/>
      <c r="Y112" s="1"/>
      <c r="Z112" s="1"/>
    </row>
    <row r="113" ht="10.5" customHeight="1">
      <c r="A113" s="1"/>
      <c r="B113" s="11">
        <v>1993.0</v>
      </c>
      <c r="C113" s="1076">
        <v>75.77035476055009</v>
      </c>
      <c r="D113" s="1076">
        <v>47.846352747081546</v>
      </c>
      <c r="E113" s="1076">
        <v>1.6947912026284193</v>
      </c>
      <c r="F113" s="1076">
        <v>7.2599310447660566</v>
      </c>
      <c r="G113" s="1077">
        <v>0.19</v>
      </c>
      <c r="H113" s="1076">
        <v>35.57993979186397</v>
      </c>
      <c r="I113" s="1076">
        <v>28.721608795255307</v>
      </c>
      <c r="J113" s="1076">
        <v>45.24396614853104</v>
      </c>
      <c r="K113" s="1076">
        <v>22.75</v>
      </c>
      <c r="L113" s="1076">
        <v>14.96</v>
      </c>
      <c r="M113" s="1076">
        <v>2.88</v>
      </c>
      <c r="N113" s="1076">
        <v>2.979323954690468</v>
      </c>
      <c r="O113" s="1076">
        <v>1.3315891667680717</v>
      </c>
      <c r="P113" s="1"/>
      <c r="Q113" s="1"/>
      <c r="R113" s="1"/>
      <c r="S113" s="1"/>
      <c r="T113" s="1"/>
      <c r="U113" s="1"/>
      <c r="V113" s="1"/>
      <c r="W113" s="1"/>
      <c r="X113" s="1"/>
      <c r="Y113" s="1"/>
      <c r="Z113" s="1"/>
    </row>
    <row r="114" ht="10.5" customHeight="1">
      <c r="A114" s="1"/>
      <c r="B114" s="11">
        <v>1994.0</v>
      </c>
      <c r="C114" s="1076">
        <v>69.0284101899411</v>
      </c>
      <c r="D114" s="1076">
        <v>49.93848073911787</v>
      </c>
      <c r="E114" s="1076">
        <v>1.5734427460167464</v>
      </c>
      <c r="F114" s="1076">
        <v>8.196042714566017</v>
      </c>
      <c r="G114" s="1077">
        <v>0.19</v>
      </c>
      <c r="H114" s="1076">
        <v>31.969557732879462</v>
      </c>
      <c r="I114" s="1076">
        <v>28.04467972198134</v>
      </c>
      <c r="J114" s="1076">
        <v>42.4151691567026</v>
      </c>
      <c r="K114" s="1076">
        <v>18.13</v>
      </c>
      <c r="L114" s="1076">
        <v>15.35</v>
      </c>
      <c r="M114" s="1076">
        <v>7.29</v>
      </c>
      <c r="N114" s="1076">
        <v>2.6934892636647207</v>
      </c>
      <c r="O114" s="1076">
        <v>3.076066838379001</v>
      </c>
      <c r="P114" s="1"/>
      <c r="Q114" s="1"/>
      <c r="R114" s="1"/>
      <c r="S114" s="1"/>
      <c r="T114" s="1"/>
      <c r="U114" s="1"/>
      <c r="V114" s="1"/>
      <c r="W114" s="1"/>
      <c r="X114" s="1"/>
      <c r="Y114" s="1"/>
      <c r="Z114" s="1"/>
    </row>
    <row r="115" ht="10.5" customHeight="1">
      <c r="A115" s="1"/>
      <c r="B115" s="11"/>
      <c r="C115" s="1078"/>
      <c r="D115" s="1077"/>
      <c r="E115" s="1077"/>
      <c r="F115" s="1077"/>
      <c r="G115" s="1077"/>
      <c r="H115" s="1077"/>
      <c r="I115" s="1077"/>
      <c r="J115" s="1077"/>
      <c r="K115" s="1077"/>
      <c r="L115" s="1077"/>
      <c r="M115" s="1077"/>
      <c r="N115" s="1077"/>
      <c r="O115" s="1077"/>
      <c r="P115" s="1"/>
      <c r="Q115" s="1"/>
      <c r="R115" s="1"/>
      <c r="S115" s="1"/>
      <c r="T115" s="1"/>
      <c r="U115" s="1"/>
      <c r="V115" s="1"/>
      <c r="W115" s="1"/>
      <c r="X115" s="1"/>
      <c r="Y115" s="1"/>
      <c r="Z115" s="1"/>
    </row>
    <row r="116" ht="10.5" customHeight="1">
      <c r="A116" s="1"/>
      <c r="B116" s="11">
        <v>1995.0</v>
      </c>
      <c r="C116" s="1076">
        <v>74.37737171688478</v>
      </c>
      <c r="D116" s="1076">
        <v>48.8746342385551</v>
      </c>
      <c r="E116" s="1076">
        <v>1.6072926532090777</v>
      </c>
      <c r="F116" s="1076">
        <v>8.006417393178026</v>
      </c>
      <c r="G116" s="1077">
        <v>0.35</v>
      </c>
      <c r="H116" s="1076">
        <v>32.37319863921108</v>
      </c>
      <c r="I116" s="1076">
        <v>30.288056121650275</v>
      </c>
      <c r="J116" s="1076">
        <v>45.32470367022085</v>
      </c>
      <c r="K116" s="1076">
        <v>15.71</v>
      </c>
      <c r="L116" s="1076">
        <v>13.61</v>
      </c>
      <c r="M116" s="1076">
        <v>6.99</v>
      </c>
      <c r="N116" s="1076">
        <v>2.9370976844803702</v>
      </c>
      <c r="O116" s="1076">
        <v>1.9558174232656402</v>
      </c>
      <c r="P116" s="1"/>
      <c r="Q116" s="1"/>
      <c r="R116" s="1"/>
      <c r="S116" s="1"/>
      <c r="T116" s="1"/>
      <c r="U116" s="1"/>
      <c r="V116" s="1"/>
      <c r="W116" s="1"/>
      <c r="X116" s="1"/>
      <c r="Y116" s="1"/>
      <c r="Z116" s="1"/>
    </row>
    <row r="117" ht="10.5" customHeight="1">
      <c r="A117" s="1"/>
      <c r="B117" s="11">
        <v>1996.0</v>
      </c>
      <c r="C117" s="1076">
        <v>65.63424359048571</v>
      </c>
      <c r="D117" s="1076">
        <v>54.167745815066425</v>
      </c>
      <c r="E117" s="1076">
        <v>1.576033140305315</v>
      </c>
      <c r="F117" s="1076">
        <v>5.722668905515413</v>
      </c>
      <c r="G117" s="1077">
        <v>0.18</v>
      </c>
      <c r="H117" s="1076">
        <v>33.11684754814467</v>
      </c>
      <c r="I117" s="1076">
        <v>32.81106015727102</v>
      </c>
      <c r="J117" s="1076">
        <v>43.36061645810054</v>
      </c>
      <c r="K117" s="1076">
        <v>17.51</v>
      </c>
      <c r="L117" s="1076">
        <v>20.59</v>
      </c>
      <c r="M117" s="1076">
        <v>6.81</v>
      </c>
      <c r="N117" s="1076">
        <v>2.32305593201466</v>
      </c>
      <c r="O117" s="1076">
        <v>1.9601526952789496</v>
      </c>
      <c r="P117" s="1"/>
      <c r="Q117" s="1"/>
      <c r="R117" s="1"/>
      <c r="S117" s="1"/>
      <c r="T117" s="1"/>
      <c r="U117" s="1"/>
      <c r="V117" s="1"/>
      <c r="W117" s="1"/>
      <c r="X117" s="1"/>
      <c r="Y117" s="1"/>
      <c r="Z117" s="1"/>
    </row>
    <row r="118" ht="10.5" customHeight="1">
      <c r="A118" s="1"/>
      <c r="B118" s="11">
        <v>1997.0</v>
      </c>
      <c r="C118" s="1076">
        <v>68.25776124114907</v>
      </c>
      <c r="D118" s="1076">
        <v>41.68</v>
      </c>
      <c r="E118" s="1076">
        <v>1.6452075960481922</v>
      </c>
      <c r="F118" s="1076">
        <v>4.79</v>
      </c>
      <c r="G118" s="1077">
        <v>0.2</v>
      </c>
      <c r="H118" s="1076">
        <v>32.381927246177845</v>
      </c>
      <c r="I118" s="1076">
        <v>32.22822503668739</v>
      </c>
      <c r="J118" s="1076">
        <v>44.20212333184562</v>
      </c>
      <c r="K118" s="1076">
        <v>27.34</v>
      </c>
      <c r="L118" s="1076">
        <v>17.19</v>
      </c>
      <c r="M118" s="1076">
        <v>9.95</v>
      </c>
      <c r="N118" s="1076">
        <v>2.6596981567770404</v>
      </c>
      <c r="O118" s="1076">
        <v>0.5321793886001064</v>
      </c>
      <c r="P118" s="1"/>
      <c r="Q118" s="1"/>
      <c r="R118" s="1"/>
      <c r="S118" s="1"/>
      <c r="T118" s="1"/>
      <c r="U118" s="1"/>
      <c r="V118" s="1"/>
      <c r="W118" s="1"/>
      <c r="X118" s="1"/>
      <c r="Y118" s="1"/>
      <c r="Z118" s="1"/>
    </row>
    <row r="119" ht="10.5" customHeight="1">
      <c r="A119" s="1"/>
      <c r="B119" s="11">
        <v>1998.0</v>
      </c>
      <c r="C119" s="1076">
        <v>77.54641278168974</v>
      </c>
      <c r="D119" s="1076">
        <v>53.12</v>
      </c>
      <c r="E119" s="1076">
        <v>1.625579273922692</v>
      </c>
      <c r="F119" s="1076">
        <v>6.31</v>
      </c>
      <c r="G119" s="1077">
        <v>0.18</v>
      </c>
      <c r="H119" s="1076">
        <v>28.957643512419743</v>
      </c>
      <c r="I119" s="1076">
        <v>32.86525914574952</v>
      </c>
      <c r="J119" s="1076">
        <v>43.17408120071337</v>
      </c>
      <c r="K119" s="1076">
        <v>18.94</v>
      </c>
      <c r="L119" s="1076">
        <v>14.39</v>
      </c>
      <c r="M119" s="1076">
        <v>8.08</v>
      </c>
      <c r="N119" s="1076">
        <v>1.9880020175407362</v>
      </c>
      <c r="O119" s="1076">
        <v>1.04</v>
      </c>
      <c r="P119" s="1"/>
      <c r="Q119" s="1"/>
      <c r="R119" s="1"/>
      <c r="S119" s="1"/>
      <c r="T119" s="1"/>
      <c r="U119" s="1"/>
      <c r="V119" s="1"/>
      <c r="W119" s="1"/>
      <c r="X119" s="1"/>
      <c r="Y119" s="1"/>
      <c r="Z119" s="1"/>
    </row>
    <row r="120" ht="10.5" customHeight="1">
      <c r="A120" s="1"/>
      <c r="B120" s="11">
        <v>1999.0</v>
      </c>
      <c r="C120" s="1076">
        <v>81.08760707822857</v>
      </c>
      <c r="D120" s="1076">
        <v>46.72</v>
      </c>
      <c r="E120" s="1076">
        <v>1.7550113810563466</v>
      </c>
      <c r="F120" s="1076">
        <v>5.04</v>
      </c>
      <c r="G120" s="1077">
        <v>0.6</v>
      </c>
      <c r="H120" s="1076">
        <v>27.755841501370373</v>
      </c>
      <c r="I120" s="1076">
        <v>35.13374815162355</v>
      </c>
      <c r="J120" s="1076">
        <v>42.94593907863111</v>
      </c>
      <c r="K120" s="1076">
        <v>27.12</v>
      </c>
      <c r="L120" s="1076">
        <v>17.87</v>
      </c>
      <c r="M120" s="1076">
        <v>7.75</v>
      </c>
      <c r="N120" s="1076">
        <v>2.320573651693222</v>
      </c>
      <c r="O120" s="1076">
        <v>1.35</v>
      </c>
      <c r="P120" s="1"/>
      <c r="Q120" s="1"/>
      <c r="R120" s="1"/>
      <c r="S120" s="1"/>
      <c r="T120" s="1"/>
      <c r="U120" s="1"/>
      <c r="V120" s="1"/>
      <c r="W120" s="1"/>
      <c r="X120" s="1"/>
      <c r="Y120" s="1"/>
      <c r="Z120" s="1"/>
    </row>
    <row r="121" ht="10.5" customHeight="1">
      <c r="A121" s="1"/>
      <c r="B121" s="11"/>
      <c r="C121" s="1078"/>
      <c r="D121" s="1077"/>
      <c r="E121" s="1077"/>
      <c r="F121" s="1077"/>
      <c r="G121" s="1077"/>
      <c r="H121" s="1077"/>
      <c r="I121" s="1077"/>
      <c r="J121" s="1077"/>
      <c r="K121" s="1077"/>
      <c r="L121" s="1077"/>
      <c r="M121" s="1077"/>
      <c r="N121" s="1077"/>
      <c r="O121" s="1077"/>
      <c r="P121" s="1"/>
      <c r="Q121" s="1"/>
      <c r="R121" s="1"/>
      <c r="S121" s="1"/>
      <c r="T121" s="1"/>
      <c r="U121" s="1"/>
      <c r="V121" s="1"/>
      <c r="W121" s="1"/>
      <c r="X121" s="1"/>
      <c r="Y121" s="1"/>
      <c r="Z121" s="1"/>
    </row>
    <row r="122" ht="10.5" customHeight="1">
      <c r="A122" s="1"/>
      <c r="B122" s="11">
        <v>2000.0</v>
      </c>
      <c r="C122" s="1076">
        <v>90.46157835102477</v>
      </c>
      <c r="D122" s="1076">
        <v>47.91</v>
      </c>
      <c r="E122" s="1076">
        <v>1.919698251823785</v>
      </c>
      <c r="F122" s="1076">
        <v>4.6844876214525035</v>
      </c>
      <c r="G122" s="1077">
        <v>0.71</v>
      </c>
      <c r="H122" s="1076">
        <v>37.76979738838562</v>
      </c>
      <c r="I122" s="1076">
        <v>32.87169521449114</v>
      </c>
      <c r="J122" s="1076">
        <v>39.59</v>
      </c>
      <c r="K122" s="1076">
        <v>28.31</v>
      </c>
      <c r="L122" s="1076">
        <v>21.01</v>
      </c>
      <c r="M122" s="1076">
        <v>8.74</v>
      </c>
      <c r="N122" s="1076">
        <v>2.65</v>
      </c>
      <c r="O122" s="1076">
        <v>1.26</v>
      </c>
      <c r="P122" s="1"/>
      <c r="Q122" s="1"/>
      <c r="R122" s="1"/>
      <c r="S122" s="1"/>
      <c r="T122" s="1"/>
      <c r="U122" s="1"/>
      <c r="V122" s="1"/>
      <c r="W122" s="1"/>
      <c r="X122" s="1"/>
      <c r="Y122" s="1"/>
      <c r="Z122" s="1"/>
    </row>
    <row r="123" ht="10.5" customHeight="1">
      <c r="A123" s="1"/>
      <c r="B123" s="11">
        <v>2001.0</v>
      </c>
      <c r="C123" s="1076">
        <v>70.73090753239867</v>
      </c>
      <c r="D123" s="1076">
        <v>49.23</v>
      </c>
      <c r="E123" s="1076">
        <v>1.951992435297839</v>
      </c>
      <c r="F123" s="1076">
        <v>5.057010711066026</v>
      </c>
      <c r="G123" s="1077">
        <v>0.86</v>
      </c>
      <c r="H123" s="1076">
        <v>35.345090614040494</v>
      </c>
      <c r="I123" s="1076">
        <v>33.203201925447935</v>
      </c>
      <c r="J123" s="1076">
        <v>39.96282926190419</v>
      </c>
      <c r="K123" s="1076">
        <v>26.56</v>
      </c>
      <c r="L123" s="1076">
        <v>19.69</v>
      </c>
      <c r="M123" s="1076">
        <v>7.14</v>
      </c>
      <c r="N123" s="1076">
        <v>2.61</v>
      </c>
      <c r="O123" s="1076">
        <v>1.8086991740963165</v>
      </c>
      <c r="P123" s="1"/>
      <c r="Q123" s="1"/>
      <c r="R123" s="1"/>
      <c r="S123" s="1"/>
      <c r="T123" s="1"/>
      <c r="U123" s="1"/>
      <c r="V123" s="1"/>
      <c r="W123" s="1"/>
      <c r="X123" s="1"/>
      <c r="Y123" s="1"/>
      <c r="Z123" s="1"/>
    </row>
    <row r="124" ht="10.5" customHeight="1">
      <c r="A124" s="1"/>
      <c r="B124" s="11">
        <v>2002.0</v>
      </c>
      <c r="C124" s="1076">
        <v>76.85266246643944</v>
      </c>
      <c r="D124" s="1076">
        <v>47.95</v>
      </c>
      <c r="E124" s="1076">
        <v>1.9358756441729905</v>
      </c>
      <c r="F124" s="1076">
        <v>5.0223109550840075</v>
      </c>
      <c r="G124" s="1077">
        <v>0.95</v>
      </c>
      <c r="H124" s="1076">
        <v>38.89628619887385</v>
      </c>
      <c r="I124" s="1076">
        <v>28.489481870447598</v>
      </c>
      <c r="J124" s="1076">
        <v>39.96863690270583</v>
      </c>
      <c r="K124" s="1076">
        <v>28.16</v>
      </c>
      <c r="L124" s="1076">
        <v>18.79</v>
      </c>
      <c r="M124" s="1076">
        <v>4.61</v>
      </c>
      <c r="N124" s="1076">
        <v>2.2</v>
      </c>
      <c r="O124" s="1076">
        <v>1.9094534497584825</v>
      </c>
      <c r="P124" s="1"/>
      <c r="Q124" s="1"/>
      <c r="R124" s="1"/>
      <c r="S124" s="1"/>
      <c r="T124" s="1"/>
      <c r="U124" s="1"/>
      <c r="V124" s="1"/>
      <c r="W124" s="1"/>
      <c r="X124" s="1"/>
      <c r="Y124" s="1"/>
      <c r="Z124" s="1"/>
    </row>
    <row r="125" ht="10.5" customHeight="1">
      <c r="A125" s="1"/>
      <c r="B125" s="11">
        <v>2003.0</v>
      </c>
      <c r="C125" s="1076">
        <v>82.53264174591573</v>
      </c>
      <c r="D125" s="1076">
        <v>47.99</v>
      </c>
      <c r="E125" s="1076">
        <v>1.8114521694385954</v>
      </c>
      <c r="F125" s="1076">
        <v>5.03</v>
      </c>
      <c r="G125" s="1077">
        <v>0.76</v>
      </c>
      <c r="H125" s="1076">
        <v>31.596071344058327</v>
      </c>
      <c r="I125" s="1076">
        <v>29.165000597137748</v>
      </c>
      <c r="J125" s="1076">
        <v>40.94175288389874</v>
      </c>
      <c r="K125" s="1076">
        <v>27.59</v>
      </c>
      <c r="L125" s="1076">
        <v>20.01</v>
      </c>
      <c r="M125" s="1076">
        <v>5.92</v>
      </c>
      <c r="N125" s="1076">
        <v>3.41</v>
      </c>
      <c r="O125" s="1076">
        <v>1.1988988198382748</v>
      </c>
      <c r="P125" s="1"/>
      <c r="Q125" s="1"/>
      <c r="R125" s="1"/>
      <c r="S125" s="1"/>
      <c r="T125" s="1"/>
      <c r="U125" s="1"/>
      <c r="V125" s="1"/>
      <c r="W125" s="1"/>
      <c r="X125" s="1"/>
      <c r="Y125" s="1"/>
      <c r="Z125" s="1"/>
    </row>
    <row r="126" ht="10.5" customHeight="1">
      <c r="A126" s="1"/>
      <c r="B126" s="11">
        <v>2004.0</v>
      </c>
      <c r="C126" s="1076">
        <v>74.88550782524526</v>
      </c>
      <c r="D126" s="1076">
        <v>48.64</v>
      </c>
      <c r="E126" s="1076">
        <v>2.0339261882712334</v>
      </c>
      <c r="F126" s="1076">
        <v>4.89</v>
      </c>
      <c r="G126" s="1078">
        <v>0.86</v>
      </c>
      <c r="H126" s="1076">
        <v>35.310577565779795</v>
      </c>
      <c r="I126" s="1076">
        <v>32.65635483906351</v>
      </c>
      <c r="J126" s="1076">
        <v>44.858546837889</v>
      </c>
      <c r="K126" s="1076">
        <v>28.65</v>
      </c>
      <c r="L126" s="1076">
        <v>15.39</v>
      </c>
      <c r="M126" s="1076">
        <v>6.27</v>
      </c>
      <c r="N126" s="1076">
        <v>2.73</v>
      </c>
      <c r="O126" s="1076">
        <v>1.1289566548600543</v>
      </c>
      <c r="P126" s="1"/>
      <c r="Q126" s="1"/>
      <c r="R126" s="1"/>
      <c r="S126" s="1"/>
      <c r="T126" s="1"/>
      <c r="U126" s="1"/>
      <c r="V126" s="1"/>
      <c r="W126" s="1"/>
      <c r="X126" s="1"/>
      <c r="Y126" s="1"/>
      <c r="Z126" s="1"/>
    </row>
    <row r="127" ht="10.5" customHeight="1">
      <c r="A127" s="1"/>
      <c r="B127" s="11"/>
      <c r="C127" s="1078"/>
      <c r="D127" s="1078"/>
      <c r="E127" s="1078"/>
      <c r="F127" s="1078"/>
      <c r="G127" s="1078"/>
      <c r="H127" s="1078"/>
      <c r="I127" s="1078"/>
      <c r="J127" s="1078"/>
      <c r="K127" s="1078"/>
      <c r="L127" s="1078"/>
      <c r="M127" s="1078"/>
      <c r="N127" s="1078"/>
      <c r="O127" s="1078"/>
      <c r="P127" s="1"/>
      <c r="Q127" s="1"/>
      <c r="R127" s="1"/>
      <c r="S127" s="1"/>
      <c r="T127" s="1"/>
      <c r="U127" s="1"/>
      <c r="V127" s="1"/>
      <c r="W127" s="1"/>
      <c r="X127" s="1"/>
      <c r="Y127" s="1"/>
      <c r="Z127" s="1"/>
    </row>
    <row r="128" ht="10.5" customHeight="1">
      <c r="A128" s="1"/>
      <c r="B128" s="11">
        <v>2005.0</v>
      </c>
      <c r="C128" s="1076">
        <v>89.04400841996873</v>
      </c>
      <c r="D128" s="1076">
        <v>49.25</v>
      </c>
      <c r="E128" s="1076">
        <v>2.1759395154410517</v>
      </c>
      <c r="F128" s="1076">
        <v>5.0</v>
      </c>
      <c r="G128" s="1078">
        <v>0.8</v>
      </c>
      <c r="H128" s="1076">
        <v>32.83249445487119</v>
      </c>
      <c r="I128" s="1076">
        <v>31.980386328271624</v>
      </c>
      <c r="J128" s="1076">
        <v>45.28073669521188</v>
      </c>
      <c r="K128" s="1076">
        <v>24.41</v>
      </c>
      <c r="L128" s="1076">
        <v>14.14</v>
      </c>
      <c r="M128" s="1076">
        <v>4.87</v>
      </c>
      <c r="N128" s="1076">
        <v>2.42</v>
      </c>
      <c r="O128" s="1076">
        <v>1.4608174799522264</v>
      </c>
      <c r="P128" s="1"/>
      <c r="Q128" s="1"/>
      <c r="R128" s="1"/>
      <c r="S128" s="1"/>
      <c r="T128" s="1"/>
      <c r="U128" s="1"/>
      <c r="V128" s="1"/>
      <c r="W128" s="1"/>
      <c r="X128" s="1"/>
      <c r="Y128" s="1"/>
      <c r="Z128" s="1"/>
    </row>
    <row r="129" ht="10.5" customHeight="1">
      <c r="A129" s="1"/>
      <c r="B129" s="11">
        <v>2006.0</v>
      </c>
      <c r="C129" s="1076">
        <v>65.76</v>
      </c>
      <c r="D129" s="1076">
        <v>49.5</v>
      </c>
      <c r="E129" s="1076">
        <v>1.78</v>
      </c>
      <c r="F129" s="1076">
        <v>4.97</v>
      </c>
      <c r="G129" s="1078" t="s">
        <v>10</v>
      </c>
      <c r="H129" s="1076">
        <v>32.90181680065835</v>
      </c>
      <c r="I129" s="1076">
        <v>33.22297587643224</v>
      </c>
      <c r="J129" s="1076">
        <v>44.39865002658189</v>
      </c>
      <c r="K129" s="1076">
        <v>24.51</v>
      </c>
      <c r="L129" s="1076">
        <v>9.28</v>
      </c>
      <c r="M129" s="1076">
        <v>5.34</v>
      </c>
      <c r="N129" s="1076">
        <v>2.77</v>
      </c>
      <c r="O129" s="1076">
        <v>1.07</v>
      </c>
      <c r="P129" s="1"/>
      <c r="Q129" s="1"/>
      <c r="R129" s="1"/>
      <c r="S129" s="1"/>
      <c r="T129" s="1"/>
      <c r="U129" s="1"/>
      <c r="V129" s="1"/>
      <c r="W129" s="1"/>
      <c r="X129" s="1"/>
      <c r="Y129" s="1"/>
      <c r="Z129" s="1"/>
    </row>
    <row r="130" ht="10.5" customHeight="1">
      <c r="A130" s="1"/>
      <c r="B130" s="11">
        <v>2007.0</v>
      </c>
      <c r="C130" s="1076">
        <v>66.16</v>
      </c>
      <c r="D130" s="1076">
        <v>50.3</v>
      </c>
      <c r="E130" s="1076">
        <v>2.159893167707055</v>
      </c>
      <c r="F130" s="1076">
        <v>4.8</v>
      </c>
      <c r="G130" s="1078" t="s">
        <v>10</v>
      </c>
      <c r="H130" s="1076">
        <v>32.89607048590721</v>
      </c>
      <c r="I130" s="1076">
        <v>33.59426191549967</v>
      </c>
      <c r="J130" s="1076">
        <v>43.31</v>
      </c>
      <c r="K130" s="1076">
        <v>23.45</v>
      </c>
      <c r="L130" s="1076">
        <v>13.84</v>
      </c>
      <c r="M130" s="1076">
        <v>5.63</v>
      </c>
      <c r="N130" s="1076">
        <v>2.52</v>
      </c>
      <c r="O130" s="1076">
        <v>0.9461449884745676</v>
      </c>
      <c r="P130" s="1"/>
      <c r="Q130" s="1"/>
      <c r="R130" s="1"/>
      <c r="S130" s="1"/>
      <c r="T130" s="1"/>
      <c r="U130" s="1"/>
      <c r="V130" s="1"/>
      <c r="W130" s="1"/>
      <c r="X130" s="1"/>
      <c r="Y130" s="1"/>
      <c r="Z130" s="1"/>
    </row>
    <row r="131" ht="10.5" customHeight="1">
      <c r="A131" s="1"/>
      <c r="B131" s="11">
        <v>2008.0</v>
      </c>
      <c r="C131" s="1076">
        <v>93.31</v>
      </c>
      <c r="D131" s="1076">
        <v>48.71240988354182</v>
      </c>
      <c r="E131" s="1076">
        <v>2.01</v>
      </c>
      <c r="F131" s="1076">
        <v>4.890987737999876</v>
      </c>
      <c r="G131" s="1078" t="s">
        <v>10</v>
      </c>
      <c r="H131" s="1076">
        <v>28.57</v>
      </c>
      <c r="I131" s="1076">
        <v>33.445145074044405</v>
      </c>
      <c r="J131" s="1076">
        <v>45.36</v>
      </c>
      <c r="K131" s="1076">
        <v>24.84</v>
      </c>
      <c r="L131" s="1076">
        <v>15.03</v>
      </c>
      <c r="M131" s="1076">
        <v>4.72</v>
      </c>
      <c r="N131" s="1076">
        <v>2.47</v>
      </c>
      <c r="O131" s="1076">
        <v>1.0367488241214284</v>
      </c>
      <c r="P131" s="1"/>
      <c r="Q131" s="1"/>
      <c r="R131" s="1"/>
      <c r="S131" s="1"/>
      <c r="T131" s="1"/>
      <c r="U131" s="1"/>
      <c r="V131" s="1"/>
      <c r="W131" s="1"/>
      <c r="X131" s="1"/>
      <c r="Y131" s="1"/>
      <c r="Z131" s="1"/>
    </row>
    <row r="132" ht="10.5" customHeight="1">
      <c r="A132" s="1"/>
      <c r="B132" s="11">
        <v>2009.0</v>
      </c>
      <c r="C132" s="1076">
        <v>83.73</v>
      </c>
      <c r="D132" s="1076">
        <v>51.33</v>
      </c>
      <c r="E132" s="1076">
        <v>2.07</v>
      </c>
      <c r="F132" s="1076">
        <v>4.23</v>
      </c>
      <c r="G132" s="1078" t="s">
        <v>10</v>
      </c>
      <c r="H132" s="1076">
        <v>32.02</v>
      </c>
      <c r="I132" s="1076">
        <v>32.14</v>
      </c>
      <c r="J132" s="1076">
        <v>44.32</v>
      </c>
      <c r="K132" s="1076">
        <v>24.15</v>
      </c>
      <c r="L132" s="1076">
        <v>9.86</v>
      </c>
      <c r="M132" s="1076">
        <v>7.58</v>
      </c>
      <c r="N132" s="1076">
        <v>3.19</v>
      </c>
      <c r="O132" s="1076">
        <v>1.18</v>
      </c>
      <c r="P132" s="1"/>
      <c r="Q132" s="1"/>
      <c r="R132" s="1"/>
      <c r="S132" s="1"/>
      <c r="T132" s="1"/>
      <c r="U132" s="1"/>
      <c r="V132" s="1"/>
      <c r="W132" s="1"/>
      <c r="X132" s="1"/>
      <c r="Y132" s="1"/>
      <c r="Z132" s="1"/>
    </row>
    <row r="133" ht="10.5" customHeight="1">
      <c r="A133" s="1"/>
      <c r="B133" s="11"/>
      <c r="C133" s="1076"/>
      <c r="D133" s="1076"/>
      <c r="E133" s="1076"/>
      <c r="F133" s="1076"/>
      <c r="G133" s="1078"/>
      <c r="H133" s="1076"/>
      <c r="I133" s="1076"/>
      <c r="J133" s="1076"/>
      <c r="K133" s="1076"/>
      <c r="L133" s="1076"/>
      <c r="M133" s="1076"/>
      <c r="N133" s="1076"/>
      <c r="O133" s="1076"/>
      <c r="P133" s="1"/>
      <c r="Q133" s="1"/>
      <c r="R133" s="1"/>
      <c r="S133" s="1"/>
      <c r="T133" s="1"/>
      <c r="U133" s="1"/>
      <c r="V133" s="1"/>
      <c r="W133" s="1"/>
      <c r="X133" s="1"/>
      <c r="Y133" s="1"/>
      <c r="Z133" s="1"/>
    </row>
    <row r="134" ht="10.5" customHeight="1">
      <c r="A134" s="1"/>
      <c r="B134" s="79">
        <v>2010.0</v>
      </c>
      <c r="C134" s="1079">
        <v>91.75</v>
      </c>
      <c r="D134" s="1079">
        <v>49.37</v>
      </c>
      <c r="E134" s="1079">
        <v>2.18</v>
      </c>
      <c r="F134" s="1079">
        <v>4.57</v>
      </c>
      <c r="G134" s="1078" t="s">
        <v>10</v>
      </c>
      <c r="H134" s="1079">
        <v>32.97</v>
      </c>
      <c r="I134" s="1079">
        <v>35.67</v>
      </c>
      <c r="J134" s="1079">
        <v>44.75</v>
      </c>
      <c r="K134" s="1079">
        <v>24.0</v>
      </c>
      <c r="L134" s="1079">
        <v>11.73</v>
      </c>
      <c r="M134" s="1079">
        <v>6.14</v>
      </c>
      <c r="N134" s="1079">
        <v>2.73</v>
      </c>
      <c r="O134" s="1079">
        <v>1.08</v>
      </c>
      <c r="P134" s="1"/>
      <c r="Q134" s="1"/>
      <c r="R134" s="1"/>
      <c r="S134" s="1"/>
      <c r="T134" s="1"/>
      <c r="U134" s="1"/>
      <c r="V134" s="1"/>
      <c r="W134" s="1"/>
      <c r="X134" s="1"/>
      <c r="Y134" s="1"/>
      <c r="Z134" s="1"/>
    </row>
    <row r="135" ht="10.5" customHeight="1">
      <c r="A135" s="1"/>
      <c r="B135" s="79" t="s">
        <v>487</v>
      </c>
      <c r="C135" s="1079">
        <v>74.72</v>
      </c>
      <c r="D135" s="1079">
        <v>49.8</v>
      </c>
      <c r="E135" s="1079">
        <v>2.07</v>
      </c>
      <c r="F135" s="1079">
        <v>4.8</v>
      </c>
      <c r="G135" s="1078" t="s">
        <v>10</v>
      </c>
      <c r="H135" s="1079">
        <v>34.71</v>
      </c>
      <c r="I135" s="1079">
        <v>36.21</v>
      </c>
      <c r="J135" s="1079">
        <v>43.9</v>
      </c>
      <c r="K135" s="1079">
        <v>24.51</v>
      </c>
      <c r="L135" s="1079">
        <v>16.51</v>
      </c>
      <c r="M135" s="1079">
        <v>6.18</v>
      </c>
      <c r="N135" s="1079">
        <v>2.8</v>
      </c>
      <c r="O135" s="1079">
        <v>1.01</v>
      </c>
      <c r="P135" s="1"/>
      <c r="Q135" s="1"/>
      <c r="R135" s="1"/>
      <c r="S135" s="1"/>
      <c r="T135" s="1"/>
      <c r="U135" s="1"/>
      <c r="V135" s="1"/>
      <c r="W135" s="1"/>
      <c r="X135" s="1"/>
      <c r="Y135" s="1"/>
      <c r="Z135" s="1"/>
    </row>
    <row r="136" ht="10.5" customHeight="1">
      <c r="A136" s="1"/>
      <c r="B136" s="79" t="s">
        <v>489</v>
      </c>
      <c r="C136" s="1079">
        <v>77.81</v>
      </c>
      <c r="D136" s="1079">
        <v>48.51</v>
      </c>
      <c r="E136" s="1079">
        <v>1.81</v>
      </c>
      <c r="F136" s="1079">
        <v>4.64</v>
      </c>
      <c r="G136" s="1078" t="s">
        <v>10</v>
      </c>
      <c r="H136" s="1079">
        <v>35.12</v>
      </c>
      <c r="I136" s="1079">
        <v>36.11</v>
      </c>
      <c r="J136" s="1079">
        <v>45.68</v>
      </c>
      <c r="K136" s="1079">
        <v>23.45</v>
      </c>
      <c r="L136" s="1079">
        <v>15.49</v>
      </c>
      <c r="M136" s="1079">
        <v>6.81</v>
      </c>
      <c r="N136" s="1079">
        <v>2.83</v>
      </c>
      <c r="O136" s="1079">
        <v>0.78</v>
      </c>
      <c r="P136" s="1"/>
      <c r="Q136" s="1"/>
      <c r="R136" s="1"/>
      <c r="S136" s="1"/>
      <c r="T136" s="1"/>
      <c r="U136" s="1"/>
      <c r="V136" s="1"/>
      <c r="W136" s="1"/>
      <c r="X136" s="1"/>
      <c r="Y136" s="1"/>
      <c r="Z136" s="1"/>
    </row>
    <row r="137" ht="10.5" customHeight="1">
      <c r="A137" s="1"/>
      <c r="B137" s="79" t="s">
        <v>55</v>
      </c>
      <c r="C137" s="1079">
        <v>83.03</v>
      </c>
      <c r="D137" s="1079">
        <v>49.92</v>
      </c>
      <c r="E137" s="1079">
        <v>1.94</v>
      </c>
      <c r="F137" s="1079">
        <v>4.61</v>
      </c>
      <c r="G137" s="1078" t="s">
        <v>10</v>
      </c>
      <c r="H137" s="1079">
        <v>35.41</v>
      </c>
      <c r="I137" s="1079">
        <v>34.59</v>
      </c>
      <c r="J137" s="1079">
        <v>44.25</v>
      </c>
      <c r="K137" s="1079">
        <v>24.84</v>
      </c>
      <c r="L137" s="1079">
        <v>18.48</v>
      </c>
      <c r="M137" s="1079">
        <v>6.16</v>
      </c>
      <c r="N137" s="1079">
        <v>2.47</v>
      </c>
      <c r="O137" s="1079">
        <v>0.64</v>
      </c>
      <c r="P137" s="1"/>
      <c r="Q137" s="1"/>
      <c r="R137" s="1"/>
      <c r="S137" s="1"/>
      <c r="T137" s="1"/>
      <c r="U137" s="1"/>
      <c r="V137" s="1"/>
      <c r="W137" s="1"/>
      <c r="X137" s="1"/>
      <c r="Y137" s="1"/>
      <c r="Z137" s="1"/>
    </row>
    <row r="138" ht="10.5" customHeight="1">
      <c r="A138" s="1"/>
      <c r="B138" s="79" t="s">
        <v>57</v>
      </c>
      <c r="C138" s="1079">
        <v>80.76</v>
      </c>
      <c r="D138" s="1079">
        <v>48.24</v>
      </c>
      <c r="E138" s="1079">
        <v>1.87</v>
      </c>
      <c r="F138" s="1079">
        <v>4.42</v>
      </c>
      <c r="G138" s="1078" t="s">
        <v>10</v>
      </c>
      <c r="H138" s="1079">
        <v>35.97</v>
      </c>
      <c r="I138" s="1079">
        <v>34.87</v>
      </c>
      <c r="J138" s="1079">
        <v>43.84</v>
      </c>
      <c r="K138" s="1079">
        <v>24.15</v>
      </c>
      <c r="L138" s="1079">
        <v>19.49</v>
      </c>
      <c r="M138" s="1079">
        <v>7.18</v>
      </c>
      <c r="N138" s="1079">
        <v>2.8</v>
      </c>
      <c r="O138" s="1079">
        <v>0.73</v>
      </c>
      <c r="P138" s="1"/>
      <c r="Q138" s="1"/>
      <c r="R138" s="1"/>
      <c r="S138" s="1"/>
      <c r="T138" s="1"/>
      <c r="U138" s="1"/>
      <c r="V138" s="1"/>
      <c r="W138" s="1"/>
      <c r="X138" s="1"/>
      <c r="Y138" s="1"/>
      <c r="Z138" s="1"/>
    </row>
    <row r="139" ht="10.5" customHeight="1">
      <c r="A139" s="1"/>
      <c r="B139" s="79"/>
      <c r="C139" s="1079"/>
      <c r="D139" s="1079"/>
      <c r="E139" s="1079"/>
      <c r="F139" s="1079"/>
      <c r="G139" s="1078"/>
      <c r="H139" s="1079"/>
      <c r="I139" s="1079"/>
      <c r="J139" s="1079"/>
      <c r="K139" s="1079"/>
      <c r="L139" s="1079"/>
      <c r="M139" s="1079"/>
      <c r="N139" s="1079"/>
      <c r="O139" s="1079"/>
      <c r="P139" s="1"/>
      <c r="Q139" s="1"/>
      <c r="R139" s="1"/>
      <c r="S139" s="1"/>
      <c r="T139" s="1"/>
      <c r="U139" s="1"/>
      <c r="V139" s="1"/>
      <c r="W139" s="1"/>
      <c r="X139" s="1"/>
      <c r="Y139" s="1"/>
      <c r="Z139" s="1"/>
    </row>
    <row r="140" ht="10.5" customHeight="1">
      <c r="A140" s="1"/>
      <c r="B140" s="79" t="s">
        <v>58</v>
      </c>
      <c r="C140" s="1079">
        <v>70.83</v>
      </c>
      <c r="D140" s="1079">
        <v>47.81</v>
      </c>
      <c r="E140" s="1079">
        <v>1.68</v>
      </c>
      <c r="F140" s="1079">
        <v>5.62</v>
      </c>
      <c r="G140" s="1078" t="s">
        <v>10</v>
      </c>
      <c r="H140" s="1079">
        <v>35.47</v>
      </c>
      <c r="I140" s="1079">
        <v>38.26</v>
      </c>
      <c r="J140" s="1079">
        <v>45.99</v>
      </c>
      <c r="K140" s="1079">
        <v>24.34</v>
      </c>
      <c r="L140" s="1079">
        <v>17.44</v>
      </c>
      <c r="M140" s="1079">
        <v>5.73</v>
      </c>
      <c r="N140" s="1079">
        <v>2.41</v>
      </c>
      <c r="O140" s="1079">
        <v>0.89</v>
      </c>
      <c r="P140" s="1"/>
      <c r="Q140" s="1"/>
      <c r="R140" s="1"/>
      <c r="S140" s="1"/>
      <c r="T140" s="1"/>
      <c r="U140" s="1"/>
      <c r="V140" s="1"/>
      <c r="W140" s="1"/>
      <c r="X140" s="1"/>
      <c r="Y140" s="1"/>
      <c r="Z140" s="1"/>
    </row>
    <row r="141" ht="10.5" customHeight="1">
      <c r="A141" s="1"/>
      <c r="B141" s="79" t="s">
        <v>59</v>
      </c>
      <c r="C141" s="1079">
        <v>69.49</v>
      </c>
      <c r="D141" s="1079">
        <v>47.84</v>
      </c>
      <c r="E141" s="1079">
        <v>1.82</v>
      </c>
      <c r="F141" s="1079">
        <v>5.18</v>
      </c>
      <c r="G141" s="1078" t="s">
        <v>10</v>
      </c>
      <c r="H141" s="1079">
        <v>33.53</v>
      </c>
      <c r="I141" s="1079">
        <v>32.39</v>
      </c>
      <c r="J141" s="1079">
        <v>44.83</v>
      </c>
      <c r="K141" s="1079">
        <v>21.85</v>
      </c>
      <c r="L141" s="1079">
        <v>10.52</v>
      </c>
      <c r="M141" s="1079">
        <v>5.84</v>
      </c>
      <c r="N141" s="1079">
        <v>1.59</v>
      </c>
      <c r="O141" s="1079">
        <v>0.57</v>
      </c>
      <c r="P141" s="1"/>
      <c r="Q141" s="1"/>
      <c r="R141" s="1"/>
      <c r="S141" s="1"/>
      <c r="T141" s="1"/>
      <c r="U141" s="1"/>
      <c r="V141" s="1"/>
      <c r="W141" s="1"/>
      <c r="X141" s="1"/>
      <c r="Y141" s="1"/>
      <c r="Z141" s="1"/>
    </row>
    <row r="142" ht="10.5" customHeight="1">
      <c r="A142" s="1"/>
      <c r="B142" s="52" t="s">
        <v>1832</v>
      </c>
      <c r="C142" s="1080">
        <v>80.34</v>
      </c>
      <c r="D142" s="1080">
        <v>44.52</v>
      </c>
      <c r="E142" s="1080">
        <v>1.79</v>
      </c>
      <c r="F142" s="1080">
        <v>4.77</v>
      </c>
      <c r="G142" s="1081" t="s">
        <v>10</v>
      </c>
      <c r="H142" s="1080">
        <v>38.73</v>
      </c>
      <c r="I142" s="1080">
        <v>36.62</v>
      </c>
      <c r="J142" s="1080">
        <v>45.67</v>
      </c>
      <c r="K142" s="1080">
        <v>20.66</v>
      </c>
      <c r="L142" s="1080">
        <v>9.8</v>
      </c>
      <c r="M142" s="1080">
        <v>5.14</v>
      </c>
      <c r="N142" s="1080">
        <v>1.99</v>
      </c>
      <c r="O142" s="1080">
        <v>0.74</v>
      </c>
      <c r="P142" s="1"/>
      <c r="Q142" s="1"/>
      <c r="R142" s="1"/>
      <c r="S142" s="1"/>
      <c r="T142" s="1"/>
      <c r="U142" s="1"/>
      <c r="V142" s="1"/>
      <c r="W142" s="1"/>
      <c r="X142" s="1"/>
      <c r="Y142" s="1"/>
      <c r="Z142" s="1"/>
    </row>
    <row r="143" ht="10.5" customHeight="1">
      <c r="A143" s="1"/>
      <c r="B143" s="60" t="s">
        <v>1833</v>
      </c>
      <c r="C143" s="1082"/>
      <c r="D143" s="1082"/>
      <c r="E143" s="1082"/>
      <c r="F143" s="1082"/>
      <c r="G143" s="1082"/>
      <c r="H143" s="1082"/>
      <c r="I143" s="1082"/>
      <c r="J143" s="1082"/>
      <c r="K143" s="1082"/>
      <c r="L143" s="1082"/>
      <c r="M143" s="1082"/>
      <c r="N143" s="1082"/>
      <c r="O143" s="1082"/>
      <c r="P143" s="1"/>
      <c r="Q143" s="1"/>
      <c r="R143" s="1"/>
      <c r="S143" s="1"/>
      <c r="T143" s="1"/>
      <c r="U143" s="1"/>
      <c r="V143" s="1"/>
      <c r="W143" s="1"/>
      <c r="X143" s="1"/>
      <c r="Y143" s="1"/>
      <c r="Z143" s="1"/>
    </row>
    <row r="144" ht="10.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0.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0.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0.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0.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0.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0.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0.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0.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0.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0.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0.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0.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0.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0.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0.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0.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0.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0.5" customHeight="1">
      <c r="A162" s="1"/>
      <c r="B162" s="1"/>
      <c r="C162" s="755"/>
      <c r="D162" s="755"/>
      <c r="E162" s="755"/>
      <c r="F162" s="755"/>
      <c r="G162" s="755"/>
      <c r="H162" s="755"/>
      <c r="I162" s="755"/>
      <c r="J162" s="755"/>
      <c r="K162" s="755"/>
      <c r="L162" s="755"/>
      <c r="M162" s="755"/>
      <c r="N162" s="1"/>
      <c r="O162" s="1"/>
      <c r="P162" s="1"/>
      <c r="Q162" s="1"/>
      <c r="R162" s="1"/>
      <c r="S162" s="1"/>
      <c r="T162" s="1"/>
      <c r="U162" s="1"/>
      <c r="V162" s="1"/>
      <c r="W162" s="1"/>
      <c r="X162" s="1"/>
      <c r="Y162" s="1"/>
      <c r="Z162" s="1"/>
    </row>
    <row r="163" ht="10.5" customHeight="1">
      <c r="A163" s="1"/>
      <c r="B163" s="1"/>
      <c r="C163" s="755"/>
      <c r="D163" s="755"/>
      <c r="E163" s="755"/>
      <c r="F163" s="755"/>
      <c r="G163" s="1083">
        <v>103.0</v>
      </c>
      <c r="H163" s="755"/>
      <c r="I163" s="755"/>
      <c r="J163" s="755"/>
      <c r="K163" s="755"/>
      <c r="L163" s="755"/>
      <c r="M163" s="755"/>
      <c r="N163" s="1"/>
      <c r="O163" s="1"/>
      <c r="P163" s="1"/>
      <c r="Q163" s="1"/>
      <c r="R163" s="1"/>
      <c r="S163" s="1"/>
      <c r="T163" s="1"/>
      <c r="U163" s="1"/>
      <c r="V163" s="1"/>
      <c r="W163" s="1"/>
      <c r="X163" s="1"/>
      <c r="Y163" s="1"/>
      <c r="Z163" s="1"/>
    </row>
    <row r="164" ht="10.5" customHeight="1">
      <c r="A164" s="1"/>
      <c r="B164" s="1"/>
      <c r="C164" s="755"/>
      <c r="D164" s="755"/>
      <c r="E164" s="755"/>
      <c r="F164" s="755"/>
      <c r="G164" s="755"/>
      <c r="H164" s="755"/>
      <c r="I164" s="755"/>
      <c r="J164" s="755"/>
      <c r="K164" s="755"/>
      <c r="L164" s="755"/>
      <c r="M164" s="755"/>
      <c r="N164" s="1"/>
      <c r="O164" s="1"/>
      <c r="P164" s="1"/>
      <c r="Q164" s="1"/>
      <c r="R164" s="1"/>
      <c r="S164" s="1"/>
      <c r="T164" s="1"/>
      <c r="U164" s="1"/>
      <c r="V164" s="1"/>
      <c r="W164" s="1"/>
      <c r="X164" s="1"/>
      <c r="Y164" s="1"/>
      <c r="Z164" s="1"/>
    </row>
    <row r="165" ht="10.5" customHeight="1">
      <c r="A165" s="1"/>
      <c r="B165" s="1"/>
      <c r="C165" s="755"/>
      <c r="D165" s="755"/>
      <c r="E165" s="755"/>
      <c r="F165" s="755"/>
      <c r="G165" s="755"/>
      <c r="H165" s="755"/>
      <c r="I165" s="755"/>
      <c r="J165" s="755"/>
      <c r="K165" s="755"/>
      <c r="L165" s="755"/>
      <c r="M165" s="755"/>
      <c r="N165" s="1"/>
      <c r="O165" s="1"/>
      <c r="P165" s="1"/>
      <c r="Q165" s="1"/>
      <c r="R165" s="1"/>
      <c r="S165" s="1"/>
      <c r="T165" s="1"/>
      <c r="U165" s="1"/>
      <c r="V165" s="1"/>
      <c r="W165" s="1"/>
      <c r="X165" s="1"/>
      <c r="Y165" s="1"/>
      <c r="Z165" s="1"/>
    </row>
    <row r="166" ht="10.5" customHeight="1">
      <c r="A166" s="1"/>
      <c r="B166" s="1"/>
      <c r="C166" s="755"/>
      <c r="D166" s="755"/>
      <c r="E166" s="755"/>
      <c r="F166" s="755"/>
      <c r="G166" s="1"/>
      <c r="H166" s="755"/>
      <c r="I166" s="755"/>
      <c r="J166" s="755"/>
      <c r="K166" s="755"/>
      <c r="L166" s="755"/>
      <c r="M166" s="755"/>
      <c r="N166" s="1"/>
      <c r="O166" s="1"/>
      <c r="P166" s="1"/>
      <c r="Q166" s="1"/>
      <c r="R166" s="1"/>
      <c r="S166" s="1"/>
      <c r="T166" s="1"/>
      <c r="U166" s="1"/>
      <c r="V166" s="1"/>
      <c r="W166" s="1"/>
      <c r="X166" s="1"/>
      <c r="Y166" s="1"/>
      <c r="Z166" s="1"/>
    </row>
    <row r="167" ht="11.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1.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1.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1.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1.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1.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1.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1.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1.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1.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1.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1.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1.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1.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1.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1.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1.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1.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1.25" customHeight="1">
      <c r="A185" s="1"/>
      <c r="B185" s="1"/>
      <c r="C185" s="1082"/>
      <c r="D185" s="1082"/>
      <c r="E185" s="1082"/>
      <c r="F185" s="1082"/>
      <c r="G185" s="1082"/>
      <c r="H185" s="1082"/>
      <c r="I185" s="1082"/>
      <c r="J185" s="1082"/>
      <c r="K185" s="1082"/>
      <c r="L185" s="1082"/>
      <c r="M185" s="1082"/>
      <c r="N185" s="1082"/>
      <c r="O185" s="1082"/>
      <c r="P185" s="1"/>
      <c r="Q185" s="1"/>
      <c r="R185" s="1"/>
      <c r="S185" s="1"/>
      <c r="T185" s="1"/>
      <c r="U185" s="1"/>
      <c r="V185" s="1"/>
      <c r="W185" s="1"/>
      <c r="X185" s="1"/>
      <c r="Y185" s="1"/>
      <c r="Z185" s="1"/>
    </row>
    <row r="186" ht="11.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1.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1.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1.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1.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1.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1.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1.25" customHeight="1">
      <c r="A193" s="1"/>
      <c r="B193" s="1"/>
      <c r="C193" s="1"/>
      <c r="D193" s="1"/>
      <c r="E193" s="1"/>
      <c r="F193" s="1"/>
      <c r="G193" s="1084"/>
      <c r="H193" s="1"/>
      <c r="I193" s="1"/>
      <c r="J193" s="1"/>
      <c r="K193" s="1"/>
      <c r="L193" s="1"/>
      <c r="M193" s="1"/>
      <c r="N193" s="1"/>
      <c r="O193" s="1"/>
      <c r="P193" s="1"/>
      <c r="Q193" s="1"/>
      <c r="R193" s="1"/>
      <c r="S193" s="1"/>
      <c r="T193" s="1"/>
      <c r="U193" s="1"/>
      <c r="V193" s="1"/>
      <c r="W193" s="1"/>
      <c r="X193" s="1"/>
      <c r="Y193" s="1"/>
      <c r="Z193" s="1"/>
    </row>
    <row r="194" ht="11.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1.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1.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1.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1.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1.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1.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1.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1.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1.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1.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1.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1.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1.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1.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1.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1.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1.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1.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1.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1.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1.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1.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1.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1.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1.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1.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1.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1.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1.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1.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1.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1.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1.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1.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1.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1.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1.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1.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1.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1.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1.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1.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1.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1.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1.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1.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1.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1.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1.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1.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1.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1.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1.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1.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1.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1.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1.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1.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1.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1.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1.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1.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1.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1.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1.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1.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1.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1.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1.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1.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1.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1.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1.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1.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1.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1.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1.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1.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1.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1.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1.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1.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1.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1.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1.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1.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1.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1.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1.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1.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1.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1.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1.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1.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1.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1.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1.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1.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1.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1.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1.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1.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1.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1.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1.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1.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1.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1.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1.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1.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1.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1.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1.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1.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1.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1.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1.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1.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1.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1.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1.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1.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1.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1.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1.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1.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1.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1.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1.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1.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1.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1.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1.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1.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1.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1.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1.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1.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1.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1.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1.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1.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1.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1.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1.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1.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1.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1.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1.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1.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1.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1.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1.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1.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1.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1.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1.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1.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1.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1.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1.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1.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1.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1.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1.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1.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1.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1.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1.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1.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1.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1.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1.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1.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1.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1.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1.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1.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1.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1.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1.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1.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1.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90:B91"/>
    <mergeCell ref="C91:O91"/>
    <mergeCell ref="C4:M4"/>
    <mergeCell ref="B3:B4"/>
  </mergeCells>
  <printOptions/>
  <pageMargins bottom="0.6692913385826772" footer="0.0" header="0.0" left="0.5511811023622047" right="0.5511811023622047" top="0.5118110236220472"/>
  <pageSetup orientation="portrait"/>
  <rowBreaks count="1" manualBreakCount="1">
    <brk id="88" man="1"/>
  </rowBreaks>
  <drawing r:id="rId1"/>
</worksheet>
</file>